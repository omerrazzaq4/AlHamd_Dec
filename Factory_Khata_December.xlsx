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C:\Users\Omerr\OneDrive - Higher Education Commission\Desktop\Factory\"/>
    </mc:Choice>
  </mc:AlternateContent>
  <xr:revisionPtr revIDLastSave="0" documentId="13_ncr:1_{89B07303-4F83-4416-81AD-F450F7417961}" xr6:coauthVersionLast="47" xr6:coauthVersionMax="47" xr10:uidLastSave="{00000000-0000-0000-0000-000000000000}"/>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7" l="1"/>
  <c r="H13" i="7" s="1"/>
  <c r="G14" i="7"/>
  <c r="H14" i="7" s="1"/>
  <c r="G15" i="7"/>
  <c r="H15" i="7"/>
  <c r="H63" i="6"/>
  <c r="G60" i="6"/>
  <c r="G61" i="6"/>
  <c r="G62" i="6"/>
  <c r="G63" i="6"/>
  <c r="G64" i="6"/>
  <c r="I60" i="6"/>
  <c r="I61" i="6"/>
  <c r="I62" i="6"/>
  <c r="I63" i="6"/>
  <c r="I64" i="6"/>
  <c r="I114" i="1"/>
  <c r="J114" i="1" a="1"/>
  <c r="J114" i="1" s="1"/>
  <c r="I115" i="1"/>
  <c r="J115" i="1" a="1"/>
  <c r="J115" i="1" s="1"/>
  <c r="I116" i="1"/>
  <c r="J116" i="1" s="1" a="1"/>
  <c r="J116" i="1" s="1"/>
  <c r="I117" i="1"/>
  <c r="J117" i="1" a="1"/>
  <c r="J117" i="1"/>
  <c r="F115" i="1"/>
  <c r="G12" i="7"/>
  <c r="H12" i="7" s="1"/>
  <c r="H59" i="6"/>
  <c r="I59" i="6" s="1"/>
  <c r="G59" i="6"/>
  <c r="H56" i="6"/>
  <c r="I56" i="6" s="1"/>
  <c r="H57" i="6"/>
  <c r="I57" i="6" s="1"/>
  <c r="H58" i="6"/>
  <c r="I58" i="6" s="1"/>
  <c r="H55" i="6"/>
  <c r="I55" i="6" s="1"/>
  <c r="G58" i="6"/>
  <c r="G57" i="6"/>
  <c r="G56" i="6"/>
  <c r="G55" i="6"/>
  <c r="G54" i="6"/>
  <c r="I54" i="6"/>
  <c r="G53" i="6"/>
  <c r="I53" i="6"/>
  <c r="I112" i="1"/>
  <c r="J112" i="1" s="1" a="1"/>
  <c r="J112" i="1" s="1"/>
  <c r="I113" i="1"/>
  <c r="J113" i="1" s="1" a="1"/>
  <c r="J113" i="1" s="1"/>
  <c r="I111" i="1"/>
  <c r="J111" i="1" s="1" a="1"/>
  <c r="J111" i="1" s="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I66" i="9" s="1" a="1"/>
  <c r="I66" i="9" s="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G36" i="2" s="1"/>
  <c r="H117" i="1" s="1"/>
  <c r="F22" i="2"/>
  <c r="H22" i="2" s="1"/>
  <c r="I22" i="2" s="1"/>
  <c r="D22" i="2" s="1"/>
  <c r="E22" i="2"/>
  <c r="F7" i="2"/>
  <c r="H7" i="2" s="1"/>
  <c r="I7" i="2" s="1"/>
  <c r="D7" i="2" s="1"/>
  <c r="E7" i="2"/>
  <c r="E37" i="2"/>
  <c r="F37" i="2"/>
  <c r="H37" i="2" s="1"/>
  <c r="I37" i="2" s="1"/>
  <c r="D37" i="2" s="1"/>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P56" i="7" l="1"/>
  <c r="C5" i="8" s="1"/>
  <c r="E48" i="7"/>
  <c r="H36" i="2"/>
  <c r="I36" i="2" s="1"/>
  <c r="D36" i="2" s="1"/>
  <c r="G37" i="2"/>
  <c r="N115" i="9"/>
  <c r="N113" i="9"/>
  <c r="X36" i="9" a="1"/>
  <c r="X36" i="9" s="1"/>
  <c r="AB34" i="9" a="1"/>
  <c r="AB34" i="9" s="1"/>
  <c r="AC34" i="9" s="1"/>
  <c r="N114" i="9"/>
  <c r="N111" i="9"/>
  <c r="G65" i="6"/>
  <c r="K6" i="6"/>
  <c r="C4" i="8" s="1"/>
  <c r="G35" i="2"/>
  <c r="H115" i="1" s="1"/>
  <c r="G31" i="2"/>
  <c r="H110" i="1" s="1"/>
  <c r="G13" i="2"/>
  <c r="H69" i="1" s="1"/>
  <c r="H34" i="2"/>
  <c r="I34" i="2" s="1"/>
  <c r="D34" i="2" s="1"/>
  <c r="G33" i="2"/>
  <c r="G32" i="2"/>
  <c r="G27" i="2"/>
  <c r="F88" i="9"/>
  <c r="U9" i="9" s="1" a="1"/>
  <c r="U9" i="9" s="1"/>
  <c r="M75" i="9" a="1"/>
  <c r="M75" i="9" s="1"/>
  <c r="A10" i="20"/>
  <c r="A17" i="20"/>
  <c r="C94" i="9"/>
  <c r="J93" i="1" a="1"/>
  <c r="J93" i="1" s="1"/>
  <c r="J118" i="1" s="1" a="1"/>
  <c r="J118" i="1" s="1"/>
  <c r="I118" i="1" a="1"/>
  <c r="I118"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AD31" i="9" s="1"/>
  <c r="B28" i="20" s="1"/>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8"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C35" i="9"/>
  <c r="A20" i="20"/>
  <c r="AC36" i="9"/>
  <c r="J93" i="9"/>
  <c r="Y14" i="9" s="1" a="1"/>
  <c r="Y14" i="9" s="1"/>
  <c r="M90" i="9"/>
  <c r="AB11" i="9" s="1" a="1"/>
  <c r="AB11" i="9" s="1"/>
  <c r="E102" i="9"/>
  <c r="T23" i="9" s="1" a="1"/>
  <c r="T23" i="9" s="1"/>
  <c r="L94" i="9"/>
  <c r="AA15" i="9" s="1" a="1"/>
  <c r="AA15" i="9" s="1"/>
  <c r="J67" i="9" a="1"/>
  <c r="J67"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G22" i="2"/>
  <c r="G12" i="2"/>
  <c r="G6" i="2"/>
  <c r="G17" i="2"/>
  <c r="G29" i="2"/>
  <c r="G11" i="2"/>
  <c r="H74" i="1" s="1"/>
  <c r="G15" i="2"/>
  <c r="G8" i="2"/>
  <c r="G9" i="2"/>
  <c r="G30" i="2"/>
  <c r="H108" i="1" s="1"/>
  <c r="G19" i="2"/>
  <c r="G25" i="2"/>
  <c r="G24" i="2"/>
  <c r="H20" i="2"/>
  <c r="I20" i="2" s="1"/>
  <c r="D20" i="2" s="1"/>
  <c r="G26" i="2"/>
  <c r="H97" i="1" s="1"/>
  <c r="H19" i="2"/>
  <c r="I19" i="2" s="1"/>
  <c r="D19" i="2" s="1"/>
  <c r="G16" i="2"/>
  <c r="G18" i="2"/>
  <c r="G23" i="2"/>
  <c r="G14" i="2"/>
  <c r="H75" i="1" s="1"/>
  <c r="H30" i="2"/>
  <c r="I30" i="2" s="1"/>
  <c r="D30" i="2" s="1"/>
  <c r="G10" i="2"/>
  <c r="H77" i="1" s="1"/>
  <c r="H15" i="2"/>
  <c r="I15" i="2" s="1"/>
  <c r="D15" i="2" s="1"/>
  <c r="G21" i="2"/>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283" i="17"/>
  <c r="K4" i="17" s="1"/>
  <c r="C16" i="10"/>
  <c r="G14" i="15"/>
  <c r="E38" i="18"/>
  <c r="J37" i="14"/>
  <c r="C12" i="8" s="1"/>
  <c r="D38" i="14"/>
  <c r="C10" i="8" s="1"/>
  <c r="C43" i="12"/>
  <c r="H65" i="6"/>
  <c r="I37" i="12"/>
  <c r="D38" i="18"/>
  <c r="C11" i="8" s="1"/>
  <c r="I65" i="6"/>
  <c r="H16" i="7"/>
  <c r="M74" i="9" a="1"/>
  <c r="M74" i="9" s="1"/>
  <c r="G51" i="9" a="1"/>
  <c r="G51" i="9" s="1"/>
  <c r="G68" i="9" a="1"/>
  <c r="G68" i="9" s="1"/>
  <c r="H51" i="9" a="1"/>
  <c r="H51" i="9" s="1"/>
  <c r="G56" i="9" a="1"/>
  <c r="G56" i="9" s="1"/>
  <c r="H50" i="9" a="1"/>
  <c r="H50" i="9" s="1"/>
  <c r="G59" i="9" a="1"/>
  <c r="G59" i="9" s="1"/>
  <c r="AC33" i="9"/>
  <c r="G69" i="9" a="1"/>
  <c r="G69" i="9" s="1"/>
  <c r="N79" i="9"/>
  <c r="D2" i="2"/>
  <c r="H81" i="1" l="1"/>
  <c r="H94" i="1"/>
  <c r="H86" i="1"/>
  <c r="H99" i="1"/>
  <c r="H79" i="1"/>
  <c r="H111" i="1"/>
  <c r="H114" i="1"/>
  <c r="H91" i="1"/>
  <c r="H112" i="1"/>
  <c r="H116" i="1"/>
  <c r="AD34" i="9"/>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83" i="17"/>
  <c r="F283"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C21" i="9" l="1"/>
  <c r="E16" i="19"/>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<sst xmlns="http://schemas.openxmlformats.org/spreadsheetml/2006/main" count="1691" uniqueCount="395">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</sst>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3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39930553" createdVersion="8" refreshedVersion="8" minRefreshableVersion="3" recordCount="117" xr:uid="{46CBB50D-3613-4E5B-8212-DD0313DCD05A}">
  <cacheSource type="worksheet">
    <worksheetSource name="Table1"/>
  </cacheSource>
  <cacheFields count="14">
    <cacheField name="Date" numFmtId="0">
      <sharedItems containsNonDate="0" containsDate="1" containsString="0" containsBlank="1" minDate="2025-11-18T00:00:00" maxDate="2026-01-03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MixedTypes="1" containsNumber="1" containsInteger="1" minValue="1256" maxValue="1313"/>
    </cacheField>
    <cacheField name="Quality" numFmtId="0">
      <sharedItems containsBlank="1"/>
    </cacheField>
    <cacheField name="Shipment Number" numFmtId="164">
      <sharedItems containsBlank="1" containsMixedTypes="1" containsNumber="1" containsInteger="1" minValue="1558" maxValue="17000" count="352">
        <m/>
        <n v="1971"/>
        <n v="1951"/>
        <n v="1934"/>
        <n v="1924"/>
        <n v="1835"/>
        <n v="1628"/>
        <n v="1958"/>
        <n v="1987"/>
        <n v="1974"/>
        <n v="1972"/>
        <n v="1982"/>
        <n v="1986"/>
        <n v="1981"/>
        <n v="1954"/>
        <n v="1948"/>
        <n v="1947"/>
        <n v="1985"/>
        <n v="1983"/>
        <n v="1984"/>
        <s v="1997+1988"/>
        <n v="1993"/>
        <n v="1775"/>
        <n v="1941"/>
        <n v="2000"/>
        <n v="1995"/>
        <n v="1992"/>
        <n v="1718"/>
        <n v="1990"/>
        <n v="1989"/>
        <n v="2001"/>
        <s v="1923+1792"/>
        <n v="200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90.266344791626508"/>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509261"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740738" createdVersion="8" refreshedVersion="8" minRefreshableVersion="3" recordCount="58" xr:uid="{3E5C2981-ACF5-44A9-8567-B1D65DB3A8D2}">
  <cacheSource type="worksheet">
    <worksheetSource name="Table3"/>
  </cacheSource>
  <cacheFields count="9">
    <cacheField name="Date" numFmtId="14">
      <sharedItems containsNonDate="0" containsDate="1" containsString="0" containsBlank="1" minDate="2025-05-02T00:00:00" maxDate="2025-12-31T00:00:00" count="149">
        <d v="2025-12-17T00:00:00"/>
        <d v="2025-12-18T00:00:00"/>
        <d v="2025-12-19T00:00:00"/>
        <d v="2025-12-20T00:00:00"/>
        <d v="2025-12-22T00:00:00"/>
        <d v="2025-12-21T00:00:00"/>
        <d v="2025-12-23T00:00:00"/>
        <d v="2025-12-24T00:00:00"/>
        <d v="2025-12-25T00:00:00"/>
        <m/>
        <d v="2025-12-26T00:00:00"/>
        <d v="2025-12-27T00:00:00"/>
        <d v="2025-12-29T00:00:00"/>
        <d v="2025-12-28T00:00:00"/>
        <d v="2025-12-30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972223" createdVersion="8" refreshedVersion="8" minRefreshableVersion="3" recordCount="11" xr:uid="{AC867DCC-CE64-4D1A-827D-F1F3EE10EE4E}">
  <cacheSource type="worksheet">
    <worksheetSource name="Table8"/>
  </cacheSource>
  <cacheFields count="9">
    <cacheField name="Date" numFmtId="0">
      <sharedItems containsSemiMixedTypes="0" containsNonDate="0" containsDate="1" containsString="0" minDate="2025-05-16T00:00:00" maxDate="2026-01-03T00:00:00" count="58">
        <d v="2025-12-17T00:00:00"/>
        <d v="2025-12-18T00:00:00"/>
        <d v="2025-12-22T00:00:00"/>
        <d v="2025-12-26T00:00:00"/>
        <d v="2025-12-25T00:00:00"/>
        <d v="2025-12-27T00:00:00"/>
        <d v="2025-12-29T00:00:00"/>
        <d v="2026-01-02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120370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48556.03730797369"/>
    </cacheField>
    <cacheField name="Rate" numFmtId="0">
      <sharedItems containsString="0" containsBlank="1" containsNumber="1" minValue="10" maxValue="12"/>
    </cacheField>
    <cacheField name="Total" numFmtId="164">
      <sharedItems containsSemiMixedTypes="0" containsString="0" containsNumber="1" minValue="0" maxValue="2057278.712509144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1435185" createdVersion="8" refreshedVersion="8" minRefreshableVersion="3" recordCount="261" xr:uid="{B5BDFB73-D93A-4A7A-8149-666BC190B09B}">
  <cacheSource type="worksheet">
    <worksheetSource name="Table14"/>
  </cacheSource>
  <cacheFields count="7">
    <cacheField name="Date" numFmtId="14">
      <sharedItems containsSemiMixedTypes="0" containsNonDate="0" containsDate="1" containsString="0" minDate="2025-12-17T00:00:00" maxDate="2026-01-1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61388"/>
    <n v="8547"/>
    <n v="31.395333096370138"/>
    <n v="7815.471836137528"/>
    <n v="78154.718361375286"/>
    <m/>
  </r>
  <r>
    <d v="2025-12-30T00:00:00"/>
    <x v="3"/>
    <n v="1308"/>
    <s v="Chamki"/>
    <x v="30"/>
    <n v="8245"/>
    <n v="8850"/>
    <n v="1.8491400210186981"/>
    <n v="8092.5384052670088"/>
    <n v="84971.653255303594"/>
    <m/>
  </r>
  <r>
    <d v="2026-01-01T00:00:00"/>
    <x v="0"/>
    <n v="1309"/>
    <s v="Chamki"/>
    <x v="28"/>
    <n v="45681"/>
    <n v="14728"/>
    <n v="0.27372001379688982"/>
    <m/>
    <m/>
    <m/>
  </r>
  <r>
    <d v="2026-01-01T00:00:00"/>
    <x v="11"/>
    <n v="1310"/>
    <s v="Chamki"/>
    <x v="31"/>
    <n v="17616"/>
    <n v="18976"/>
    <n v="1.4994016877653848"/>
    <m/>
    <m/>
    <m/>
  </r>
  <r>
    <d v="2026-01-02T00:00:00"/>
    <x v="0"/>
    <n v="1311"/>
    <s v="Chamki"/>
    <x v="29"/>
    <n v="61388"/>
    <n v="37510"/>
    <n v="31.395333096370138"/>
    <m/>
    <m/>
    <m/>
  </r>
  <r>
    <d v="2026-01-02T00:00:00"/>
    <x v="19"/>
    <n v="1312"/>
    <s v="Chamki"/>
    <x v="32"/>
    <n v="12579"/>
    <n v="13390"/>
    <n v="90.266344791626508"/>
    <m/>
    <m/>
    <m/>
  </r>
  <r>
    <m/>
    <x v="26"/>
    <n v="1313"/>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48556.03730797369"/>
    <n v="10"/>
    <n v="2057278.7125091443"/>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25616.31309436724"/>
    <m/>
    <n v="791980.614484272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
  <r>
    <d v="2025-12-17T00:00:00"/>
    <x v="0"/>
    <m/>
    <n v="74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2T00:00:00"/>
    <x v="34"/>
    <m/>
    <m/>
    <m/>
    <m/>
    <m/>
  </r>
  <r>
    <d v="2026-01-02T00:00:00"/>
    <x v="34"/>
    <m/>
    <m/>
    <m/>
    <m/>
    <m/>
  </r>
  <r>
    <d v="2026-01-02T00:00:00"/>
    <x v="34"/>
    <m/>
    <m/>
    <m/>
    <m/>
    <m/>
  </r>
  <r>
    <d v="2026-01-02T00:00:00"/>
    <x v="34"/>
    <m/>
    <m/>
    <m/>
    <m/>
    <m/>
  </r>
  <r>
    <d v="2026-01-02T00:00:00"/>
    <x v="34"/>
    <m/>
    <m/>
    <m/>
    <m/>
    <m/>
  </r>
  <r>
    <d v="2026-01-02T00:00:00"/>
    <x v="3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0" firstHeaderRow="0" firstDataRow="1" firstDataCol="1" rowPageCount="1" colPageCount="1"/>
  <pivotFields count="9">
    <pivotField axis="axisRow" numFmtId="14" showAll="0">
      <items count="150">
        <item m="1" x="133"/>
        <item m="1" x="134"/>
        <item m="1" x="135"/>
        <item m="1" x="136"/>
        <item m="1" x="137"/>
        <item m="1" x="138"/>
        <item m="1" x="139"/>
        <item m="1" x="148"/>
        <item m="1" x="129"/>
        <item m="1" x="140"/>
        <item m="1" x="141"/>
        <item m="1" x="142"/>
        <item m="1" x="143"/>
        <item m="1" x="144"/>
        <item m="1" x="145"/>
        <item m="1" x="146"/>
        <item m="1" x="100"/>
        <item m="1" x="101"/>
        <item m="1" x="147"/>
        <item m="1" x="102"/>
        <item m="1" x="99"/>
        <item m="1" x="103"/>
        <item m="1" x="105"/>
        <item m="1" x="106"/>
        <item m="1" x="107"/>
        <item m="1" x="109"/>
        <item m="1" x="110"/>
        <item m="1" x="111"/>
        <item m="1" x="104"/>
        <item m="1" x="108"/>
        <item m="1" x="112"/>
        <item m="1" x="113"/>
        <item m="1" x="114"/>
        <item m="1" x="115"/>
        <item m="1" x="98"/>
        <item m="1" x="116"/>
        <item m="1" x="130"/>
        <item m="1" x="131"/>
        <item m="1" x="132"/>
        <item m="1" x="117"/>
        <item m="1" x="118"/>
        <item m="1" x="119"/>
        <item m="1" x="120"/>
        <item m="1" x="121"/>
        <item m="1" x="122"/>
        <item m="1" x="123"/>
        <item m="1" x="124"/>
        <item m="1" x="125"/>
        <item m="1" x="126"/>
        <item m="1" x="127"/>
        <item m="1" x="128"/>
        <item m="1" x="69"/>
        <item m="1" x="70"/>
        <item m="1" x="71"/>
        <item m="1" x="72"/>
        <item m="1" x="73"/>
        <item m="1" x="74"/>
        <item m="1" x="75"/>
        <item m="1" x="76"/>
        <item m="1" x="78"/>
        <item m="1" x="79"/>
        <item m="1" x="80"/>
        <item m="1" x="77"/>
        <item m="1" x="81"/>
        <item m="1" x="82"/>
        <item m="1" x="83"/>
        <item m="1" x="84"/>
        <item m="1" x="85"/>
        <item m="1" x="86"/>
        <item m="1" x="87"/>
        <item m="1" x="88"/>
        <item m="1" x="89"/>
        <item m="1" x="90"/>
        <item m="1" x="91"/>
        <item m="1" x="92"/>
        <item m="1" x="93"/>
        <item m="1" x="94"/>
        <item m="1" x="95"/>
        <item m="1" x="96"/>
        <item m="1" x="97"/>
        <item m="1" x="15"/>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16"/>
        <item m="1" x="19"/>
        <item m="1" x="17"/>
        <item m="1" x="18"/>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x="0"/>
        <item x="1"/>
        <item x="2"/>
        <item x="3"/>
        <item x="4"/>
        <item x="5"/>
        <item x="6"/>
        <item x="7"/>
        <item x="9"/>
        <item x="8"/>
        <item x="10"/>
        <item x="11"/>
        <item x="12"/>
        <item x="13"/>
        <item x="14"/>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2">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79">
        <item x="15"/>
        <item x="19"/>
        <item m="1" x="37"/>
        <item m="1" x="64"/>
        <item m="1" x="68"/>
        <item m="1" x="38"/>
        <item x="5"/>
        <item x="16"/>
        <item x="9"/>
        <item x="26"/>
        <item x="4"/>
        <item m="1" x="76"/>
        <item x="29"/>
        <item x="17"/>
        <item x="24"/>
        <item m="1" x="74"/>
        <item x="2"/>
        <item x="31"/>
        <item x="1"/>
        <item x="28"/>
        <item x="34"/>
        <item x="22"/>
        <item m="1" x="77"/>
        <item x="30"/>
        <item x="8"/>
        <item m="1" x="75"/>
        <item m="1" x="67"/>
        <item m="1" x="46"/>
        <item m="1" x="69"/>
        <item m="1" x="70"/>
        <item m="1" x="71"/>
        <item m="1" x="72"/>
        <item m="1" x="49"/>
        <item m="1" x="73"/>
        <item x="32"/>
        <item x="12"/>
        <item m="1" x="56"/>
        <item x="14"/>
        <item m="1" x="63"/>
        <item m="1" x="59"/>
        <item x="23"/>
        <item x="13"/>
        <item m="1" x="45"/>
        <item m="1" x="65"/>
        <item x="6"/>
        <item m="1" x="66"/>
        <item m="1" x="53"/>
        <item m="1" x="42"/>
        <item x="7"/>
        <item m="1" x="54"/>
        <item m="1" x="55"/>
        <item m="1" x="57"/>
        <item m="1" x="58"/>
        <item m="1" x="60"/>
        <item x="33"/>
        <item m="1" x="39"/>
        <item m="1" x="61"/>
        <item m="1" x="62"/>
        <item m="1" x="36"/>
        <item m="1" x="41"/>
        <item m="1" x="35"/>
        <item x="18"/>
        <item m="1" x="40"/>
        <item m="1" x="43"/>
        <item m="1" x="52"/>
        <item x="3"/>
        <item m="1" x="47"/>
        <item m="1" x="48"/>
        <item x="21"/>
        <item m="1" x="44"/>
        <item x="10"/>
        <item m="1" x="50"/>
        <item x="11"/>
        <item m="1" x="51"/>
        <item x="0"/>
        <item x="20"/>
        <item x="25"/>
        <item x="27"/>
        <item t="default"/>
      </items>
    </pivotField>
    <pivotField dataField="1" showAll="0"/>
    <pivotField dataField="1" showAll="0"/>
    <pivotField showAll="0"/>
    <pivotField showAll="0"/>
    <pivotField showAll="0"/>
  </pivotFields>
  <rowFields count="1">
    <field x="1"/>
  </rowFields>
  <rowItems count="36">
    <i>
      <x/>
    </i>
    <i>
      <x v="1"/>
    </i>
    <i>
      <x v="6"/>
    </i>
    <i>
      <x v="7"/>
    </i>
    <i>
      <x v="8"/>
    </i>
    <i>
      <x v="9"/>
    </i>
    <i>
      <x v="10"/>
    </i>
    <i>
      <x v="12"/>
    </i>
    <i>
      <x v="13"/>
    </i>
    <i>
      <x v="14"/>
    </i>
    <i>
      <x v="16"/>
    </i>
    <i>
      <x v="17"/>
    </i>
    <i>
      <x v="18"/>
    </i>
    <i>
      <x v="19"/>
    </i>
    <i>
      <x v="20"/>
    </i>
    <i>
      <x v="21"/>
    </i>
    <i>
      <x v="23"/>
    </i>
    <i>
      <x v="24"/>
    </i>
    <i>
      <x v="34"/>
    </i>
    <i>
      <x v="35"/>
    </i>
    <i>
      <x v="37"/>
    </i>
    <i>
      <x v="40"/>
    </i>
    <i>
      <x v="41"/>
    </i>
    <i>
      <x v="44"/>
    </i>
    <i>
      <x v="48"/>
    </i>
    <i>
      <x v="54"/>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59">
        <item m="1" x="53"/>
        <item m="1" x="54"/>
        <item m="1" x="55"/>
        <item m="1" x="56"/>
        <item m="1" x="57"/>
        <item m="1" x="52"/>
        <item m="1" x="40"/>
        <item m="1" x="41"/>
        <item m="1" x="45"/>
        <item m="1" x="46"/>
        <item m="1" x="42"/>
        <item m="1" x="47"/>
        <item m="1" x="48"/>
        <item m="1" x="49"/>
        <item m="1" x="50"/>
        <item m="1" x="51"/>
        <item m="1" x="39"/>
        <item m="1" x="43"/>
        <item m="1" x="44"/>
        <item m="1" x="32"/>
        <item m="1" x="33"/>
        <item m="1" x="34"/>
        <item m="1" x="35"/>
        <item m="1" x="36"/>
        <item m="1" x="37"/>
        <item m="1" x="38"/>
        <item m="1" x="8"/>
        <item m="1" x="24"/>
        <item m="1" x="25"/>
        <item m="1" x="26"/>
        <item m="1" x="27"/>
        <item m="1" x="28"/>
        <item m="1" x="29"/>
        <item m="1" x="30"/>
        <item m="1" x="31"/>
        <item m="1" x="9"/>
        <item m="1" x="10"/>
        <item m="1" x="11"/>
        <item m="1" x="12"/>
        <item m="1" x="13"/>
        <item m="1" x="14"/>
        <item m="1" x="15"/>
        <item m="1" x="17"/>
        <item m="1" x="18"/>
        <item m="1" x="16"/>
        <item m="1" x="19"/>
        <item m="1" x="20"/>
        <item m="1" x="21"/>
        <item m="1" x="22"/>
        <item m="1" x="23"/>
        <item x="0"/>
        <item x="1"/>
        <item x="2"/>
        <item x="3"/>
        <item x="4"/>
        <item x="5"/>
        <item x="6"/>
        <item x="7"/>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9">
    <i>
      <x v="50"/>
    </i>
    <i>
      <x v="51"/>
    </i>
    <i>
      <x v="52"/>
    </i>
    <i>
      <x v="53"/>
    </i>
    <i>
      <x v="54"/>
    </i>
    <i>
      <x v="55"/>
    </i>
    <i>
      <x v="56"/>
    </i>
    <i>
      <x v="5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3">
        <item m="1" x="335"/>
        <item m="1" x="336"/>
        <item m="1" x="334"/>
        <item m="1" x="333"/>
        <item m="1" x="337"/>
        <item m="1" x="339"/>
        <item m="1" x="338"/>
        <item m="1" x="340"/>
        <item m="1" x="341"/>
        <item m="1" x="342"/>
        <item m="1" x="343"/>
        <item m="1" x="344"/>
        <item m="1" x="345"/>
        <item m="1" x="346"/>
        <item m="1" x="271"/>
        <item m="1" x="293"/>
        <item m="1" x="347"/>
        <item m="1" x="348"/>
        <item m="1" x="349"/>
        <item m="1" x="301"/>
        <item m="1" x="300"/>
        <item m="1" x="350"/>
        <item m="1" x="351"/>
        <item m="1" x="310"/>
        <item m="1" x="302"/>
        <item m="1" x="303"/>
        <item m="1" x="304"/>
        <item m="1" x="305"/>
        <item m="1" x="306"/>
        <item m="1" x="307"/>
        <item m="1" x="308"/>
        <item m="1" x="309"/>
        <item m="1" x="311"/>
        <item m="1" x="331"/>
        <item m="1" x="312"/>
        <item m="1" x="332"/>
        <item m="1" x="313"/>
        <item m="1" x="314"/>
        <item m="1" x="315"/>
        <item m="1" x="316"/>
        <item m="1" x="317"/>
        <item m="1" x="248"/>
        <item m="1" x="318"/>
        <item m="1" x="319"/>
        <item m="1" x="320"/>
        <item m="1" x="321"/>
        <item m="1" x="322"/>
        <item m="1" x="323"/>
        <item m="1" x="324"/>
        <item m="1" x="325"/>
        <item m="1" x="326"/>
        <item m="1" x="327"/>
        <item m="1" x="328"/>
        <item m="1" x="329"/>
        <item m="1" x="330"/>
        <item x="0"/>
        <item m="1" x="247"/>
        <item m="1" x="249"/>
        <item m="1" x="250"/>
        <item m="1" x="251"/>
        <item m="1" x="252"/>
        <item m="1" x="253"/>
        <item m="1" x="254"/>
        <item m="1" x="255"/>
        <item m="1" x="256"/>
        <item m="1" x="257"/>
        <item m="1" x="258"/>
        <item m="1" x="259"/>
        <item m="1" x="260"/>
        <item m="1" x="261"/>
        <item x="6"/>
        <item m="1" x="262"/>
        <item m="1" x="263"/>
        <item m="1" x="264"/>
        <item m="1" x="265"/>
        <item m="1" x="266"/>
        <item m="1" x="267"/>
        <item m="1" x="268"/>
        <item m="1" x="269"/>
        <item m="1" x="270"/>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4"/>
        <item m="1" x="295"/>
        <item m="1" x="296"/>
        <item m="1" x="297"/>
        <item m="1" x="298"/>
        <item m="1" x="299"/>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x="24"/>
        <item m="1" x="216"/>
        <item m="1" x="217"/>
        <item m="1" x="218"/>
        <item m="1" x="219"/>
        <item m="1" x="220"/>
        <item m="1" x="221"/>
        <item m="1" x="222"/>
        <item m="1" x="223"/>
        <item m="1" x="224"/>
        <item m="1" x="225"/>
        <item m="1" x="226"/>
        <item m="1" x="246"/>
        <item m="1" x="227"/>
        <item m="1" x="228"/>
        <item m="1" x="229"/>
        <item m="1" x="230"/>
        <item m="1" x="231"/>
        <item m="1" x="232"/>
        <item m="1" x="233"/>
        <item m="1" x="234"/>
        <item m="1" x="235"/>
        <item m="1" x="236"/>
        <item m="1" x="237"/>
        <item m="1" x="238"/>
        <item m="1" x="239"/>
        <item m="1" x="240"/>
        <item m="1" x="241"/>
        <item m="1" x="242"/>
        <item m="1" x="243"/>
        <item m="1" x="244"/>
        <item m="1" x="245"/>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42"/>
        <item m="1" x="165"/>
        <item m="1" x="33"/>
        <item m="1" x="34"/>
        <item m="1" x="35"/>
        <item m="1" x="36"/>
        <item m="1" x="37"/>
        <item m="1" x="38"/>
        <item m="1" x="39"/>
        <item m="1" x="40"/>
        <item m="1" x="41"/>
        <item m="1" x="43"/>
        <item m="1" x="44"/>
        <item m="1" x="45"/>
        <item m="1" x="46"/>
        <item m="1" x="47"/>
        <item m="1" x="48"/>
        <item m="1" x="49"/>
        <item m="1" x="50"/>
        <item m="1" x="51"/>
        <item m="1" x="52"/>
        <item m="1" x="53"/>
        <item m="1" x="54"/>
        <item m="1" x="55"/>
        <item m="1" x="56"/>
        <item x="3"/>
        <item m="1" x="57"/>
        <item m="1" x="58"/>
        <item m="1" x="59"/>
        <item m="1" x="60"/>
        <item m="1" x="61"/>
        <item m="1" x="62"/>
        <item m="1" x="63"/>
        <item m="1" x="64"/>
        <item m="1" x="65"/>
        <item m="1" x="66"/>
        <item m="1" x="67"/>
        <item m="1" x="68"/>
        <item m="1" x="69"/>
        <item m="1" x="70"/>
        <item m="1" x="71"/>
        <item m="1" x="72"/>
        <item m="1" x="73"/>
        <item m="1" x="74"/>
        <item m="1" x="75"/>
        <item m="1" x="76"/>
        <item m="1" x="77"/>
        <item m="1" x="78"/>
        <item x="7"/>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x="4"/>
        <item m="1" x="108"/>
        <item m="1" x="109"/>
        <item x="1"/>
        <item x="10"/>
        <item x="2"/>
        <item x="5"/>
        <item x="8"/>
        <item x="9"/>
        <item x="11"/>
        <item x="12"/>
        <item x="13"/>
        <item x="14"/>
        <item x="15"/>
        <item x="16"/>
        <item x="17"/>
        <item x="18"/>
        <item x="19"/>
        <item x="21"/>
        <item x="20"/>
        <item x="22"/>
        <item x="23"/>
        <item x="25"/>
        <item x="26"/>
        <item x="27"/>
        <item x="28"/>
        <item x="29"/>
        <item x="30"/>
        <item x="31"/>
        <item x="3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6">
      <pivotArea type="all" dataOnly="0" outline="0" fieldPosition="0"/>
    </format>
    <format dxfId="35">
      <pivotArea outline="0" collapsedLevelsAreSubtotals="1"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outline="0" fieldPosition="0">
        <references count="1">
          <reference field="4294967294" count="2">
            <x v="0"/>
            <x v="1"/>
          </reference>
        </references>
      </pivotArea>
    </format>
    <format dxfId="30">
      <pivotArea grandRow="1" outline="0" collapsedLevelsAreSubtotals="1" fieldPosition="0"/>
    </format>
    <format dxfId="29">
      <pivotArea field="4" type="button" dataOnly="0" labelOnly="1" outline="0" axis="axisRow" fieldPosition="0"/>
    </format>
    <format dxfId="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2">
        <i x="6" s="1"/>
        <i x="27" s="1"/>
        <i x="22" s="1"/>
        <i x="5" s="1"/>
        <i x="4" s="1"/>
        <i x="3" s="1"/>
        <i x="23" s="1"/>
        <i x="16" s="1"/>
        <i x="15" s="1"/>
        <i x="2" s="1"/>
        <i x="14" s="1"/>
        <i x="7" s="1"/>
        <i x="1" s="1"/>
        <i x="10" s="1"/>
        <i x="9" s="1"/>
        <i x="13" s="1"/>
        <i x="11" s="1"/>
        <i x="18" s="1"/>
        <i x="19" s="1"/>
        <i x="17" s="1"/>
        <i x="12" s="1"/>
        <i x="8" s="1"/>
        <i x="29" s="1"/>
        <i x="28" s="1"/>
        <i x="26" s="1"/>
        <i x="21" s="1"/>
        <i x="25" s="1"/>
        <i x="24" s="1"/>
        <i x="30" s="1"/>
        <i x="32" s="1"/>
        <i x="31" s="1"/>
        <i x="20" s="1"/>
        <i x="306" s="1" nd="1"/>
        <i x="335" s="1" nd="1"/>
        <i x="336" s="1" nd="1"/>
        <i x="344" s="1" nd="1"/>
        <i x="334" s="1" nd="1"/>
        <i x="333" s="1" nd="1"/>
        <i x="337" s="1" nd="1"/>
        <i x="348" s="1" nd="1"/>
        <i x="340" s="1" nd="1"/>
        <i x="341" s="1" nd="1"/>
        <i x="338" s="1" nd="1"/>
        <i x="339" s="1" nd="1"/>
        <i x="349" s="1" nd="1"/>
        <i x="342" s="1" nd="1"/>
        <i x="343" s="1" nd="1"/>
        <i x="346" s="1" nd="1"/>
        <i x="347" s="1" nd="1"/>
        <i x="345" s="1" nd="1"/>
        <i x="301" s="1" nd="1"/>
        <i x="351" s="1" nd="1"/>
        <i x="300" s="1" nd="1"/>
        <i x="350" s="1" nd="1"/>
        <i x="303" s="1" nd="1"/>
        <i x="264" s="1" nd="1"/>
        <i x="302" s="1" nd="1"/>
        <i x="304" s="1" nd="1"/>
        <i x="310" s="1" nd="1"/>
        <i x="305" s="1" nd="1"/>
        <i x="307" s="1" nd="1"/>
        <i x="323" s="1" nd="1"/>
        <i x="247" s="1" nd="1"/>
        <i x="311" s="1" nd="1"/>
        <i x="252" s="1" nd="1"/>
        <i x="317" s="1" nd="1"/>
        <i x="312" s="1" nd="1"/>
        <i x="315" s="1" nd="1"/>
        <i x="320" s="1" nd="1"/>
        <i x="331" s="1" nd="1"/>
        <i x="313" s="1" nd="1"/>
        <i x="325" s="1" nd="1"/>
        <i x="328" s="1" nd="1"/>
        <i x="319" s="1" nd="1"/>
        <i x="308" s="1" nd="1"/>
        <i x="316" s="1" nd="1"/>
        <i x="309" s="1" nd="1"/>
        <i x="314" s="1" nd="1"/>
        <i x="248" s="1" nd="1"/>
        <i x="318" s="1" nd="1"/>
        <i x="324" s="1" nd="1"/>
        <i x="321" s="1" nd="1"/>
        <i x="326" s="1" nd="1"/>
        <i x="322" s="1" nd="1"/>
        <i x="288" s="1" nd="1"/>
        <i x="327" s="1" nd="1"/>
        <i x="329" s="1" nd="1"/>
        <i x="250" s="1" nd="1"/>
        <i x="257" s="1" nd="1"/>
        <i x="330" s="1" nd="1"/>
        <i x="254" s="1" nd="1"/>
        <i x="255" s="1" nd="1"/>
        <i x="249" s="1" nd="1"/>
        <i x="253" s="1" nd="1"/>
        <i x="141" s="1" nd="1"/>
        <i x="251" s="1" nd="1"/>
        <i x="260" s="1" nd="1"/>
        <i x="256" s="1" nd="1"/>
        <i x="258" s="1" nd="1"/>
        <i x="261" s="1" nd="1"/>
        <i x="268" s="1" nd="1"/>
        <i x="259" s="1" nd="1"/>
        <i x="267" s="1" nd="1"/>
        <i x="272" s="1" nd="1"/>
        <i x="266" s="1" nd="1"/>
        <i x="269" s="1" nd="1"/>
        <i x="279" s="1" nd="1"/>
        <i x="265" s="1" nd="1"/>
        <i x="262" s="1" nd="1"/>
        <i x="263" s="1" nd="1"/>
        <i x="278" s="1" nd="1"/>
        <i x="137" s="1" nd="1"/>
        <i x="271" s="1" nd="1"/>
        <i x="282" s="1" nd="1"/>
        <i x="277" s="1" nd="1"/>
        <i x="270" s="1" nd="1"/>
        <i x="294" s="1" nd="1"/>
        <i x="275" s="1" nd="1"/>
        <i x="285" s="1" nd="1"/>
        <i x="283" s="1" nd="1"/>
        <i x="273" s="1" nd="1"/>
        <i x="281" s="1" nd="1"/>
        <i x="280" s="1" nd="1"/>
        <i x="276" s="1" nd="1"/>
        <i x="286" s="1" nd="1"/>
        <i x="284" s="1" nd="1"/>
        <i x="287" s="1" nd="1"/>
        <i x="274" s="1" nd="1"/>
        <i x="216" s="1" nd="1"/>
        <i x="289" s="1" nd="1"/>
        <i x="290" s="1" nd="1"/>
        <i x="175" s="1" nd="1"/>
        <i x="177" s="1" nd="1"/>
        <i x="297" s="1" nd="1"/>
        <i x="171" s="1" nd="1"/>
        <i x="217" s="1" nd="1"/>
        <i x="291" s="1" nd="1"/>
        <i x="292" s="1" nd="1"/>
        <i x="174" s="1" nd="1"/>
        <i x="299" s="1" nd="1"/>
        <i x="173" s="1" nd="1"/>
        <i x="188" s="1" nd="1"/>
        <i x="298" s="1" nd="1"/>
        <i x="293" s="1" nd="1"/>
        <i x="192" s="1" nd="1"/>
        <i x="296" s="1" nd="1"/>
        <i x="295" s="1" nd="1"/>
        <i x="213" s="1" nd="1"/>
        <i x="166" s="1" nd="1"/>
        <i x="178" s="1" nd="1"/>
        <i x="214" s="1" nd="1"/>
        <i x="212" s="1" nd="1"/>
        <i x="170" s="1" nd="1"/>
        <i x="172" s="1" nd="1"/>
        <i x="176" s="1" nd="1"/>
        <i x="167" s="1" nd="1"/>
        <i x="202" s="1" nd="1"/>
        <i x="207" s="1" nd="1"/>
        <i x="168" s="1" nd="1"/>
        <i x="169" s="1" nd="1"/>
        <i x="179" s="1" nd="1"/>
        <i x="182" s="1" nd="1"/>
        <i x="189" s="1" nd="1"/>
        <i x="181" s="1" nd="1"/>
        <i x="184" s="1" nd="1"/>
        <i x="183" s="1" nd="1"/>
        <i x="225" s="1" nd="1"/>
        <i x="180" s="1" nd="1"/>
        <i x="205" s="1" nd="1"/>
        <i x="220" s="1" nd="1"/>
        <i x="185" s="1" nd="1"/>
        <i x="210" s="1" nd="1"/>
        <i x="222" s="1" nd="1"/>
        <i x="194" s="1" nd="1"/>
        <i x="234" s="1" nd="1"/>
        <i x="193" s="1" nd="1"/>
        <i x="190" s="1" nd="1"/>
        <i x="186" s="1" nd="1"/>
        <i x="187" s="1" nd="1"/>
        <i x="206" s="1" nd="1"/>
        <i x="195" s="1" nd="1"/>
        <i x="118" s="1" nd="1"/>
        <i x="196" s="1" nd="1"/>
        <i x="191" s="1" nd="1"/>
        <i x="198" s="1" nd="1"/>
        <i x="199" s="1" nd="1"/>
        <i x="227" s="1" nd="1"/>
        <i x="197" s="1" nd="1"/>
        <i x="215" s="1" nd="1"/>
        <i x="203" s="1" nd="1"/>
        <i x="200" s="1" nd="1"/>
        <i x="204" s="1" nd="1"/>
        <i x="201" s="1" nd="1"/>
        <i x="208" s="1" nd="1"/>
        <i x="226" s="1" nd="1"/>
        <i x="221" s="1" nd="1"/>
        <i x="240" s="1" nd="1"/>
        <i x="209" s="1" nd="1"/>
        <i x="111" s="1" nd="1"/>
        <i x="219" s="1" nd="1"/>
        <i x="211" s="1" nd="1"/>
        <i x="235" s="1" nd="1"/>
        <i x="218" s="1" nd="1"/>
        <i x="233" s="1" nd="1"/>
        <i x="119" s="1" nd="1"/>
        <i x="224" s="1" nd="1"/>
        <i x="223" s="1" nd="1"/>
        <i x="239" s="1" nd="1"/>
        <i x="236" s="1" nd="1"/>
        <i x="130" s="1" nd="1"/>
        <i x="244" s="1" nd="1"/>
        <i x="228" s="1" nd="1"/>
        <i x="237" s="1" nd="1"/>
        <i x="242" s="1" nd="1"/>
        <i x="121" s="1" nd="1"/>
        <i x="147" s="1" nd="1"/>
        <i x="246" s="1" nd="1"/>
        <i x="243" s="1" nd="1"/>
        <i x="112" s="1" nd="1"/>
        <i x="132" s="1" nd="1"/>
        <i x="238" s="1" nd="1"/>
        <i x="114" s="1" nd="1"/>
        <i x="229" s="1" nd="1"/>
        <i x="232" s="1" nd="1"/>
        <i x="129" s="1" nd="1"/>
        <i x="241" s="1" nd="1"/>
        <i x="230" s="1" nd="1"/>
        <i x="231" s="1" nd="1"/>
        <i x="116" s="1" nd="1"/>
        <i x="134" s="1" nd="1"/>
        <i x="135" s="1" nd="1"/>
        <i x="148" s="1" nd="1"/>
        <i x="245" s="1" nd="1"/>
        <i x="110" s="1" nd="1"/>
        <i x="133" s="1" nd="1"/>
        <i x="126" s="1" nd="1"/>
        <i x="113" s="1" nd="1"/>
        <i x="117" s="1" nd="1"/>
        <i x="123" s="1" nd="1"/>
        <i x="115" s="1" nd="1"/>
        <i x="139" s="1" nd="1"/>
        <i x="143" s="1" nd="1"/>
        <i x="144" s="1" nd="1"/>
        <i x="136" s="1" nd="1"/>
        <i x="120" s="1" nd="1"/>
        <i x="122" s="1" nd="1"/>
        <i x="124" s="1" nd="1"/>
        <i x="127" s="1" nd="1"/>
        <i x="140" s="1" nd="1"/>
        <i x="125" s="1" nd="1"/>
        <i x="146" s="1" nd="1"/>
        <i x="78" s="1" nd="1"/>
        <i x="57" s="1" nd="1"/>
        <i x="161" s="1" nd="1"/>
        <i x="128" s="1" nd="1"/>
        <i x="149" s="1" nd="1"/>
        <i x="145" s="1" nd="1"/>
        <i x="131" s="1" nd="1"/>
        <i x="153" s="1" nd="1"/>
        <i x="89" s="1" nd="1"/>
        <i x="52" s="1" nd="1"/>
        <i x="138" s="1" nd="1"/>
        <i x="162" s="1" nd="1"/>
        <i x="142" s="1" nd="1"/>
        <i x="165" s="1" nd="1"/>
        <i x="152" s="1" nd="1"/>
        <i x="157" s="1" nd="1"/>
        <i x="34" s="1" nd="1"/>
        <i x="154" s="1" nd="1"/>
        <i x="156" s="1" nd="1"/>
        <i x="74" s="1" nd="1"/>
        <i x="42" s="1" nd="1"/>
        <i x="151" s="1" nd="1"/>
        <i x="39" s="1" nd="1"/>
        <i x="150" s="1" nd="1"/>
        <i x="51" s="1" nd="1"/>
        <i x="35" s="1" nd="1"/>
        <i x="33" s="1" nd="1"/>
        <i x="155" s="1" nd="1"/>
        <i x="49" s="1" nd="1"/>
        <i x="43" s="1" nd="1"/>
        <i x="54" s="1" nd="1"/>
        <i x="71" s="1" nd="1"/>
        <i x="48" s="1" nd="1"/>
        <i x="59" s="1" nd="1"/>
        <i x="53" s="1" nd="1"/>
        <i x="50" s="1" nd="1"/>
        <i x="163" s="1" nd="1"/>
        <i x="107" s="1" nd="1"/>
        <i x="61" s="1" nd="1"/>
        <i x="62" s="1" nd="1"/>
        <i x="159" s="1" nd="1"/>
        <i x="158" s="1" nd="1"/>
        <i x="36" s="1" nd="1"/>
        <i x="38" s="1" nd="1"/>
        <i x="69" s="1" nd="1"/>
        <i x="45" s="1" nd="1"/>
        <i x="164" s="1" nd="1"/>
        <i x="103" s="1" nd="1"/>
        <i x="94" s="1" nd="1"/>
        <i x="82" s="1" nd="1"/>
        <i x="56" s="1" nd="1"/>
        <i x="41" s="1" nd="1"/>
        <i x="72" s="1" nd="1"/>
        <i x="91" s="1" nd="1"/>
        <i x="83" s="1" nd="1"/>
        <i x="79" s="1" nd="1"/>
        <i x="47" s="1" nd="1"/>
        <i x="67" s="1" nd="1"/>
        <i x="66" s="1" nd="1"/>
        <i x="81" s="1" nd="1"/>
        <i x="68" s="1" nd="1"/>
        <i x="160" s="1" nd="1"/>
        <i x="44" s="1" nd="1"/>
        <i x="40" s="1" nd="1"/>
        <i x="70" s="1" nd="1"/>
        <i x="37" s="1" nd="1"/>
        <i x="75" s="1" nd="1"/>
        <i x="76" s="1" nd="1"/>
        <i x="80" s="1" nd="1"/>
        <i x="60" s="1" nd="1"/>
        <i x="55" s="1" nd="1"/>
        <i x="88" s="1" nd="1"/>
        <i x="87" s="1" nd="1"/>
        <i x="92" s="1" nd="1"/>
        <i x="46" s="1" nd="1"/>
        <i x="90" s="1" nd="1"/>
        <i x="77" s="1" nd="1"/>
        <i x="58" s="1" nd="1"/>
        <i x="63" s="1" nd="1"/>
        <i x="64" s="1" nd="1"/>
        <i x="73" s="1" nd="1"/>
        <i x="65" s="1" nd="1"/>
        <i x="84" s="1" nd="1"/>
        <i x="95" s="1" nd="1"/>
        <i x="85" s="1" nd="1"/>
        <i x="101" s="1" nd="1"/>
        <i x="98" s="1" nd="1"/>
        <i x="96" s="1" nd="1"/>
        <i x="108" s="1" nd="1"/>
        <i x="102" s="1" nd="1"/>
        <i x="109" s="1" nd="1"/>
        <i x="104" s="1" nd="1"/>
        <i x="105" s="1" nd="1"/>
        <i x="86" s="1" nd="1"/>
        <i x="99" s="1" nd="1"/>
        <i x="106" s="1" nd="1"/>
        <i x="97" s="1" nd="1"/>
        <i x="100" s="1" nd="1"/>
        <i x="93" s="1" nd="1"/>
        <i x="33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8" totalsRowCount="1" headerRowDxfId="108" dataDxfId="107" headerRowCellStyle="Comma" dataCellStyle="Comma">
  <autoFilter ref="A1:K117"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5" totalsRowCount="1" headerRowDxfId="86" headerRowBorderDxfId="85" tableBorderDxfId="84">
  <autoFilter ref="A1:I64" xr:uid="{F8E8C957-ABE7-4E4F-8D4E-7D44E26B334F}"/>
  <tableColumns count="9">
    <tableColumn id="1" xr3:uid="{C2E817D6-AB98-4DDD-8890-736B27F261CD}" name="Date" dataDxfId="83" totalsRowDxfId="11"/>
    <tableColumn id="2" xr3:uid="{CFB51890-CCDC-463C-81C9-3F8BD7469CB9}" name="Party Name"/>
    <tableColumn id="3" xr3:uid="{A113D971-1C9D-4733-99C4-BD0CC4333209}" name="Vehicle Number"/>
    <tableColumn id="4" xr3:uid="{49780304-3DD1-4AE9-98EE-2BC7EB8F3B57}" name="Weight" dataDxfId="82" totalsRowDxfId="10" dataCellStyle="Comma"/>
    <tableColumn id="5" xr3:uid="{FCAF1BC6-1D8C-42AD-8BBC-F924BF2DC7FE}" name="Rate" dataDxfId="81" totalsRowDxfId="9" dataCellStyle="Comma"/>
    <tableColumn id="6" xr3:uid="{8C70A624-4134-410C-9C45-9FDEB51D51BF}" name="Rent" dataDxfId="80" totalsRowDxfId="8" dataCellStyle="Comma"/>
    <tableColumn id="7" xr3:uid="{EBCE10AE-9634-4982-9C95-37ABC8A7078C}" name="Total" totalsRowFunction="sum" dataDxfId="79" totalsRowDxfId="7" dataCellStyle="Comma">
      <calculatedColumnFormula>D2*E2</calculatedColumnFormula>
    </tableColumn>
    <tableColumn id="9" xr3:uid="{D4788559-C94A-44D9-B9AE-E72B214355AC}" name="Paid" totalsRowFunction="sum" dataDxfId="78" totalsRowDxfId="6" dataCellStyle="Comma"/>
    <tableColumn id="8" xr3:uid="{E26F5BF0-1875-4FC6-994D-49F202ED562B}" name="balance" totalsRowFunction="sum" dataDxfId="77" totalsRowDxfId="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83" totalsRowCount="1">
  <autoFilter ref="A1:G282" xr:uid="{CB032221-B416-47A8-9A76-693DE76CFD04}"/>
  <tableColumns count="7">
    <tableColumn id="1" xr3:uid="{554B1EED-65B6-4E9A-B646-82727FAC40DE}" name="Date" dataDxfId="19" totalsRowDxfId="15"/>
    <tableColumn id="2" xr3:uid="{32259059-42CF-4947-83DE-115AA430BE2B}" name="Party"/>
    <tableColumn id="3" xr3:uid="{A1320223-D55D-483C-91C3-AB19B95CC9D8}" name="Debit" totalsRowFunction="sum" dataDxfId="18" totalsRowDxfId="14" dataCellStyle="Comma"/>
    <tableColumn id="4" xr3:uid="{E9745767-9FF0-4B1C-9052-FF335D1D7588}" name="Credit" totalsRowFunction="sum" dataDxfId="17" totalsRowDxfId="13" dataCellStyle="Comma"/>
    <tableColumn id="5" xr3:uid="{5C88A48E-2467-4E6D-B626-2442B7FD0BE4}" name="Description"/>
    <tableColumn id="6" xr3:uid="{63CA4666-144E-4BE6-8B7C-7CB992BD3041}" name="Mode" totalsRowFunction="custom" dataDxfId="16"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57" headerRowBorderDxfId="56">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2" headerRowBorderDxfId="51">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50" totalsRowDxfId="49"/>
    <tableColumn id="8" xr3:uid="{477ACFD5-62AF-4F69-974B-E9B974C11D7D}" name="Party Name" dataDxfId="4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7">
      <calculatedColumnFormula>Table2[[#This Row],[Quantity]]*200*Table2[[#This Row],[Boxes]]</calculatedColumnFormula>
    </tableColumn>
    <tableColumn id="6" xr3:uid="{30432929-CBD4-4BA8-B63F-CD0F6CF6405F}" name="Paid" totalsRowFunction="sum" dataDxfId="46">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7" totalsRowDxfId="2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5" totalsRowDxfId="2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3">
      <calculatedColumnFormula>Billing!Q5</calculatedColumnFormula>
    </tableColumn>
    <tableColumn id="2" xr3:uid="{7093A59E-B58F-487D-888A-9AA8156B5F9A}" name="Amount Paid" dataDxfId="2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1"/>
    <tableColumn id="2" xr3:uid="{F72CFEEB-BA11-4A49-BD19-88592EB6A27C}" name="Credit" dataDxfId="2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248556.03730797369</v>
      </c>
      <c r="D2">
        <v>10</v>
      </c>
      <c r="E2" s="14">
        <f>(SUMIFS(ledger!G:G, ledger!B:B, B2, ledger!E:E, "&lt;&gt;*RD*",ledger!D:D, "Silky") / 1.0936)*12 + (SUMIFS(ledger!G:G, ledger!B:B, B2, ledger!E:E, "&lt;&gt;*RD*",ledger!D:D, "Chamki") / 1.0936)*10</f>
        <v>2057278.7125091443</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2806759.8824</v>
      </c>
      <c r="S5" s="22" cm="1">
        <f t="array" ref="S5">_xlfn.BYROW(B49, _xlfn.LAMBDA(_xlpm.party, SUMIFS(ledger!G:G, ledger!B:B, _xlpm.party, ledger!E:E, "&lt;&gt;*RD*") / 1.0936 ))+_xlfn.IFNA(D84,0)</f>
        <v>2566532.4455010975</v>
      </c>
      <c r="T5" s="22" cm="1">
        <f t="array" ref="T5">(_xlfn.BYROW(B49,_xlfn.LAMBDA(_xlpm.party,SUMIFS(ledger!G:G,ledger!B:B,_xlpm.party,ledger!E:E,"&lt;&gt;*RD*",ledger!D:D,"Chamki")+SUMIFS(ledger!G:G, ledger!B:B, _xlpm.party, ledger!E:E, "&lt;&gt;*RD*", ledger!D:D, "Crinkle")))/1.0936)+_xlfn.IFNA(E84,0)</f>
        <v>2284063.5354791516</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22840635.354791518</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26424375.296269208</v>
      </c>
      <c r="AD5" s="22">
        <f>(SUMIF(Table14[Party],Q5,Table14[Credit]))+_xlfn.IFNA(O84,0)</f>
        <v>19750734</v>
      </c>
      <c r="AE5" s="33">
        <f>AC5-AD5</f>
        <v>6673641.2962692082</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6955301</v>
      </c>
      <c r="AE7" s="33">
        <f t="shared" si="2"/>
        <v>-26883.845647402108</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125616.31309436724</v>
      </c>
      <c r="E13" s="14">
        <f>(SUMIFS(ledger!G:G, ledger!B:B, B13, ledger!E:E, "&lt;&gt;*RD*",ledger!D:D, "Silky") / 1.0936)*12 + (SUMIFS(ledger!G:G, ledger!B:B, B13, ledger!E:E, "&lt;&gt;*RD*",ledger!D:D, "Chamki") / 1.0936)*10</f>
        <v>791980.6144842722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2411380</v>
      </c>
      <c r="AE15" s="33">
        <f t="shared" si="2"/>
        <v>215265.94001463102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654782</v>
      </c>
      <c r="S16" s="22" cm="1">
        <f t="array" ref="S16">_xlfn.BYROW(B60, _xlfn.LAMBDA(_xlpm.party, SUMIFS(ledger!G:G, ledger!B:B, _xlpm.party, ledger!E:E, "&lt;&gt;*RD*") / 1.0936 ))+_xlfn.IFNA(D95,0)</f>
        <v>598739.94147768838</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4815261.5215801029</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6275886.0643745437</v>
      </c>
      <c r="AD16" s="22">
        <f>(SUMIF(Table14[Party],Q16,Table14[Credit]))+_xlfn.IFNA(O95,0)</f>
        <v>6015761</v>
      </c>
      <c r="AE16" s="33">
        <f t="shared" si="2"/>
        <v>260125.06437454373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8452286.7812728621</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8452286.7812728621</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973525</v>
      </c>
      <c r="AE24" s="33">
        <f t="shared" si="2"/>
        <v>122607.95537673752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2461895</v>
      </c>
      <c r="AE25" s="33">
        <f t="shared" si="2"/>
        <v>5967.1068032188341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271820.8824</v>
      </c>
      <c r="D49" s="22" cm="1">
        <f t="array" ref="D49:D74">_xlfn.BYROW(_xlfn.ANCHORARRAY(B49), _xlfn.LAMBDA(_xlpm.party, SUMIFS(ledger!G:G, ledger!B:B, _xlpm.party, ledger!E:E, "&lt;&gt;*RD*") / 1.0936 ))</f>
        <v>248556.03730797369</v>
      </c>
      <c r="E49" s="63" cm="1">
        <f t="array" ref="E49:E74">(_xlfn.BYROW(_xlfn.ANCHORARRAY(B49),_xlfn.LAMBDA(_xlpm.party,SUMIFS(ledger!G:G,ledger!B:B,_xlpm.party,ledger!E:E,"&lt;&gt;*RD*",ledger!D:D,"Chamki")+SUMIFS(ledger!G:G, ledger!B:B, _xlpm.party, ledger!E:E, "&lt;&gt;*RD*", ledger!D:D, "Crinkle")))/1.0936)</f>
        <v>248556.03730797369</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2485560.3730797372</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2485560.3730797372</v>
      </c>
      <c r="O49" s="22">
        <f>(SUMIF(Table14[Party],B49,Table14[Credit]))</f>
        <v>0</v>
      </c>
      <c r="P49" s="37">
        <f>N49-O49</f>
        <v>2485560.3730797372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952366</v>
      </c>
      <c r="P51" s="37">
        <f>N51-O51</f>
        <v>-252526.93635698606</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248556.03730797369</v>
      </c>
      <c r="W58" s="18">
        <v>2057278.7125091443</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605400</v>
      </c>
      <c r="P59" s="37">
        <f t="shared" si="6"/>
        <v>166683.02852962713</v>
      </c>
      <c r="Q59" s="21">
        <v>10</v>
      </c>
      <c r="R59" s="21">
        <v>12</v>
      </c>
      <c r="U59" s="4" t="s">
        <v>22</v>
      </c>
      <c r="V59" s="5">
        <v>34084.674469641555</v>
      </c>
      <c r="W59" s="18">
        <v>409016.09363569866</v>
      </c>
    </row>
    <row r="60" spans="1:23" x14ac:dyDescent="0.3">
      <c r="B60" s="24" t="str">
        <v>Badshah Fabrics</v>
      </c>
      <c r="C60" s="22">
        <v>137374</v>
      </c>
      <c r="D60" s="22">
        <v>125616.31309436724</v>
      </c>
      <c r="E60" s="63">
        <v>125616.31309436724</v>
      </c>
      <c r="F60" s="63">
        <v>0</v>
      </c>
      <c r="G60" s="22" cm="1">
        <f t="array" ref="G60">(_xlfn.BYROW(B60,_xlfn.LAMBDA(_xlpm.party,
(SUMIFS(ledger!J:J,ledger!B:B,_xlpm.party,ledger!E:E,"&lt;&gt;*RD*",ledger!D:D,"Chamki",ledger!C:C,"&lt;&gt;November Closing CF")+
SUMIFS(ledger!J:J,ledger!B:B,_xlpm.party,ledger!E:E,"&lt;&gt;*RD*",ledger!D:D,"Crinkle",ledger!C:C,"&lt;&gt;November Closing CF")
))))</f>
        <v>1256163.1309436723</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1256163.1309436723</v>
      </c>
      <c r="O60" s="22">
        <f>SUMIF(Table14[Party], B60, Table14[Credit])</f>
        <v>1090000</v>
      </c>
      <c r="P60" s="37">
        <f t="shared" si="6"/>
        <v>166163.13094367227</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973525</v>
      </c>
      <c r="P68" s="37">
        <f t="shared" si="6"/>
        <v>-590917.09948792984</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993570</v>
      </c>
      <c r="P69" s="37">
        <f t="shared" si="6"/>
        <v>-183809.57571324066</v>
      </c>
      <c r="Q69" s="21">
        <v>10</v>
      </c>
      <c r="R69" s="21">
        <v>12</v>
      </c>
      <c r="U69" s="4" t="s">
        <v>166</v>
      </c>
      <c r="V69" s="5">
        <v>125616.31309436724</v>
      </c>
      <c r="W69" s="18">
        <v>791980.6144842722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701780.25091441115</v>
      </c>
      <c r="W75" s="14">
        <v>5983248.9027066566</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5967.1068032188341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3481010</v>
      </c>
      <c r="D4" t="s">
        <v>190</v>
      </c>
      <c r="E4" s="43">
        <f ca="1">Table12[[#This Row],[Amount]]/Table1[[#Totals],[tiyar/meters]]</f>
        <v>4.2055809862020883</v>
      </c>
    </row>
    <row r="5" spans="1:5" x14ac:dyDescent="0.3">
      <c r="B5" t="s">
        <v>48</v>
      </c>
      <c r="C5" s="11">
        <f>SUM(Table8[Price])+Dyes!P56</f>
        <v>1264660</v>
      </c>
      <c r="E5" s="43">
        <f ca="1">Table12[[#This Row],[Amount]]/Table1[[#Totals],[tiyar/meters]]</f>
        <v>1.5278985265800249</v>
      </c>
    </row>
    <row r="6" spans="1:5" x14ac:dyDescent="0.3">
      <c r="B6" t="s">
        <v>49</v>
      </c>
      <c r="C6" s="11">
        <f>SUM(Table2[Price])+Finish!K30</f>
        <v>457600</v>
      </c>
      <c r="D6" t="s">
        <v>189</v>
      </c>
      <c r="E6" s="43">
        <f ca="1">Table12[[#This Row],[Amount]]/Table1[[#Totals],[tiyar/meters]]</f>
        <v>0.55284927629799274</v>
      </c>
    </row>
    <row r="7" spans="1:5" x14ac:dyDescent="0.3">
      <c r="B7" t="s">
        <v>50</v>
      </c>
      <c r="C7" s="11">
        <f>SUMIFS(Table14[Debit], Table14[Party],Table12[[#This Row],[Type]])</f>
        <v>15775</v>
      </c>
      <c r="E7" s="43">
        <f ca="1">Table12[[#This Row],[Amount]]/Table1[[#Totals],[tiyar/meters]]</f>
        <v>1.9058560606645181E-2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170300</v>
      </c>
      <c r="E9" s="43">
        <f ca="1">Table12[[#This Row],[Amount]]/Table1[[#Totals],[tiyar/meters]]</f>
        <v>0.20574788407680977</v>
      </c>
    </row>
    <row r="10" spans="1:5" x14ac:dyDescent="0.3">
      <c r="B10" t="s">
        <v>53</v>
      </c>
      <c r="C10" s="11">
        <f>Table5[[#Totals],[Amount]]</f>
        <v>75460</v>
      </c>
      <c r="E10" s="43">
        <f ca="1">Table12[[#This Row],[Amount]]/Table1[[#Totals],[tiyar/meters]]</f>
        <v>9.1166972004909377E-2</v>
      </c>
    </row>
    <row r="11" spans="1:5" x14ac:dyDescent="0.3">
      <c r="B11" t="s">
        <v>54</v>
      </c>
      <c r="C11" s="11">
        <f>Table13[[#Totals],[Debit]]</f>
        <v>99829</v>
      </c>
      <c r="E11" s="43">
        <f ca="1">Table12[[#This Row],[Amount]]/Table1[[#Totals],[tiyar/meters]]</f>
        <v>0.12060837063713355</v>
      </c>
    </row>
    <row r="12" spans="1:5" x14ac:dyDescent="0.3">
      <c r="B12" t="s">
        <v>55</v>
      </c>
      <c r="C12" s="11">
        <f>Table15[[#Totals],[Amount]]</f>
        <v>77495</v>
      </c>
      <c r="E12" s="43">
        <f ca="1">Table12[[#This Row],[Amount]]/Table1[[#Totals],[tiyar/meters]]</f>
        <v>9.3625556526907655E-2</v>
      </c>
    </row>
    <row r="13" spans="1:5" x14ac:dyDescent="0.3">
      <c r="C13" s="11"/>
      <c r="E13" s="43">
        <f ca="1">Table12[[#This Row],[Amount]]/Table1[[#Totals],[tiyar/meters]]</f>
        <v>0</v>
      </c>
    </row>
    <row r="14" spans="1:5" x14ac:dyDescent="0.3">
      <c r="C14" s="14">
        <f>SUM(Table12[Amount])</f>
        <v>5642129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8452286.7812728621</v>
      </c>
    </row>
    <row r="4" spans="1:3" x14ac:dyDescent="0.3">
      <c r="B4" s="11" t="s">
        <v>44</v>
      </c>
      <c r="C4" s="11">
        <f>Table12[[#Totals],[Amount]]</f>
        <v>5642129</v>
      </c>
    </row>
    <row r="5" spans="1:3" x14ac:dyDescent="0.3">
      <c r="A5" s="6"/>
      <c r="B5" s="15" t="s">
        <v>68</v>
      </c>
      <c r="C5" s="15">
        <f>C3-C4</f>
        <v>2810157.7812728621</v>
      </c>
    </row>
    <row r="10" spans="1:3" ht="15" thickBot="1" x14ac:dyDescent="0.35">
      <c r="B10" t="s">
        <v>66</v>
      </c>
      <c r="C10" s="14" t="s">
        <v>67</v>
      </c>
    </row>
    <row r="11" spans="1:3" x14ac:dyDescent="0.3">
      <c r="B11" s="56" t="s">
        <v>0</v>
      </c>
      <c r="C11" s="57">
        <f>C3</f>
        <v>8452286.7812728621</v>
      </c>
    </row>
    <row r="12" spans="1:3" x14ac:dyDescent="0.3">
      <c r="B12" s="58" t="s">
        <v>69</v>
      </c>
      <c r="C12" s="59">
        <f>SUM(Table14[Credit])</f>
        <v>21335670</v>
      </c>
    </row>
    <row r="13" spans="1:3" ht="15" thickBot="1" x14ac:dyDescent="0.35">
      <c r="B13" s="74" t="s">
        <v>93</v>
      </c>
      <c r="C13" s="73">
        <f>(C11-C12)</f>
        <v>-12883383.218727138</v>
      </c>
    </row>
    <row r="14" spans="1:3" ht="15" thickBot="1" x14ac:dyDescent="0.35">
      <c r="B14" s="58"/>
      <c r="C14" s="59"/>
    </row>
    <row r="15" spans="1:3" x14ac:dyDescent="0.3">
      <c r="B15" s="56" t="s">
        <v>44</v>
      </c>
      <c r="C15" s="57">
        <f>C4</f>
        <v>5642129</v>
      </c>
    </row>
    <row r="16" spans="1:3" x14ac:dyDescent="0.3">
      <c r="B16" s="58" t="s">
        <v>70</v>
      </c>
      <c r="C16" s="59">
        <f>SUM(Table14[Debit])</f>
        <v>21313885</v>
      </c>
    </row>
    <row r="17" spans="2:6" ht="15" thickBot="1" x14ac:dyDescent="0.35">
      <c r="B17" s="74" t="s">
        <v>71</v>
      </c>
      <c r="C17" s="73">
        <f>C15-C16</f>
        <v>-15671756</v>
      </c>
    </row>
    <row r="18" spans="2:6" ht="15" thickBot="1" x14ac:dyDescent="0.35">
      <c r="B18" s="58"/>
      <c r="C18" s="59"/>
    </row>
    <row r="19" spans="2:6" ht="15" thickBot="1" x14ac:dyDescent="0.35">
      <c r="B19" s="75" t="s">
        <v>72</v>
      </c>
      <c r="C19" s="76">
        <f>Table18[[#Totals],[amount]]</f>
        <v>21785</v>
      </c>
    </row>
    <row r="20" spans="2:6" ht="15" thickBot="1" x14ac:dyDescent="0.35">
      <c r="B20" s="71"/>
      <c r="C20" s="72"/>
    </row>
    <row r="21" spans="2:6" ht="15" thickBot="1" x14ac:dyDescent="0.35">
      <c r="B21" s="60" t="s">
        <v>73</v>
      </c>
      <c r="C21" s="61">
        <f>(C13-C17)+C19</f>
        <v>2810157.7812728621</v>
      </c>
      <c r="E21" s="79" t="s">
        <v>74</v>
      </c>
      <c r="F21" s="80">
        <f>C5*0.05</f>
        <v>140507.88906364312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99829</v>
      </c>
      <c r="E38">
        <f>SUBTOTAL(109,Table13[Credit])</f>
        <v>0</v>
      </c>
      <c r="F38">
        <f>Table13[[#Totals],[Debit]]-Table13[[#Totals],[Credit]]</f>
        <v>99829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1" zoomScaleNormal="82" workbookViewId="0">
      <selection activeCell="H110" sqref="H11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31.395333096370138</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v>61388</v>
      </c>
      <c r="G116" s="11">
        <v>37510</v>
      </c>
      <c r="H116" s="120">
        <f>_xlfn.XLOOKUP(Table1[[#This Row],[Shipment Number]], 'pivot '!A:A,'pivot '!G:G, "NF")</f>
        <v>31.395333096370138</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c r="B118"/>
      <c r="C118"/>
      <c r="D118"/>
      <c r="E118" s="14"/>
      <c r="F118" s="14"/>
      <c r="G118" s="14"/>
      <c r="H118" s="43"/>
      <c r="I118" s="94" cm="1">
        <f t="array" aca="1" ref="I118" ca="1">SUMPRODUCT( SUBTOTAL(109, OFFSET(Table1[tiyar/meters], ROW(Table1[tiyar/meters])-MIN(ROW(Table1[tiyar/meters])), 0, 1)), --(Table1[Bill Number]&lt;&gt;"November Closing CF") )</f>
        <v>827712.03584491601</v>
      </c>
      <c r="J118" s="43" cm="1">
        <f t="array" aca="1" ref="J118" ca="1">SUMPRODUCT( SUBTOTAL(109, OFFSET(Table1[billing], ROW(Table1[billing])-MIN(ROW(Table1[billing])), 0, 1)), --(Table1[Bill Number]&lt;&gt;"November Closing CF") )</f>
        <v>8452286.7812728602</v>
      </c>
      <c r="K118" s="14">
        <f>SUMIFS(Table1[billing], Table1[Bill Number], "&lt;&gt;November Closing CF")</f>
        <v>8452286.7812728602</v>
      </c>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5"/>
  <sheetViews>
    <sheetView topLeftCell="A50" zoomScale="145" zoomScaleNormal="90" workbookViewId="0">
      <selection activeCell="H63" sqref="H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2908910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C48" t="s">
        <v>334</v>
      </c>
      <c r="D48" s="11">
        <v>128</v>
      </c>
      <c r="E48" s="11">
        <v>580</v>
      </c>
      <c r="F48" s="11"/>
      <c r="G48" s="11">
        <f t="shared" ref="G48:G50" si="8">D48*E48</f>
        <v>74240</v>
      </c>
      <c r="H48" s="11"/>
      <c r="I48" s="11">
        <f>(D48*E48)-Table3[[#This Row],[Paid]]</f>
        <v>74240</v>
      </c>
      <c r="L48" s="26">
        <v>46021</v>
      </c>
      <c r="M48" s="14"/>
      <c r="N48" s="14">
        <v>0</v>
      </c>
      <c r="O48" s="14">
        <v>495251</v>
      </c>
      <c r="P48" s="14">
        <v>-495251</v>
      </c>
    </row>
    <row r="49" spans="1:16"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c r="L49" s="42" t="s">
        <v>103</v>
      </c>
      <c r="M49" s="14"/>
      <c r="N49" s="14">
        <v>0</v>
      </c>
      <c r="O49" s="14">
        <v>495251</v>
      </c>
      <c r="P49" s="14">
        <v>-495251</v>
      </c>
    </row>
    <row r="50" spans="1:16" x14ac:dyDescent="0.3">
      <c r="A50" s="1">
        <v>46019</v>
      </c>
      <c r="B50" t="s">
        <v>200</v>
      </c>
      <c r="D50" s="11"/>
      <c r="E50" s="11"/>
      <c r="F50" s="11"/>
      <c r="G50" s="11">
        <f t="shared" si="8"/>
        <v>0</v>
      </c>
      <c r="H50" s="11">
        <f>SUMIFS(Table14[Debit], Table14[Date], Table3[[#This Row],[Date]], Table14[Party], Table3[[#This Row],[Party Name]])</f>
        <v>0</v>
      </c>
      <c r="I50" s="11">
        <f>(D50*E50)-Table3[[#This Row],[Paid]]</f>
        <v>0</v>
      </c>
      <c r="L50" s="26" t="s">
        <v>28</v>
      </c>
      <c r="M50" s="14">
        <v>3510</v>
      </c>
      <c r="N50" s="14">
        <v>2637760</v>
      </c>
      <c r="O50" s="14">
        <v>2696901</v>
      </c>
      <c r="P50" s="14">
        <v>3262287</v>
      </c>
    </row>
    <row r="51" spans="1:16" x14ac:dyDescent="0.3">
      <c r="A51" s="1">
        <v>46019</v>
      </c>
      <c r="B51" t="s">
        <v>169</v>
      </c>
      <c r="D51" s="11">
        <v>116</v>
      </c>
      <c r="E51" s="11">
        <v>775</v>
      </c>
      <c r="F51" s="11"/>
      <c r="G51" s="11">
        <f t="shared" ref="G51:G52" si="9">D51*E51</f>
        <v>89900</v>
      </c>
      <c r="H51" s="11"/>
      <c r="I51" s="11">
        <f>(D51*E51)-Table3[[#This Row],[Paid]]</f>
        <v>89900</v>
      </c>
    </row>
    <row r="52" spans="1:16" x14ac:dyDescent="0.3">
      <c r="A52" s="1">
        <v>46019</v>
      </c>
      <c r="B52" t="s">
        <v>169</v>
      </c>
      <c r="D52" s="11">
        <v>20</v>
      </c>
      <c r="E52" s="11">
        <v>580</v>
      </c>
      <c r="F52" s="11"/>
      <c r="G52" s="11">
        <f t="shared" si="9"/>
        <v>11600</v>
      </c>
      <c r="H52" s="11"/>
      <c r="I52" s="11">
        <f>(D52*E52)-Table3[[#This Row],[Paid]]</f>
        <v>11600</v>
      </c>
    </row>
    <row r="53" spans="1:16" x14ac:dyDescent="0.3">
      <c r="A53" s="1">
        <v>46020</v>
      </c>
      <c r="B53" t="s">
        <v>169</v>
      </c>
      <c r="D53" s="11">
        <v>90</v>
      </c>
      <c r="E53" s="11">
        <v>775</v>
      </c>
      <c r="F53" s="11"/>
      <c r="G53" s="11">
        <f t="shared" ref="G53:G59" si="10">D53*E53</f>
        <v>69750</v>
      </c>
      <c r="H53" s="11"/>
      <c r="I53" s="11">
        <f>(D53*E53)-Table3[[#This Row],[Paid]]</f>
        <v>69750</v>
      </c>
    </row>
    <row r="54" spans="1:16" x14ac:dyDescent="0.3">
      <c r="A54" s="1">
        <v>46020</v>
      </c>
      <c r="B54" t="s">
        <v>169</v>
      </c>
      <c r="D54" s="11">
        <v>58</v>
      </c>
      <c r="E54" s="11">
        <v>580</v>
      </c>
      <c r="F54" s="11"/>
      <c r="G54" s="11">
        <f t="shared" si="10"/>
        <v>33640</v>
      </c>
      <c r="H54" s="11"/>
      <c r="I54" s="11">
        <f>(D54*E54)-Table3[[#This Row],[Paid]]</f>
        <v>33640</v>
      </c>
    </row>
    <row r="55" spans="1:16"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16"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16"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16"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16"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16" x14ac:dyDescent="0.3">
      <c r="A60" s="1"/>
      <c r="D60" s="11"/>
      <c r="E60" s="11"/>
      <c r="F60" s="11"/>
      <c r="G60" s="11">
        <f t="shared" ref="G60:G64" si="11">D60*E60</f>
        <v>0</v>
      </c>
      <c r="H60" s="11"/>
      <c r="I60" s="11">
        <f>(D60*E60)-Table3[[#This Row],[Paid]]</f>
        <v>0</v>
      </c>
    </row>
    <row r="61" spans="1:16" x14ac:dyDescent="0.3">
      <c r="A61" s="1"/>
      <c r="D61" s="11"/>
      <c r="E61" s="11"/>
      <c r="F61" s="11"/>
      <c r="G61" s="11">
        <f t="shared" si="11"/>
        <v>0</v>
      </c>
      <c r="H61" s="11"/>
      <c r="I61" s="11">
        <f>(D61*E61)-Table3[[#This Row],[Paid]]</f>
        <v>0</v>
      </c>
    </row>
    <row r="62" spans="1:16" x14ac:dyDescent="0.3">
      <c r="A62" s="1"/>
      <c r="D62" s="11"/>
      <c r="E62" s="11"/>
      <c r="F62" s="11"/>
      <c r="G62" s="11">
        <f t="shared" si="11"/>
        <v>0</v>
      </c>
      <c r="H62" s="11"/>
      <c r="I62" s="11">
        <f>(D62*E62)-Table3[[#This Row],[Paid]]</f>
        <v>0</v>
      </c>
    </row>
    <row r="63" spans="1:16" x14ac:dyDescent="0.3">
      <c r="A63" s="1">
        <v>46025</v>
      </c>
      <c r="B63" t="s">
        <v>94</v>
      </c>
      <c r="C63" t="s">
        <v>394</v>
      </c>
      <c r="D63" s="11">
        <v>319</v>
      </c>
      <c r="E63" s="11">
        <v>850</v>
      </c>
      <c r="F63" s="11">
        <v>60400</v>
      </c>
      <c r="G63" s="11">
        <f t="shared" si="11"/>
        <v>271150</v>
      </c>
      <c r="H63" s="11">
        <f>SUMIFS(Table14[Debit], Table14[Date], Table3[[#This Row],[Date]], Table14[Party], Table3[[#This Row],[Party Name]])</f>
        <v>60400</v>
      </c>
      <c r="I63" s="11">
        <f>(D63*E63)-Table3[[#This Row],[Paid]]</f>
        <v>210750</v>
      </c>
    </row>
    <row r="64" spans="1:16" x14ac:dyDescent="0.3">
      <c r="A64" s="1"/>
      <c r="D64" s="11"/>
      <c r="E64" s="11"/>
      <c r="F64" s="11"/>
      <c r="G64" s="11">
        <f t="shared" si="11"/>
        <v>0</v>
      </c>
      <c r="H64" s="11"/>
      <c r="I64" s="11">
        <f>(D64*E64)-Table3[[#This Row],[Paid]]</f>
        <v>0</v>
      </c>
    </row>
    <row r="65" spans="1:9" x14ac:dyDescent="0.3">
      <c r="A65" s="1"/>
      <c r="D65" s="14"/>
      <c r="E65" s="14"/>
      <c r="F65" s="14"/>
      <c r="G65" s="14">
        <f>SUBTOTAL(109,Table3[Total])</f>
        <v>2908910</v>
      </c>
      <c r="H65" s="14">
        <f>SUBTOTAL(109,Table3[Paid])</f>
        <v>2757301</v>
      </c>
      <c r="I65" s="14">
        <f>SUBTOTAL(109,Table3[balance])</f>
        <v>3473037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279" zoomScale="158" workbookViewId="0">
      <selection activeCell="A273" sqref="A272:A27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21313885</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21335670</v>
      </c>
      <c r="M5" s="45" t="s">
        <v>108</v>
      </c>
      <c r="N5" s="46">
        <f>(SUMIFS(Table14[Credit],Table14[Mode],"Bank")-SUMIFS(Table14[Debit],Table14[Mode],"Bank")-SUMIFS(Table14[Withdrawal],Table14[Mode],"Transfer"))</f>
        <v>632701</v>
      </c>
      <c r="O5">
        <v>360000</v>
      </c>
    </row>
    <row r="6" spans="1:16" x14ac:dyDescent="0.3">
      <c r="A6" s="38">
        <v>46009</v>
      </c>
      <c r="B6" t="s">
        <v>177</v>
      </c>
      <c r="C6" s="96">
        <v>3600</v>
      </c>
      <c r="D6" s="96"/>
      <c r="E6" t="s">
        <v>218</v>
      </c>
      <c r="F6" s="111" t="s">
        <v>108</v>
      </c>
      <c r="J6" s="52" t="s">
        <v>43</v>
      </c>
      <c r="K6" s="53">
        <f>(K5-K4)</f>
        <v>21785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21785</v>
      </c>
      <c r="O7" s="90">
        <f>SUM(O5,O6)</f>
        <v>410000</v>
      </c>
      <c r="P7" s="14">
        <f>Table18[[#Totals],[amount]]-Table18[[#Totals],[Actual]]</f>
        <v>-388215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140300</v>
      </c>
    </row>
    <row r="165" spans="1:12" x14ac:dyDescent="0.3">
      <c r="A165" s="38">
        <v>46018</v>
      </c>
      <c r="B165" t="s">
        <v>54</v>
      </c>
      <c r="C165" s="11">
        <v>2500</v>
      </c>
      <c r="D165" s="11"/>
      <c r="E165" t="s">
        <v>236</v>
      </c>
      <c r="F165" s="111" t="s">
        <v>108</v>
      </c>
      <c r="J165" s="4" t="s">
        <v>9</v>
      </c>
      <c r="K165" s="14">
        <v>702366</v>
      </c>
      <c r="L165" s="14"/>
    </row>
    <row r="166" spans="1:12" x14ac:dyDescent="0.3">
      <c r="A166" s="38">
        <v>46018</v>
      </c>
      <c r="B166" t="s">
        <v>55</v>
      </c>
      <c r="C166" s="11">
        <v>1000</v>
      </c>
      <c r="D166" s="11"/>
      <c r="F166" s="111" t="s">
        <v>108</v>
      </c>
      <c r="J166" s="4" t="s">
        <v>94</v>
      </c>
      <c r="K166" s="14"/>
      <c r="L166" s="14">
        <v>654835</v>
      </c>
    </row>
    <row r="167" spans="1:12" x14ac:dyDescent="0.3">
      <c r="A167" s="38">
        <v>46018</v>
      </c>
      <c r="B167" t="s">
        <v>50</v>
      </c>
      <c r="C167" s="11">
        <v>1000</v>
      </c>
      <c r="D167" s="11"/>
      <c r="E167" t="s">
        <v>217</v>
      </c>
      <c r="F167" s="111" t="s">
        <v>108</v>
      </c>
      <c r="J167" s="4" t="s">
        <v>50</v>
      </c>
      <c r="K167" s="14"/>
      <c r="L167" s="14">
        <v>12775</v>
      </c>
    </row>
    <row r="168" spans="1:12" x14ac:dyDescent="0.3">
      <c r="A168" s="38">
        <v>46019</v>
      </c>
      <c r="B168" t="s">
        <v>55</v>
      </c>
      <c r="C168" s="96">
        <v>2630</v>
      </c>
      <c r="D168" s="96"/>
      <c r="E168" t="s">
        <v>328</v>
      </c>
      <c r="F168" s="111" t="s">
        <v>108</v>
      </c>
      <c r="J168" s="4" t="s">
        <v>55</v>
      </c>
      <c r="K168" s="14"/>
      <c r="L168" s="14">
        <v>69995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84990</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695190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334372</v>
      </c>
      <c r="L176" s="14">
        <v>113043</v>
      </c>
    </row>
    <row r="177" spans="1:12" x14ac:dyDescent="0.3">
      <c r="A177" s="116">
        <v>46020</v>
      </c>
      <c r="B177" t="s">
        <v>54</v>
      </c>
      <c r="C177" s="11">
        <v>7950</v>
      </c>
      <c r="D177" s="11"/>
      <c r="E177" t="s">
        <v>236</v>
      </c>
      <c r="F177" s="111" t="s">
        <v>108</v>
      </c>
      <c r="J177" s="4" t="s">
        <v>326</v>
      </c>
      <c r="K177" s="14">
        <v>408088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605400</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50000</v>
      </c>
    </row>
    <row r="184" spans="1:12" x14ac:dyDescent="0.3">
      <c r="A184" s="38">
        <v>46020</v>
      </c>
      <c r="B184" t="s">
        <v>192</v>
      </c>
      <c r="C184" s="11">
        <v>100000</v>
      </c>
      <c r="D184" s="11"/>
      <c r="E184" t="s">
        <v>335</v>
      </c>
      <c r="F184" s="111" t="s">
        <v>108</v>
      </c>
      <c r="J184" s="4" t="s">
        <v>152</v>
      </c>
      <c r="K184" s="14">
        <v>1007920</v>
      </c>
      <c r="L184" s="14"/>
    </row>
    <row r="185" spans="1:12" x14ac:dyDescent="0.3">
      <c r="A185" s="116">
        <v>46021</v>
      </c>
      <c r="B185" t="s">
        <v>224</v>
      </c>
      <c r="C185" s="11"/>
      <c r="D185" s="11">
        <v>68900</v>
      </c>
      <c r="E185" t="s">
        <v>352</v>
      </c>
      <c r="F185" s="111" t="s">
        <v>108</v>
      </c>
      <c r="J185" s="4" t="s">
        <v>166</v>
      </c>
      <c r="K185" s="14">
        <v>1090000</v>
      </c>
      <c r="L185" s="14"/>
    </row>
    <row r="186" spans="1:12" x14ac:dyDescent="0.3">
      <c r="A186" s="38">
        <v>46021</v>
      </c>
      <c r="B186" t="s">
        <v>192</v>
      </c>
      <c r="C186" s="96"/>
      <c r="D186" s="96">
        <v>194000</v>
      </c>
      <c r="F186" s="111" t="s">
        <v>108</v>
      </c>
      <c r="J186" s="4" t="s">
        <v>169</v>
      </c>
      <c r="K186" s="14"/>
      <c r="L186" s="14">
        <v>1090800</v>
      </c>
    </row>
    <row r="187" spans="1:12" x14ac:dyDescent="0.3">
      <c r="A187" s="116">
        <v>46021</v>
      </c>
      <c r="B187" t="s">
        <v>199</v>
      </c>
      <c r="C187" s="11"/>
      <c r="D187" s="11">
        <v>100000</v>
      </c>
      <c r="E187" t="s">
        <v>338</v>
      </c>
      <c r="F187" s="111" t="s">
        <v>108</v>
      </c>
      <c r="J187" s="4" t="s">
        <v>192</v>
      </c>
      <c r="K187" s="14">
        <v>5767200</v>
      </c>
      <c r="L187" s="14">
        <v>13237982</v>
      </c>
    </row>
    <row r="188" spans="1:12" x14ac:dyDescent="0.3">
      <c r="A188" s="38">
        <v>46021</v>
      </c>
      <c r="B188" t="s">
        <v>199</v>
      </c>
      <c r="C188" s="96"/>
      <c r="D188" s="96">
        <v>100000</v>
      </c>
      <c r="E188" t="s">
        <v>225</v>
      </c>
      <c r="F188" s="111" t="s">
        <v>108</v>
      </c>
      <c r="J188" s="4" t="s">
        <v>198</v>
      </c>
      <c r="K188" s="14"/>
      <c r="L188" s="14">
        <v>670250</v>
      </c>
    </row>
    <row r="189" spans="1:12" x14ac:dyDescent="0.3">
      <c r="A189" s="116">
        <v>46021</v>
      </c>
      <c r="B189" t="s">
        <v>339</v>
      </c>
      <c r="C189" s="11"/>
      <c r="D189" s="11">
        <v>84970</v>
      </c>
      <c r="F189" s="111" t="s">
        <v>108</v>
      </c>
      <c r="J189" s="4" t="s">
        <v>179</v>
      </c>
      <c r="K189" s="14">
        <v>409310</v>
      </c>
      <c r="L189" s="14"/>
    </row>
    <row r="190" spans="1:12" x14ac:dyDescent="0.3">
      <c r="A190" s="38">
        <v>46021</v>
      </c>
      <c r="B190" t="s">
        <v>222</v>
      </c>
      <c r="C190" s="11">
        <f>883+150+150</f>
        <v>1183</v>
      </c>
      <c r="D190" s="11"/>
      <c r="F190" s="111" t="s">
        <v>108</v>
      </c>
      <c r="J190" s="4" t="s">
        <v>51</v>
      </c>
      <c r="K190" s="14"/>
      <c r="L190" s="14">
        <v>2047865</v>
      </c>
    </row>
    <row r="191" spans="1:12" x14ac:dyDescent="0.3">
      <c r="A191" s="116">
        <v>46021</v>
      </c>
      <c r="B191" t="s">
        <v>229</v>
      </c>
      <c r="C191" s="11">
        <v>200401</v>
      </c>
      <c r="D191" s="11"/>
      <c r="E191" t="s">
        <v>340</v>
      </c>
      <c r="F191" s="111" t="s">
        <v>108</v>
      </c>
      <c r="J191" s="4" t="s">
        <v>219</v>
      </c>
      <c r="K191" s="14"/>
      <c r="L191" s="14">
        <v>10000</v>
      </c>
    </row>
    <row r="192" spans="1:12" x14ac:dyDescent="0.3">
      <c r="A192" s="38">
        <v>46021</v>
      </c>
      <c r="B192" t="s">
        <v>341</v>
      </c>
      <c r="C192" s="11"/>
      <c r="D192" s="11">
        <v>239960</v>
      </c>
      <c r="F192" s="111" t="s">
        <v>108</v>
      </c>
      <c r="J192" s="4" t="s">
        <v>199</v>
      </c>
      <c r="K192" s="14">
        <v>993570</v>
      </c>
      <c r="L192" s="14"/>
    </row>
    <row r="193" spans="1:12" x14ac:dyDescent="0.3">
      <c r="A193" s="116">
        <v>46021</v>
      </c>
      <c r="B193" t="s">
        <v>169</v>
      </c>
      <c r="C193" s="11">
        <v>250000</v>
      </c>
      <c r="D193" s="11"/>
      <c r="F193" s="111" t="s">
        <v>108</v>
      </c>
      <c r="J193" s="4" t="s">
        <v>229</v>
      </c>
      <c r="K193" s="14"/>
      <c r="L193" s="14">
        <v>1452691</v>
      </c>
    </row>
    <row r="194" spans="1:12" x14ac:dyDescent="0.3">
      <c r="A194" s="38">
        <v>46021</v>
      </c>
      <c r="B194" t="s">
        <v>326</v>
      </c>
      <c r="C194" s="11"/>
      <c r="D194" s="11">
        <v>60000</v>
      </c>
      <c r="E194" t="s">
        <v>342</v>
      </c>
      <c r="F194" s="111" t="s">
        <v>108</v>
      </c>
      <c r="J194" s="4" t="s">
        <v>202</v>
      </c>
      <c r="K194" s="14"/>
      <c r="L194" s="14">
        <v>107000</v>
      </c>
    </row>
    <row r="195" spans="1:12" x14ac:dyDescent="0.3">
      <c r="A195" s="116">
        <v>46021</v>
      </c>
      <c r="B195" t="s">
        <v>192</v>
      </c>
      <c r="C195" s="11">
        <v>60000</v>
      </c>
      <c r="D195" s="11"/>
      <c r="E195" t="s">
        <v>343</v>
      </c>
      <c r="F195" s="111" t="s">
        <v>108</v>
      </c>
      <c r="J195" s="4" t="s">
        <v>216</v>
      </c>
      <c r="K195" s="14">
        <v>6880146</v>
      </c>
      <c r="L195" s="14"/>
    </row>
    <row r="196" spans="1:12" x14ac:dyDescent="0.3">
      <c r="A196" s="38">
        <v>46021</v>
      </c>
      <c r="B196" t="s">
        <v>256</v>
      </c>
      <c r="C196" s="11">
        <v>11850</v>
      </c>
      <c r="D196" s="11"/>
      <c r="E196" t="s">
        <v>294</v>
      </c>
      <c r="F196" s="111" t="s">
        <v>108</v>
      </c>
      <c r="J196" s="4" t="s">
        <v>256</v>
      </c>
      <c r="K196" s="14"/>
      <c r="L196" s="14">
        <v>66850</v>
      </c>
    </row>
    <row r="197" spans="1:12" x14ac:dyDescent="0.3">
      <c r="A197" s="116">
        <v>46021</v>
      </c>
      <c r="B197" t="s">
        <v>202</v>
      </c>
      <c r="C197" s="11">
        <v>27000</v>
      </c>
      <c r="D197" s="11"/>
      <c r="E197" t="s">
        <v>230</v>
      </c>
      <c r="F197" s="111" t="s">
        <v>108</v>
      </c>
      <c r="J197" s="4" t="s">
        <v>286</v>
      </c>
      <c r="K197" s="14">
        <v>973525</v>
      </c>
      <c r="L197" s="14"/>
    </row>
    <row r="198" spans="1:12" x14ac:dyDescent="0.3">
      <c r="A198" s="38">
        <v>46021</v>
      </c>
      <c r="B198" t="s">
        <v>233</v>
      </c>
      <c r="C198" s="11">
        <v>1300</v>
      </c>
      <c r="D198" s="11"/>
      <c r="E198" t="s">
        <v>344</v>
      </c>
      <c r="F198" s="111" t="s">
        <v>108</v>
      </c>
      <c r="J198" s="4" t="s">
        <v>302</v>
      </c>
      <c r="K198" s="14"/>
      <c r="L198" s="14">
        <v>162500</v>
      </c>
    </row>
    <row r="199" spans="1:12" x14ac:dyDescent="0.3">
      <c r="A199" s="116">
        <v>46021</v>
      </c>
      <c r="B199" t="s">
        <v>233</v>
      </c>
      <c r="C199" s="11">
        <v>60000</v>
      </c>
      <c r="D199" s="11"/>
      <c r="E199" t="s">
        <v>290</v>
      </c>
      <c r="F199" s="111" t="s">
        <v>108</v>
      </c>
      <c r="J199" s="4" t="s">
        <v>28</v>
      </c>
      <c r="K199" s="14">
        <v>20906531</v>
      </c>
      <c r="L199" s="14">
        <v>20894026</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7" x14ac:dyDescent="0.3">
      <c r="A257" s="116">
        <v>46025</v>
      </c>
      <c r="B257" t="s">
        <v>9</v>
      </c>
      <c r="C257" s="11"/>
      <c r="D257" s="11">
        <v>250000</v>
      </c>
      <c r="E257" t="s">
        <v>379</v>
      </c>
      <c r="F257" s="111" t="s">
        <v>108</v>
      </c>
    </row>
    <row r="258" spans="1:7" x14ac:dyDescent="0.3">
      <c r="A258" s="38">
        <v>46025</v>
      </c>
      <c r="B258" t="s">
        <v>192</v>
      </c>
      <c r="C258" s="11"/>
      <c r="D258" s="11">
        <v>3500</v>
      </c>
      <c r="E258" t="s">
        <v>380</v>
      </c>
      <c r="F258" s="111" t="s">
        <v>108</v>
      </c>
    </row>
    <row r="259" spans="1:7" x14ac:dyDescent="0.3">
      <c r="A259" s="116">
        <v>46025</v>
      </c>
      <c r="B259" t="s">
        <v>55</v>
      </c>
      <c r="C259" s="11">
        <v>3500</v>
      </c>
      <c r="D259" s="11"/>
      <c r="E259" t="s">
        <v>380</v>
      </c>
      <c r="F259" s="111" t="s">
        <v>108</v>
      </c>
    </row>
    <row r="260" spans="1:7" x14ac:dyDescent="0.3">
      <c r="A260" s="38">
        <v>46025</v>
      </c>
      <c r="B260" t="s">
        <v>54</v>
      </c>
      <c r="C260" s="11">
        <v>9139</v>
      </c>
      <c r="D260" s="11"/>
      <c r="E260" t="s">
        <v>236</v>
      </c>
      <c r="F260" s="111" t="s">
        <v>108</v>
      </c>
    </row>
    <row r="261" spans="1:7" x14ac:dyDescent="0.3">
      <c r="A261" s="116">
        <v>46025</v>
      </c>
      <c r="B261" t="s">
        <v>219</v>
      </c>
      <c r="C261" s="11">
        <v>3400</v>
      </c>
      <c r="D261" s="11"/>
      <c r="E261" t="s">
        <v>385</v>
      </c>
      <c r="F261" s="111" t="s">
        <v>108</v>
      </c>
    </row>
    <row r="262" spans="1:7" x14ac:dyDescent="0.3">
      <c r="A262" s="38">
        <v>46025</v>
      </c>
      <c r="B262" t="s">
        <v>222</v>
      </c>
      <c r="C262" s="11"/>
      <c r="D262" s="11">
        <v>3400</v>
      </c>
      <c r="E262" t="s">
        <v>386</v>
      </c>
      <c r="F262" s="111" t="s">
        <v>108</v>
      </c>
    </row>
    <row r="263" spans="1:7" x14ac:dyDescent="0.3">
      <c r="A263" s="116">
        <v>46025</v>
      </c>
      <c r="B263" t="s">
        <v>222</v>
      </c>
      <c r="C263" s="11"/>
      <c r="D263" s="11">
        <v>9139</v>
      </c>
      <c r="E263" t="s">
        <v>382</v>
      </c>
      <c r="F263" s="111" t="s">
        <v>108</v>
      </c>
    </row>
    <row r="264" spans="1:7" x14ac:dyDescent="0.3">
      <c r="A264" s="38">
        <v>46025</v>
      </c>
      <c r="B264" t="s">
        <v>222</v>
      </c>
      <c r="C264" s="11"/>
      <c r="D264" s="11">
        <v>660</v>
      </c>
      <c r="E264" t="s">
        <v>380</v>
      </c>
      <c r="F264" s="111" t="s">
        <v>108</v>
      </c>
    </row>
    <row r="265" spans="1:7" x14ac:dyDescent="0.3">
      <c r="A265" s="116">
        <v>46025</v>
      </c>
      <c r="B265" t="s">
        <v>55</v>
      </c>
      <c r="C265" s="11">
        <v>660</v>
      </c>
      <c r="D265" s="11"/>
      <c r="E265" t="s">
        <v>383</v>
      </c>
      <c r="F265" s="111" t="s">
        <v>108</v>
      </c>
    </row>
    <row r="266" spans="1:7" x14ac:dyDescent="0.3">
      <c r="A266" s="38">
        <v>46025</v>
      </c>
      <c r="B266" t="s">
        <v>198</v>
      </c>
      <c r="C266" s="11">
        <v>80000</v>
      </c>
      <c r="D266" s="11"/>
      <c r="E266" t="s">
        <v>384</v>
      </c>
      <c r="F266" s="111" t="s">
        <v>108</v>
      </c>
    </row>
    <row r="267" spans="1:7" x14ac:dyDescent="0.3">
      <c r="A267" s="127">
        <v>45660</v>
      </c>
      <c r="B267" t="s">
        <v>192</v>
      </c>
      <c r="C267" s="11"/>
      <c r="D267" s="11">
        <v>80000</v>
      </c>
      <c r="E267" t="s">
        <v>198</v>
      </c>
      <c r="F267" s="111" t="s">
        <v>108</v>
      </c>
    </row>
    <row r="268" spans="1:7" x14ac:dyDescent="0.3">
      <c r="A268" s="116">
        <v>46025</v>
      </c>
      <c r="B268" s="129" t="s">
        <v>55</v>
      </c>
      <c r="C268" s="96">
        <v>3340</v>
      </c>
      <c r="D268" s="96"/>
      <c r="E268" s="129" t="s">
        <v>328</v>
      </c>
      <c r="F268" s="130" t="s">
        <v>108</v>
      </c>
      <c r="G268" s="129"/>
    </row>
    <row r="269" spans="1:7" x14ac:dyDescent="0.3">
      <c r="A269" s="38">
        <v>46025</v>
      </c>
      <c r="B269" t="s">
        <v>222</v>
      </c>
      <c r="C269" s="11"/>
      <c r="D269" s="11">
        <v>3340</v>
      </c>
      <c r="E269" t="s">
        <v>328</v>
      </c>
      <c r="F269" s="111" t="s">
        <v>108</v>
      </c>
    </row>
    <row r="270" spans="1:7" x14ac:dyDescent="0.3">
      <c r="A270" s="116">
        <v>46025</v>
      </c>
      <c r="B270" t="s">
        <v>222</v>
      </c>
      <c r="C270" s="11"/>
      <c r="D270" s="11">
        <v>3500</v>
      </c>
      <c r="E270" t="s">
        <v>381</v>
      </c>
      <c r="F270" s="111" t="s">
        <v>108</v>
      </c>
    </row>
    <row r="271" spans="1:7" x14ac:dyDescent="0.3">
      <c r="A271" s="38">
        <v>46025</v>
      </c>
      <c r="B271" t="s">
        <v>54</v>
      </c>
      <c r="C271" s="11">
        <v>3500</v>
      </c>
      <c r="D271" s="11"/>
      <c r="E271" t="s">
        <v>381</v>
      </c>
      <c r="F271" s="111" t="s">
        <v>108</v>
      </c>
    </row>
    <row r="272" spans="1:7" x14ac:dyDescent="0.3">
      <c r="A272" s="116">
        <v>46025</v>
      </c>
      <c r="B272" t="s">
        <v>229</v>
      </c>
      <c r="C272" s="11">
        <v>200100</v>
      </c>
      <c r="D272" s="11"/>
      <c r="E272" t="s">
        <v>387</v>
      </c>
      <c r="F272" s="111" t="s">
        <v>108</v>
      </c>
    </row>
    <row r="273" spans="1:7" x14ac:dyDescent="0.3">
      <c r="A273" s="38">
        <v>46025</v>
      </c>
      <c r="B273" t="s">
        <v>94</v>
      </c>
      <c r="C273" s="11">
        <v>60400</v>
      </c>
      <c r="D273" s="11"/>
      <c r="E273" t="s">
        <v>388</v>
      </c>
      <c r="F273" s="111" t="s">
        <v>108</v>
      </c>
    </row>
    <row r="274" spans="1:7" x14ac:dyDescent="0.3">
      <c r="A274" s="116">
        <v>46025</v>
      </c>
      <c r="B274" t="s">
        <v>54</v>
      </c>
      <c r="C274" s="11">
        <v>2200</v>
      </c>
      <c r="D274" s="11"/>
      <c r="E274" t="s">
        <v>389</v>
      </c>
      <c r="F274" s="111" t="s">
        <v>108</v>
      </c>
    </row>
    <row r="275" spans="1:7" x14ac:dyDescent="0.3">
      <c r="A275" s="38">
        <v>46025</v>
      </c>
      <c r="B275" t="s">
        <v>222</v>
      </c>
      <c r="C275" s="11"/>
      <c r="D275" s="11">
        <v>2200</v>
      </c>
      <c r="E275" t="s">
        <v>389</v>
      </c>
      <c r="F275" s="111" t="s">
        <v>108</v>
      </c>
    </row>
    <row r="276" spans="1:7" x14ac:dyDescent="0.3">
      <c r="A276" s="116">
        <v>46026</v>
      </c>
      <c r="B276" t="s">
        <v>233</v>
      </c>
      <c r="C276" s="11">
        <v>30000</v>
      </c>
      <c r="D276" s="11"/>
      <c r="E276" t="s">
        <v>390</v>
      </c>
      <c r="F276" s="111" t="s">
        <v>108</v>
      </c>
    </row>
    <row r="277" spans="1:7" x14ac:dyDescent="0.3">
      <c r="A277" s="38">
        <v>46026</v>
      </c>
      <c r="B277" t="s">
        <v>192</v>
      </c>
      <c r="C277" s="11"/>
      <c r="D277" s="11">
        <v>63000</v>
      </c>
      <c r="F277" s="111" t="s">
        <v>108</v>
      </c>
    </row>
    <row r="278" spans="1:7" x14ac:dyDescent="0.3">
      <c r="A278" s="116">
        <v>46026</v>
      </c>
      <c r="B278" t="s">
        <v>202</v>
      </c>
      <c r="C278" s="11">
        <v>20000</v>
      </c>
      <c r="D278" s="11"/>
      <c r="E278" t="s">
        <v>289</v>
      </c>
      <c r="F278" s="111" t="s">
        <v>108</v>
      </c>
    </row>
    <row r="279" spans="1:7" x14ac:dyDescent="0.3">
      <c r="A279" s="38">
        <v>46026</v>
      </c>
      <c r="B279" t="s">
        <v>50</v>
      </c>
      <c r="C279" s="11">
        <v>3000</v>
      </c>
      <c r="D279" s="11"/>
      <c r="E279" t="s">
        <v>391</v>
      </c>
      <c r="F279" s="111" t="s">
        <v>108</v>
      </c>
    </row>
    <row r="280" spans="1:7" x14ac:dyDescent="0.3">
      <c r="A280" s="116">
        <v>46025</v>
      </c>
      <c r="B280" t="s">
        <v>222</v>
      </c>
      <c r="C280" s="11"/>
      <c r="D280" s="11">
        <v>10400</v>
      </c>
      <c r="E280" t="s">
        <v>392</v>
      </c>
      <c r="F280" s="111" t="s">
        <v>108</v>
      </c>
    </row>
    <row r="281" spans="1:7" x14ac:dyDescent="0.3">
      <c r="A281" s="38">
        <v>46025</v>
      </c>
      <c r="B281" t="s">
        <v>177</v>
      </c>
      <c r="C281" s="11">
        <v>620</v>
      </c>
      <c r="D281" s="11"/>
      <c r="E281" t="s">
        <v>393</v>
      </c>
      <c r="F281" s="111" t="s">
        <v>108</v>
      </c>
    </row>
    <row r="282" spans="1:7" x14ac:dyDescent="0.3">
      <c r="A282" s="128"/>
      <c r="B282" s="129"/>
      <c r="C282" s="96"/>
      <c r="D282" s="96"/>
      <c r="E282" s="129"/>
      <c r="F282" s="130"/>
      <c r="G282" s="129"/>
    </row>
    <row r="283" spans="1:7" x14ac:dyDescent="0.3">
      <c r="A283" s="38"/>
      <c r="C283" s="14">
        <f>SUBTOTAL(109,Table14[Debit])</f>
        <v>21313885</v>
      </c>
      <c r="D283" s="14">
        <f>SUBTOTAL(109,Table14[Credit])</f>
        <v>21335670</v>
      </c>
      <c r="F283" s="54">
        <f>(Table14[[#Totals],[Credit]]-Table14[[#Totals],[Debit]])</f>
        <v>21785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abSelected="1" topLeftCell="A9"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D13" s="131"/>
      <c r="E13">
        <v>187000</v>
      </c>
      <c r="F13" t="s">
        <v>176</v>
      </c>
      <c r="G13" s="131">
        <f>SUMIFS(Table14[Debit], Table14[Date], Table8[[#This Row],[Date]], Table14[Party], Table8[[#This Row],[Party]])</f>
        <v>80000</v>
      </c>
      <c r="H13" s="131">
        <f>Table8[[#This Row],[Price]]-Table8[[#This Row],[Paid]]</f>
        <v>107000</v>
      </c>
      <c r="K13" s="26">
        <v>46017</v>
      </c>
      <c r="L13">
        <v>84000</v>
      </c>
      <c r="M13">
        <v>34000</v>
      </c>
    </row>
    <row r="14" spans="1:14" x14ac:dyDescent="0.3">
      <c r="D14" s="131"/>
      <c r="G14" s="131">
        <f>SUMIFS(Table14[Debit], Table14[Date], Table8[[#This Row],[Date]], Table14[Party], Table8[[#This Row],[Party]])</f>
        <v>0</v>
      </c>
      <c r="H14" s="131">
        <f>Table8[[#This Row],[Price]]-Table8[[#This Row],[Paid]]</f>
        <v>0</v>
      </c>
      <c r="K14" s="26">
        <v>46016</v>
      </c>
      <c r="L14">
        <v>162500</v>
      </c>
      <c r="M14">
        <v>0</v>
      </c>
    </row>
    <row r="15" spans="1:14" x14ac:dyDescent="0.3">
      <c r="D15" s="131"/>
      <c r="G15" s="131">
        <f>SUMIFS(Table14[Debit], Table14[Date], Table8[[#This Row],[Date]], Table14[Party], Table8[[#This Row],[Party]])</f>
        <v>0</v>
      </c>
      <c r="H15" s="131">
        <f>Table8[[#This Row],[Price]]-Table8[[#This Row],[Paid]]</f>
        <v>0</v>
      </c>
      <c r="K15" s="26">
        <v>46018</v>
      </c>
      <c r="L15">
        <v>111000</v>
      </c>
      <c r="M15">
        <v>27000</v>
      </c>
    </row>
    <row r="16" spans="1:14" x14ac:dyDescent="0.3">
      <c r="E16">
        <f>SUBTOTAL(109,Table8[Price])</f>
        <v>1019750</v>
      </c>
      <c r="H16">
        <f>SUBTOTAL(109,Table8[Balance])</f>
        <v>107000</v>
      </c>
      <c r="K16" s="26">
        <v>46020</v>
      </c>
      <c r="L16">
        <v>180250</v>
      </c>
      <c r="M16">
        <v>19250</v>
      </c>
    </row>
    <row r="17" spans="1:13" x14ac:dyDescent="0.3">
      <c r="K17" s="26">
        <v>46024</v>
      </c>
      <c r="M17">
        <v>-80250</v>
      </c>
    </row>
    <row r="18" spans="1:13" x14ac:dyDescent="0.3">
      <c r="K18" s="4" t="s">
        <v>28</v>
      </c>
      <c r="L18">
        <v>832750</v>
      </c>
      <c r="M18">
        <v>0</v>
      </c>
    </row>
    <row r="21" spans="1:13" x14ac:dyDescent="0.3">
      <c r="A21" t="s">
        <v>57</v>
      </c>
      <c r="B21" t="s">
        <v>156</v>
      </c>
      <c r="C21" t="s">
        <v>157</v>
      </c>
      <c r="D21" t="s">
        <v>4</v>
      </c>
      <c r="E21" t="s">
        <v>158</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902871</v>
      </c>
      <c r="C2" s="32">
        <f>GETPIVOTDATA("Sum of Tiyaar/gaz",$A$3)</f>
        <v>905185.8824</v>
      </c>
      <c r="D2" s="31">
        <f>((B2*48)+((C2/1.0936)*10))/C2</f>
        <v>57.021358112212155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61388</v>
      </c>
      <c r="C33" s="14">
        <v>46057</v>
      </c>
      <c r="D33" s="28">
        <f t="shared" ref="D33:D37" si="7">I33</f>
        <v>73.121877872809847</v>
      </c>
      <c r="E33" s="11">
        <f t="shared" ref="E33:E37" si="8">B33 * 1.0936</f>
        <v>67133.916799999992</v>
      </c>
      <c r="F33" s="11">
        <f t="shared" ref="F33:F37" si="9">C33</f>
        <v>46057</v>
      </c>
      <c r="G33" s="78">
        <f t="shared" ref="G33:G37" si="10">100- (F33/E33 *100)</f>
        <v>31.395333096370138</v>
      </c>
      <c r="H33" s="28">
        <f t="shared" ref="H33:H37" si="11">F33/1.0936</f>
        <v>42115.032918800294</v>
      </c>
      <c r="I33" s="28">
        <f t="shared" ref="I33:I37" si="12">((B33*48)+(H33*10))/C33</f>
        <v>73.121877872809847</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t="s">
        <v>28</v>
      </c>
      <c r="B37" s="30">
        <v>80202</v>
      </c>
      <c r="C37" s="30">
        <v>905185.8824</v>
      </c>
      <c r="D37" s="28">
        <f t="shared" si="7"/>
        <v>13.397045396130405</v>
      </c>
      <c r="E37" s="11">
        <f t="shared" si="8"/>
        <v>87708.907199999987</v>
      </c>
      <c r="F37" s="11">
        <f t="shared" si="9"/>
        <v>905185.8824</v>
      </c>
      <c r="G37" s="78">
        <f t="shared" si="10"/>
        <v>-932.03415855579169</v>
      </c>
      <c r="H37" s="28">
        <f t="shared" si="11"/>
        <v>827712.0358449159</v>
      </c>
      <c r="I37" s="28">
        <f t="shared" si="12"/>
        <v>13.397045396130405</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77495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6673641.2962692082</v>
      </c>
    </row>
    <row r="3" spans="1:3" ht="21" x14ac:dyDescent="0.4">
      <c r="A3" s="102" t="str">
        <f>Billing!Q6</f>
        <v>Ejaz Sahab</v>
      </c>
      <c r="B3" s="105">
        <f>Billing!AD6</f>
        <v>4371992</v>
      </c>
      <c r="C3" s="103">
        <f>Billing!AE6</f>
        <v>243937.95610826649</v>
      </c>
    </row>
    <row r="4" spans="1:3" ht="21" x14ac:dyDescent="0.4">
      <c r="A4" s="102" t="str">
        <f>Billing!Q7</f>
        <v>Arshad</v>
      </c>
      <c r="B4" s="105">
        <f>Billing!AD7</f>
        <v>6955301</v>
      </c>
      <c r="C4" s="104">
        <f>Billing!AE7</f>
        <v>-26883.845647402108</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215265.94001463102</v>
      </c>
    </row>
    <row r="13" spans="1:3" ht="21" x14ac:dyDescent="0.4">
      <c r="A13" s="102" t="str">
        <f>Billing!Q16</f>
        <v>Badshah Fabrics</v>
      </c>
      <c r="B13" s="105">
        <f>Billing!AD16</f>
        <v>6015761</v>
      </c>
      <c r="C13" s="103">
        <f>Billing!AE16</f>
        <v>260125.06437454373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973525</v>
      </c>
      <c r="C21" s="103">
        <f>Billing!AE24</f>
        <v>122607.95537673752</v>
      </c>
    </row>
    <row r="22" spans="1:3" ht="21" x14ac:dyDescent="0.4">
      <c r="A22" s="102" t="str">
        <f>Billing!Q25</f>
        <v>Shahid Qasayi</v>
      </c>
      <c r="B22" s="105">
        <f>Billing!AD25</f>
        <v>2461895</v>
      </c>
      <c r="C22" s="103">
        <f>Billing!AE25</f>
        <v>5967.1068032188341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2026-01-04T20:57:54Z</dcterms:modified>
  <cp:category/>
  <cp:contentStatus/>
</cp:coreProperties>
</file>