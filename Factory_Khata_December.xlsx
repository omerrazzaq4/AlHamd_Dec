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976" documentId="13_ncr:1_{89B07303-4F83-4416-81AD-F450F7417961}" xr6:coauthVersionLast="47" xr6:coauthVersionMax="47" xr10:uidLastSave="{9B8A0294-A089-4D30-8E72-4855C5F0A2E2}"/>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19"/>
    <pivotCache cacheId="19" r:id="rId20"/>
    <pivotCache cacheId="24" r:id="rId21"/>
    <pivotCache cacheId="30" r:id="rId22"/>
    <pivotCache cacheId="34" r:id="rId23"/>
    <pivotCache cacheId="39"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4" i="1" l="1"/>
  <c r="J164" i="1" a="1"/>
  <c r="J164" i="1" s="1"/>
  <c r="I165" i="1"/>
  <c r="J165" i="1" a="1"/>
  <c r="J165" i="1"/>
  <c r="I166" i="1"/>
  <c r="J166" i="1" a="1"/>
  <c r="J166" i="1"/>
  <c r="I167" i="1"/>
  <c r="J167" i="1" a="1"/>
  <c r="J167" i="1" s="1"/>
  <c r="H108" i="6"/>
  <c r="G111" i="6"/>
  <c r="G112" i="6"/>
  <c r="H110" i="6"/>
  <c r="H111" i="6"/>
  <c r="I111" i="6" s="1"/>
  <c r="H112" i="6"/>
  <c r="I112" i="6" s="1"/>
  <c r="H109" i="6"/>
  <c r="H107" i="6" l="1"/>
  <c r="I107" i="6" s="1"/>
  <c r="I161" i="1"/>
  <c r="J161" i="1" a="1"/>
  <c r="J161" i="1" s="1"/>
  <c r="I162" i="1"/>
  <c r="J162" i="1" s="1" a="1"/>
  <c r="J162" i="1" s="1"/>
  <c r="I163" i="1"/>
  <c r="J163" i="1" s="1" a="1"/>
  <c r="J163" i="1" s="1"/>
  <c r="H164" i="1"/>
  <c r="H106" i="6"/>
  <c r="I106" i="6" s="1"/>
  <c r="H103" i="6"/>
  <c r="I103" i="6" s="1"/>
  <c r="H104" i="6"/>
  <c r="I104" i="6" s="1"/>
  <c r="H105" i="6"/>
  <c r="I105" i="6" s="1"/>
  <c r="G103" i="6"/>
  <c r="G104" i="6"/>
  <c r="G105" i="6"/>
  <c r="G106" i="6"/>
  <c r="G107" i="6"/>
  <c r="G108" i="6"/>
  <c r="G109" i="6"/>
  <c r="G110" i="6"/>
  <c r="I108" i="6"/>
  <c r="I109" i="6"/>
  <c r="I110" i="6"/>
  <c r="H102" i="6"/>
  <c r="I102" i="6" s="1"/>
  <c r="I159" i="1"/>
  <c r="I160" i="1"/>
  <c r="J160" i="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J155" i="1" s="1" a="1"/>
  <c r="J155" i="1" s="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I119" i="1"/>
  <c r="J119" i="1" s="1" a="1"/>
  <c r="J119" i="1" s="1"/>
  <c r="I120" i="1"/>
  <c r="J120" i="1" s="1" a="1"/>
  <c r="J120" i="1" s="1"/>
  <c r="I121" i="1"/>
  <c r="J121" i="1" s="1" a="1"/>
  <c r="J121" i="1" s="1"/>
  <c r="I122" i="1"/>
  <c r="J122" i="1" s="1" a="1"/>
  <c r="J122" i="1" s="1"/>
  <c r="I123" i="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I89" i="1"/>
  <c r="J89" i="1" s="1" a="1"/>
  <c r="J89" i="1" s="1"/>
  <c r="I90" i="1"/>
  <c r="J90" i="1" s="1" a="1"/>
  <c r="J90" i="1" s="1"/>
  <c r="I91" i="1"/>
  <c r="J91" i="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s="1" a="1"/>
  <c r="X34" i="9" s="1"/>
  <c r="J113" i="9"/>
  <c r="Y34" i="9" a="1"/>
  <c r="Y34" i="9" s="1"/>
  <c r="K113" i="9"/>
  <c r="Z34" i="9" a="1"/>
  <c r="Z34" i="9" s="1"/>
  <c r="L113" i="9"/>
  <c r="AA34" i="9" a="1"/>
  <c r="AA34" i="9" s="1"/>
  <c r="M113" i="9"/>
  <c r="N113" i="9" s="1"/>
  <c r="AB34" i="9" a="1"/>
  <c r="AB34" i="9" s="1"/>
  <c r="C114" i="9"/>
  <c r="R35" i="9" s="1" a="1"/>
  <c r="R35" i="9" s="1"/>
  <c r="D114" i="9"/>
  <c r="S35" i="9" a="1"/>
  <c r="S35" i="9" s="1"/>
  <c r="E114" i="9"/>
  <c r="T35" i="9" a="1"/>
  <c r="T35" i="9" s="1"/>
  <c r="F114" i="9"/>
  <c r="U35" i="9" a="1"/>
  <c r="U35" i="9" s="1"/>
  <c r="G114" i="9"/>
  <c r="H114" i="9"/>
  <c r="W35" i="9" a="1"/>
  <c r="W35" i="9" s="1"/>
  <c r="I114" i="9"/>
  <c r="X35" i="9" s="1" a="1"/>
  <c r="X35" i="9" s="1"/>
  <c r="J114" i="9"/>
  <c r="Y35" i="9" a="1"/>
  <c r="Y35" i="9" s="1"/>
  <c r="K114" i="9"/>
  <c r="Z35" i="9" a="1"/>
  <c r="Z35" i="9" s="1"/>
  <c r="L114" i="9"/>
  <c r="M114" i="9"/>
  <c r="AB35" i="9" a="1"/>
  <c r="AB35" i="9" s="1"/>
  <c r="C115" i="9"/>
  <c r="D115" i="9"/>
  <c r="E115" i="9"/>
  <c r="F115" i="9"/>
  <c r="G115" i="9"/>
  <c r="V36" i="9" s="1" a="1"/>
  <c r="V36" i="9" s="1"/>
  <c r="H115" i="9"/>
  <c r="W36" i="9" a="1"/>
  <c r="W36" i="9" s="1"/>
  <c r="I115" i="9"/>
  <c r="J115" i="9"/>
  <c r="Y36" i="9" s="1" a="1"/>
  <c r="Y36" i="9" s="1"/>
  <c r="K115" i="9"/>
  <c r="Z36" i="9" s="1" a="1"/>
  <c r="Z36" i="9" s="1"/>
  <c r="L115" i="9"/>
  <c r="AA36" i="9"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F57" i="2"/>
  <c r="H57" i="2" s="1"/>
  <c r="I57" i="2" s="1"/>
  <c r="D57" i="2" s="1"/>
  <c r="E58" i="2"/>
  <c r="F58" i="2"/>
  <c r="F27" i="2"/>
  <c r="H27" i="2" s="1"/>
  <c r="I27" i="2" s="1"/>
  <c r="D27" i="2" s="1"/>
  <c r="E27" i="2"/>
  <c r="E59" i="2"/>
  <c r="F59" i="2"/>
  <c r="G59" i="2" s="1"/>
  <c r="H161" i="1" s="1"/>
  <c r="F28" i="2"/>
  <c r="H28" i="2" s="1"/>
  <c r="I28" i="2" s="1"/>
  <c r="D28" i="2" s="1"/>
  <c r="E28" i="2"/>
  <c r="E60" i="2"/>
  <c r="G60" i="2" s="1"/>
  <c r="H162" i="1" s="1"/>
  <c r="F60" i="2"/>
  <c r="H60" i="2"/>
  <c r="I60" i="2" s="1"/>
  <c r="D60" i="2" s="1"/>
  <c r="E61" i="2"/>
  <c r="G61" i="2" s="1"/>
  <c r="H167" i="1" s="1"/>
  <c r="F61" i="2"/>
  <c r="E62" i="2"/>
  <c r="F62" i="2"/>
  <c r="H62" i="2"/>
  <c r="I62" i="2"/>
  <c r="D62" i="2"/>
  <c r="E63" i="2"/>
  <c r="G63" i="2"/>
  <c r="H166" i="1" s="1"/>
  <c r="F63" i="2"/>
  <c r="H63" i="2"/>
  <c r="I63" i="2" s="1"/>
  <c r="D63" i="2" s="1"/>
  <c r="E64" i="2"/>
  <c r="F64" i="2"/>
  <c r="G64" i="2" s="1"/>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G49" i="2" s="1"/>
  <c r="F49" i="2"/>
  <c r="H49" i="2" s="1"/>
  <c r="I49" i="2" s="1"/>
  <c r="D49" i="2" s="1"/>
  <c r="F21" i="2"/>
  <c r="H21" i="2" s="1"/>
  <c r="I21" i="2" s="1"/>
  <c r="D21" i="2" s="1"/>
  <c r="E21" i="2"/>
  <c r="E50" i="2"/>
  <c r="F50" i="2"/>
  <c r="E51" i="2"/>
  <c r="F51" i="2"/>
  <c r="H51" i="2" s="1"/>
  <c r="I51" i="2" s="1"/>
  <c r="D51" i="2" s="1"/>
  <c r="E52" i="2"/>
  <c r="F52" i="2"/>
  <c r="H52" i="2" s="1"/>
  <c r="I52" i="2" s="1"/>
  <c r="D52" i="2" s="1"/>
  <c r="E53" i="2"/>
  <c r="F53" i="2"/>
  <c r="G53" i="2" s="1"/>
  <c r="H149" i="1" s="1"/>
  <c r="H53" i="2"/>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G22" i="2" s="1"/>
  <c r="H87" i="1" s="1"/>
  <c r="F7" i="2"/>
  <c r="H7" i="2" s="1"/>
  <c r="I7" i="2" s="1"/>
  <c r="D7" i="2" s="1"/>
  <c r="E7" i="2"/>
  <c r="E37" i="2"/>
  <c r="F37" i="2"/>
  <c r="H37" i="2" s="1"/>
  <c r="I37" i="2" s="1"/>
  <c r="D37" i="2" s="1"/>
  <c r="E39" i="2"/>
  <c r="F39" i="2"/>
  <c r="H39" i="2" s="1"/>
  <c r="I39" i="2" s="1"/>
  <c r="D39" i="2" s="1"/>
  <c r="E40" i="2"/>
  <c r="F40" i="2"/>
  <c r="E41" i="2"/>
  <c r="F41" i="2"/>
  <c r="H41" i="2" s="1"/>
  <c r="I41" i="2" s="1"/>
  <c r="D41" i="2" s="1"/>
  <c r="E42" i="2"/>
  <c r="F42" i="2"/>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G30" i="2" s="1"/>
  <c r="F31" i="2"/>
  <c r="H31" i="2" s="1"/>
  <c r="I31" i="2" s="1"/>
  <c r="D31" i="2" s="1"/>
  <c r="E31" i="2"/>
  <c r="H43" i="1"/>
  <c r="F32" i="2"/>
  <c r="H32" i="2" s="1"/>
  <c r="I32" i="2" s="1"/>
  <c r="D32" i="2" s="1"/>
  <c r="F14" i="2"/>
  <c r="H14" i="2" s="1"/>
  <c r="I14" i="2" s="1"/>
  <c r="D14" i="2" s="1"/>
  <c r="E14" i="2"/>
  <c r="E30" i="2"/>
  <c r="E32" i="2"/>
  <c r="N4" i="17"/>
  <c r="F12" i="2"/>
  <c r="E12" i="2"/>
  <c r="F11" i="2"/>
  <c r="E11" i="2"/>
  <c r="E17" i="2"/>
  <c r="F17" i="2"/>
  <c r="H17" i="2" s="1"/>
  <c r="I17" i="2" s="1"/>
  <c r="D17" i="2" s="1"/>
  <c r="F9" i="2"/>
  <c r="E9" i="2"/>
  <c r="E8" i="2"/>
  <c r="F8" i="2"/>
  <c r="G8" i="2" s="1"/>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66" i="2"/>
  <c r="G72" i="2"/>
  <c r="G71" i="2"/>
  <c r="H68" i="2"/>
  <c r="I68" i="2"/>
  <c r="D68" i="2"/>
  <c r="H77" i="2"/>
  <c r="I77" i="2"/>
  <c r="D77" i="2"/>
  <c r="G76" i="2"/>
  <c r="H64" i="2"/>
  <c r="I64" i="2"/>
  <c r="D64" i="2" s="1"/>
  <c r="G82" i="2"/>
  <c r="G77" i="2"/>
  <c r="H89" i="2"/>
  <c r="I89" i="2"/>
  <c r="D89" i="2"/>
  <c r="H81" i="2"/>
  <c r="I81" i="2"/>
  <c r="D81" i="2"/>
  <c r="G84" i="2"/>
  <c r="G65" i="2"/>
  <c r="G73" i="2"/>
  <c r="G67" i="2"/>
  <c r="H75" i="2"/>
  <c r="I75" i="2"/>
  <c r="D75" i="2"/>
  <c r="G86" i="2"/>
  <c r="G79" i="2"/>
  <c r="G80" i="2"/>
  <c r="H90" i="2"/>
  <c r="I90" i="2"/>
  <c r="D90" i="2"/>
  <c r="G85" i="2"/>
  <c r="G74" i="2"/>
  <c r="G92" i="2"/>
  <c r="G88" i="2"/>
  <c r="G83" i="2"/>
  <c r="H65" i="2"/>
  <c r="I65" i="2"/>
  <c r="D65" i="2"/>
  <c r="H88" i="2"/>
  <c r="I88" i="2"/>
  <c r="D88" i="2"/>
  <c r="G62" i="2"/>
  <c r="H165" i="1" s="1"/>
  <c r="H78" i="2"/>
  <c r="I78" i="2"/>
  <c r="D78" i="2"/>
  <c r="H86" i="2"/>
  <c r="I86" i="2"/>
  <c r="D86" i="2"/>
  <c r="H61" i="2"/>
  <c r="I61" i="2" s="1"/>
  <c r="D61" i="2" s="1"/>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B3" i="21"/>
  <c r="B15" i="21"/>
  <c r="B5" i="21"/>
  <c r="B22" i="21"/>
  <c r="B13" i="21"/>
  <c r="B26" i="21"/>
  <c r="B24" i="21"/>
  <c r="B27" i="21"/>
  <c r="B2" i="21"/>
  <c r="O114" i="9"/>
  <c r="AD35" i="9"/>
  <c r="B23" i="21"/>
  <c r="O115" i="9"/>
  <c r="AD36" i="9"/>
  <c r="O113" i="9"/>
  <c r="AD34" i="9" s="1"/>
  <c r="B9" i="21"/>
  <c r="B11" i="21"/>
  <c r="B6" i="21"/>
  <c r="B19" i="21"/>
  <c r="B12" i="21"/>
  <c r="B17" i="21"/>
  <c r="B7" i="21"/>
  <c r="B20" i="21"/>
  <c r="B8" i="21"/>
  <c r="B18" i="21"/>
  <c r="B25" i="21"/>
  <c r="B16" i="21"/>
  <c r="G42" i="2"/>
  <c r="H123" i="1"/>
  <c r="H42" i="2"/>
  <c r="I42" i="2" s="1"/>
  <c r="D42" i="2" s="1"/>
  <c r="G7" i="2"/>
  <c r="H62" i="1" s="1"/>
  <c r="Y33" i="9" a="1"/>
  <c r="Y33" i="9" s="1"/>
  <c r="W34" i="9" a="1"/>
  <c r="W34" i="9" s="1"/>
  <c r="V35" i="9" a="1"/>
  <c r="V35" i="9" s="1"/>
  <c r="H18" i="2"/>
  <c r="I18" i="2"/>
  <c r="D18" i="2" s="1"/>
  <c r="G34" i="2"/>
  <c r="H113" i="1" s="1"/>
  <c r="AA35" i="9" a="1"/>
  <c r="AA35" i="9" s="1"/>
  <c r="N112" i="9"/>
  <c r="P112" i="9" s="1"/>
  <c r="C2" i="2"/>
  <c r="G9" i="2" l="1"/>
  <c r="G15" i="2"/>
  <c r="G57" i="2"/>
  <c r="H159" i="1" s="1"/>
  <c r="G17" i="2"/>
  <c r="H81" i="1" s="1"/>
  <c r="G32" i="2"/>
  <c r="H114" i="1" s="1"/>
  <c r="G26" i="2"/>
  <c r="G14" i="2"/>
  <c r="G50" i="2"/>
  <c r="H144" i="1" s="1"/>
  <c r="P113" i="9"/>
  <c r="N115" i="9"/>
  <c r="P115" i="9" s="1"/>
  <c r="N114" i="9"/>
  <c r="P114" i="9" s="1"/>
  <c r="J88" i="1" a="1"/>
  <c r="J88" i="1" s="1"/>
  <c r="G69" i="9" s="1" a="1"/>
  <c r="G69" i="9" s="1"/>
  <c r="J118" i="1" a="1"/>
  <c r="J118" i="1" s="1"/>
  <c r="J137" i="1" a="1"/>
  <c r="J137" i="1" s="1"/>
  <c r="J123" i="1" a="1"/>
  <c r="J123" i="1" s="1"/>
  <c r="J159" i="1" a="1"/>
  <c r="J159" i="1" s="1"/>
  <c r="G75" i="9" s="1" a="1"/>
  <c r="G75" i="9" s="1"/>
  <c r="H76" i="1"/>
  <c r="H80" i="1"/>
  <c r="G11" i="2"/>
  <c r="G40" i="2"/>
  <c r="H130" i="1" s="1"/>
  <c r="G36" i="2"/>
  <c r="H117" i="1" s="1"/>
  <c r="G31" i="2"/>
  <c r="H110" i="1" s="1"/>
  <c r="G23" i="2"/>
  <c r="H91" i="1" s="1"/>
  <c r="G47" i="2"/>
  <c r="H137" i="1" s="1"/>
  <c r="H59" i="2"/>
  <c r="I59" i="2" s="1"/>
  <c r="D59" i="2" s="1"/>
  <c r="G29" i="2"/>
  <c r="H109" i="1" s="1"/>
  <c r="G28" i="2"/>
  <c r="H102" i="1" s="1"/>
  <c r="G58" i="2"/>
  <c r="G21" i="2"/>
  <c r="G43" i="2"/>
  <c r="H126" i="1" s="1"/>
  <c r="G5" i="2"/>
  <c r="H96" i="1" s="1"/>
  <c r="I168" i="1" a="1"/>
  <c r="I168" i="1" s="1"/>
  <c r="E7" i="8" s="1"/>
  <c r="H143" i="1"/>
  <c r="H142" i="1"/>
  <c r="G6" i="2"/>
  <c r="H103" i="1" s="1"/>
  <c r="G16" i="2"/>
  <c r="H79" i="1" s="1"/>
  <c r="G20" i="2"/>
  <c r="H85" i="1" s="1"/>
  <c r="H11" i="2"/>
  <c r="I11" i="2" s="1"/>
  <c r="G19" i="2"/>
  <c r="H140" i="1" s="1"/>
  <c r="G48" i="2"/>
  <c r="H141" i="1" s="1"/>
  <c r="G44" i="2"/>
  <c r="H128" i="1" s="1"/>
  <c r="H58" i="2"/>
  <c r="I58" i="2" s="1"/>
  <c r="D58" i="2" s="1"/>
  <c r="G37" i="2"/>
  <c r="H118" i="1" s="1"/>
  <c r="G24" i="2"/>
  <c r="H101" i="1" s="1"/>
  <c r="G27" i="2"/>
  <c r="H97" i="1" s="1"/>
  <c r="G12" i="2"/>
  <c r="H74" i="1" s="1"/>
  <c r="G25" i="2"/>
  <c r="H95" i="1" s="1"/>
  <c r="H56" i="2"/>
  <c r="I56" i="2" s="1"/>
  <c r="D56" i="2" s="1"/>
  <c r="G51" i="2"/>
  <c r="H145" i="1" s="1"/>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V12" i="9" s="1" a="1"/>
  <c r="V12" i="9" s="1"/>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AD13" i="9" s="1"/>
  <c r="B10" i="20" s="1"/>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AD10" i="9" s="1"/>
  <c r="B7" i="20" s="1"/>
  <c r="M111" i="9"/>
  <c r="AB32" i="9" s="1" a="1"/>
  <c r="AB32" i="9" s="1"/>
  <c r="J72" i="9" a="1"/>
  <c r="J72" i="9" s="1"/>
  <c r="M90" i="9"/>
  <c r="AB11" i="9" s="1" a="1"/>
  <c r="AB11" i="9" s="1"/>
  <c r="K89" i="9"/>
  <c r="Z10" i="9" s="1" a="1"/>
  <c r="Z10" i="9" s="1"/>
  <c r="M53" i="9" a="1"/>
  <c r="M53" i="9" s="1"/>
  <c r="M61" i="9" a="1"/>
  <c r="M61" i="9" s="1"/>
  <c r="H100" i="9"/>
  <c r="W21" i="9" s="1" a="1"/>
  <c r="W21" i="9" s="1"/>
  <c r="B11" i="9"/>
  <c r="E11" i="9" s="1"/>
  <c r="F109" i="9"/>
  <c r="U30" i="9" s="1" a="1"/>
  <c r="U30" i="9" s="1"/>
  <c r="F93" i="9"/>
  <c r="U14" i="9" s="1" a="1"/>
  <c r="U14" i="9" s="1"/>
  <c r="J111" i="9"/>
  <c r="Y32" i="9" s="1" a="1"/>
  <c r="Y32" i="9" s="1"/>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V31" i="9" s="1" a="1"/>
  <c r="V31" i="9" s="1"/>
  <c r="K55" i="9" a="1"/>
  <c r="K55" i="9" s="1"/>
  <c r="G104" i="9"/>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F96" i="9"/>
  <c r="U17" i="9" s="1" a="1"/>
  <c r="U17" i="9" s="1"/>
  <c r="G71" i="9" a="1"/>
  <c r="G71" i="9" s="1"/>
  <c r="F108" i="9"/>
  <c r="U29" i="9" s="1" a="1"/>
  <c r="U29" i="9" s="1"/>
  <c r="C16" i="10"/>
  <c r="N5" i="17"/>
  <c r="C504" i="17"/>
  <c r="K4" i="17" s="1"/>
  <c r="E65" i="7"/>
  <c r="F14" i="15"/>
  <c r="H12" i="15"/>
  <c r="H14" i="15" s="1"/>
  <c r="G113" i="6"/>
  <c r="K6" i="6"/>
  <c r="C4" i="8" s="1"/>
  <c r="H99" i="1"/>
  <c r="H94" i="1"/>
  <c r="H121" i="1"/>
  <c r="H73" i="1"/>
  <c r="H71" i="1"/>
  <c r="H106"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90" i="1"/>
  <c r="H100" i="1"/>
  <c r="H77" i="1"/>
  <c r="H78" i="1"/>
  <c r="H108" i="1"/>
  <c r="H107" i="1"/>
  <c r="H138" i="1"/>
  <c r="H48" i="2"/>
  <c r="I48" i="2" s="1"/>
  <c r="D48" i="2" s="1"/>
  <c r="H9" i="2"/>
  <c r="I9" i="2" s="1"/>
  <c r="D9" i="2" s="1"/>
  <c r="H12" i="2"/>
  <c r="I12" i="2" s="1"/>
  <c r="D12" i="2" s="1"/>
  <c r="H25" i="2"/>
  <c r="I25" i="2" s="1"/>
  <c r="D25" i="2" s="1"/>
  <c r="H54" i="2"/>
  <c r="I54" i="2" s="1"/>
  <c r="D54" i="2" s="1"/>
  <c r="H46" i="2"/>
  <c r="I46" i="2" s="1"/>
  <c r="D46" i="2" s="1"/>
  <c r="H4" i="2"/>
  <c r="I4" i="2" s="1"/>
  <c r="D4" i="2" s="1"/>
  <c r="G33" i="2"/>
  <c r="H147" i="1"/>
  <c r="H146" i="1"/>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AB15" i="9" s="1" a="1"/>
  <c r="AB15" i="9" s="1"/>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Z15" i="9" s="1" a="1"/>
  <c r="Z15" i="9" s="1"/>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V19" i="9" a="1"/>
  <c r="V19" i="9" s="1"/>
  <c r="H97" i="9"/>
  <c r="W18" i="9" s="1" a="1"/>
  <c r="W18" i="9" s="1"/>
  <c r="G108" i="9"/>
  <c r="V29" i="9" s="1" a="1"/>
  <c r="V29"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H50" i="9" a="1"/>
  <c r="H50" i="9" s="1"/>
  <c r="M74" i="9" a="1"/>
  <c r="M74" i="9" s="1"/>
  <c r="A16" i="20"/>
  <c r="G55" i="9" a="1"/>
  <c r="G55" i="9" s="1"/>
  <c r="N77" i="9"/>
  <c r="P77" i="9" s="1"/>
  <c r="G59" i="9" a="1"/>
  <c r="G59" i="9" s="1"/>
  <c r="N79" i="9"/>
  <c r="V11" i="9" a="1"/>
  <c r="V11" i="9" s="1"/>
  <c r="AC34" i="9"/>
  <c r="AE34" i="9" s="1"/>
  <c r="N78" i="9"/>
  <c r="P78" i="9" s="1"/>
  <c r="G60" i="9" a="1"/>
  <c r="G60" i="9" s="1"/>
  <c r="G56" i="9" a="1"/>
  <c r="G56" i="9" s="1"/>
  <c r="A14" i="20"/>
  <c r="A24" i="20"/>
  <c r="G66" i="9" a="1"/>
  <c r="G66" i="9" s="1"/>
  <c r="C107" i="9"/>
  <c r="R28" i="9" s="1" a="1"/>
  <c r="R28" i="9" s="1"/>
  <c r="C93" i="9"/>
  <c r="R14" i="9" s="1" a="1"/>
  <c r="R14" i="9" s="1"/>
  <c r="L87" i="9"/>
  <c r="AA8" i="9" s="1" a="1"/>
  <c r="AA8"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504" i="17"/>
  <c r="N6" i="17"/>
  <c r="G14" i="15"/>
  <c r="H24" i="7"/>
  <c r="J37" i="14"/>
  <c r="C12" i="8" s="1"/>
  <c r="D38" i="14"/>
  <c r="C10" i="8" s="1"/>
  <c r="I37" i="12"/>
  <c r="C43" i="12"/>
  <c r="D38" i="18"/>
  <c r="C11" i="8" s="1"/>
  <c r="H113" i="6"/>
  <c r="E38" i="18"/>
  <c r="I27" i="6"/>
  <c r="I113" i="6" s="1"/>
  <c r="D2" i="2"/>
  <c r="H135" i="1" l="1"/>
  <c r="J168" i="1" a="1"/>
  <c r="J168" i="1" s="1"/>
  <c r="K168" i="1"/>
  <c r="V25" i="9" a="1"/>
  <c r="V25" i="9" s="1"/>
  <c r="H89" i="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504"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AC25" i="9"/>
  <c r="AE25" i="9" s="1"/>
  <c r="C22" i="20"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<sst xmlns="http://schemas.openxmlformats.org/spreadsheetml/2006/main" count="2535" uniqueCount="536">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</sst>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9.153279976854" createdVersion="8" refreshedVersion="8" minRefreshableVersion="3" recordCount="502" xr:uid="{B5BDFB73-D93A-4A7A-8149-666BC190B09B}">
  <cacheSource type="worksheet">
    <worksheetSource name="Table14"/>
  </cacheSource>
  <cacheFields count="7">
    <cacheField name="Date" numFmtId="14">
      <sharedItems containsSemiMixedTypes="0" containsNonDate="0" containsDate="1" containsString="0" minDate="2025-01-03T00:00:00" maxDate="2026-01-17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9.15328043981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9.153280671293"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7T00:00:00" count="65">
        <d v="2025-12-17T00:00:00"/>
        <d v="2025-12-18T00:00:00"/>
        <d v="2025-12-22T00:00:00"/>
        <d v="2025-12-26T00:00:00"/>
        <d v="2025-12-25T00:00:00"/>
        <d v="2025-12-27T00:00:00"/>
        <d v="2025-12-29T00:00:00"/>
        <d v="2026-01-02T00:00:00"/>
        <d v="2026-01-03T00:00:00"/>
        <d v="2026-01-06T00:00:00"/>
        <d v="2026-01-07T00:00:00"/>
        <d v="2026-01-09T00:00:00"/>
        <d v="2026-01-12T00:00:00"/>
        <d v="2026-01-1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9.153281018516" createdVersion="8" refreshedVersion="8" minRefreshableVersion="3" recordCount="11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7">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01-15T00:00:00"/>
        <d v="2026-01-16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7">
        <s v="Closing Balance CF"/>
        <s v="TKL 364"/>
        <n v="9662"/>
        <s v="LES 9718"/>
        <s v="APL"/>
        <m/>
        <n v="2223"/>
        <s v="LEI 2223"/>
        <s v="-"/>
        <s v="LEJ 9662"/>
        <s v="C 8947"/>
        <s v="IDS 2165"/>
        <s v="TLH 569"/>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emiMixedTypes="0" containsString="0"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9.153281250001"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2-17T00:00:00" maxDate="2026-01-13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9.153281712963" createdVersion="8" refreshedVersion="8" minRefreshableVersion="3" recordCount="166" xr:uid="{46CBB50D-3613-4E5B-8212-DD0313DCD05A}">
  <cacheSource type="worksheet">
    <worksheetSource name="Table1"/>
  </cacheSource>
  <cacheFields count="14">
    <cacheField name="Date" numFmtId="0">
      <sharedItems containsSemiMixedTypes="0" containsNonDate="0" containsDate="1" containsString="0" minDate="2025-11-18T00:00:00" maxDate="2026-01-17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u="1"/>
        <s v="YING" u="1"/>
        <s v="Meow" u="1"/>
        <s v="Umer Sb" u="1"/>
        <s v="-" u="1"/>
        <s v="Sajjad" u="1"/>
        <s v="Haji Ejaz" u="1"/>
      </sharedItems>
    </cacheField>
    <cacheField name="Bill Number" numFmtId="0">
      <sharedItems containsMixedTypes="1" containsNumber="1" containsInteger="1" minValue="1256" maxValue="1360"/>
    </cacheField>
    <cacheField name="Quality" numFmtId="0">
      <sharedItems/>
    </cacheField>
    <cacheField name="Shipment Number" numFmtId="164">
      <sharedItems containsBlank="1" containsMixedTypes="1" containsNumber="1" containsInteger="1" minValue="1558" maxValue="17000" count="379">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2030"/>
        <n v="2037"/>
        <n v="2026"/>
        <n v="2016"/>
        <n v="2012"/>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44.107512278280723"/>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6T00:00:00"/>
    <x v="40"/>
    <m/>
    <m/>
    <m/>
    <m/>
    <m/>
  </r>
  <r>
    <d v="2026-01-16T00:00:00"/>
    <x v="4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156208.85149963424"/>
    <n v="10"/>
    <n v="1684826.2618873445"/>
  </r>
  <r>
    <x v="8"/>
    <n v="37214.703730797373"/>
    <n v="10"/>
    <n v="446576.44476956851"/>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m/>
    <x v="6"/>
    <n v="0"/>
    <n v="0"/>
    <m/>
  </r>
  <r>
    <x v="14"/>
    <m/>
    <m/>
    <m/>
    <m/>
    <x v="6"/>
    <n v="0"/>
    <n v="0"/>
    <m/>
  </r>
  <r>
    <x v="14"/>
    <m/>
    <m/>
    <m/>
    <m/>
    <x v="6"/>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580"/>
    <m/>
    <n v="143260"/>
    <m/>
    <n v="143260"/>
  </r>
  <r>
    <x v="26"/>
    <x v="3"/>
    <x v="5"/>
    <n v="138"/>
    <n v="580"/>
    <m/>
    <n v="80040"/>
    <m/>
    <n v="8004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30"/>
    <x v="0"/>
    <x v="12"/>
    <n v="522"/>
    <n v="850"/>
    <n v="95200"/>
    <n v="443700"/>
    <n v="95200"/>
    <n v="348500"/>
  </r>
  <r>
    <x v="30"/>
    <x v="6"/>
    <x v="5"/>
    <n v="213"/>
    <n v="830"/>
    <m/>
    <n v="176790"/>
    <n v="170000"/>
    <n v="6790"/>
  </r>
  <r>
    <x v="30"/>
    <x v="10"/>
    <x v="5"/>
    <n v="220"/>
    <n v="820"/>
    <m/>
    <n v="180400"/>
    <n v="100000"/>
    <n v="80400"/>
  </r>
  <r>
    <x v="31"/>
    <x v="6"/>
    <x v="5"/>
    <m/>
    <m/>
    <m/>
    <n v="0"/>
    <n v="100000"/>
    <n v="-100000"/>
  </r>
  <r>
    <x v="31"/>
    <x v="3"/>
    <x v="5"/>
    <m/>
    <m/>
    <m/>
    <n v="0"/>
    <n v="125000"/>
    <n v="-125000"/>
  </r>
  <r>
    <x v="31"/>
    <x v="10"/>
    <x v="5"/>
    <m/>
    <m/>
    <m/>
    <n v="0"/>
    <n v="50000"/>
    <n v="-5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17.083947898823482"/>
    <n v="15149.963423555231"/>
    <n v="151499.63423555231"/>
    <m/>
  </r>
  <r>
    <d v="2026-01-10T00:00:00"/>
    <x v="1"/>
    <n v="1341"/>
    <s v="Silky"/>
    <x v="45"/>
    <n v="45911"/>
    <n v="17676"/>
    <n v="2.924358102156134"/>
    <n v="16163.130943672277"/>
    <n v="210120.7022677396"/>
    <m/>
  </r>
  <r>
    <d v="2026-01-10T00:00:00"/>
    <x v="19"/>
    <n v="1342"/>
    <s v="Kataan"/>
    <x v="47"/>
    <n v="32275"/>
    <n v="12698"/>
    <n v="17.08394789882348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44.107512278280723"/>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44.107512278280723"/>
    <n v="5536.7593269934168"/>
    <n v="55367.593269934165"/>
    <m/>
  </r>
  <r>
    <d v="2026-01-15T00:00:00"/>
    <x v="7"/>
    <n v="1357"/>
    <s v="Silky"/>
    <x v="57"/>
    <n v="70035"/>
    <n v="48955"/>
    <s v="NF"/>
    <m/>
    <m/>
    <m/>
  </r>
  <r>
    <d v="2026-01-16T00:00:00"/>
    <x v="19"/>
    <n v="1358"/>
    <s v="Kataan"/>
    <x v="58"/>
    <n v="29033"/>
    <n v="26454"/>
    <s v="NF"/>
    <m/>
    <m/>
    <m/>
  </r>
  <r>
    <d v="2026-01-16T00:00:00"/>
    <x v="19"/>
    <n v="1359"/>
    <s v="Kataan"/>
    <x v="59"/>
    <n v="28546"/>
    <n v="2148"/>
    <s v="NF"/>
    <m/>
    <m/>
    <m/>
  </r>
  <r>
    <d v="2026-01-16T00:00:00"/>
    <x v="7"/>
    <n v="1360"/>
    <s v="Silky"/>
    <x v="57"/>
    <n v="70035"/>
    <n v="18158"/>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1">
      <pivotArea field="0" grandRow="1" outline="0" collapsedLevelsAreSubtotals="1" axis="axisRow" fieldPosition="0">
        <references count="1">
          <reference field="4294967294" count="1" selected="0">
            <x v="1"/>
          </reference>
        </references>
      </pivotArea>
    </format>
    <format dxfId="150">
      <pivotArea field="0" grandRow="1" outline="0" collapsedLevelsAreSubtotals="1" axis="axisRow" fieldPosition="0">
        <references count="1">
          <reference field="4294967294" count="1" selected="0">
            <x v="0"/>
          </reference>
        </references>
      </pivotArea>
    </format>
    <format dxfId="149">
      <pivotArea collapsedLevelsAreSubtotals="1" fieldPosition="0">
        <references count="2">
          <reference field="4294967294" count="1" selected="0">
            <x v="1"/>
          </reference>
          <reference field="0" count="0"/>
        </references>
      </pivotArea>
    </format>
    <format dxfId="14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7" firstHeaderRow="0" firstDataRow="1" firstDataCol="1" rowPageCount="1" colPageCount="1"/>
  <pivotFields count="9">
    <pivotField axis="axisRow" numFmtId="14" showAll="0">
      <items count="168">
        <item m="1" x="151"/>
        <item m="1" x="152"/>
        <item m="1" x="153"/>
        <item m="1" x="154"/>
        <item m="1" x="155"/>
        <item m="1" x="156"/>
        <item m="1" x="157"/>
        <item m="1" x="166"/>
        <item m="1" x="147"/>
        <item m="1" x="158"/>
        <item m="1" x="159"/>
        <item m="1" x="160"/>
        <item m="1" x="161"/>
        <item m="1" x="162"/>
        <item m="1" x="163"/>
        <item m="1" x="164"/>
        <item m="1" x="118"/>
        <item m="1" x="119"/>
        <item m="1" x="165"/>
        <item m="1" x="120"/>
        <item m="1" x="117"/>
        <item m="1" x="121"/>
        <item m="1" x="123"/>
        <item m="1" x="124"/>
        <item m="1" x="125"/>
        <item m="1" x="127"/>
        <item m="1" x="128"/>
        <item m="1" x="129"/>
        <item m="1" x="122"/>
        <item m="1" x="126"/>
        <item m="1" x="130"/>
        <item m="1" x="131"/>
        <item m="1" x="132"/>
        <item m="1" x="133"/>
        <item m="1" x="116"/>
        <item m="1" x="134"/>
        <item m="1" x="148"/>
        <item m="1" x="149"/>
        <item m="1" x="150"/>
        <item m="1" x="135"/>
        <item m="1" x="136"/>
        <item m="1" x="137"/>
        <item m="1" x="138"/>
        <item m="1" x="139"/>
        <item m="1" x="140"/>
        <item m="1" x="141"/>
        <item m="1" x="142"/>
        <item m="1" x="143"/>
        <item m="1" x="144"/>
        <item m="1" x="145"/>
        <item m="1" x="146"/>
        <item m="1" x="87"/>
        <item m="1" x="88"/>
        <item m="1" x="89"/>
        <item m="1" x="90"/>
        <item m="1" x="91"/>
        <item m="1" x="92"/>
        <item m="1" x="93"/>
        <item m="1" x="94"/>
        <item m="1" x="96"/>
        <item m="1" x="97"/>
        <item m="1" x="98"/>
        <item m="1" x="95"/>
        <item m="1" x="99"/>
        <item m="1" x="100"/>
        <item m="1" x="101"/>
        <item m="1" x="102"/>
        <item m="1" x="103"/>
        <item m="1" x="104"/>
        <item m="1" x="105"/>
        <item m="1" x="106"/>
        <item m="1" x="107"/>
        <item m="1" x="108"/>
        <item m="1" x="109"/>
        <item m="1" x="110"/>
        <item m="1" x="111"/>
        <item m="1" x="112"/>
        <item m="1" x="113"/>
        <item m="1" x="114"/>
        <item m="1" x="115"/>
        <item m="1" x="33"/>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34"/>
        <item m="1" x="37"/>
        <item m="1" x="35"/>
        <item m="1" x="36"/>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x="0"/>
        <item x="1"/>
        <item x="2"/>
        <item x="3"/>
        <item x="4"/>
        <item x="5"/>
        <item x="6"/>
        <item x="7"/>
        <item x="9"/>
        <item x="8"/>
        <item x="10"/>
        <item x="11"/>
        <item x="12"/>
        <item x="13"/>
        <item x="14"/>
        <item m="1" x="32"/>
        <item x="15"/>
        <item x="16"/>
        <item x="17"/>
        <item x="18"/>
        <item x="19"/>
        <item x="20"/>
        <item x="21"/>
        <item x="22"/>
        <item x="23"/>
        <item x="24"/>
        <item x="25"/>
        <item x="26"/>
        <item x="27"/>
        <item x="28"/>
        <item x="29"/>
        <item x="30"/>
        <item x="31"/>
        <item t="default"/>
      </items>
    </pivotField>
    <pivotField axis="axisPage" showAll="0">
      <items count="14">
        <item x="1"/>
        <item x="0"/>
        <item x="9"/>
        <item m="1" x="12"/>
        <item x="2"/>
        <item x="3"/>
        <item x="4"/>
        <item m="1" x="11"/>
        <item x="5"/>
        <item x="6"/>
        <item x="7"/>
        <item x="8"/>
        <item x="10"/>
        <item t="default"/>
      </items>
    </pivotField>
    <pivotField axis="axisRow" showAll="0">
      <items count="68">
        <item m="1" x="57"/>
        <item m="1" x="41"/>
        <item m="1" x="53"/>
        <item m="1" x="23"/>
        <item m="1" x="58"/>
        <item m="1" x="59"/>
        <item m="1" x="54"/>
        <item m="1" x="55"/>
        <item m="1" x="56"/>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5"/>
        <item x="1"/>
        <item x="2"/>
        <item m="1" x="13"/>
        <item x="3"/>
        <item x="4"/>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9">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x v="165"/>
    </i>
    <i r="1">
      <x v="54"/>
    </i>
    <i r="1">
      <x v="66"/>
    </i>
    <i>
      <x v="16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66">
        <item m="1" x="60"/>
        <item m="1" x="61"/>
        <item m="1" x="62"/>
        <item m="1" x="63"/>
        <item m="1" x="64"/>
        <item m="1" x="59"/>
        <item m="1" x="47"/>
        <item m="1" x="48"/>
        <item m="1" x="52"/>
        <item m="1" x="53"/>
        <item m="1" x="49"/>
        <item m="1" x="54"/>
        <item m="1" x="55"/>
        <item m="1" x="56"/>
        <item m="1" x="57"/>
        <item m="1" x="58"/>
        <item m="1" x="46"/>
        <item m="1" x="50"/>
        <item m="1" x="51"/>
        <item m="1" x="39"/>
        <item m="1" x="40"/>
        <item m="1" x="41"/>
        <item m="1" x="42"/>
        <item m="1" x="43"/>
        <item m="1" x="44"/>
        <item m="1" x="45"/>
        <item m="1" x="15"/>
        <item m="1" x="31"/>
        <item m="1" x="32"/>
        <item m="1" x="33"/>
        <item m="1" x="34"/>
        <item m="1" x="35"/>
        <item m="1" x="36"/>
        <item m="1" x="37"/>
        <item m="1" x="38"/>
        <item m="1" x="16"/>
        <item m="1" x="17"/>
        <item m="1" x="18"/>
        <item m="1" x="19"/>
        <item m="1" x="20"/>
        <item m="1" x="21"/>
        <item m="1" x="22"/>
        <item m="1" x="24"/>
        <item m="1" x="25"/>
        <item m="1" x="23"/>
        <item m="1" x="26"/>
        <item m="1" x="27"/>
        <item m="1" x="28"/>
        <item m="1" x="29"/>
        <item m="1" x="30"/>
        <item x="0"/>
        <item x="1"/>
        <item x="2"/>
        <item x="3"/>
        <item x="4"/>
        <item x="5"/>
        <item x="6"/>
        <item x="7"/>
        <item x="8"/>
        <item x="9"/>
        <item x="10"/>
        <item x="11"/>
        <item x="12"/>
        <item x="14"/>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6">
    <i>
      <x v="50"/>
    </i>
    <i>
      <x v="51"/>
    </i>
    <i>
      <x v="52"/>
    </i>
    <i>
      <x v="53"/>
    </i>
    <i>
      <x v="54"/>
    </i>
    <i>
      <x v="55"/>
    </i>
    <i>
      <x v="56"/>
    </i>
    <i>
      <x v="57"/>
    </i>
    <i>
      <x v="58"/>
    </i>
    <i>
      <x v="59"/>
    </i>
    <i>
      <x v="60"/>
    </i>
    <i>
      <x v="61"/>
    </i>
    <i>
      <x v="62"/>
    </i>
    <i>
      <x v="63"/>
    </i>
    <i>
      <x v="6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4"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m="1"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80">
        <item m="1" x="362"/>
        <item m="1" x="363"/>
        <item m="1" x="361"/>
        <item m="1" x="360"/>
        <item m="1" x="364"/>
        <item m="1" x="366"/>
        <item m="1" x="365"/>
        <item m="1" x="367"/>
        <item m="1" x="368"/>
        <item m="1" x="369"/>
        <item m="1" x="370"/>
        <item m="1" x="371"/>
        <item m="1" x="372"/>
        <item m="1" x="373"/>
        <item m="1" x="298"/>
        <item m="1" x="320"/>
        <item m="1" x="374"/>
        <item m="1" x="375"/>
        <item m="1" x="376"/>
        <item m="1" x="328"/>
        <item m="1" x="327"/>
        <item m="1" x="377"/>
        <item m="1" x="378"/>
        <item m="1" x="337"/>
        <item m="1" x="329"/>
        <item m="1" x="330"/>
        <item m="1" x="331"/>
        <item m="1" x="332"/>
        <item m="1" x="333"/>
        <item m="1" x="334"/>
        <item m="1" x="335"/>
        <item m="1" x="336"/>
        <item m="1" x="338"/>
        <item m="1" x="358"/>
        <item m="1" x="339"/>
        <item m="1" x="359"/>
        <item m="1" x="340"/>
        <item m="1" x="341"/>
        <item m="1" x="342"/>
        <item m="1" x="343"/>
        <item m="1" x="344"/>
        <item m="1" x="275"/>
        <item m="1" x="345"/>
        <item m="1" x="346"/>
        <item m="1" x="347"/>
        <item m="1" x="348"/>
        <item m="1" x="349"/>
        <item m="1" x="350"/>
        <item m="1" x="351"/>
        <item m="1" x="352"/>
        <item m="1" x="353"/>
        <item m="1" x="354"/>
        <item m="1" x="355"/>
        <item m="1" x="356"/>
        <item m="1" x="357"/>
        <item x="0"/>
        <item m="1" x="274"/>
        <item m="1" x="276"/>
        <item m="1" x="277"/>
        <item m="1" x="278"/>
        <item m="1" x="279"/>
        <item m="1" x="280"/>
        <item m="1" x="281"/>
        <item m="1" x="282"/>
        <item m="1" x="283"/>
        <item m="1" x="284"/>
        <item m="1" x="285"/>
        <item m="1" x="286"/>
        <item m="1" x="287"/>
        <item m="1" x="288"/>
        <item x="6"/>
        <item m="1" x="289"/>
        <item m="1" x="290"/>
        <item m="1" x="291"/>
        <item m="1" x="292"/>
        <item m="1" x="293"/>
        <item m="1" x="294"/>
        <item m="1" x="295"/>
        <item m="1" x="296"/>
        <item m="1" x="297"/>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1"/>
        <item m="1" x="322"/>
        <item m="1" x="323"/>
        <item m="1" x="324"/>
        <item m="1" x="325"/>
        <item m="1" x="326"/>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x="24"/>
        <item m="1" x="243"/>
        <item m="1" x="244"/>
        <item m="1" x="245"/>
        <item m="1" x="246"/>
        <item m="1" x="247"/>
        <item m="1" x="248"/>
        <item m="1" x="249"/>
        <item m="1" x="250"/>
        <item m="1" x="251"/>
        <item m="1" x="252"/>
        <item m="1" x="253"/>
        <item m="1" x="273"/>
        <item m="1" x="254"/>
        <item m="1" x="255"/>
        <item m="1" x="256"/>
        <item m="1" x="257"/>
        <item m="1" x="258"/>
        <item m="1" x="259"/>
        <item m="1" x="260"/>
        <item m="1" x="261"/>
        <item m="1" x="262"/>
        <item m="1" x="263"/>
        <item m="1" x="264"/>
        <item m="1" x="265"/>
        <item m="1" x="266"/>
        <item m="1" x="267"/>
        <item m="1" x="268"/>
        <item m="1" x="269"/>
        <item m="1" x="270"/>
        <item m="1" x="271"/>
        <item m="1" x="272"/>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69"/>
        <item m="1" x="192"/>
        <item m="1" x="60"/>
        <item m="1" x="61"/>
        <item m="1" x="62"/>
        <item m="1" x="63"/>
        <item m="1" x="64"/>
        <item m="1" x="65"/>
        <item m="1" x="66"/>
        <item m="1" x="67"/>
        <item m="1" x="68"/>
        <item m="1" x="70"/>
        <item m="1" x="71"/>
        <item m="1" x="72"/>
        <item m="1" x="73"/>
        <item m="1" x="74"/>
        <item m="1" x="75"/>
        <item m="1" x="76"/>
        <item m="1" x="77"/>
        <item m="1" x="78"/>
        <item m="1" x="79"/>
        <item m="1" x="80"/>
        <item m="1" x="81"/>
        <item m="1" x="82"/>
        <item m="1" x="83"/>
        <item x="3"/>
        <item m="1" x="84"/>
        <item m="1" x="85"/>
        <item m="1" x="86"/>
        <item m="1" x="87"/>
        <item m="1" x="88"/>
        <item m="1" x="89"/>
        <item m="1" x="90"/>
        <item m="1" x="91"/>
        <item m="1" x="92"/>
        <item m="1" x="93"/>
        <item m="1" x="94"/>
        <item m="1" x="95"/>
        <item m="1" x="96"/>
        <item m="1" x="97"/>
        <item m="1" x="98"/>
        <item m="1" x="99"/>
        <item m="1" x="100"/>
        <item m="1" x="101"/>
        <item m="1" x="102"/>
        <item m="1" x="103"/>
        <item m="1" x="104"/>
        <item m="1" x="105"/>
        <item x="7"/>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x="4"/>
        <item m="1" x="135"/>
        <item m="1" x="136"/>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x="55"/>
        <item x="56"/>
        <item x="57"/>
        <item x="58"/>
        <item x="5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1">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3">
      <pivotArea type="all" dataOnly="0" outline="0" fieldPosition="0"/>
    </format>
    <format dxfId="62">
      <pivotArea outline="0" collapsedLevelsAreSubtotals="1" fieldPosition="0"/>
    </format>
    <format dxfId="61">
      <pivotArea field="4" type="button" dataOnly="0" labelOnly="1" outline="0" axis="axisRow" fieldPosition="0"/>
    </format>
    <format dxfId="60">
      <pivotArea dataOnly="0" labelOnly="1" fieldPosition="0">
        <references count="1">
          <reference field="4"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grandRow="1" outline="0" collapsedLevelsAreSubtotals="1" fieldPosition="0"/>
    </format>
    <format dxfId="56">
      <pivotArea field="4" type="button" dataOnly="0" labelOnly="1" outline="0" axis="axisRow" fieldPosition="0"/>
    </format>
    <format dxfId="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79">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58" s="1"/>
        <i x="53" s="1"/>
        <i x="54" s="1"/>
        <i x="48" s="1"/>
        <i x="57" s="1"/>
        <i x="49" s="1"/>
        <i x="50" s="1"/>
        <i x="51" s="1"/>
        <i x="55" s="1"/>
        <i x="56" s="1"/>
        <i x="31" s="1"/>
        <i x="20" s="1"/>
        <i x="52" s="1"/>
        <i x="333" s="1" nd="1"/>
        <i x="362" s="1" nd="1"/>
        <i x="363" s="1" nd="1"/>
        <i x="371" s="1" nd="1"/>
        <i x="361" s="1" nd="1"/>
        <i x="360" s="1" nd="1"/>
        <i x="364" s="1" nd="1"/>
        <i x="375" s="1" nd="1"/>
        <i x="367" s="1" nd="1"/>
        <i x="368" s="1" nd="1"/>
        <i x="365" s="1" nd="1"/>
        <i x="366" s="1" nd="1"/>
        <i x="376" s="1" nd="1"/>
        <i x="369" s="1" nd="1"/>
        <i x="370" s="1" nd="1"/>
        <i x="373" s="1" nd="1"/>
        <i x="374" s="1" nd="1"/>
        <i x="372" s="1" nd="1"/>
        <i x="328" s="1" nd="1"/>
        <i x="378" s="1" nd="1"/>
        <i x="327" s="1" nd="1"/>
        <i x="377" s="1" nd="1"/>
        <i x="330" s="1" nd="1"/>
        <i x="291" s="1" nd="1"/>
        <i x="329" s="1" nd="1"/>
        <i x="331" s="1" nd="1"/>
        <i x="337" s="1" nd="1"/>
        <i x="332" s="1" nd="1"/>
        <i x="334" s="1" nd="1"/>
        <i x="350" s="1" nd="1"/>
        <i x="274" s="1" nd="1"/>
        <i x="338" s="1" nd="1"/>
        <i x="279" s="1" nd="1"/>
        <i x="344" s="1" nd="1"/>
        <i x="339" s="1" nd="1"/>
        <i x="342" s="1" nd="1"/>
        <i x="347" s="1" nd="1"/>
        <i x="358" s="1" nd="1"/>
        <i x="340" s="1" nd="1"/>
        <i x="352" s="1" nd="1"/>
        <i x="355" s="1" nd="1"/>
        <i x="346" s="1" nd="1"/>
        <i x="335" s="1" nd="1"/>
        <i x="343" s="1" nd="1"/>
        <i x="336" s="1" nd="1"/>
        <i x="341" s="1" nd="1"/>
        <i x="275" s="1" nd="1"/>
        <i x="345" s="1" nd="1"/>
        <i x="351" s="1" nd="1"/>
        <i x="348" s="1" nd="1"/>
        <i x="353" s="1" nd="1"/>
        <i x="349" s="1" nd="1"/>
        <i x="315" s="1" nd="1"/>
        <i x="354" s="1" nd="1"/>
        <i x="356" s="1" nd="1"/>
        <i x="277" s="1" nd="1"/>
        <i x="284" s="1" nd="1"/>
        <i x="357" s="1" nd="1"/>
        <i x="281" s="1" nd="1"/>
        <i x="282" s="1" nd="1"/>
        <i x="276" s="1" nd="1"/>
        <i x="280" s="1" nd="1"/>
        <i x="168" s="1" nd="1"/>
        <i x="278" s="1" nd="1"/>
        <i x="287" s="1" nd="1"/>
        <i x="283" s="1" nd="1"/>
        <i x="285" s="1" nd="1"/>
        <i x="288" s="1" nd="1"/>
        <i x="295" s="1" nd="1"/>
        <i x="286" s="1" nd="1"/>
        <i x="294" s="1" nd="1"/>
        <i x="299" s="1" nd="1"/>
        <i x="293" s="1" nd="1"/>
        <i x="296" s="1" nd="1"/>
        <i x="306" s="1" nd="1"/>
        <i x="292" s="1" nd="1"/>
        <i x="289" s="1" nd="1"/>
        <i x="290" s="1" nd="1"/>
        <i x="305" s="1" nd="1"/>
        <i x="164" s="1" nd="1"/>
        <i x="298" s="1" nd="1"/>
        <i x="309" s="1" nd="1"/>
        <i x="304" s="1" nd="1"/>
        <i x="297" s="1" nd="1"/>
        <i x="321" s="1" nd="1"/>
        <i x="302" s="1" nd="1"/>
        <i x="312" s="1" nd="1"/>
        <i x="310" s="1" nd="1"/>
        <i x="300" s="1" nd="1"/>
        <i x="308" s="1" nd="1"/>
        <i x="307" s="1" nd="1"/>
        <i x="303" s="1" nd="1"/>
        <i x="313" s="1" nd="1"/>
        <i x="311" s="1" nd="1"/>
        <i x="314" s="1" nd="1"/>
        <i x="301" s="1" nd="1"/>
        <i x="243" s="1" nd="1"/>
        <i x="316" s="1" nd="1"/>
        <i x="317" s="1" nd="1"/>
        <i x="202" s="1" nd="1"/>
        <i x="204" s="1" nd="1"/>
        <i x="324" s="1" nd="1"/>
        <i x="198" s="1" nd="1"/>
        <i x="244" s="1" nd="1"/>
        <i x="318" s="1" nd="1"/>
        <i x="319" s="1" nd="1"/>
        <i x="201" s="1" nd="1"/>
        <i x="326" s="1" nd="1"/>
        <i x="200" s="1" nd="1"/>
        <i x="215" s="1" nd="1"/>
        <i x="325" s="1" nd="1"/>
        <i x="320" s="1" nd="1"/>
        <i x="219" s="1" nd="1"/>
        <i x="323" s="1" nd="1"/>
        <i x="322" s="1" nd="1"/>
        <i x="240" s="1" nd="1"/>
        <i x="193" s="1" nd="1"/>
        <i x="205" s="1" nd="1"/>
        <i x="241" s="1" nd="1"/>
        <i x="239" s="1" nd="1"/>
        <i x="197" s="1" nd="1"/>
        <i x="199" s="1" nd="1"/>
        <i x="203" s="1" nd="1"/>
        <i x="194" s="1" nd="1"/>
        <i x="229" s="1" nd="1"/>
        <i x="234" s="1" nd="1"/>
        <i x="195" s="1" nd="1"/>
        <i x="196" s="1" nd="1"/>
        <i x="206" s="1" nd="1"/>
        <i x="209" s="1" nd="1"/>
        <i x="216" s="1" nd="1"/>
        <i x="208" s="1" nd="1"/>
        <i x="211" s="1" nd="1"/>
        <i x="210" s="1" nd="1"/>
        <i x="252" s="1" nd="1"/>
        <i x="207" s="1" nd="1"/>
        <i x="232" s="1" nd="1"/>
        <i x="247" s="1" nd="1"/>
        <i x="212" s="1" nd="1"/>
        <i x="237" s="1" nd="1"/>
        <i x="249" s="1" nd="1"/>
        <i x="221" s="1" nd="1"/>
        <i x="261" s="1" nd="1"/>
        <i x="220" s="1" nd="1"/>
        <i x="217" s="1" nd="1"/>
        <i x="213" s="1" nd="1"/>
        <i x="214" s="1" nd="1"/>
        <i x="233" s="1" nd="1"/>
        <i x="222" s="1" nd="1"/>
        <i x="145" s="1" nd="1"/>
        <i x="223" s="1" nd="1"/>
        <i x="218" s="1" nd="1"/>
        <i x="225" s="1" nd="1"/>
        <i x="226" s="1" nd="1"/>
        <i x="254" s="1" nd="1"/>
        <i x="224" s="1" nd="1"/>
        <i x="242" s="1" nd="1"/>
        <i x="230" s="1" nd="1"/>
        <i x="227" s="1" nd="1"/>
        <i x="231" s="1" nd="1"/>
        <i x="228" s="1" nd="1"/>
        <i x="235" s="1" nd="1"/>
        <i x="253" s="1" nd="1"/>
        <i x="248" s="1" nd="1"/>
        <i x="267" s="1" nd="1"/>
        <i x="236" s="1" nd="1"/>
        <i x="138" s="1" nd="1"/>
        <i x="246" s="1" nd="1"/>
        <i x="238" s="1" nd="1"/>
        <i x="262" s="1" nd="1"/>
        <i x="245" s="1" nd="1"/>
        <i x="260" s="1" nd="1"/>
        <i x="146" s="1" nd="1"/>
        <i x="251" s="1" nd="1"/>
        <i x="250" s="1" nd="1"/>
        <i x="266" s="1" nd="1"/>
        <i x="263" s="1" nd="1"/>
        <i x="157" s="1" nd="1"/>
        <i x="271" s="1" nd="1"/>
        <i x="255" s="1" nd="1"/>
        <i x="264" s="1" nd="1"/>
        <i x="269" s="1" nd="1"/>
        <i x="148" s="1" nd="1"/>
        <i x="174" s="1" nd="1"/>
        <i x="273" s="1" nd="1"/>
        <i x="270" s="1" nd="1"/>
        <i x="139" s="1" nd="1"/>
        <i x="159" s="1" nd="1"/>
        <i x="265" s="1" nd="1"/>
        <i x="141" s="1" nd="1"/>
        <i x="256" s="1" nd="1"/>
        <i x="259" s="1" nd="1"/>
        <i x="156" s="1" nd="1"/>
        <i x="268" s="1" nd="1"/>
        <i x="257" s="1" nd="1"/>
        <i x="258" s="1" nd="1"/>
        <i x="143" s="1" nd="1"/>
        <i x="161" s="1" nd="1"/>
        <i x="162" s="1" nd="1"/>
        <i x="175" s="1" nd="1"/>
        <i x="272" s="1" nd="1"/>
        <i x="137" s="1" nd="1"/>
        <i x="160" s="1" nd="1"/>
        <i x="153" s="1" nd="1"/>
        <i x="140" s="1" nd="1"/>
        <i x="144" s="1" nd="1"/>
        <i x="150" s="1" nd="1"/>
        <i x="142" s="1" nd="1"/>
        <i x="166" s="1" nd="1"/>
        <i x="170" s="1" nd="1"/>
        <i x="171" s="1" nd="1"/>
        <i x="163" s="1" nd="1"/>
        <i x="147" s="1" nd="1"/>
        <i x="149" s="1" nd="1"/>
        <i x="151" s="1" nd="1"/>
        <i x="154" s="1" nd="1"/>
        <i x="167" s="1" nd="1"/>
        <i x="152" s="1" nd="1"/>
        <i x="173" s="1" nd="1"/>
        <i x="105" s="1" nd="1"/>
        <i x="84" s="1" nd="1"/>
        <i x="188" s="1" nd="1"/>
        <i x="155" s="1" nd="1"/>
        <i x="176" s="1" nd="1"/>
        <i x="172" s="1" nd="1"/>
        <i x="158" s="1" nd="1"/>
        <i x="180" s="1" nd="1"/>
        <i x="116" s="1" nd="1"/>
        <i x="79" s="1" nd="1"/>
        <i x="165" s="1" nd="1"/>
        <i x="189" s="1" nd="1"/>
        <i x="169" s="1" nd="1"/>
        <i x="192" s="1" nd="1"/>
        <i x="179" s="1" nd="1"/>
        <i x="184" s="1" nd="1"/>
        <i x="61" s="1" nd="1"/>
        <i x="181" s="1" nd="1"/>
        <i x="183" s="1" nd="1"/>
        <i x="101" s="1" nd="1"/>
        <i x="69" s="1" nd="1"/>
        <i x="178" s="1" nd="1"/>
        <i x="66" s="1" nd="1"/>
        <i x="177" s="1" nd="1"/>
        <i x="78" s="1" nd="1"/>
        <i x="62" s="1" nd="1"/>
        <i x="60" s="1" nd="1"/>
        <i x="182" s="1" nd="1"/>
        <i x="76" s="1" nd="1"/>
        <i x="70" s="1" nd="1"/>
        <i x="81" s="1" nd="1"/>
        <i x="98" s="1" nd="1"/>
        <i x="75" s="1" nd="1"/>
        <i x="86" s="1" nd="1"/>
        <i x="80" s="1" nd="1"/>
        <i x="77" s="1" nd="1"/>
        <i x="190" s="1" nd="1"/>
        <i x="134" s="1" nd="1"/>
        <i x="88" s="1" nd="1"/>
        <i x="89" s="1" nd="1"/>
        <i x="186" s="1" nd="1"/>
        <i x="185" s="1" nd="1"/>
        <i x="63" s="1" nd="1"/>
        <i x="65" s="1" nd="1"/>
        <i x="96" s="1" nd="1"/>
        <i x="72" s="1" nd="1"/>
        <i x="191" s="1" nd="1"/>
        <i x="130" s="1" nd="1"/>
        <i x="121" s="1" nd="1"/>
        <i x="109" s="1" nd="1"/>
        <i x="83" s="1" nd="1"/>
        <i x="68" s="1" nd="1"/>
        <i x="99" s="1" nd="1"/>
        <i x="118" s="1" nd="1"/>
        <i x="110" s="1" nd="1"/>
        <i x="106" s="1" nd="1"/>
        <i x="74" s="1" nd="1"/>
        <i x="94" s="1" nd="1"/>
        <i x="93" s="1" nd="1"/>
        <i x="108" s="1" nd="1"/>
        <i x="95" s="1" nd="1"/>
        <i x="187" s="1" nd="1"/>
        <i x="71" s="1" nd="1"/>
        <i x="67" s="1" nd="1"/>
        <i x="97" s="1" nd="1"/>
        <i x="64" s="1" nd="1"/>
        <i x="102" s="1" nd="1"/>
        <i x="103" s="1" nd="1"/>
        <i x="107" s="1" nd="1"/>
        <i x="87" s="1" nd="1"/>
        <i x="82" s="1" nd="1"/>
        <i x="115" s="1" nd="1"/>
        <i x="114" s="1" nd="1"/>
        <i x="119" s="1" nd="1"/>
        <i x="73" s="1" nd="1"/>
        <i x="117" s="1" nd="1"/>
        <i x="104" s="1" nd="1"/>
        <i x="85" s="1" nd="1"/>
        <i x="90" s="1" nd="1"/>
        <i x="91" s="1" nd="1"/>
        <i x="100" s="1" nd="1"/>
        <i x="92" s="1" nd="1"/>
        <i x="111" s="1" nd="1"/>
        <i x="122" s="1" nd="1"/>
        <i x="112" s="1" nd="1"/>
        <i x="128" s="1" nd="1"/>
        <i x="125" s="1" nd="1"/>
        <i x="123" s="1" nd="1"/>
        <i x="135" s="1" nd="1"/>
        <i x="129" s="1" nd="1"/>
        <i x="136" s="1" nd="1"/>
        <i x="131" s="1" nd="1"/>
        <i x="132" s="1" nd="1"/>
        <i x="113" s="1" nd="1"/>
        <i x="126" s="1" nd="1"/>
        <i x="133" s="1" nd="1"/>
        <i x="124" s="1" nd="1"/>
        <i x="127" s="1" nd="1"/>
        <i x="120" s="1" nd="1"/>
        <i x="35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7">
      <calculatedColumnFormula>B49</calculatedColumnFormula>
    </tableColumn>
    <tableColumn id="2" xr3:uid="{7EDCC2ED-0339-42B3-9633-FFEA7A3DD9F3}" name="Tiyaar" dataDxfId="146">
      <calculatedColumnFormula>SUMIFS(ledger!G:G, ledger!B:B, B2, ledger!E:E, "&lt;&gt;*RD*") / 1.0936</calculatedColumnFormula>
    </tableColumn>
    <tableColumn id="3" xr3:uid="{CC1535DD-3FE7-4F55-8040-E7643388A78E}" name="Rate"/>
    <tableColumn id="4" xr3:uid="{059CB70B-ADAD-4985-84AA-0D530BAC5567}" name="Total" dataDxfId="14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4" dataDxfId="143">
  <autoFilter ref="B7:E20" xr:uid="{449E5D32-DF9C-4018-96AB-CA98E118D910}"/>
  <tableColumns count="4">
    <tableColumn id="1" xr3:uid="{F663704C-91DD-4BB9-B7EB-EEB0C5EDED6C}" name="Description" dataDxfId="142"/>
    <tableColumn id="2" xr3:uid="{6D94D495-CD0B-4FD3-9771-81D731982A97}" name="Rate" dataDxfId="141" dataCellStyle="Comma"/>
    <tableColumn id="3" xr3:uid="{2D14CEAD-3602-40E7-A488-3584EBC9141E}" name="gazana" dataDxfId="140" dataCellStyle="Comma"/>
    <tableColumn id="4" xr3:uid="{06FEE63C-6480-4079-8426-51BC26B38B34}" name="sum" dataDxfId="13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8" totalsRowDxfId="137" dataCellStyle="Comma">
      <totalsRowFormula>SUM(Table12[Amount])</totalsRowFormula>
    </tableColumn>
    <tableColumn id="3" xr3:uid="{12F975D1-A51D-47BD-82DF-F0C35A709016}" name="Description"/>
    <tableColumn id="4" xr3:uid="{96712812-B120-49C2-B905-59FC86A743E8}" name="cost per meter" totalsRowFunction="custom" dataDxfId="136" totalsRowDxfId="13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8" totalsRowCount="1" headerRowDxfId="125" dataDxfId="124" headerRowCellStyle="Comma" dataCellStyle="Comma">
  <autoFilter ref="A1:K167" xr:uid="{11DACEC6-751B-4B1D-817F-5C5BCD38EF6D}"/>
  <tableColumns count="11">
    <tableColumn id="1" xr3:uid="{2FCE3FA8-A48C-4685-8919-AE44C6C71FD9}" name="Date" dataDxfId="123" dataCellStyle="Comma"/>
    <tableColumn id="2" xr3:uid="{5780FD5F-0890-44E6-B59C-8E37A559FE36}" name="Party Name" dataDxfId="122" dataCellStyle="Comma"/>
    <tableColumn id="3" xr3:uid="{5B3ECD85-9174-40AC-BFBD-49CAC97A83D3}" name="Bill Number" dataDxfId="121" dataCellStyle="Comma"/>
    <tableColumn id="4" xr3:uid="{11B50761-04B6-4262-AD4D-7182450037D1}" name="Quality" dataDxfId="120" dataCellStyle="Comma"/>
    <tableColumn id="5" xr3:uid="{2C556969-B713-4967-BD24-466AACCBE5F5}" name="Shipment Number" dataDxfId="119" totalsRowDxfId="6" dataCellStyle="Comma"/>
    <tableColumn id="6" xr3:uid="{F4E1FD2B-9017-4DEB-B772-BF447ECE56F7}" name="Kora/metre" dataDxfId="118" totalsRowDxfId="5" dataCellStyle="Comma"/>
    <tableColumn id="7" xr3:uid="{52ACC1DA-7A76-4A90-B809-3A1AE728E7EA}" name="Tiyaar/gaz" dataDxfId="117" totalsRowDxfId="4" dataCellStyle="Comma"/>
    <tableColumn id="8" xr3:uid="{31A0FF5E-56F0-44D1-9865-73256B964660}" name="shortage %" dataDxfId="116" totalsRowDxfId="3" dataCellStyle="Comma">
      <calculatedColumnFormula>_xlfn.XLOOKUP(Table1[[#This Row],[Shipment Number]], 'pivot '!A:A,'pivot '!G:G, "NF")</calculatedColumnFormula>
    </tableColumn>
    <tableColumn id="9" xr3:uid="{F99075E0-AC8E-094D-BB85-272AD2C6C568}" name="tiyar/meters" totalsRowFunction="custom" dataDxfId="115" totalsRowDxfId="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4" totalsRowDxfId="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3" totalsRowDxfId="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3" totalsRowCount="1" headerRowDxfId="110" headerRowBorderDxfId="109" tableBorderDxfId="108">
  <autoFilter ref="A1:I112" xr:uid="{F8E8C957-ABE7-4E4F-8D4E-7D44E26B334F}"/>
  <tableColumns count="9">
    <tableColumn id="1" xr3:uid="{C2E817D6-AB98-4DDD-8890-736B27F261CD}" name="Date" dataDxfId="42" totalsRowDxfId="35"/>
    <tableColumn id="2" xr3:uid="{CFB51890-CCDC-463C-81C9-3F8BD7469CB9}" name="Party Name"/>
    <tableColumn id="3" xr3:uid="{A113D971-1C9D-4733-99C4-BD0CC4333209}" name="Vehicle Number"/>
    <tableColumn id="4" xr3:uid="{49780304-3DD1-4AE9-98EE-2BC7EB8F3B57}" name="Weight" dataDxfId="41" totalsRowDxfId="34" dataCellStyle="Comma"/>
    <tableColumn id="5" xr3:uid="{FCAF1BC6-1D8C-42AD-8BBC-F924BF2DC7FE}" name="Rate" dataDxfId="40" totalsRowDxfId="33" dataCellStyle="Comma"/>
    <tableColumn id="6" xr3:uid="{8C70A624-4134-410C-9C45-9FDEB51D51BF}" name="Rent" dataDxfId="39" totalsRowDxfId="32" dataCellStyle="Comma"/>
    <tableColumn id="7" xr3:uid="{EBCE10AE-9634-4982-9C95-37ABC8A7078C}" name="Total" totalsRowFunction="sum" dataDxfId="38" totalsRowDxfId="31" dataCellStyle="Comma">
      <calculatedColumnFormula>D2*E2</calculatedColumnFormula>
    </tableColumn>
    <tableColumn id="9" xr3:uid="{D4788559-C94A-44D9-B9AE-E72B214355AC}" name="Paid" totalsRowFunction="sum" dataDxfId="37" totalsRowDxfId="30" dataCellStyle="Comma"/>
    <tableColumn id="8" xr3:uid="{E26F5BF0-1875-4FC6-994D-49F202ED562B}" name="balance" totalsRowFunction="sum" dataDxfId="36" totalsRowDxfId="2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04" totalsRowCount="1">
  <autoFilter ref="A1:G503" xr:uid="{CB032221-B416-47A8-9A76-693DE76CFD04}"/>
  <tableColumns count="7">
    <tableColumn id="1" xr3:uid="{554B1EED-65B6-4E9A-B646-82727FAC40DE}" name="Date" dataDxfId="106" totalsRowDxfId="46"/>
    <tableColumn id="2" xr3:uid="{32259059-42CF-4947-83DE-115AA430BE2B}" name="Party"/>
    <tableColumn id="3" xr3:uid="{A1320223-D55D-483C-91C3-AB19B95CC9D8}" name="Debit" totalsRowFunction="sum" dataDxfId="105" totalsRowDxfId="45" dataCellStyle="Comma"/>
    <tableColumn id="4" xr3:uid="{E9745767-9FF0-4B1C-9052-FF335D1D7588}" name="Credit" totalsRowFunction="sum" dataDxfId="104" totalsRowDxfId="44" dataCellStyle="Comma"/>
    <tableColumn id="5" xr3:uid="{5C88A48E-2467-4E6D-B626-2442B7FD0BE4}" name="Description"/>
    <tableColumn id="6" xr3:uid="{63CA4666-144E-4BE6-8B7C-7CB992BD3041}" name="Mode" totalsRowFunction="custom" dataDxfId="103" totalsRowDxfId="4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2" tableBorderDxfId="101" totalsRowBorderDxfId="100">
  <autoFilter ref="J3:K6" xr:uid="{DCE01694-23ED-48BF-8B92-4186B9ED10A8}"/>
  <tableColumns count="2">
    <tableColumn id="1" xr3:uid="{C8484DAF-2989-4C2F-9AEC-A6917E1C57F6}" name="Type" dataDxfId="99"/>
    <tableColumn id="2" xr3:uid="{B07B7A2A-4D4E-4654-BED6-FE2F0A7BEC34}" name="Amount" dataDxfId="9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7" headerRowBorderDxfId="96" tableBorderDxfId="95" totalsRowBorderDxfId="94">
  <autoFilter ref="M3:O6" xr:uid="{D166BDD1-ACD7-45D7-8AE9-7350373F8CEB}"/>
  <tableColumns count="3">
    <tableColumn id="1" xr3:uid="{64F0205E-DEA7-4571-BA86-E4374A5FEE28}" name="Type" totalsRowLabel="Total" dataDxfId="93" totalsRowDxfId="92"/>
    <tableColumn id="2" xr3:uid="{15FA05F9-789C-4459-9BE0-5C1EC84D3365}" name="amount" totalsRowFunction="custom" dataDxfId="91" totalsRowDxfId="90">
      <totalsRowFormula>SUM(N5:N6)</totalsRowFormula>
    </tableColumn>
    <tableColumn id="3" xr3:uid="{3681D409-90C6-44D0-BDE2-4B5943A516F0}" name="Actual" totalsRowFunction="custom" totalsRowDxfId="8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8" totalsRowDxfId="87"/>
    <tableColumn id="2" xr3:uid="{5B9D0FEE-4304-4C5C-A05C-5B27CF7841D3}" name="Type"/>
    <tableColumn id="3" xr3:uid="{6A91CA0D-C802-4C6F-9F39-CA53687E8EDE}" name="Description"/>
    <tableColumn id="4" xr3:uid="{A251D40C-AB87-4BB4-85F8-444B20E32FDF}" name="Total" totalsRowFunction="custom" dataDxfId="86" totalsRowDxfId="8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84" headerRowBorderDxfId="83">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2"/>
    <tableColumn id="4" xr3:uid="{1889A312-9B41-4EC4-BD8F-05252F27084A}" name="Price" totalsRowFunction="sum"/>
    <tableColumn id="6" xr3:uid="{8B974B20-F003-4E67-8660-024FA4F324A9}" name="Party"/>
    <tableColumn id="7" xr3:uid="{0A5A5C21-FD61-47DA-9F54-66A6479FA557}" name="Paid" dataDxfId="81">
      <calculatedColumnFormula>SUMIFS(Table14[Debit], Table14[Date], Table8[[#This Row],[Date]], Table14[Party], Table8[[#This Row],[Party]])</calculatedColumnFormula>
    </tableColumn>
    <tableColumn id="8" xr3:uid="{8DCB3B43-2161-4081-82EC-CDB0F4DE4E6F}" name="Balance" totalsRowFunction="sum" dataDxfId="8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9" headerRowBorderDxfId="78">
  <autoFilter ref="A4:H13" xr:uid="{A4C80688-A8BA-4BA7-90B4-791CD99446B4}"/>
  <sortState xmlns:xlrd2="http://schemas.microsoft.com/office/spreadsheetml/2017/richdata2" ref="A5:H6">
    <sortCondition ref="A4:A6"/>
  </sortState>
  <tableColumns count="8">
    <tableColumn id="1" xr3:uid="{4A818912-918E-4111-ACFC-BC93FEF7C1AD}" name="Date" dataDxfId="77" totalsRowDxfId="76"/>
    <tableColumn id="8" xr3:uid="{477ACFD5-62AF-4F69-974B-E9B974C11D7D}" name="Party Name" dataDxfId="7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4">
      <calculatedColumnFormula>Table2[[#This Row],[Quantity]]*200*Table2[[#This Row],[Boxes]]</calculatedColumnFormula>
    </tableColumn>
    <tableColumn id="6" xr3:uid="{30432929-CBD4-4BA8-B63F-CD0F6CF6405F}" name="Paid" totalsRowFunction="sum" dataDxfId="73">
      <calculatedColumnFormula>SUMIFS(Table14[Debit], Table14[Date], Table2[[#This Row],[Date]], Table14[Party], Table2[[#This Row],[Party Name]])</calculatedColumnFormula>
    </tableColumn>
    <tableColumn id="7" xr3:uid="{BB689DF2-5D1E-436D-84C4-9745D88E8F3D}" name="Balance" totalsRowFunction="sum" dataDxfId="7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1" totalsRowDxfId="7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9" totalsRowDxfId="68"/>
    <tableColumn id="2" xr3:uid="{053BFC14-4828-417C-9F9F-95B6E232A945}" name="Amount" totalsRowFunction="custom" dataDxfId="67" totalsRowDxfId="6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5" totalsRowDxfId="6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4" totalsRowDxfId="5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2" totalsRowDxfId="5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0">
      <calculatedColumnFormula>Billing!Q5</calculatedColumnFormula>
    </tableColumn>
    <tableColumn id="2" xr3:uid="{7093A59E-B58F-487D-888A-9AA8156B5F9A}" name="Amount Paid" dataDxfId="4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8"/>
    <tableColumn id="2" xr3:uid="{F72CFEEB-BA11-4A49-BD19-88592EB6A27C}" name="Credit" dataDxfId="4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1">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7735501</v>
      </c>
      <c r="AE7" s="33">
        <f t="shared" si="2"/>
        <v>160684.07681053504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156208.85149963424</v>
      </c>
      <c r="D9">
        <v>10</v>
      </c>
      <c r="E9" s="14">
        <f>(SUMIFS(ledger!G:G, ledger!B:B, B9, ledger!E:E, "&lt;&gt;*RD*",ledger!D:D, "Silky") / 1.0936)*12 + (SUMIFS(ledger!G:G, ledger!B:B, B9, ledger!E:E, "&lt;&gt;*RD*",ledger!D:D, "Chamki") / 1.0936)*10</f>
        <v>1684826.2618873445</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37214.703730797373</v>
      </c>
      <c r="D10">
        <v>10</v>
      </c>
      <c r="E10" s="14">
        <f>(SUMIFS(ledger!G:G, ledger!B:B, B10, ledger!E:E, "&lt;&gt;*RD*",ledger!D:D, "Silky") / 1.0936)*12 + (SUMIFS(ledger!G:G, ledger!B:B, B10, ledger!E:E, "&lt;&gt;*RD*",ledger!D:D, "Chamki") / 1.0936)*10</f>
        <v>446576.44476956851</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532437</v>
      </c>
      <c r="S12" s="22" cm="1">
        <f t="array" ref="S12">_xlfn.BYROW(B56, _xlfn.LAMBDA(_xlpm.party, SUMIFS(ledger!G:G, ledger!B:B, _xlpm.party, ledger!E:E, "&lt;&gt;*RD*") / 1.0936 ))+_xlfn.IFNA(D91,0)</f>
        <v>486866.31309436727</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86557.242136064378</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1125244.1477688369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5128334.8573518656</v>
      </c>
      <c r="AD12" s="22">
        <f>(SUMIF(Table14[Party],Q12,Table14[Credit]))+_xlfn.IFNA(O91,0)</f>
        <v>4330540</v>
      </c>
      <c r="AE12" s="33">
        <f t="shared" si="2"/>
        <v>797794.85735186562</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107548</v>
      </c>
      <c r="S13" s="22" cm="1">
        <f t="array" ref="S13">_xlfn.BYROW(B57, _xlfn.LAMBDA(_xlpm.party, SUMIFS(ledger!G:G, ledger!B:B, _xlpm.party, ledger!E:E, "&lt;&gt;*RD*") / 1.0936 ))+_xlfn.IFNA(D92,0)</f>
        <v>98343.087051938564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52210.131675201177</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663736.28383321152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1125065.8376005855</v>
      </c>
      <c r="AD13" s="22">
        <f>(SUMIF(Table14[Party],Q13,Table14[Credit]))+_xlfn.IFNA(O92,0)</f>
        <v>940190</v>
      </c>
      <c r="AE13" s="33">
        <f t="shared" si="2"/>
        <v>184875.83760058554</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16447103.899049014</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16447103.899049014</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195628</v>
      </c>
      <c r="S24" s="22" cm="1">
        <f t="array" ref="S24">_xlfn.BYROW(B68, _xlfn.LAMBDA(_xlpm.party, SUMIFS(ledger!G:G, ledger!B:B, _xlpm.party, ledger!E:E, "&lt;&gt;*RD*") / 1.0936 ))+_xlfn.IFNA(D103,0)</f>
        <v>178884.41843452817</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813880.76079005131</v>
      </c>
      <c r="AB24" s="70" cm="1">
        <f t="array" ref="AB24">_xlfn.BYROW(B68, _xlfn.LAMBDA(_xlpm.party,
   SUMIFS(ledger!J:J, ledger!B:B, _xlpm.party, ledger!E:E, "&lt;&gt;*RD*", ledger!D:D, "Munaar", ledger!C:C, "&lt;&gt;November Closing CF")
))+ _xlfn.IFNA(M103, 0)</f>
        <v>0</v>
      </c>
      <c r="AC24" s="39">
        <f t="shared" si="1"/>
        <v>1910013.7161667887</v>
      </c>
      <c r="AD24" s="22">
        <f>(SUMIF(Table14[Party],Q24,Table14[Credit]))+_xlfn.IFNA(O103,0)</f>
        <v>1796025</v>
      </c>
      <c r="AE24" s="33">
        <f t="shared" si="2"/>
        <v>113988.71616678871</v>
      </c>
      <c r="AF24" s="21">
        <v>10</v>
      </c>
      <c r="AG24" s="21">
        <v>13</v>
      </c>
    </row>
    <row r="25" spans="2:33" x14ac:dyDescent="0.3">
      <c r="I25" t="s">
        <v>201</v>
      </c>
      <c r="Q25" t="str">
        <v>Shahid Qasayi</v>
      </c>
      <c r="R25" s="22" cm="1">
        <f t="array" ref="R25">_xlfn.BYROW(B69,_xlfn.LAMBDA(_xlpm.party,SUMIFS(ledger!G:G,ledger!B:B,_xlpm.party,ledger!E:E,"&lt;&gt;*RD*")))+_xlfn.IFNA(C104,0)</f>
        <v>293270</v>
      </c>
      <c r="S25" s="22" cm="1">
        <f t="array" ref="S25">_xlfn.BYROW(B69, _xlfn.LAMBDA(_xlpm.party, SUMIFS(ledger!G:G, ledger!B:B, _xlpm.party, ledger!E:E, "&lt;&gt;*RD*") / 1.0936 ))+_xlfn.IFNA(D104,0)</f>
        <v>268169.34893928317</v>
      </c>
      <c r="T25" s="22" cm="1">
        <f t="array" ref="T25">(_xlfn.BYROW(B69,_xlfn.LAMBDA(_xlpm.party,SUMIFS(ledger!G:G,ledger!B:B,_xlpm.party,ledger!E:E,"&lt;&gt;*RD*",ledger!D:D,"Chamki")+SUMIFS(ledger!G:G, ledger!B:B, _xlpm.party, ledger!E:E, "&lt;&gt;*RD*", ledger!D:D, "Crinkle")))/1.0936)+_xlfn.IFNA(E104,0)</f>
        <v>218630.21214337967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2186302.1214337964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2733213.240673006</v>
      </c>
      <c r="AD25" s="22">
        <f>(SUMIF(Table14[Party],Q25,Table14[Credit]))+_xlfn.IFNA(O104,0)</f>
        <v>2461895</v>
      </c>
      <c r="AE25" s="33">
        <f t="shared" si="2"/>
        <v>271318.24067300605</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5">_xlfn.UNIQUE(Table1[Party Name])</f>
        <v>BSC</v>
      </c>
      <c r="C49" s="22" cm="1">
        <f t="array" ref="C49:C75">_xlfn.BYROW(_xlfn.ANCHORARRAY(B49),_xlfn.LAMBDA(_xlpm.party,SUMIFS(ledger!G:G,ledger!B:B,_xlpm.party,ledger!E:E,"&lt;&gt;*RD*")))</f>
        <v>564414.8824</v>
      </c>
      <c r="D49" s="22" cm="1">
        <f t="array" ref="D49:D75">_xlfn.BYROW(_xlfn.ANCHORARRAY(B49), _xlfn.LAMBDA(_xlpm.party, SUMIFS(ledger!G:G, ledger!B:B, _xlpm.party, ledger!E:E, "&lt;&gt;*RD*") / 1.0936 ))</f>
        <v>516107.24433065113</v>
      </c>
      <c r="E49" s="63" cm="1">
        <f t="array" ref="E49:E75">(_xlfn.BYROW(_xlfn.ANCHORARRAY(B49),_xlfn.LAMBDA(_xlpm.party,SUMIFS(ledger!G:G,ledger!B:B,_xlpm.party,ledger!E:E,"&lt;&gt;*RD*",ledger!D:D,"Chamki")+SUMIFS(ledger!G:G, ledger!B:B, _xlpm.party, ledger!E:E, "&lt;&gt;*RD*", ledger!D:D, "Crinkle")))/1.0936)</f>
        <v>418642.90636430145</v>
      </c>
      <c r="F49" s="63" cm="1">
        <f t="array" ref="F49:F75">(_xlfn.BYROW(_xlfn.ANCHORARRAY(B49),_xlfn.LAMBDA(_xlpm.party,SUMIFS(ledger!G:G,ledger!B:B,_xlpm.party,ledger!E:E,"&lt;&gt;*RD*",ledger!D:D,"Silky")))/1.0936)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1732566</v>
      </c>
      <c r="P51" s="37">
        <f>N51-O51</f>
        <v>-64959.013899049023</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170830</v>
      </c>
      <c r="D56" s="22">
        <v>156208.85149963424</v>
      </c>
      <c r="E56" s="63">
        <v>94839.978054133142</v>
      </c>
      <c r="F56" s="63">
        <v>61368.8734455011</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797795.35479151423</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1746195.1353328456</v>
      </c>
      <c r="O56" s="22">
        <f>(SUMIF(Table14[Party],B56,Table14[Credit]))</f>
        <v>1007920</v>
      </c>
      <c r="P56" s="37">
        <f t="shared" ref="P56:P78" si="6">N56-O56</f>
        <v>738275.13533284562</v>
      </c>
      <c r="Q56" s="21">
        <v>10</v>
      </c>
      <c r="R56" s="21">
        <v>12</v>
      </c>
    </row>
    <row r="57" spans="1:23" x14ac:dyDescent="0.3">
      <c r="B57" s="24" t="str">
        <v>Ubaidullah</v>
      </c>
      <c r="C57" s="22">
        <v>40698</v>
      </c>
      <c r="D57" s="22">
        <v>37214.703730797373</v>
      </c>
      <c r="E57" s="63">
        <v>0</v>
      </c>
      <c r="F57" s="63">
        <v>37214.703730797373</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483791.14850036579</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483791.14850036579</v>
      </c>
      <c r="O57" s="22">
        <f>SUMIF(Table14[Party], B57, Table14[Credit])</f>
        <v>300000</v>
      </c>
      <c r="P57" s="37">
        <f t="shared" si="6"/>
        <v>183791.14850036579</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156208.85149963424</v>
      </c>
      <c r="W65" s="18">
        <v>1684826.2618873445</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37214.703730797373</v>
      </c>
      <c r="W66" s="18">
        <v>446576.44476956851</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130848</v>
      </c>
      <c r="D68" s="22">
        <v>119648.86613021215</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813880.76079005131</v>
      </c>
      <c r="M68" s="70" cm="1">
        <f t="array" ref="M68">_xlfn.BYROW(B68, _xlfn.LAMBDA(_xlpm.party,
   SUMIFS(ledger!J:J, ledger!B:B, _xlpm.party, ledger!E:E, "&lt;&gt;*RD*", ledger!D:D, "Munaar", ledger!C:C, "&lt;&gt;November Closing CF")
))</f>
        <v>0</v>
      </c>
      <c r="N68" s="39">
        <f t="shared" si="4"/>
        <v>1196488.6613021216</v>
      </c>
      <c r="O68" s="22">
        <f>SUMIF(Table14[Party], B68, Table14[Credit])</f>
        <v>1796025</v>
      </c>
      <c r="P68" s="37">
        <f t="shared" si="6"/>
        <v>-599536.33869787841</v>
      </c>
      <c r="Q68" s="21">
        <v>10</v>
      </c>
      <c r="R68" s="21">
        <v>12</v>
      </c>
      <c r="U68" s="4" t="s">
        <v>27</v>
      </c>
      <c r="V68" s="5">
        <v>102513.7161667886</v>
      </c>
      <c r="W68" s="18">
        <v>1025137.161667886</v>
      </c>
    </row>
    <row r="69" spans="2:23" x14ac:dyDescent="0.3">
      <c r="B69" s="81" t="str">
        <v>Shahid Qasayi</v>
      </c>
      <c r="C69" s="22">
        <v>117141</v>
      </c>
      <c r="D69" s="22">
        <v>107115.03291880031</v>
      </c>
      <c r="E69" s="63">
        <v>105134.41843452817</v>
      </c>
      <c r="F69" s="21">
        <v>0</v>
      </c>
      <c r="G69" s="22" cm="1">
        <f t="array" ref="G69">(_xlfn.BYROW(B69,_xlfn.LAMBDA(_xlpm.party,
(SUMIFS(ledger!J:J,ledger!B:B,_xlpm.party,ledger!E:E,"&lt;&gt;*RD*",ledger!D:D,"Chamki",ledger!C:C,"&lt;&gt;November Closing CF")+
SUMIFS(ledger!J:J,ledger!B:B,_xlpm.party,ledger!E:E,"&lt;&gt;*RD*",ledger!D:D,"Crinkle",ledger!C:C,"&lt;&gt;November Closing CF")
))))</f>
        <v>1051344.1843452817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1075111.5581565471</v>
      </c>
      <c r="O69" s="22">
        <f>SUMIF(Table14[Party], B69, Table14[Credit])</f>
        <v>993570</v>
      </c>
      <c r="P69" s="37">
        <f t="shared" si="6"/>
        <v>81541.558156547137</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1248098.8317483542</v>
      </c>
      <c r="W75" s="14">
        <v>12047709.400146306</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0">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0"/>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0">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sheetData>
  <conditionalFormatting sqref="E20">
    <cfRule type="cellIs" dxfId="28" priority="1" operator="lessThan">
      <formula>20000</formula>
    </cfRule>
    <cfRule type="cellIs" dxfId="2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8646140</v>
      </c>
      <c r="D4" t="s">
        <v>190</v>
      </c>
      <c r="E4" s="43">
        <f ca="1">Table12[[#This Row],[Amount]]/Table1[[#Totals],[tiyar/meters]]</f>
        <v>5.6409077833741437</v>
      </c>
    </row>
    <row r="5" spans="1:5" x14ac:dyDescent="0.3">
      <c r="B5" t="s">
        <v>48</v>
      </c>
      <c r="C5" s="11">
        <f>SUM(Table8[Price])+Dyes!P56</f>
        <v>1898035</v>
      </c>
      <c r="E5" s="43">
        <f ca="1">Table12[[#This Row],[Amount]]/Table1[[#Totals],[tiyar/meters]]</f>
        <v>1.2383144853792032</v>
      </c>
    </row>
    <row r="6" spans="1:5" x14ac:dyDescent="0.3">
      <c r="B6" t="s">
        <v>49</v>
      </c>
      <c r="C6" s="11">
        <f>SUM(Table2[Price])+Finish!K30</f>
        <v>457600</v>
      </c>
      <c r="D6" t="s">
        <v>189</v>
      </c>
      <c r="E6" s="43">
        <f ca="1">Table12[[#This Row],[Amount]]/Table1[[#Totals],[tiyar/meters]]</f>
        <v>0.29854702811566874</v>
      </c>
    </row>
    <row r="7" spans="1:5" x14ac:dyDescent="0.3">
      <c r="B7" t="s">
        <v>50</v>
      </c>
      <c r="C7" s="11">
        <f>SUMIFS(Table14[Debit], Table14[Party],Table12[[#This Row],[Type]])</f>
        <v>34255</v>
      </c>
      <c r="E7" s="43">
        <f ca="1">Table12[[#This Row],[Amount]]/Table1[[#Totals],[tiyar/meters]]</f>
        <v>2.2348619860363274E-2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1550600</v>
      </c>
      <c r="E9" s="43">
        <f ca="1">Table12[[#This Row],[Amount]]/Table1[[#Totals],[tiyar/meters]]</f>
        <v>1.0116412189601311</v>
      </c>
    </row>
    <row r="10" spans="1:5" x14ac:dyDescent="0.3">
      <c r="B10" t="s">
        <v>53</v>
      </c>
      <c r="C10" s="11">
        <f>Table5[[#Totals],[Amount]]</f>
        <v>111730</v>
      </c>
      <c r="E10" s="43">
        <f ca="1">Table12[[#This Row],[Amount]]/Table1[[#Totals],[tiyar/meters]]</f>
        <v>7.289479775210593E-2</v>
      </c>
    </row>
    <row r="11" spans="1:5" x14ac:dyDescent="0.3">
      <c r="B11" t="s">
        <v>54</v>
      </c>
      <c r="C11" s="11">
        <f>Table13[[#Totals],[Debit]]</f>
        <v>142291</v>
      </c>
      <c r="E11" s="43">
        <f ca="1">Table12[[#This Row],[Amount]]/Table1[[#Totals],[tiyar/meters]]</f>
        <v>9.2833381069944543E-2</v>
      </c>
    </row>
    <row r="12" spans="1:5" x14ac:dyDescent="0.3">
      <c r="B12" t="s">
        <v>55</v>
      </c>
      <c r="C12" s="11">
        <f>Table15[[#Totals],[Amount]]</f>
        <v>490210</v>
      </c>
      <c r="E12" s="43">
        <f ca="1">Table12[[#This Row],[Amount]]/Table1[[#Totals],[tiyar/meters]]</f>
        <v>0.31982241838413894</v>
      </c>
    </row>
    <row r="13" spans="1:5" x14ac:dyDescent="0.3">
      <c r="C13" s="11"/>
      <c r="E13" s="43">
        <f ca="1">Table12[[#This Row],[Amount]]/Table1[[#Totals],[tiyar/meters]]</f>
        <v>0</v>
      </c>
    </row>
    <row r="14" spans="1:5" x14ac:dyDescent="0.3">
      <c r="C14" s="14">
        <f>SUM(Table12[Amount])</f>
        <v>13330861</v>
      </c>
      <c r="E14" s="43">
        <f ca="1">SUM(Table12[cost per meter])</f>
        <v>8.6973097328956985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16447103.899049014</v>
      </c>
    </row>
    <row r="4" spans="1:3" x14ac:dyDescent="0.3">
      <c r="B4" s="11" t="s">
        <v>44</v>
      </c>
      <c r="C4" s="11">
        <f>Table12[[#Totals],[Amount]]</f>
        <v>13330861</v>
      </c>
    </row>
    <row r="5" spans="1:3" x14ac:dyDescent="0.3">
      <c r="A5" s="6"/>
      <c r="B5" s="15" t="s">
        <v>68</v>
      </c>
      <c r="C5" s="15">
        <f>C3-C4</f>
        <v>3116242.8990490139</v>
      </c>
    </row>
    <row r="10" spans="1:3" ht="15" thickBot="1" x14ac:dyDescent="0.35">
      <c r="B10" t="s">
        <v>66</v>
      </c>
      <c r="C10" s="14" t="s">
        <v>67</v>
      </c>
    </row>
    <row r="11" spans="1:3" x14ac:dyDescent="0.3">
      <c r="B11" s="56" t="s">
        <v>0</v>
      </c>
      <c r="C11" s="57">
        <f>C3</f>
        <v>16447103.899049014</v>
      </c>
    </row>
    <row r="12" spans="1:3" x14ac:dyDescent="0.3">
      <c r="B12" s="58" t="s">
        <v>69</v>
      </c>
      <c r="C12" s="59">
        <f>SUM(Table14[Credit])</f>
        <v>29495396</v>
      </c>
    </row>
    <row r="13" spans="1:3" ht="15" thickBot="1" x14ac:dyDescent="0.35">
      <c r="B13" s="74" t="s">
        <v>93</v>
      </c>
      <c r="C13" s="73">
        <f>(C11-C12)</f>
        <v>-13048292.100950986</v>
      </c>
    </row>
    <row r="14" spans="1:3" ht="15" thickBot="1" x14ac:dyDescent="0.35">
      <c r="B14" s="58"/>
      <c r="C14" s="59"/>
    </row>
    <row r="15" spans="1:3" x14ac:dyDescent="0.3">
      <c r="B15" s="56" t="s">
        <v>44</v>
      </c>
      <c r="C15" s="57">
        <f>C4</f>
        <v>13330861</v>
      </c>
    </row>
    <row r="16" spans="1:3" x14ac:dyDescent="0.3">
      <c r="B16" s="58" t="s">
        <v>70</v>
      </c>
      <c r="C16" s="59">
        <f>SUM(Table14[Debit])</f>
        <v>29387842</v>
      </c>
    </row>
    <row r="17" spans="2:6" ht="15" thickBot="1" x14ac:dyDescent="0.35">
      <c r="B17" s="74" t="s">
        <v>71</v>
      </c>
      <c r="C17" s="73">
        <f>C15-C16</f>
        <v>-16056981</v>
      </c>
    </row>
    <row r="18" spans="2:6" ht="15" thickBot="1" x14ac:dyDescent="0.35">
      <c r="B18" s="58"/>
      <c r="C18" s="59"/>
    </row>
    <row r="19" spans="2:6" ht="15" thickBot="1" x14ac:dyDescent="0.35">
      <c r="B19" s="75" t="s">
        <v>72</v>
      </c>
      <c r="C19" s="76">
        <f>Table18[[#Totals],[amount]]</f>
        <v>157554</v>
      </c>
    </row>
    <row r="20" spans="2:6" ht="15" thickBot="1" x14ac:dyDescent="0.35">
      <c r="B20" s="71"/>
      <c r="C20" s="72"/>
    </row>
    <row r="21" spans="2:6" ht="15" thickBot="1" x14ac:dyDescent="0.35">
      <c r="B21" s="60" t="s">
        <v>73</v>
      </c>
      <c r="C21" s="61">
        <f>(C13-C17)+C19</f>
        <v>3166242.8990490139</v>
      </c>
      <c r="E21" s="79" t="s">
        <v>74</v>
      </c>
      <c r="F21" s="80">
        <f>C5*0.05</f>
        <v>155812.1449524507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142291</v>
      </c>
      <c r="E38">
        <f>SUBTOTAL(109,Table13[Credit])</f>
        <v>0</v>
      </c>
      <c r="F38">
        <f>Table13[[#Totals],[Debit]]-Table13[[#Totals],[Credit]]</f>
        <v>142291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8"/>
  <sheetViews>
    <sheetView tabSelected="1" topLeftCell="A156" zoomScale="115" zoomScaleNormal="115" workbookViewId="0">
      <selection activeCell="I163" sqref="I163:J16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17.083947898823482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17.083947898823482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44.107512278280723</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44.107512278280723</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46037</v>
      </c>
      <c r="B164" s="124" t="s">
        <v>152</v>
      </c>
      <c r="C164" s="119">
        <v>1357</v>
      </c>
      <c r="D164" s="119" t="s">
        <v>86</v>
      </c>
      <c r="E164" s="11">
        <v>2026</v>
      </c>
      <c r="F164" s="11">
        <v>70035</v>
      </c>
      <c r="G164" s="11">
        <v>48955</v>
      </c>
      <c r="H164" s="120">
        <f>_xlfn.XLOOKUP(Table1[[#This Row],[Shipment Number]], 'pivot '!A:A,'pivot '!G:G, "NF")</f>
        <v>12.373993795243663</v>
      </c>
      <c r="I164" s="121">
        <f>Table1[[#This Row],[Tiyaar/gaz]]/1.0936</f>
        <v>44764.996342355524</v>
      </c>
      <c r="J164" s="121"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9"/>
    </row>
    <row r="165" spans="1:12" x14ac:dyDescent="0.3">
      <c r="A165" s="122">
        <v>46038</v>
      </c>
      <c r="B165" s="124" t="s">
        <v>184</v>
      </c>
      <c r="C165" s="119">
        <v>1358</v>
      </c>
      <c r="D165" s="119" t="s">
        <v>212</v>
      </c>
      <c r="E165" s="11">
        <v>2016</v>
      </c>
      <c r="F165" s="11">
        <v>29033</v>
      </c>
      <c r="G165" s="11">
        <v>26454</v>
      </c>
      <c r="H165" s="120">
        <f>_xlfn.XLOOKUP(Table1[[#This Row],[Shipment Number]], 'pivot '!A:A,'pivot '!G:G, "NF")</f>
        <v>16.681597670395547</v>
      </c>
      <c r="I165" s="121">
        <f>Table1[[#This Row],[Tiyaar/gaz]]/1.0936</f>
        <v>24189.831748354063</v>
      </c>
      <c r="J165" s="121"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9"/>
    </row>
    <row r="166" spans="1:12" x14ac:dyDescent="0.3">
      <c r="A166" s="122">
        <v>46038</v>
      </c>
      <c r="B166" s="124" t="s">
        <v>184</v>
      </c>
      <c r="C166" s="119">
        <v>1359</v>
      </c>
      <c r="D166" s="119" t="s">
        <v>212</v>
      </c>
      <c r="E166" s="11">
        <v>2012</v>
      </c>
      <c r="F166" s="11">
        <v>28546</v>
      </c>
      <c r="G166" s="11">
        <v>2148</v>
      </c>
      <c r="H166" s="120">
        <f>_xlfn.XLOOKUP(Table1[[#This Row],[Shipment Number]], 'pivot '!A:A,'pivot '!G:G, "NF")</f>
        <v>93.119333412296569</v>
      </c>
      <c r="I166" s="121">
        <f>Table1[[#This Row],[Tiyaar/gaz]]/1.0936</f>
        <v>1964.1550841258231</v>
      </c>
      <c r="J166" s="121"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9"/>
    </row>
    <row r="167" spans="1:12" x14ac:dyDescent="0.3">
      <c r="A167" s="122">
        <v>46038</v>
      </c>
      <c r="B167" s="124" t="s">
        <v>152</v>
      </c>
      <c r="C167" s="119">
        <v>1360</v>
      </c>
      <c r="D167" s="119" t="s">
        <v>86</v>
      </c>
      <c r="E167" s="11">
        <v>2026</v>
      </c>
      <c r="F167" s="11">
        <v>70035</v>
      </c>
      <c r="G167" s="11">
        <v>18158</v>
      </c>
      <c r="H167" s="120">
        <f>_xlfn.XLOOKUP(Table1[[#This Row],[Shipment Number]], 'pivot '!A:A,'pivot '!G:G, "NF")</f>
        <v>12.373993795243663</v>
      </c>
      <c r="I167" s="121">
        <f>Table1[[#This Row],[Tiyaar/gaz]]/1.0936</f>
        <v>16603.877103145576</v>
      </c>
      <c r="J167" s="121"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9"/>
    </row>
    <row r="168" spans="1:12" x14ac:dyDescent="0.3">
      <c r="A168"/>
      <c r="B168"/>
      <c r="C168"/>
      <c r="D168"/>
      <c r="E168" s="14"/>
      <c r="F168" s="14"/>
      <c r="G168" s="14"/>
      <c r="H168" s="43"/>
      <c r="I168" s="94" cm="1">
        <f t="array" aca="1" ref="I168" ca="1">SUMPRODUCT( SUBTOTAL(109, OFFSET(Table1[tiyar/meters], ROW(Table1[tiyar/meters])-MIN(ROW(Table1[tiyar/meters])), 0, 1)), --(Table1[Bill Number]&lt;&gt;"November Closing CF") )</f>
        <v>1532756.8419897582</v>
      </c>
      <c r="J168" s="43" cm="1">
        <f t="array" aca="1" ref="J168" ca="1">SUMPRODUCT( SUBTOTAL(109, OFFSET(Table1[billing], ROW(Table1[billing])-MIN(ROW(Table1[billing])), 0, 1)), --(Table1[Bill Number]&lt;&gt;"November Closing CF") )</f>
        <v>16447103.899049019</v>
      </c>
      <c r="K168" s="14">
        <f>SUMIFS(Table1[billing], Table1[Bill Number], "&lt;&gt;November Closing CF")</f>
        <v>16447103.899049019</v>
      </c>
    </row>
  </sheetData>
  <phoneticPr fontId="7" alignment="center"/>
  <conditionalFormatting sqref="H2:H168">
    <cfRule type="cellIs" dxfId="2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3"/>
  <sheetViews>
    <sheetView topLeftCell="A101" zoomScale="145" zoomScaleNormal="90" workbookViewId="0">
      <selection activeCell="H112" sqref="H11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8074040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143260</v>
      </c>
      <c r="O71" s="14">
        <v>352000</v>
      </c>
      <c r="P71" s="14">
        <v>-208740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143260</v>
      </c>
      <c r="O72" s="14">
        <v>352000</v>
      </c>
      <c r="P72" s="14">
        <v>-208740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307840</v>
      </c>
      <c r="O73" s="14">
        <v>474045</v>
      </c>
      <c r="P73" s="14">
        <v>-166205</v>
      </c>
    </row>
    <row r="74" spans="1:16" x14ac:dyDescent="0.3">
      <c r="A74" s="1">
        <v>46022</v>
      </c>
      <c r="B74" t="s">
        <v>169</v>
      </c>
      <c r="D74" s="11">
        <v>135</v>
      </c>
      <c r="E74" s="11">
        <v>580</v>
      </c>
      <c r="F74" s="11"/>
      <c r="G74" s="11">
        <f t="shared" si="16"/>
        <v>78300</v>
      </c>
      <c r="H74" s="11"/>
      <c r="I74" s="11">
        <f>(D74*E74)-Table3[[#This Row],[Paid]]</f>
        <v>78300</v>
      </c>
      <c r="L74" s="42" t="s">
        <v>103</v>
      </c>
      <c r="M74" s="14">
        <v>138</v>
      </c>
      <c r="N74" s="14">
        <v>80040</v>
      </c>
      <c r="O74" s="14">
        <v>242045</v>
      </c>
      <c r="P74" s="14">
        <v>-162005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v>46037</v>
      </c>
      <c r="M82" s="14">
        <v>955</v>
      </c>
      <c r="N82" s="14">
        <v>800890</v>
      </c>
      <c r="O82" s="14">
        <v>365200</v>
      </c>
      <c r="P82" s="14">
        <v>435690</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c r="L83" s="42" t="s">
        <v>103</v>
      </c>
      <c r="M83" s="14">
        <v>433</v>
      </c>
      <c r="N83" s="14">
        <v>357190</v>
      </c>
      <c r="O83" s="14">
        <v>270000</v>
      </c>
      <c r="P83" s="14">
        <v>87190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c r="L84" s="42" t="s">
        <v>519</v>
      </c>
      <c r="M84" s="14">
        <v>522</v>
      </c>
      <c r="N84" s="14">
        <v>443700</v>
      </c>
      <c r="O84" s="14">
        <v>95200</v>
      </c>
      <c r="P84" s="14">
        <v>348500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c r="L85" s="26">
        <v>46038</v>
      </c>
      <c r="M85" s="14"/>
      <c r="N85" s="14">
        <v>0</v>
      </c>
      <c r="O85" s="14">
        <v>275000</v>
      </c>
      <c r="P85" s="14">
        <v>-275000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c r="L86" s="42" t="s">
        <v>103</v>
      </c>
      <c r="M86" s="14"/>
      <c r="N86" s="14">
        <v>0</v>
      </c>
      <c r="O86" s="14">
        <v>275000</v>
      </c>
      <c r="P86" s="14">
        <v>-275000</v>
      </c>
    </row>
    <row r="87" spans="1:16" x14ac:dyDescent="0.3">
      <c r="A87" s="1">
        <v>46030</v>
      </c>
      <c r="B87" t="s">
        <v>424</v>
      </c>
      <c r="D87" s="11"/>
      <c r="E87" s="11"/>
      <c r="F87" s="11"/>
      <c r="G87" s="11">
        <f t="shared" si="19"/>
        <v>0</v>
      </c>
      <c r="H87" s="11"/>
      <c r="I87" s="11">
        <f>(D87*E87)-Table3[[#This Row],[Paid]]</f>
        <v>0</v>
      </c>
      <c r="L87" s="26" t="s">
        <v>28</v>
      </c>
      <c r="M87" s="14">
        <v>10190</v>
      </c>
      <c r="N87" s="14">
        <v>8074040</v>
      </c>
      <c r="O87" s="14">
        <v>7023191</v>
      </c>
      <c r="P87" s="14">
        <v>4372277</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16" x14ac:dyDescent="0.3">
      <c r="A91" s="1">
        <v>46031</v>
      </c>
      <c r="B91" t="s">
        <v>200</v>
      </c>
      <c r="D91" s="11">
        <v>205</v>
      </c>
      <c r="E91" s="11">
        <v>820</v>
      </c>
      <c r="F91" s="11"/>
      <c r="G91" s="11">
        <f t="shared" ref="G91:G98" si="20">D91*E91</f>
        <v>168100</v>
      </c>
      <c r="H91" s="11"/>
      <c r="I91" s="11">
        <f>(D91*E91)-Table3[[#This Row],[Paid]]</f>
        <v>168100</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f>SUMIFS(Table14[Debit], Table14[Date], Table3[[#This Row],[Date]], Table14[Party], Table3[[#This Row],[Party Name]])</f>
        <v>170000</v>
      </c>
      <c r="I108" s="11">
        <f>(D108*E108)-Table3[[#This Row],[Paid]]</f>
        <v>6790</v>
      </c>
    </row>
    <row r="109" spans="1:9" x14ac:dyDescent="0.3">
      <c r="A109" s="1">
        <v>46037</v>
      </c>
      <c r="B109" t="s">
        <v>424</v>
      </c>
      <c r="D109" s="11">
        <v>220</v>
      </c>
      <c r="E109" s="11">
        <v>820</v>
      </c>
      <c r="F109" s="11"/>
      <c r="G109" s="11">
        <f t="shared" si="22"/>
        <v>180400</v>
      </c>
      <c r="H109" s="11">
        <f>SUMIFS(Table14[Debit], Table14[Date], Table3[[#This Row],[Date]], Table14[Party], Table3[[#This Row],[Party Name]])</f>
        <v>100000</v>
      </c>
      <c r="I109" s="11">
        <f>(D109*E109)-Table3[[#This Row],[Paid]]</f>
        <v>80400</v>
      </c>
    </row>
    <row r="110" spans="1:9" x14ac:dyDescent="0.3">
      <c r="A110" s="1">
        <v>46038</v>
      </c>
      <c r="B110" t="s">
        <v>200</v>
      </c>
      <c r="D110" s="11"/>
      <c r="E110" s="11"/>
      <c r="F110" s="11"/>
      <c r="G110" s="11">
        <f t="shared" si="22"/>
        <v>0</v>
      </c>
      <c r="H110" s="11">
        <f>SUMIFS(Table14[Debit], Table14[Date], Table3[[#This Row],[Date]], Table14[Party], Table3[[#This Row],[Party Name]])</f>
        <v>100000</v>
      </c>
      <c r="I110" s="11">
        <f>(D110*E110)-Table3[[#This Row],[Paid]]</f>
        <v>-100000</v>
      </c>
    </row>
    <row r="111" spans="1:9" x14ac:dyDescent="0.3">
      <c r="A111" s="1">
        <v>46038</v>
      </c>
      <c r="B111" t="s">
        <v>169</v>
      </c>
      <c r="D111" s="11"/>
      <c r="E111" s="11"/>
      <c r="F111" s="11"/>
      <c r="G111" s="11">
        <f t="shared" ref="G111:G112" si="23">D111*E111</f>
        <v>0</v>
      </c>
      <c r="H111" s="11">
        <f>SUMIFS(Table14[Debit], Table14[Date], Table3[[#This Row],[Date]], Table14[Party], Table3[[#This Row],[Party Name]])</f>
        <v>125000</v>
      </c>
      <c r="I111" s="11">
        <f>(D111*E111)-Table3[[#This Row],[Paid]]</f>
        <v>-125000</v>
      </c>
    </row>
    <row r="112" spans="1:9" x14ac:dyDescent="0.3">
      <c r="A112" s="1">
        <v>46038</v>
      </c>
      <c r="B112" t="s">
        <v>424</v>
      </c>
      <c r="D112" s="11"/>
      <c r="E112" s="11"/>
      <c r="F112" s="11"/>
      <c r="G112" s="11">
        <f t="shared" si="23"/>
        <v>0</v>
      </c>
      <c r="H112" s="11">
        <f>SUMIFS(Table14[Debit], Table14[Date], Table3[[#This Row],[Date]], Table14[Party], Table3[[#This Row],[Party Name]])</f>
        <v>50000</v>
      </c>
      <c r="I112" s="11">
        <f>(D112*E112)-Table3[[#This Row],[Paid]]</f>
        <v>-50000</v>
      </c>
    </row>
    <row r="113" spans="1:9" x14ac:dyDescent="0.3">
      <c r="A113" s="1"/>
      <c r="D113" s="14"/>
      <c r="E113" s="14"/>
      <c r="F113" s="14"/>
      <c r="G113" s="14">
        <f>SUBTOTAL(109,Table3[Total])</f>
        <v>8074040</v>
      </c>
      <c r="H113" s="14">
        <f>SUBTOTAL(109,Table3[Paid])</f>
        <v>7023191</v>
      </c>
      <c r="I113" s="14">
        <f>SUBTOTAL(109,Table3[balance])</f>
        <v>4372277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04"/>
  <sheetViews>
    <sheetView topLeftCell="A488" zoomScale="158" workbookViewId="0">
      <selection activeCell="B502" sqref="B50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7377462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29387842</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29495396</v>
      </c>
      <c r="M5" s="45" t="s">
        <v>108</v>
      </c>
      <c r="N5" s="46">
        <f>(SUMIFS(Table14[Credit],Table14[Mode],"Bank")-SUMIFS(Table14[Debit],Table14[Mode],"Bank")-SUMIFS(Table14[Withdrawal],Table14[Mode],"Transfer"))</f>
        <v>768470</v>
      </c>
      <c r="O5">
        <v>360000</v>
      </c>
    </row>
    <row r="6" spans="1:16" x14ac:dyDescent="0.3">
      <c r="A6" s="38">
        <v>46009</v>
      </c>
      <c r="B6" t="s">
        <v>177</v>
      </c>
      <c r="C6" s="96">
        <v>3600</v>
      </c>
      <c r="D6" s="96"/>
      <c r="E6" t="s">
        <v>218</v>
      </c>
      <c r="F6" s="111" t="s">
        <v>108</v>
      </c>
      <c r="J6" s="52" t="s">
        <v>43</v>
      </c>
      <c r="K6" s="53">
        <f>(K5-K4)</f>
        <v>107554</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157554</v>
      </c>
      <c r="O7" s="90">
        <f>SUM(O5,O6)</f>
        <v>410000</v>
      </c>
      <c r="P7" s="14">
        <f>Table18[[#Totals],[amount]]-Table18[[#Totals],[Actual]]</f>
        <v>-252446</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334300</v>
      </c>
    </row>
    <row r="165" spans="1:12" x14ac:dyDescent="0.3">
      <c r="A165" s="38">
        <v>46018</v>
      </c>
      <c r="B165" t="s">
        <v>54</v>
      </c>
      <c r="C165" s="11">
        <v>2500</v>
      </c>
      <c r="D165" s="11"/>
      <c r="E165" t="s">
        <v>236</v>
      </c>
      <c r="F165" s="111" t="s">
        <v>108</v>
      </c>
      <c r="J165" s="4" t="s">
        <v>9</v>
      </c>
      <c r="K165" s="14">
        <v>1732566</v>
      </c>
      <c r="L165" s="14"/>
    </row>
    <row r="166" spans="1:12" x14ac:dyDescent="0.3">
      <c r="A166" s="38">
        <v>46018</v>
      </c>
      <c r="B166" t="s">
        <v>55</v>
      </c>
      <c r="C166" s="11">
        <v>1000</v>
      </c>
      <c r="D166" s="11"/>
      <c r="F166" s="111" t="s">
        <v>108</v>
      </c>
      <c r="J166" s="4" t="s">
        <v>461</v>
      </c>
      <c r="K166" s="14"/>
      <c r="L166" s="14">
        <v>77500</v>
      </c>
    </row>
    <row r="167" spans="1:12" x14ac:dyDescent="0.3">
      <c r="A167" s="38">
        <v>46018</v>
      </c>
      <c r="B167" t="s">
        <v>50</v>
      </c>
      <c r="C167" s="11">
        <v>1000</v>
      </c>
      <c r="D167" s="11"/>
      <c r="E167" t="s">
        <v>217</v>
      </c>
      <c r="F167" s="111" t="s">
        <v>108</v>
      </c>
      <c r="J167" s="4" t="s">
        <v>94</v>
      </c>
      <c r="K167" s="14"/>
      <c r="L167" s="14">
        <v>1414115</v>
      </c>
    </row>
    <row r="168" spans="1:12" x14ac:dyDescent="0.3">
      <c r="A168" s="38">
        <v>46019</v>
      </c>
      <c r="B168" t="s">
        <v>55</v>
      </c>
      <c r="C168" s="96">
        <v>2630</v>
      </c>
      <c r="D168" s="96"/>
      <c r="E168" t="s">
        <v>328</v>
      </c>
      <c r="F168" s="111" t="s">
        <v>108</v>
      </c>
      <c r="J168" s="4" t="s">
        <v>50</v>
      </c>
      <c r="K168" s="14"/>
      <c r="L168" s="14">
        <v>34255</v>
      </c>
    </row>
    <row r="169" spans="1:12" x14ac:dyDescent="0.3">
      <c r="A169" s="116">
        <v>46019</v>
      </c>
      <c r="B169" t="s">
        <v>55</v>
      </c>
      <c r="C169" s="11">
        <v>21000</v>
      </c>
      <c r="D169" s="11"/>
      <c r="E169" t="s">
        <v>329</v>
      </c>
      <c r="F169" s="111" t="s">
        <v>108</v>
      </c>
      <c r="J169" s="4" t="s">
        <v>55</v>
      </c>
      <c r="K169" s="14"/>
      <c r="L169" s="14">
        <v>490210</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1216300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142291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731560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117913</v>
      </c>
    </row>
    <row r="178" spans="1:12" x14ac:dyDescent="0.3">
      <c r="A178" s="38">
        <v>46020</v>
      </c>
      <c r="B178" t="s">
        <v>233</v>
      </c>
      <c r="C178" s="11">
        <v>15000</v>
      </c>
      <c r="D178" s="11"/>
      <c r="E178" t="s">
        <v>238</v>
      </c>
      <c r="F178" s="111" t="s">
        <v>108</v>
      </c>
      <c r="J178" s="4" t="s">
        <v>326</v>
      </c>
      <c r="K178" s="14">
        <v>1231415</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528</v>
      </c>
      <c r="K183" s="14">
        <v>300000</v>
      </c>
      <c r="L183" s="14"/>
    </row>
    <row r="184" spans="1:12" x14ac:dyDescent="0.3">
      <c r="A184" s="38">
        <v>46020</v>
      </c>
      <c r="B184" t="s">
        <v>192</v>
      </c>
      <c r="C184" s="11">
        <v>100000</v>
      </c>
      <c r="D184" s="11"/>
      <c r="E184" t="s">
        <v>335</v>
      </c>
      <c r="F184" s="111" t="s">
        <v>108</v>
      </c>
      <c r="J184" s="4" t="s">
        <v>26</v>
      </c>
      <c r="K184" s="14">
        <v>300000</v>
      </c>
      <c r="L184" s="14"/>
    </row>
    <row r="185" spans="1:12" x14ac:dyDescent="0.3">
      <c r="A185" s="116">
        <v>46021</v>
      </c>
      <c r="B185" t="s">
        <v>224</v>
      </c>
      <c r="C185" s="11"/>
      <c r="D185" s="11">
        <v>68900</v>
      </c>
      <c r="E185" t="s">
        <v>352</v>
      </c>
      <c r="F185" s="111" t="s">
        <v>108</v>
      </c>
      <c r="J185" s="4" t="s">
        <v>149</v>
      </c>
      <c r="K185" s="14"/>
      <c r="L185" s="14">
        <v>80000</v>
      </c>
    </row>
    <row r="186" spans="1:12" x14ac:dyDescent="0.3">
      <c r="A186" s="38">
        <v>46021</v>
      </c>
      <c r="B186" t="s">
        <v>192</v>
      </c>
      <c r="C186" s="96"/>
      <c r="D186" s="96">
        <v>194000</v>
      </c>
      <c r="F186" s="111" t="s">
        <v>108</v>
      </c>
      <c r="J186" s="4" t="s">
        <v>64</v>
      </c>
      <c r="K186" s="14"/>
      <c r="L186" s="14">
        <v>371625</v>
      </c>
    </row>
    <row r="187" spans="1:12" x14ac:dyDescent="0.3">
      <c r="A187" s="116">
        <v>46021</v>
      </c>
      <c r="B187" t="s">
        <v>199</v>
      </c>
      <c r="C187" s="11"/>
      <c r="D187" s="11">
        <v>100000</v>
      </c>
      <c r="E187" t="s">
        <v>338</v>
      </c>
      <c r="F187" s="111" t="s">
        <v>108</v>
      </c>
      <c r="J187" s="4" t="s">
        <v>152</v>
      </c>
      <c r="K187" s="14">
        <v>1007920</v>
      </c>
      <c r="L187" s="14"/>
    </row>
    <row r="188" spans="1:12" x14ac:dyDescent="0.3">
      <c r="A188" s="38">
        <v>46021</v>
      </c>
      <c r="B188" t="s">
        <v>199</v>
      </c>
      <c r="C188" s="96"/>
      <c r="D188" s="96">
        <v>100000</v>
      </c>
      <c r="E188" t="s">
        <v>225</v>
      </c>
      <c r="F188" s="111" t="s">
        <v>108</v>
      </c>
      <c r="J188" s="4" t="s">
        <v>166</v>
      </c>
      <c r="K188" s="14">
        <v>1620000</v>
      </c>
      <c r="L188" s="14"/>
    </row>
    <row r="189" spans="1:12" x14ac:dyDescent="0.3">
      <c r="A189" s="116">
        <v>46021</v>
      </c>
      <c r="B189" t="s">
        <v>339</v>
      </c>
      <c r="C189" s="11"/>
      <c r="D189" s="11">
        <v>84970</v>
      </c>
      <c r="F189" s="111" t="s">
        <v>108</v>
      </c>
      <c r="J189" s="4" t="s">
        <v>169</v>
      </c>
      <c r="K189" s="14"/>
      <c r="L189" s="14">
        <v>2094595</v>
      </c>
    </row>
    <row r="190" spans="1:12" x14ac:dyDescent="0.3">
      <c r="A190" s="38">
        <v>46021</v>
      </c>
      <c r="B190" t="s">
        <v>222</v>
      </c>
      <c r="C190" s="11">
        <f>883+150+150</f>
        <v>1183</v>
      </c>
      <c r="D190" s="11"/>
      <c r="F190" s="111" t="s">
        <v>108</v>
      </c>
      <c r="J190" s="4" t="s">
        <v>192</v>
      </c>
      <c r="K190" s="14">
        <v>9851900</v>
      </c>
      <c r="L190" s="14">
        <v>14235982</v>
      </c>
    </row>
    <row r="191" spans="1:12" x14ac:dyDescent="0.3">
      <c r="A191" s="116">
        <v>46021</v>
      </c>
      <c r="B191" t="s">
        <v>229</v>
      </c>
      <c r="C191" s="11">
        <v>200401</v>
      </c>
      <c r="D191" s="11"/>
      <c r="E191" t="s">
        <v>340</v>
      </c>
      <c r="F191" s="111" t="s">
        <v>108</v>
      </c>
      <c r="J191" s="4" t="s">
        <v>198</v>
      </c>
      <c r="K191" s="14"/>
      <c r="L191" s="14">
        <v>1119000</v>
      </c>
    </row>
    <row r="192" spans="1:12" x14ac:dyDescent="0.3">
      <c r="A192" s="38">
        <v>46021</v>
      </c>
      <c r="B192" t="s">
        <v>341</v>
      </c>
      <c r="C192" s="11"/>
      <c r="D192" s="11">
        <v>239960</v>
      </c>
      <c r="F192" s="111" t="s">
        <v>108</v>
      </c>
      <c r="J192" s="4" t="s">
        <v>179</v>
      </c>
      <c r="K192" s="14">
        <v>409310</v>
      </c>
      <c r="L192" s="14"/>
    </row>
    <row r="193" spans="1:12" x14ac:dyDescent="0.3">
      <c r="A193" s="116">
        <v>46021</v>
      </c>
      <c r="B193" t="s">
        <v>169</v>
      </c>
      <c r="C193" s="11">
        <v>250000</v>
      </c>
      <c r="D193" s="11"/>
      <c r="F193" s="111" t="s">
        <v>108</v>
      </c>
      <c r="J193" s="4" t="s">
        <v>51</v>
      </c>
      <c r="K193" s="14"/>
      <c r="L193" s="14">
        <v>2047865</v>
      </c>
    </row>
    <row r="194" spans="1:12" x14ac:dyDescent="0.3">
      <c r="A194" s="38">
        <v>46021</v>
      </c>
      <c r="B194" t="s">
        <v>326</v>
      </c>
      <c r="C194" s="11"/>
      <c r="D194" s="11">
        <v>60000</v>
      </c>
      <c r="E194" t="s">
        <v>342</v>
      </c>
      <c r="F194" s="111" t="s">
        <v>108</v>
      </c>
      <c r="J194" s="4" t="s">
        <v>466</v>
      </c>
      <c r="K194" s="14"/>
      <c r="L194" s="14">
        <v>351000</v>
      </c>
    </row>
    <row r="195" spans="1:12" x14ac:dyDescent="0.3">
      <c r="A195" s="116">
        <v>46021</v>
      </c>
      <c r="B195" t="s">
        <v>192</v>
      </c>
      <c r="C195" s="11">
        <v>60000</v>
      </c>
      <c r="D195" s="11"/>
      <c r="E195" t="s">
        <v>343</v>
      </c>
      <c r="F195" s="111" t="s">
        <v>108</v>
      </c>
      <c r="J195" s="4" t="s">
        <v>219</v>
      </c>
      <c r="K195" s="14"/>
      <c r="L195" s="14">
        <v>28400</v>
      </c>
    </row>
    <row r="196" spans="1:12" x14ac:dyDescent="0.3">
      <c r="A196" s="38">
        <v>46021</v>
      </c>
      <c r="B196" t="s">
        <v>256</v>
      </c>
      <c r="C196" s="11">
        <v>11850</v>
      </c>
      <c r="D196" s="11"/>
      <c r="E196" t="s">
        <v>294</v>
      </c>
      <c r="F196" s="111" t="s">
        <v>108</v>
      </c>
      <c r="J196" s="4" t="s">
        <v>199</v>
      </c>
      <c r="K196" s="14">
        <v>993570</v>
      </c>
      <c r="L196" s="14"/>
    </row>
    <row r="197" spans="1:12" x14ac:dyDescent="0.3">
      <c r="A197" s="116">
        <v>46021</v>
      </c>
      <c r="B197" t="s">
        <v>202</v>
      </c>
      <c r="C197" s="11">
        <v>27000</v>
      </c>
      <c r="D197" s="11"/>
      <c r="E197" t="s">
        <v>230</v>
      </c>
      <c r="F197" s="111" t="s">
        <v>108</v>
      </c>
      <c r="J197" s="4" t="s">
        <v>229</v>
      </c>
      <c r="K197" s="14"/>
      <c r="L197" s="14">
        <v>3064267</v>
      </c>
    </row>
    <row r="198" spans="1:12" x14ac:dyDescent="0.3">
      <c r="A198" s="38">
        <v>46021</v>
      </c>
      <c r="B198" t="s">
        <v>233</v>
      </c>
      <c r="C198" s="11">
        <v>1300</v>
      </c>
      <c r="D198" s="11"/>
      <c r="E198" t="s">
        <v>344</v>
      </c>
      <c r="F198" s="111" t="s">
        <v>108</v>
      </c>
      <c r="J198" s="4" t="s">
        <v>202</v>
      </c>
      <c r="K198" s="14"/>
      <c r="L198" s="14">
        <v>232000</v>
      </c>
    </row>
    <row r="199" spans="1:12" x14ac:dyDescent="0.3">
      <c r="A199" s="116">
        <v>46021</v>
      </c>
      <c r="B199" t="s">
        <v>233</v>
      </c>
      <c r="C199" s="11">
        <v>60000</v>
      </c>
      <c r="D199" s="11"/>
      <c r="E199" t="s">
        <v>290</v>
      </c>
      <c r="F199" s="111" t="s">
        <v>108</v>
      </c>
      <c r="J199" s="4" t="s">
        <v>216</v>
      </c>
      <c r="K199" s="14">
        <v>6766546</v>
      </c>
      <c r="L199" s="14"/>
    </row>
    <row r="200" spans="1:12" x14ac:dyDescent="0.3">
      <c r="A200" s="38">
        <v>46021</v>
      </c>
      <c r="B200" t="s">
        <v>94</v>
      </c>
      <c r="C200" s="11">
        <v>1000</v>
      </c>
      <c r="D200" s="11"/>
      <c r="E200" t="s">
        <v>345</v>
      </c>
      <c r="F200" s="111" t="s">
        <v>108</v>
      </c>
      <c r="J200" s="4" t="s">
        <v>256</v>
      </c>
      <c r="K200" s="14"/>
      <c r="L200" s="14">
        <v>66850</v>
      </c>
    </row>
    <row r="201" spans="1:12" x14ac:dyDescent="0.3">
      <c r="A201" s="116">
        <v>46021</v>
      </c>
      <c r="B201" t="s">
        <v>229</v>
      </c>
      <c r="C201" s="11">
        <v>5000</v>
      </c>
      <c r="D201" s="11"/>
      <c r="E201" t="s">
        <v>345</v>
      </c>
      <c r="F201" s="111" t="s">
        <v>108</v>
      </c>
      <c r="J201" s="4" t="s">
        <v>286</v>
      </c>
      <c r="K201" s="14">
        <v>1796025</v>
      </c>
      <c r="L201" s="14"/>
    </row>
    <row r="202" spans="1:12" x14ac:dyDescent="0.3">
      <c r="A202" s="38">
        <v>46021</v>
      </c>
      <c r="B202" t="s">
        <v>50</v>
      </c>
      <c r="C202" s="11">
        <v>1000</v>
      </c>
      <c r="D202" s="11"/>
      <c r="E202" t="s">
        <v>345</v>
      </c>
      <c r="F202" s="111" t="s">
        <v>108</v>
      </c>
      <c r="J202" s="4" t="s">
        <v>302</v>
      </c>
      <c r="K202" s="14"/>
      <c r="L202" s="14">
        <v>162500</v>
      </c>
    </row>
    <row r="203" spans="1:12" x14ac:dyDescent="0.3">
      <c r="A203" s="116">
        <v>46021</v>
      </c>
      <c r="B203" t="s">
        <v>177</v>
      </c>
      <c r="C203" s="11">
        <v>3600</v>
      </c>
      <c r="D203" s="11"/>
      <c r="E203" t="s">
        <v>218</v>
      </c>
      <c r="F203" s="111" t="s">
        <v>108</v>
      </c>
      <c r="J203" s="4" t="s">
        <v>410</v>
      </c>
      <c r="K203" s="14"/>
      <c r="L203" s="14">
        <v>594084</v>
      </c>
    </row>
    <row r="204" spans="1:12" x14ac:dyDescent="0.3">
      <c r="A204" s="38">
        <v>46021</v>
      </c>
      <c r="B204" t="s">
        <v>192</v>
      </c>
      <c r="C204" s="11">
        <v>200000</v>
      </c>
      <c r="D204" s="11"/>
      <c r="E204" t="s">
        <v>346</v>
      </c>
      <c r="F204" s="111" t="s">
        <v>108</v>
      </c>
      <c r="J204" s="4" t="s">
        <v>437</v>
      </c>
      <c r="K204" s="14">
        <v>485800</v>
      </c>
      <c r="L204" s="14"/>
    </row>
    <row r="205" spans="1:12" x14ac:dyDescent="0.3">
      <c r="A205" s="116">
        <v>46021</v>
      </c>
      <c r="B205" t="s">
        <v>55</v>
      </c>
      <c r="C205" s="11">
        <v>1000</v>
      </c>
      <c r="D205" s="11"/>
      <c r="E205" t="s">
        <v>347</v>
      </c>
      <c r="F205" s="111" t="s">
        <v>108</v>
      </c>
      <c r="J205" s="4" t="s">
        <v>28</v>
      </c>
      <c r="K205" s="14">
        <v>29495396</v>
      </c>
      <c r="L205" s="14">
        <v>29387842</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38">
        <v>46037</v>
      </c>
      <c r="B469" t="s">
        <v>177</v>
      </c>
      <c r="C469" s="96">
        <v>6300</v>
      </c>
      <c r="D469" s="96"/>
      <c r="E469" t="s">
        <v>516</v>
      </c>
      <c r="F469" s="111" t="s">
        <v>108</v>
      </c>
      <c r="L469">
        <v>12550</v>
      </c>
      <c r="N469" s="19">
        <v>19782</v>
      </c>
    </row>
    <row r="470" spans="1:14" x14ac:dyDescent="0.3">
      <c r="A470" s="38">
        <v>46037</v>
      </c>
      <c r="B470" t="s">
        <v>229</v>
      </c>
      <c r="C470" s="96">
        <v>30000</v>
      </c>
      <c r="D470" s="96"/>
      <c r="E470" t="s">
        <v>517</v>
      </c>
      <c r="F470" s="111" t="s">
        <v>108</v>
      </c>
      <c r="L470">
        <v>14800</v>
      </c>
      <c r="N470" s="19">
        <v>23000</v>
      </c>
    </row>
    <row r="471" spans="1:14" x14ac:dyDescent="0.3">
      <c r="A471" s="38">
        <v>46037</v>
      </c>
      <c r="B471" t="s">
        <v>222</v>
      </c>
      <c r="C471" s="96">
        <v>710</v>
      </c>
      <c r="D471" s="96"/>
      <c r="F471" s="111" t="s">
        <v>108</v>
      </c>
      <c r="L471">
        <v>14350</v>
      </c>
      <c r="N471" s="19">
        <v>15700</v>
      </c>
    </row>
    <row r="472" spans="1:14" x14ac:dyDescent="0.3">
      <c r="A472" s="38">
        <v>46037</v>
      </c>
      <c r="B472" t="s">
        <v>177</v>
      </c>
      <c r="C472" s="96">
        <v>250</v>
      </c>
      <c r="D472" s="96"/>
      <c r="E472" t="s">
        <v>518</v>
      </c>
      <c r="F472" s="111" t="s">
        <v>108</v>
      </c>
      <c r="L472">
        <v>40000</v>
      </c>
      <c r="N472" s="19">
        <v>14800</v>
      </c>
    </row>
    <row r="473" spans="1:14" x14ac:dyDescent="0.3">
      <c r="A473" s="38">
        <v>46038</v>
      </c>
      <c r="B473" t="s">
        <v>233</v>
      </c>
      <c r="C473" s="96">
        <v>20000</v>
      </c>
      <c r="D473" s="96"/>
      <c r="E473" t="s">
        <v>421</v>
      </c>
      <c r="F473" s="111" t="s">
        <v>108</v>
      </c>
      <c r="L473">
        <v>17400</v>
      </c>
      <c r="N473" s="19">
        <v>12550</v>
      </c>
    </row>
    <row r="474" spans="1:14" x14ac:dyDescent="0.3">
      <c r="A474" s="134">
        <v>46038</v>
      </c>
      <c r="B474" s="135" t="s">
        <v>192</v>
      </c>
      <c r="C474" s="96"/>
      <c r="D474" s="96">
        <v>20000</v>
      </c>
      <c r="E474" s="135" t="s">
        <v>421</v>
      </c>
      <c r="F474" s="136" t="s">
        <v>108</v>
      </c>
      <c r="G474" s="135"/>
      <c r="L474">
        <v>19500</v>
      </c>
      <c r="N474" s="19">
        <v>31150</v>
      </c>
    </row>
    <row r="475" spans="1:14" x14ac:dyDescent="0.3">
      <c r="A475" s="38">
        <v>46038</v>
      </c>
      <c r="B475" s="135" t="s">
        <v>55</v>
      </c>
      <c r="C475" s="96">
        <v>15513</v>
      </c>
      <c r="D475" s="96"/>
      <c r="E475" s="135" t="s">
        <v>453</v>
      </c>
      <c r="F475" s="136" t="s">
        <v>108</v>
      </c>
      <c r="G475" s="135"/>
      <c r="L475">
        <v>3000</v>
      </c>
      <c r="N475" s="19">
        <v>27500</v>
      </c>
    </row>
    <row r="476" spans="1:14" x14ac:dyDescent="0.3">
      <c r="A476" s="134">
        <v>46038</v>
      </c>
      <c r="B476" t="s">
        <v>192</v>
      </c>
      <c r="C476" s="11"/>
      <c r="D476" s="11">
        <v>15513</v>
      </c>
      <c r="E476" t="s">
        <v>453</v>
      </c>
      <c r="F476" s="111" t="s">
        <v>108</v>
      </c>
      <c r="L476">
        <v>1000</v>
      </c>
      <c r="N476" s="19">
        <v>20000</v>
      </c>
    </row>
    <row r="477" spans="1:14" x14ac:dyDescent="0.3">
      <c r="A477" s="38">
        <v>46038</v>
      </c>
      <c r="B477" t="s">
        <v>55</v>
      </c>
      <c r="C477" s="11">
        <v>1000</v>
      </c>
      <c r="D477" s="11"/>
      <c r="E477" t="s">
        <v>508</v>
      </c>
      <c r="F477" s="111" t="s">
        <v>108</v>
      </c>
      <c r="L477">
        <v>9000</v>
      </c>
      <c r="N477" s="19">
        <v>52000</v>
      </c>
    </row>
    <row r="478" spans="1:14" x14ac:dyDescent="0.3">
      <c r="A478" s="134">
        <v>46038</v>
      </c>
      <c r="B478" t="s">
        <v>50</v>
      </c>
      <c r="C478" s="11">
        <v>900</v>
      </c>
      <c r="D478" s="11"/>
      <c r="E478" t="s">
        <v>520</v>
      </c>
      <c r="F478" s="111" t="s">
        <v>108</v>
      </c>
      <c r="L478">
        <v>21000</v>
      </c>
      <c r="N478" s="19">
        <v>49200</v>
      </c>
    </row>
    <row r="479" spans="1:14" x14ac:dyDescent="0.3">
      <c r="A479" s="38">
        <v>46038</v>
      </c>
      <c r="B479" t="s">
        <v>192</v>
      </c>
      <c r="C479" s="11"/>
      <c r="D479" s="11">
        <v>50000</v>
      </c>
      <c r="E479" t="s">
        <v>521</v>
      </c>
      <c r="F479" s="111" t="s">
        <v>108</v>
      </c>
      <c r="L479">
        <v>20300</v>
      </c>
      <c r="N479" s="19">
        <v>37600</v>
      </c>
    </row>
    <row r="480" spans="1:14" x14ac:dyDescent="0.3">
      <c r="A480" s="134">
        <v>46038</v>
      </c>
      <c r="B480" t="s">
        <v>55</v>
      </c>
      <c r="C480" s="11">
        <v>15513</v>
      </c>
      <c r="D480" s="11"/>
      <c r="E480" t="s">
        <v>453</v>
      </c>
      <c r="F480" s="111" t="s">
        <v>108</v>
      </c>
      <c r="L480">
        <v>27500</v>
      </c>
      <c r="N480" s="19">
        <v>48600</v>
      </c>
    </row>
    <row r="481" spans="1:14" x14ac:dyDescent="0.3">
      <c r="A481" s="38">
        <v>46038</v>
      </c>
      <c r="B481" t="s">
        <v>55</v>
      </c>
      <c r="C481" s="11">
        <v>1030</v>
      </c>
      <c r="D481" s="11"/>
      <c r="E481" t="s">
        <v>522</v>
      </c>
      <c r="F481" s="111" t="s">
        <v>108</v>
      </c>
      <c r="L481">
        <v>20000</v>
      </c>
      <c r="N481" s="19">
        <v>42800</v>
      </c>
    </row>
    <row r="482" spans="1:14" x14ac:dyDescent="0.3">
      <c r="A482" s="134">
        <v>46038</v>
      </c>
      <c r="B482" t="s">
        <v>54</v>
      </c>
      <c r="C482" s="11">
        <v>5000</v>
      </c>
      <c r="D482" s="11"/>
      <c r="E482" t="s">
        <v>523</v>
      </c>
      <c r="F482" s="111" t="s">
        <v>108</v>
      </c>
      <c r="L482">
        <v>20600</v>
      </c>
    </row>
    <row r="483" spans="1:14" x14ac:dyDescent="0.3">
      <c r="A483" s="38">
        <v>46038</v>
      </c>
      <c r="B483" t="s">
        <v>54</v>
      </c>
      <c r="C483" s="11">
        <v>5000</v>
      </c>
      <c r="D483" s="11"/>
      <c r="E483" t="s">
        <v>449</v>
      </c>
      <c r="F483" s="111" t="s">
        <v>108</v>
      </c>
      <c r="L483">
        <v>3400</v>
      </c>
    </row>
    <row r="484" spans="1:14" x14ac:dyDescent="0.3">
      <c r="A484" s="134">
        <v>46038</v>
      </c>
      <c r="B484" t="s">
        <v>55</v>
      </c>
      <c r="C484" s="11">
        <v>1000</v>
      </c>
      <c r="D484" s="11"/>
      <c r="E484" t="s">
        <v>524</v>
      </c>
      <c r="F484" s="111" t="s">
        <v>108</v>
      </c>
    </row>
    <row r="485" spans="1:14" x14ac:dyDescent="0.3">
      <c r="A485" s="38">
        <v>46038</v>
      </c>
      <c r="B485" t="s">
        <v>55</v>
      </c>
      <c r="C485" s="11">
        <v>1100</v>
      </c>
      <c r="D485" s="11"/>
      <c r="E485" t="s">
        <v>500</v>
      </c>
      <c r="F485" s="111" t="s">
        <v>108</v>
      </c>
    </row>
    <row r="486" spans="1:14" x14ac:dyDescent="0.3">
      <c r="A486" s="134">
        <v>46038</v>
      </c>
      <c r="B486" t="s">
        <v>55</v>
      </c>
      <c r="C486" s="11">
        <v>1400</v>
      </c>
      <c r="D486" s="11"/>
      <c r="E486" t="s">
        <v>525</v>
      </c>
      <c r="F486" s="111" t="s">
        <v>108</v>
      </c>
    </row>
    <row r="487" spans="1:14" x14ac:dyDescent="0.3">
      <c r="A487" s="38">
        <v>46038</v>
      </c>
      <c r="B487" t="s">
        <v>55</v>
      </c>
      <c r="C487" s="11">
        <v>1220</v>
      </c>
      <c r="D487" s="11"/>
      <c r="E487" t="s">
        <v>526</v>
      </c>
      <c r="F487" s="111" t="s">
        <v>108</v>
      </c>
    </row>
    <row r="488" spans="1:14" x14ac:dyDescent="0.3">
      <c r="A488" s="134">
        <v>46038</v>
      </c>
      <c r="B488" t="s">
        <v>55</v>
      </c>
      <c r="C488" s="11">
        <v>3200</v>
      </c>
      <c r="D488" s="11"/>
      <c r="E488" t="s">
        <v>527</v>
      </c>
      <c r="F488" s="111" t="s">
        <v>108</v>
      </c>
    </row>
    <row r="489" spans="1:14" x14ac:dyDescent="0.3">
      <c r="A489" s="38">
        <v>46038</v>
      </c>
      <c r="B489" t="s">
        <v>64</v>
      </c>
      <c r="C489" s="11">
        <v>291250</v>
      </c>
      <c r="D489" s="11"/>
      <c r="E489" t="s">
        <v>64</v>
      </c>
      <c r="F489" s="111" t="s">
        <v>108</v>
      </c>
    </row>
    <row r="490" spans="1:14" x14ac:dyDescent="0.3">
      <c r="A490" s="134">
        <v>46038</v>
      </c>
      <c r="B490" t="s">
        <v>528</v>
      </c>
      <c r="C490" s="11"/>
      <c r="D490" s="11">
        <v>300000</v>
      </c>
      <c r="E490" t="s">
        <v>529</v>
      </c>
      <c r="F490" s="111" t="s">
        <v>108</v>
      </c>
    </row>
    <row r="491" spans="1:14" x14ac:dyDescent="0.3">
      <c r="A491" s="38">
        <v>46038</v>
      </c>
      <c r="B491" t="s">
        <v>192</v>
      </c>
      <c r="C491" s="11">
        <v>300000</v>
      </c>
      <c r="D491" s="11"/>
      <c r="E491" t="s">
        <v>35</v>
      </c>
      <c r="F491" s="111" t="s">
        <v>108</v>
      </c>
    </row>
    <row r="492" spans="1:14" x14ac:dyDescent="0.3">
      <c r="A492" s="134">
        <v>46038</v>
      </c>
      <c r="B492" t="s">
        <v>192</v>
      </c>
      <c r="C492" s="11"/>
      <c r="D492" s="11">
        <v>291250</v>
      </c>
      <c r="E492" t="s">
        <v>530</v>
      </c>
      <c r="F492" s="111" t="s">
        <v>108</v>
      </c>
    </row>
    <row r="493" spans="1:14" x14ac:dyDescent="0.3">
      <c r="A493" s="38">
        <v>46038</v>
      </c>
      <c r="B493" t="s">
        <v>192</v>
      </c>
      <c r="C493" s="11"/>
      <c r="D493" s="11">
        <v>100000</v>
      </c>
      <c r="E493" t="s">
        <v>531</v>
      </c>
      <c r="F493" s="111" t="s">
        <v>108</v>
      </c>
    </row>
    <row r="494" spans="1:14" x14ac:dyDescent="0.3">
      <c r="A494" s="134">
        <v>46038</v>
      </c>
      <c r="B494" t="s">
        <v>52</v>
      </c>
      <c r="C494" s="11"/>
      <c r="D494" s="11"/>
      <c r="E494" t="s">
        <v>443</v>
      </c>
      <c r="F494" s="111" t="s">
        <v>108</v>
      </c>
    </row>
    <row r="495" spans="1:14" x14ac:dyDescent="0.3">
      <c r="A495" s="38">
        <v>46038</v>
      </c>
      <c r="B495" t="s">
        <v>410</v>
      </c>
      <c r="C495" s="11">
        <v>50000</v>
      </c>
      <c r="D495" s="11"/>
      <c r="E495" t="s">
        <v>532</v>
      </c>
      <c r="F495" s="111" t="s">
        <v>108</v>
      </c>
    </row>
    <row r="496" spans="1:14" x14ac:dyDescent="0.3">
      <c r="A496" s="38">
        <v>46038</v>
      </c>
      <c r="B496" t="s">
        <v>54</v>
      </c>
      <c r="C496" s="11">
        <v>2500</v>
      </c>
      <c r="D496" s="11"/>
      <c r="E496" t="s">
        <v>463</v>
      </c>
      <c r="F496" s="111" t="s">
        <v>108</v>
      </c>
    </row>
    <row r="497" spans="1:7" x14ac:dyDescent="0.3">
      <c r="A497" s="134">
        <v>46038</v>
      </c>
      <c r="B497" t="s">
        <v>286</v>
      </c>
      <c r="C497" s="11"/>
      <c r="D497" s="11">
        <v>300000</v>
      </c>
      <c r="F497" s="111" t="s">
        <v>108</v>
      </c>
    </row>
    <row r="498" spans="1:7" x14ac:dyDescent="0.3">
      <c r="A498" s="38">
        <v>46038</v>
      </c>
      <c r="B498" t="s">
        <v>229</v>
      </c>
      <c r="C498" s="11">
        <v>100000</v>
      </c>
      <c r="D498" s="11"/>
      <c r="E498" t="s">
        <v>533</v>
      </c>
      <c r="F498" s="111" t="s">
        <v>108</v>
      </c>
    </row>
    <row r="499" spans="1:7" x14ac:dyDescent="0.3">
      <c r="A499" s="134">
        <v>46038</v>
      </c>
      <c r="B499" t="s">
        <v>169</v>
      </c>
      <c r="C499" s="11">
        <v>125000</v>
      </c>
      <c r="D499" s="11"/>
      <c r="E499" t="s">
        <v>534</v>
      </c>
      <c r="F499" s="111" t="s">
        <v>108</v>
      </c>
    </row>
    <row r="500" spans="1:7" x14ac:dyDescent="0.3">
      <c r="A500" s="38">
        <v>46038</v>
      </c>
      <c r="B500" t="s">
        <v>50</v>
      </c>
      <c r="C500" s="11">
        <v>1000</v>
      </c>
      <c r="D500" s="11"/>
      <c r="E500" t="s">
        <v>535</v>
      </c>
      <c r="F500" s="111" t="s">
        <v>108</v>
      </c>
    </row>
    <row r="501" spans="1:7" x14ac:dyDescent="0.3">
      <c r="A501" s="134">
        <v>46038</v>
      </c>
      <c r="B501" s="135" t="s">
        <v>222</v>
      </c>
      <c r="C501" s="96">
        <v>1460</v>
      </c>
      <c r="D501" s="96"/>
      <c r="E501" s="135"/>
      <c r="F501" s="136" t="s">
        <v>108</v>
      </c>
      <c r="G501" s="135"/>
    </row>
    <row r="502" spans="1:7" x14ac:dyDescent="0.3">
      <c r="A502" s="38">
        <v>46038</v>
      </c>
      <c r="C502" s="11"/>
      <c r="D502" s="11"/>
      <c r="F502" s="111"/>
    </row>
    <row r="503" spans="1:7" x14ac:dyDescent="0.3">
      <c r="A503" s="134">
        <v>46038</v>
      </c>
      <c r="C503" s="11"/>
      <c r="D503" s="11"/>
      <c r="F503" s="111"/>
    </row>
    <row r="504" spans="1:7" x14ac:dyDescent="0.3">
      <c r="A504" s="38"/>
      <c r="C504" s="14">
        <f>SUBTOTAL(109,Table14[Debit])</f>
        <v>29387842</v>
      </c>
      <c r="D504" s="14">
        <f>SUBTOTAL(109,Table14[Credit])</f>
        <v>29495396</v>
      </c>
      <c r="F504" s="54">
        <f>(Table14[[#Totals],[Credit]]-Table14[[#Totals],[Debit]])</f>
        <v>107554</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E21" sqref="E2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7"/>
      <c r="M10" s="137">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7">
        <v>183750</v>
      </c>
      <c r="M11" s="137">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7">
        <v>111250</v>
      </c>
      <c r="M12" s="137">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7">
        <v>84000</v>
      </c>
      <c r="M13" s="137">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7">
        <v>162500</v>
      </c>
      <c r="M14" s="137">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7">
        <v>111000</v>
      </c>
      <c r="M15" s="137">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7">
        <v>180250</v>
      </c>
      <c r="M16" s="137">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7"/>
      <c r="M17" s="137">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7">
        <v>187000</v>
      </c>
      <c r="M18" s="137">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7">
        <v>231750</v>
      </c>
      <c r="M19" s="137">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L20" s="137"/>
      <c r="M20" s="137">
        <v>-218250</v>
      </c>
    </row>
    <row r="21" spans="1:13" x14ac:dyDescent="0.3">
      <c r="G21">
        <f>SUMIFS(Table14[Debit], Table14[Date], Table8[[#This Row],[Date]], Table14[Party], Table8[[#This Row],[Party]])</f>
        <v>0</v>
      </c>
      <c r="H21">
        <f>Table8[[#This Row],[Price]]-Table8[[#This Row],[Paid]]</f>
        <v>0</v>
      </c>
      <c r="K21" s="26">
        <v>46031</v>
      </c>
      <c r="L21" s="137">
        <v>110375</v>
      </c>
      <c r="M21" s="137">
        <v>43500</v>
      </c>
    </row>
    <row r="22" spans="1:13" x14ac:dyDescent="0.3">
      <c r="G22">
        <f>SUMIFS(Table14[Debit], Table14[Date], Table8[[#This Row],[Date]], Table14[Party], Table8[[#This Row],[Party]])</f>
        <v>0</v>
      </c>
      <c r="H22">
        <f>Table8[[#This Row],[Price]]-Table8[[#This Row],[Paid]]</f>
        <v>0</v>
      </c>
      <c r="K22" s="26">
        <v>46034</v>
      </c>
      <c r="L22" s="137"/>
      <c r="M22" s="137">
        <v>-43500</v>
      </c>
    </row>
    <row r="23" spans="1:13" x14ac:dyDescent="0.3">
      <c r="G23">
        <f>SUMIFS(Table14[Debit], Table14[Date], Table8[[#This Row],[Date]], Table14[Party], Table8[[#This Row],[Party]])</f>
        <v>0</v>
      </c>
      <c r="H23">
        <f>Table8[[#This Row],[Price]]-Table8[[#This Row],[Paid]]</f>
        <v>0</v>
      </c>
      <c r="K23" s="4" t="s">
        <v>103</v>
      </c>
      <c r="L23" s="137"/>
      <c r="M23" s="137">
        <v>0</v>
      </c>
    </row>
    <row r="24" spans="1:13" x14ac:dyDescent="0.3">
      <c r="E24">
        <f>SUBTOTAL(109,Table8[Price])</f>
        <v>1653125</v>
      </c>
      <c r="H24">
        <f>SUBTOTAL(109,Table8[Balance])</f>
        <v>0</v>
      </c>
      <c r="K24" s="26">
        <v>46038</v>
      </c>
      <c r="L24" s="137">
        <v>291250</v>
      </c>
      <c r="M24" s="137">
        <v>0</v>
      </c>
    </row>
    <row r="25" spans="1:13" x14ac:dyDescent="0.3">
      <c r="K25" s="4" t="s">
        <v>28</v>
      </c>
      <c r="L25" s="137">
        <v>1653125</v>
      </c>
      <c r="M25" s="137">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s="137">
        <v>0</v>
      </c>
      <c r="L5" s="137">
        <v>268000</v>
      </c>
      <c r="M5" s="137">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s="137">
        <v>0</v>
      </c>
      <c r="L6" s="137">
        <v>0</v>
      </c>
      <c r="M6" s="137">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s="137">
        <v>0</v>
      </c>
      <c r="L7" s="137">
        <v>0</v>
      </c>
      <c r="M7" s="137">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s="137">
        <v>351000</v>
      </c>
      <c r="L8" s="137">
        <v>351000</v>
      </c>
      <c r="M8" s="137">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s="137">
        <v>0</v>
      </c>
      <c r="L9" s="137">
        <v>0</v>
      </c>
      <c r="M9" s="137">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s="137">
        <v>351000</v>
      </c>
      <c r="L10" s="137">
        <v>619000</v>
      </c>
      <c r="M10" s="137">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c r="F14">
        <f>SUBTOTAL(109,Table2[Price])</f>
        <v>351000</v>
      </c>
      <c r="G14">
        <f>SUBTOTAL(109,Table2[Paid])</f>
        <v>619000</v>
      </c>
      <c r="H14">
        <f>SUBTOTAL(109,Table2[Balance])</f>
        <v>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1667997</v>
      </c>
      <c r="C2" s="32">
        <f>GETPIVOTDATA("Sum of Tiyaar/gaz",$A$3)</f>
        <v>1676222.8824</v>
      </c>
      <c r="D2" s="31">
        <f>((B2*48)+((C2/1.0936)*10))/C2</f>
        <v>56.908556386795681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29266</v>
      </c>
      <c r="D51" s="28">
        <f t="shared" si="19"/>
        <v>62.079257778874705</v>
      </c>
      <c r="E51" s="11">
        <f t="shared" si="20"/>
        <v>35295.939999999995</v>
      </c>
      <c r="F51" s="11">
        <f t="shared" si="21"/>
        <v>29266</v>
      </c>
      <c r="G51" s="78">
        <f t="shared" si="22"/>
        <v>17.083947898823482</v>
      </c>
      <c r="H51" s="28">
        <f t="shared" si="23"/>
        <v>26761.155815654722</v>
      </c>
      <c r="I51" s="28">
        <f t="shared" si="24"/>
        <v>62.079257778874705</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29452</v>
      </c>
      <c r="D58" s="28">
        <f t="shared" si="19"/>
        <v>87.672971711202365</v>
      </c>
      <c r="E58" s="11">
        <f t="shared" si="20"/>
        <v>52694.022399999994</v>
      </c>
      <c r="F58" s="11">
        <f t="shared" si="21"/>
        <v>29452</v>
      </c>
      <c r="G58" s="78">
        <f t="shared" si="22"/>
        <v>44.107512278280723</v>
      </c>
      <c r="H58" s="28">
        <f t="shared" si="23"/>
        <v>26931.236283833212</v>
      </c>
      <c r="I58" s="28">
        <f t="shared" si="24"/>
        <v>87.672971711202365</v>
      </c>
    </row>
    <row r="59" spans="1:9" x14ac:dyDescent="0.3">
      <c r="A59" s="16">
        <v>2030</v>
      </c>
      <c r="B59" s="14">
        <v>24735</v>
      </c>
      <c r="C59" s="14">
        <v>26408</v>
      </c>
      <c r="D59" s="28">
        <f t="shared" ref="D59:D73" si="25">I59</f>
        <v>54.103214494421792</v>
      </c>
      <c r="E59" s="11">
        <f t="shared" ref="E59:E73" si="26">B59 * 1.0936</f>
        <v>27050.195999999996</v>
      </c>
      <c r="F59" s="11">
        <f t="shared" ref="F59:F73" si="27">C59</f>
        <v>26408</v>
      </c>
      <c r="G59" s="78">
        <f t="shared" ref="G59:G73" si="28">100- (F59/E59 *100)</f>
        <v>2.3740900065936614</v>
      </c>
      <c r="H59" s="28">
        <f t="shared" ref="H59:H73" si="29">F59/1.0936</f>
        <v>24147.768836869058</v>
      </c>
      <c r="I59" s="28">
        <f t="shared" ref="I59:I73" si="30">((B59*48)+(H59*10))/C59</f>
        <v>54.103214494421792</v>
      </c>
    </row>
    <row r="60" spans="1:9" x14ac:dyDescent="0.3">
      <c r="A60" s="16">
        <v>2037</v>
      </c>
      <c r="B60" s="14">
        <v>14961</v>
      </c>
      <c r="C60" s="14">
        <v>14290</v>
      </c>
      <c r="D60" s="28">
        <f t="shared" si="25"/>
        <v>59.397995027241642</v>
      </c>
      <c r="E60" s="11">
        <f t="shared" si="26"/>
        <v>16361.349599999998</v>
      </c>
      <c r="F60" s="11">
        <f t="shared" si="27"/>
        <v>14290</v>
      </c>
      <c r="G60" s="78">
        <f t="shared" si="28"/>
        <v>12.6600167506964</v>
      </c>
      <c r="H60" s="28">
        <f t="shared" si="29"/>
        <v>13066.934893928312</v>
      </c>
      <c r="I60" s="28">
        <f t="shared" si="30"/>
        <v>59.397995027241642</v>
      </c>
    </row>
    <row r="61" spans="1:9" x14ac:dyDescent="0.3">
      <c r="A61" s="16">
        <v>2026</v>
      </c>
      <c r="B61" s="14">
        <v>70035</v>
      </c>
      <c r="C61" s="14">
        <v>67113</v>
      </c>
      <c r="D61" s="28">
        <f t="shared" si="25"/>
        <v>59.233959656922067</v>
      </c>
      <c r="E61" s="11">
        <f t="shared" si="26"/>
        <v>76590.275999999998</v>
      </c>
      <c r="F61" s="11">
        <f t="shared" si="27"/>
        <v>67113</v>
      </c>
      <c r="G61" s="78">
        <f t="shared" si="28"/>
        <v>12.373993795243663</v>
      </c>
      <c r="H61" s="28">
        <f t="shared" si="29"/>
        <v>61368.8734455011</v>
      </c>
      <c r="I61" s="28">
        <f t="shared" si="30"/>
        <v>59.233959656922067</v>
      </c>
    </row>
    <row r="62" spans="1:9" x14ac:dyDescent="0.3">
      <c r="A62" s="16">
        <v>2016</v>
      </c>
      <c r="B62" s="14">
        <v>29033</v>
      </c>
      <c r="C62" s="14">
        <v>26454</v>
      </c>
      <c r="D62" s="28">
        <f t="shared" si="25"/>
        <v>61.823630357735716</v>
      </c>
      <c r="E62" s="11">
        <f t="shared" si="26"/>
        <v>31750.488799999996</v>
      </c>
      <c r="F62" s="11">
        <f t="shared" si="27"/>
        <v>26454</v>
      </c>
      <c r="G62" s="78">
        <f t="shared" si="28"/>
        <v>16.681597670395547</v>
      </c>
      <c r="H62" s="28">
        <f t="shared" si="29"/>
        <v>24189.831748354063</v>
      </c>
      <c r="I62" s="28">
        <f t="shared" si="30"/>
        <v>61.823630357735716</v>
      </c>
    </row>
    <row r="63" spans="1:9" x14ac:dyDescent="0.3">
      <c r="A63" s="16">
        <v>2012</v>
      </c>
      <c r="B63" s="14">
        <v>28546</v>
      </c>
      <c r="C63" s="14">
        <v>2148</v>
      </c>
      <c r="D63" s="28">
        <f t="shared" si="25"/>
        <v>647.04355253317419</v>
      </c>
      <c r="E63" s="11">
        <f t="shared" si="26"/>
        <v>31217.905599999998</v>
      </c>
      <c r="F63" s="11">
        <f t="shared" si="27"/>
        <v>2148</v>
      </c>
      <c r="G63" s="78">
        <f t="shared" si="28"/>
        <v>93.119333412296569</v>
      </c>
      <c r="H63" s="28">
        <f t="shared" si="29"/>
        <v>1964.1550841258231</v>
      </c>
      <c r="I63" s="28">
        <f t="shared" si="30"/>
        <v>647.04355253317419</v>
      </c>
    </row>
    <row r="64" spans="1:9" x14ac:dyDescent="0.3">
      <c r="A64" s="16" t="s">
        <v>28</v>
      </c>
      <c r="B64" s="30">
        <v>80202</v>
      </c>
      <c r="C64" s="30">
        <v>1676222.8824</v>
      </c>
      <c r="D64" s="28">
        <f t="shared" si="25"/>
        <v>11.440760427061919</v>
      </c>
      <c r="E64" s="11">
        <f t="shared" si="26"/>
        <v>87708.907199999987</v>
      </c>
      <c r="F64" s="11">
        <f t="shared" si="27"/>
        <v>1676222.8824</v>
      </c>
      <c r="G64" s="78">
        <f t="shared" si="28"/>
        <v>-1811.1204732921358</v>
      </c>
      <c r="H64" s="28">
        <f t="shared" si="29"/>
        <v>1532756.8419897587</v>
      </c>
      <c r="I64" s="28">
        <f t="shared" si="30"/>
        <v>11.440760427061919</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40976</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490210</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M20" sqref="M2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5195319</v>
      </c>
      <c r="C3" s="103">
        <f>Billing!AE6</f>
        <v>0.12948061525821686</v>
      </c>
    </row>
    <row r="4" spans="1:3" ht="21" x14ac:dyDescent="0.4">
      <c r="A4" s="102" t="str">
        <f>Billing!Q7</f>
        <v>Arshad</v>
      </c>
      <c r="B4" s="105">
        <f>Billing!AD7</f>
        <v>7735501</v>
      </c>
      <c r="C4" s="104">
        <f>Billing!AE7</f>
        <v>160684.07681053504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797794.85735186562</v>
      </c>
    </row>
    <row r="10" spans="1:3" ht="21" x14ac:dyDescent="0.4">
      <c r="A10" s="102" t="str">
        <f>Billing!Q13</f>
        <v>Ubaidullah</v>
      </c>
      <c r="B10" s="105">
        <f>Billing!AD13</f>
        <v>940190</v>
      </c>
      <c r="C10" s="103">
        <f>Billing!AE13</f>
        <v>184875.83760058554</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1796025</v>
      </c>
      <c r="C21" s="103">
        <f>Billing!AE24</f>
        <v>113988.71616678871</v>
      </c>
    </row>
    <row r="22" spans="1:3" ht="21" x14ac:dyDescent="0.4">
      <c r="A22" s="102" t="str">
        <f>Billing!Q25</f>
        <v>Shahid Qasayi</v>
      </c>
      <c r="B22" s="105">
        <f>Billing!AD25</f>
        <v>2461895</v>
      </c>
      <c r="C22" s="103">
        <f>Billing!AE25</f>
        <v>271318.24067300605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25" priority="1" operator="lessThan">
      <formula>10</formula>
    </cfRule>
  </conditionalFormatting>
  <conditionalFormatting sqref="C2:C29">
    <cfRule type="cellIs" dxfId="2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2026-01-16T22:41:18Z</dcterms:modified>
  <cp:category/>
  <cp:contentStatus/>
</cp:coreProperties>
</file>