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88" documentId="8_{882B14A6-A67C-4C60-A7D4-43427E6D1DAC}" xr6:coauthVersionLast="47" xr6:coauthVersionMax="47" xr10:uidLastSave="{FDE2C6B1-6269-4976-A1B4-0D28A5410372}"/>
  <bookViews>
    <workbookView xWindow="-108" yWindow="-108" windowWidth="23256" windowHeight="12456" tabRatio="59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calcCompleted="0"/>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6" i="9" l="1"/>
  <c r="AD7" i="9"/>
  <c r="AD8" i="9"/>
  <c r="AE8" i="9" s="1"/>
  <c r="AD9" i="9"/>
  <c r="AE9" i="9" s="1"/>
  <c r="AD10" i="9"/>
  <c r="AE10" i="9" s="1"/>
  <c r="AD11" i="9"/>
  <c r="AE11" i="9" s="1"/>
  <c r="AD12" i="9"/>
  <c r="AD13" i="9"/>
  <c r="AD14" i="9"/>
  <c r="AE14" i="9" s="1"/>
  <c r="AD15" i="9"/>
  <c r="AE15" i="9" s="1"/>
  <c r="AD16" i="9"/>
  <c r="AE16" i="9" s="1"/>
  <c r="AD17" i="9"/>
  <c r="AE17" i="9" s="1"/>
  <c r="AD18" i="9"/>
  <c r="AD19" i="9"/>
  <c r="AD20" i="9"/>
  <c r="AE20" i="9" s="1"/>
  <c r="AD21" i="9"/>
  <c r="AE21" i="9" s="1"/>
  <c r="AD22" i="9"/>
  <c r="AE22" i="9" s="1"/>
  <c r="AD23" i="9"/>
  <c r="AE23" i="9" s="1"/>
  <c r="AD24" i="9"/>
  <c r="AD25" i="9"/>
  <c r="AD26" i="9"/>
  <c r="AE26" i="9" s="1"/>
  <c r="AD27" i="9"/>
  <c r="AE27" i="9" s="1"/>
  <c r="AD28" i="9"/>
  <c r="AE28" i="9" s="1"/>
  <c r="AD29" i="9"/>
  <c r="AE29" i="9" s="1"/>
  <c r="AD30" i="9"/>
  <c r="AD31" i="9"/>
  <c r="AD32" i="9"/>
  <c r="AD33" i="9"/>
  <c r="AD34" i="9"/>
  <c r="AD35" i="9"/>
  <c r="AD36" i="9"/>
  <c r="AE30" i="9"/>
  <c r="AE31" i="9"/>
  <c r="AE6" i="9"/>
  <c r="AE7" i="9"/>
  <c r="AE12" i="9"/>
  <c r="AE13" i="9"/>
  <c r="AE18" i="9"/>
  <c r="AE19" i="9"/>
  <c r="AE24" i="9"/>
  <c r="AE25" i="9"/>
  <c r="AD5" i="9"/>
  <c r="AC25" i="9"/>
  <c r="C110" i="9"/>
  <c r="D110" i="9"/>
  <c r="E110" i="9"/>
  <c r="F110" i="9"/>
  <c r="G110" i="9"/>
  <c r="H110" i="9"/>
  <c r="I110" i="9"/>
  <c r="J110" i="9"/>
  <c r="K110" i="9"/>
  <c r="L110" i="9"/>
  <c r="M110" i="9"/>
  <c r="N110" i="9"/>
  <c r="P110" i="9" s="1"/>
  <c r="O110" i="9"/>
  <c r="C111" i="9"/>
  <c r="D111" i="9"/>
  <c r="E111" i="9"/>
  <c r="F111" i="9"/>
  <c r="G111" i="9"/>
  <c r="N111" i="9" s="1"/>
  <c r="P111" i="9" s="1"/>
  <c r="H111" i="9"/>
  <c r="I111" i="9"/>
  <c r="X32" i="9" s="1" a="1"/>
  <c r="X32" i="9" s="1"/>
  <c r="J111" i="9"/>
  <c r="K111" i="9"/>
  <c r="Z32" i="9" s="1" a="1"/>
  <c r="Z32" i="9" s="1"/>
  <c r="L111" i="9"/>
  <c r="AA32" i="9" s="1" a="1"/>
  <c r="AA32" i="9" s="1"/>
  <c r="M111" i="9"/>
  <c r="O111" i="9"/>
  <c r="C112" i="9"/>
  <c r="D112" i="9"/>
  <c r="E112" i="9"/>
  <c r="F112" i="9"/>
  <c r="G112" i="9"/>
  <c r="N112" i="9" s="1"/>
  <c r="P112" i="9" s="1"/>
  <c r="H112" i="9"/>
  <c r="W33" i="9" s="1" a="1"/>
  <c r="W33" i="9" s="1"/>
  <c r="I112" i="9"/>
  <c r="X33" i="9" s="1" a="1"/>
  <c r="X33" i="9" s="1"/>
  <c r="J112" i="9"/>
  <c r="Y33" i="9" s="1" a="1"/>
  <c r="Y33" i="9" s="1"/>
  <c r="K112" i="9"/>
  <c r="L112" i="9"/>
  <c r="M112" i="9"/>
  <c r="O112" i="9"/>
  <c r="C113" i="9"/>
  <c r="D113" i="9"/>
  <c r="E113" i="9"/>
  <c r="F113" i="9"/>
  <c r="G113" i="9"/>
  <c r="V34" i="9" s="1" a="1"/>
  <c r="V34" i="9" s="1"/>
  <c r="H113" i="9"/>
  <c r="W34" i="9" s="1" a="1"/>
  <c r="W34" i="9" s="1"/>
  <c r="I113" i="9"/>
  <c r="J113" i="9"/>
  <c r="K113" i="9"/>
  <c r="L113" i="9"/>
  <c r="M113" i="9"/>
  <c r="O113" i="9"/>
  <c r="C114" i="9"/>
  <c r="D114" i="9"/>
  <c r="E114" i="9"/>
  <c r="F114" i="9"/>
  <c r="G114" i="9"/>
  <c r="H114" i="9"/>
  <c r="I114" i="9"/>
  <c r="J114" i="9"/>
  <c r="K114" i="9"/>
  <c r="Z35" i="9" s="1" a="1"/>
  <c r="Z35" i="9" s="1"/>
  <c r="L114" i="9"/>
  <c r="AA35" i="9" s="1" a="1"/>
  <c r="AA35" i="9" s="1"/>
  <c r="M114" i="9"/>
  <c r="AB35" i="9" s="1" a="1"/>
  <c r="AB35" i="9" s="1"/>
  <c r="N114" i="9"/>
  <c r="O114" i="9"/>
  <c r="P114" i="9"/>
  <c r="C115" i="9"/>
  <c r="D115" i="9"/>
  <c r="E115" i="9"/>
  <c r="F115" i="9"/>
  <c r="G115" i="9"/>
  <c r="H115" i="9"/>
  <c r="I115" i="9"/>
  <c r="X36" i="9" s="1" a="1"/>
  <c r="X36" i="9" s="1"/>
  <c r="J115" i="9"/>
  <c r="K115" i="9"/>
  <c r="Z36" i="9" s="1" a="1"/>
  <c r="Z36" i="9" s="1"/>
  <c r="L115" i="9"/>
  <c r="M115" i="9"/>
  <c r="N115" i="9"/>
  <c r="O115" i="9"/>
  <c r="P115" i="9"/>
  <c r="H37" i="1"/>
  <c r="H38" i="1"/>
  <c r="H39" i="1"/>
  <c r="H40" i="1"/>
  <c r="H41" i="1"/>
  <c r="H42" i="1"/>
  <c r="H43" i="1"/>
  <c r="H44" i="1"/>
  <c r="H45" i="1"/>
  <c r="H46" i="1"/>
  <c r="H47" i="1"/>
  <c r="K60"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J60" i="1" s="1" a="1"/>
  <c r="J60" i="1" s="1"/>
  <c r="I2" i="1"/>
  <c r="D37" i="14"/>
  <c r="F7" i="15"/>
  <c r="G7" i="15"/>
  <c r="F8" i="15"/>
  <c r="G8" i="15"/>
  <c r="F9" i="15"/>
  <c r="G9" i="15"/>
  <c r="C4" i="8"/>
  <c r="C5" i="8"/>
  <c r="G5" i="7"/>
  <c r="G3" i="7"/>
  <c r="G4" i="7"/>
  <c r="G6" i="7"/>
  <c r="G7" i="7"/>
  <c r="G8" i="7"/>
  <c r="H8" i="7" s="1"/>
  <c r="G9" i="7"/>
  <c r="H6" i="7"/>
  <c r="H7" i="7"/>
  <c r="H9" i="7"/>
  <c r="G8" i="6"/>
  <c r="G9" i="6"/>
  <c r="G10" i="6"/>
  <c r="G11" i="6"/>
  <c r="G12" i="6"/>
  <c r="I10" i="6"/>
  <c r="I11" i="6"/>
  <c r="I12" i="6"/>
  <c r="D3" i="17"/>
  <c r="D2" i="17"/>
  <c r="V32" i="9" a="1"/>
  <c r="V32" i="9" s="1"/>
  <c r="W32" i="9" a="1"/>
  <c r="W32" i="9" s="1"/>
  <c r="V33" i="9" a="1"/>
  <c r="V33" i="9" s="1"/>
  <c r="V35" i="9" a="1"/>
  <c r="V35" i="9" s="1"/>
  <c r="W35" i="9" a="1"/>
  <c r="W35" i="9" s="1"/>
  <c r="V36" i="9" a="1"/>
  <c r="V36" i="9" s="1"/>
  <c r="W36" i="9" a="1"/>
  <c r="W36" i="9" s="1"/>
  <c r="Y32" i="9" a="1"/>
  <c r="Y32" i="9" s="1"/>
  <c r="AB32" i="9" a="1"/>
  <c r="AB32" i="9" s="1"/>
  <c r="Z33" i="9" a="1"/>
  <c r="Z33" i="9" s="1"/>
  <c r="AA33" i="9" a="1"/>
  <c r="AA33" i="9" s="1"/>
  <c r="AB33" i="9" a="1"/>
  <c r="AB33" i="9" s="1"/>
  <c r="X34" i="9" a="1"/>
  <c r="X34" i="9" s="1"/>
  <c r="Y34" i="9" a="1"/>
  <c r="Y34" i="9" s="1"/>
  <c r="Z34" i="9" a="1"/>
  <c r="Z34" i="9" s="1"/>
  <c r="AA34" i="9" a="1"/>
  <c r="AA34" i="9" s="1"/>
  <c r="AB34" i="9" a="1"/>
  <c r="AB34" i="9" s="1"/>
  <c r="X35" i="9" a="1"/>
  <c r="X35" i="9" s="1"/>
  <c r="Y35" i="9" a="1"/>
  <c r="Y35" i="9" s="1"/>
  <c r="Y36" i="9" a="1"/>
  <c r="Y36" i="9" s="1"/>
  <c r="AA36" i="9" a="1"/>
  <c r="AA36" i="9" s="1"/>
  <c r="AB36" i="9" a="1"/>
  <c r="AB36" i="9" s="1"/>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3" i="9" l="1"/>
  <c r="P113" i="9" s="1"/>
  <c r="I60" i="1" a="1"/>
  <c r="I60" i="1" s="1"/>
  <c r="P35" i="7" l="1"/>
  <c r="P36" i="7"/>
  <c r="P37" i="7"/>
  <c r="P38" i="7"/>
  <c r="P39" i="7"/>
  <c r="P40" i="7"/>
  <c r="P41" i="7"/>
  <c r="P42" i="7"/>
  <c r="P43" i="7"/>
  <c r="P44" i="7"/>
  <c r="P45" i="7"/>
  <c r="P46" i="7"/>
  <c r="P47" i="7"/>
  <c r="P48" i="7"/>
  <c r="P49" i="7"/>
  <c r="P50" i="7"/>
  <c r="P51" i="7"/>
  <c r="P52" i="7"/>
  <c r="P53" i="7"/>
  <c r="P54" i="7"/>
  <c r="P55" i="7"/>
  <c r="P34" i="7"/>
  <c r="K27" i="15"/>
  <c r="K26" i="15"/>
  <c r="P56" i="7" l="1"/>
  <c r="K25" i="15" l="1"/>
  <c r="K30" i="15" s="1"/>
  <c r="B49" i="9" a="1"/>
  <c r="AC36" i="9"/>
  <c r="C6" i="17"/>
  <c r="K4" i="17" s="1"/>
  <c r="E10" i="7"/>
  <c r="F10" i="15"/>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14" i="15" s="1"/>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E90" i="2"/>
  <c r="F90" i="2"/>
  <c r="G90" i="2"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G77" i="2" s="1"/>
  <c r="F77" i="2"/>
  <c r="E78" i="2"/>
  <c r="F78" i="2"/>
  <c r="G78" i="2" s="1"/>
  <c r="E79" i="2"/>
  <c r="F79" i="2"/>
  <c r="H79" i="2" s="1"/>
  <c r="I79" i="2" s="1"/>
  <c r="D79" i="2" s="1"/>
  <c r="E80" i="2"/>
  <c r="F80" i="2"/>
  <c r="H80" i="2"/>
  <c r="I80" i="2" s="1"/>
  <c r="D80" i="2" s="1"/>
  <c r="E81" i="2"/>
  <c r="F81" i="2"/>
  <c r="G81" i="2" s="1"/>
  <c r="H81" i="2"/>
  <c r="I81" i="2" s="1"/>
  <c r="D81" i="2" s="1"/>
  <c r="E82" i="2"/>
  <c r="G82" i="2" s="1"/>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E37" i="2"/>
  <c r="F37" i="2"/>
  <c r="G37" i="2"/>
  <c r="E39" i="2"/>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G30" i="2"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E4" i="2"/>
  <c r="C8" i="8"/>
  <c r="F10" i="2"/>
  <c r="H10" i="2" s="1"/>
  <c r="I10" i="2" s="1"/>
  <c r="D10" i="2" s="1"/>
  <c r="F4" i="2"/>
  <c r="H4" i="2" s="1"/>
  <c r="I4" i="2" s="1"/>
  <c r="D4" i="2" s="1"/>
  <c r="N3" i="7"/>
  <c r="N5" i="7" s="1"/>
  <c r="E6" i="11"/>
  <c r="D6" i="11"/>
  <c r="F3" i="2"/>
  <c r="J15" i="14"/>
  <c r="H92" i="2"/>
  <c r="I92" i="2" s="1"/>
  <c r="D92" i="2" s="1"/>
  <c r="G87" i="2"/>
  <c r="H94" i="2"/>
  <c r="I94" i="2"/>
  <c r="D94" i="2"/>
  <c r="G91" i="2"/>
  <c r="H89" i="2"/>
  <c r="I89" i="2"/>
  <c r="D89" i="2"/>
  <c r="H98" i="2"/>
  <c r="I98" i="2"/>
  <c r="D98" i="2"/>
  <c r="H93" i="2"/>
  <c r="I93" i="2"/>
  <c r="D93" i="2"/>
  <c r="H95" i="2"/>
  <c r="I95" i="2"/>
  <c r="D95" i="2"/>
  <c r="H97" i="2"/>
  <c r="I97" i="2"/>
  <c r="D97" i="2"/>
  <c r="H82" i="2"/>
  <c r="I82" i="2" s="1"/>
  <c r="D82" i="2" s="1"/>
  <c r="B2" i="2"/>
  <c r="J30" i="15"/>
  <c r="N5" i="17"/>
  <c r="H48" i="1"/>
  <c r="H25" i="1"/>
  <c r="H35" i="1"/>
  <c r="H51" i="1"/>
  <c r="H23" i="1"/>
  <c r="H29" i="1"/>
  <c r="H9" i="1"/>
  <c r="H11" i="1"/>
  <c r="H32" i="1"/>
  <c r="H52" i="1"/>
  <c r="H7" i="1"/>
  <c r="H13" i="1"/>
  <c r="H21" i="1"/>
  <c r="H15" i="1"/>
  <c r="H33" i="1"/>
  <c r="H24" i="1"/>
  <c r="H18" i="1"/>
  <c r="H57" i="1"/>
  <c r="H36" i="1"/>
  <c r="H27" i="1"/>
  <c r="H14" i="1"/>
  <c r="H12" i="1"/>
  <c r="H49" i="1"/>
  <c r="H2" i="1"/>
  <c r="H5" i="1"/>
  <c r="H56" i="1"/>
  <c r="H31" i="1"/>
  <c r="H16" i="1"/>
  <c r="H55" i="1"/>
  <c r="H6" i="1"/>
  <c r="H34" i="1"/>
  <c r="H4" i="1"/>
  <c r="H22" i="1"/>
  <c r="H53" i="1"/>
  <c r="H30" i="1"/>
  <c r="H50" i="1"/>
  <c r="H10" i="1"/>
  <c r="H20" i="1"/>
  <c r="H26" i="1"/>
  <c r="H17" i="1"/>
  <c r="H58" i="1"/>
  <c r="H8" i="1"/>
  <c r="H28" i="1"/>
  <c r="H3" i="1"/>
  <c r="H59" i="1"/>
  <c r="H54" i="1"/>
  <c r="H19" i="1"/>
  <c r="H49" i="2"/>
  <c r="I49" i="2" s="1"/>
  <c r="D49" i="2" s="1"/>
  <c r="H37" i="2"/>
  <c r="I37" i="2" s="1"/>
  <c r="D37" i="2" s="1"/>
  <c r="H58" i="2"/>
  <c r="I58" i="2" s="1"/>
  <c r="D58" i="2" s="1"/>
  <c r="G64" i="2"/>
  <c r="C16" i="10"/>
  <c r="G55" i="2"/>
  <c r="G50" i="2"/>
  <c r="H64" i="2"/>
  <c r="I64" i="2" s="1"/>
  <c r="D64" i="2" s="1"/>
  <c r="G39" i="2"/>
  <c r="H7" i="2"/>
  <c r="I7" i="2" s="1"/>
  <c r="D7" i="2" s="1"/>
  <c r="G49" i="2"/>
  <c r="G69" i="2"/>
  <c r="G33" i="2"/>
  <c r="G51" i="2"/>
  <c r="G57" i="2"/>
  <c r="G15" i="2"/>
  <c r="G66" i="2"/>
  <c r="G72" i="2"/>
  <c r="G45" i="2"/>
  <c r="H57" i="2"/>
  <c r="I57" i="2" s="1"/>
  <c r="D57" i="2" s="1"/>
  <c r="G53" i="2"/>
  <c r="G38" i="2"/>
  <c r="G31" i="2"/>
  <c r="G71" i="2"/>
  <c r="H45" i="2"/>
  <c r="I45" i="2"/>
  <c r="D45" i="2" s="1"/>
  <c r="G35" i="2"/>
  <c r="H68" i="2"/>
  <c r="I68" i="2" s="1"/>
  <c r="D68" i="2" s="1"/>
  <c r="H77" i="2"/>
  <c r="I77" i="2" s="1"/>
  <c r="D77" i="2" s="1"/>
  <c r="G76" i="2"/>
  <c r="C2" i="2"/>
  <c r="AA13" i="9" l="1" a="1"/>
  <c r="AA13" i="9" s="1"/>
  <c r="AA20" i="9" a="1"/>
  <c r="AA20" i="9" s="1"/>
  <c r="X23" i="9" a="1"/>
  <c r="X23"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V15" i="9" a="1"/>
  <c r="V15" i="9" s="1"/>
  <c r="AA6" i="9" a="1"/>
  <c r="AA6" i="9" s="1"/>
  <c r="Y23" i="9" a="1"/>
  <c r="Y23" i="9" s="1"/>
  <c r="X28" i="9" a="1"/>
  <c r="X28"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Y9" i="9" a="1"/>
  <c r="Y9" i="9" s="1"/>
  <c r="X14" i="9" a="1"/>
  <c r="X14" i="9" s="1"/>
  <c r="Z23" i="9" a="1"/>
  <c r="Z23"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V10" i="9" a="1"/>
  <c r="V10" i="9" s="1"/>
  <c r="W21" i="9" a="1"/>
  <c r="W21" i="9" s="1"/>
  <c r="Z9" i="9" a="1"/>
  <c r="Z9" i="9" s="1"/>
  <c r="AB11" i="9" a="1"/>
  <c r="AB11" i="9" s="1"/>
  <c r="X26" i="9" a="1"/>
  <c r="X26" i="9" s="1"/>
  <c r="Z30" i="9" a="1"/>
  <c r="Z30"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O98" i="9"/>
  <c r="C86" i="9"/>
  <c r="D87" i="9"/>
  <c r="E88" i="9"/>
  <c r="F89" i="9"/>
  <c r="U10" i="9" s="1" a="1"/>
  <c r="U10" i="9" s="1"/>
  <c r="G90" i="9"/>
  <c r="H91" i="9"/>
  <c r="W12" i="9" s="1" a="1"/>
  <c r="W12" i="9" s="1"/>
  <c r="I92" i="9"/>
  <c r="J93" i="9"/>
  <c r="Y14" i="9" s="1" a="1"/>
  <c r="Y14" i="9" s="1"/>
  <c r="K94" i="9"/>
  <c r="Z15" i="9" s="1" a="1"/>
  <c r="Z15" i="9" s="1"/>
  <c r="L95" i="9"/>
  <c r="AA16" i="9" s="1" a="1"/>
  <c r="AA16" i="9" s="1"/>
  <c r="M96" i="9"/>
  <c r="C98" i="9"/>
  <c r="D99" i="9"/>
  <c r="E100" i="9"/>
  <c r="F101" i="9"/>
  <c r="G102" i="9"/>
  <c r="H103" i="9"/>
  <c r="I104" i="9"/>
  <c r="X25" i="9" s="1" a="1"/>
  <c r="X25" i="9" s="1"/>
  <c r="J105" i="9"/>
  <c r="K106" i="9"/>
  <c r="L107" i="9"/>
  <c r="AA28" i="9" s="1" a="1"/>
  <c r="AA28" i="9" s="1"/>
  <c r="M108" i="9"/>
  <c r="AB29" i="9" s="1" a="1"/>
  <c r="AB29" i="9" s="1"/>
  <c r="O87" i="9"/>
  <c r="O99" i="9"/>
  <c r="C85" i="9"/>
  <c r="D86" i="9"/>
  <c r="E87" i="9"/>
  <c r="F88" i="9"/>
  <c r="U9" i="9" s="1" a="1"/>
  <c r="U9" i="9" s="1"/>
  <c r="G89" i="9"/>
  <c r="H90" i="9"/>
  <c r="W11" i="9" s="1" a="1"/>
  <c r="W11" i="9" s="1"/>
  <c r="I91" i="9"/>
  <c r="J92" i="9"/>
  <c r="K93" i="9"/>
  <c r="Z14" i="9" s="1" a="1"/>
  <c r="Z14" i="9" s="1"/>
  <c r="M95" i="9"/>
  <c r="AB16" i="9" s="1" a="1"/>
  <c r="AB16" i="9" s="1"/>
  <c r="C97" i="9"/>
  <c r="D98" i="9"/>
  <c r="E99" i="9"/>
  <c r="F100" i="9"/>
  <c r="G101" i="9"/>
  <c r="H102" i="9"/>
  <c r="W23" i="9" s="1" a="1"/>
  <c r="W23" i="9" s="1"/>
  <c r="I103" i="9"/>
  <c r="K105" i="9"/>
  <c r="Z26" i="9" s="1" a="1"/>
  <c r="Z26" i="9" s="1"/>
  <c r="L106" i="9"/>
  <c r="W16" i="9" a="1"/>
  <c r="W16" i="9" s="1"/>
  <c r="V22" i="9" a="1"/>
  <c r="V22" i="9" s="1"/>
  <c r="X12" i="9" a="1"/>
  <c r="X12" i="9" s="1"/>
  <c r="AB23" i="9" a="1"/>
  <c r="AB23" i="9" s="1"/>
  <c r="Y26" i="9" a="1"/>
  <c r="Y26" i="9" s="1"/>
  <c r="AA30" i="9" a="1"/>
  <c r="AA30"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J104" i="9"/>
  <c r="M107" i="9"/>
  <c r="V11" i="9" a="1"/>
  <c r="V11" i="9" s="1"/>
  <c r="Z7" i="9" a="1"/>
  <c r="Z7" i="9" s="1"/>
  <c r="AB9" i="9" a="1"/>
  <c r="AB9" i="9" s="1"/>
  <c r="X24" i="9" a="1"/>
  <c r="X24" i="9" s="1"/>
  <c r="AB28" i="9" a="1"/>
  <c r="AB28" i="9" s="1"/>
  <c r="V23" i="9" a="1"/>
  <c r="V23" i="9" s="1"/>
  <c r="X29" i="9" a="1"/>
  <c r="X29" i="9" s="1"/>
  <c r="X31" i="9" a="1"/>
  <c r="X31"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W6" i="9" a="1"/>
  <c r="W6" i="9" s="1"/>
  <c r="Z10" i="9" a="1"/>
  <c r="Z10" i="9" s="1"/>
  <c r="Y15" i="9" a="1"/>
  <c r="Y15" i="9" s="1"/>
  <c r="Y22" i="9" a="1"/>
  <c r="Y22" i="9" s="1"/>
  <c r="AA24" i="9" a="1"/>
  <c r="AA24"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V13" i="9" a="1"/>
  <c r="V13" i="9" s="1"/>
  <c r="W24" i="9" a="1"/>
  <c r="W24" i="9" s="1"/>
  <c r="Y8" i="9" a="1"/>
  <c r="Y8" i="9" s="1"/>
  <c r="AA10" i="9" a="1"/>
  <c r="AA10" i="9" s="1"/>
  <c r="X13" i="9" a="1"/>
  <c r="X13" i="9" s="1"/>
  <c r="AB17" i="9" a="1"/>
  <c r="AB17" i="9" s="1"/>
  <c r="Y27" i="9" a="1"/>
  <c r="Y27" i="9" s="1"/>
  <c r="AA31" i="9" a="1"/>
  <c r="AA31"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V25" i="9" a="1"/>
  <c r="V25" i="9" s="1"/>
  <c r="W25" i="9" a="1"/>
  <c r="W25" i="9" s="1"/>
  <c r="I51" i="9" a="1"/>
  <c r="I51" i="9" s="1"/>
  <c r="I56" i="9" a="1"/>
  <c r="I56" i="9" s="1"/>
  <c r="I61" i="9" a="1"/>
  <c r="I61" i="9" s="1"/>
  <c r="J66" i="9" a="1"/>
  <c r="J66" i="9" s="1"/>
  <c r="G71" i="9" a="1"/>
  <c r="G71" i="9" s="1"/>
  <c r="G75" i="9" a="1"/>
  <c r="G75" i="9" s="1"/>
  <c r="O95" i="9"/>
  <c r="O109" i="9"/>
  <c r="F86" i="9"/>
  <c r="I87" i="9"/>
  <c r="X8" i="9" s="1" a="1"/>
  <c r="X8" i="9" s="1"/>
  <c r="L88" i="9"/>
  <c r="AA9" i="9" s="1" a="1"/>
  <c r="AA9" i="9" s="1"/>
  <c r="D90" i="9"/>
  <c r="G91" i="9"/>
  <c r="L92" i="9"/>
  <c r="D94" i="9"/>
  <c r="S15" i="9" s="1" a="1"/>
  <c r="S15" i="9" s="1"/>
  <c r="G95" i="9"/>
  <c r="J96" i="9"/>
  <c r="Y17" i="9" s="1" a="1"/>
  <c r="Y17" i="9" s="1"/>
  <c r="M97" i="9"/>
  <c r="AB18" i="9" s="1" a="1"/>
  <c r="AB18" i="9" s="1"/>
  <c r="G99" i="9"/>
  <c r="J100" i="9"/>
  <c r="Y21" i="9" s="1" a="1"/>
  <c r="Y21" i="9" s="1"/>
  <c r="M101" i="9"/>
  <c r="AB22" i="9" s="1" a="1"/>
  <c r="AB22" i="9" s="1"/>
  <c r="E103" i="9"/>
  <c r="H104" i="9"/>
  <c r="M105" i="9"/>
  <c r="AB26" i="9" s="1" a="1"/>
  <c r="AB26" i="9" s="1"/>
  <c r="E107" i="9"/>
  <c r="H108" i="9"/>
  <c r="W29" i="9" s="1" a="1"/>
  <c r="W29" i="9" s="1"/>
  <c r="J109" i="9"/>
  <c r="Y30" i="9" s="1" a="1"/>
  <c r="Y30" i="9" s="1"/>
  <c r="G63" i="9" a="1"/>
  <c r="G63" i="9" s="1"/>
  <c r="O101" i="9"/>
  <c r="J86" i="9"/>
  <c r="Y7" i="9" s="1" a="1"/>
  <c r="Y7" i="9" s="1"/>
  <c r="J90" i="9"/>
  <c r="Y11" i="9" s="1" a="1"/>
  <c r="Y11" i="9" s="1"/>
  <c r="H94" i="9"/>
  <c r="W15" i="9" s="1" a="1"/>
  <c r="W15" i="9" s="1"/>
  <c r="E97" i="9"/>
  <c r="K99" i="9"/>
  <c r="F102" i="9"/>
  <c r="C105" i="9"/>
  <c r="I107" i="9"/>
  <c r="X11" i="9" a="1"/>
  <c r="X11" i="9" s="1"/>
  <c r="J60" i="9" a="1"/>
  <c r="J60" i="9" s="1"/>
  <c r="V6" i="9" a="1"/>
  <c r="V6" i="9" s="1"/>
  <c r="Z24" i="9" a="1"/>
  <c r="Z24" i="9" s="1"/>
  <c r="H52" i="9" a="1"/>
  <c r="H52" i="9" s="1"/>
  <c r="H57" i="9" a="1"/>
  <c r="H57" i="9" s="1"/>
  <c r="H62" i="9" a="1"/>
  <c r="H62" i="9" s="1"/>
  <c r="I67" i="9" a="1"/>
  <c r="I67" i="9" s="1"/>
  <c r="J71" i="9" a="1"/>
  <c r="J71" i="9" s="1"/>
  <c r="M75" i="9" a="1"/>
  <c r="M75" i="9" s="1"/>
  <c r="O96" i="9"/>
  <c r="D85" i="9"/>
  <c r="G86" i="9"/>
  <c r="N86" i="9" s="1"/>
  <c r="J87" i="9"/>
  <c r="M88" i="9"/>
  <c r="E90" i="9"/>
  <c r="T11" i="9" s="1" a="1"/>
  <c r="T11" i="9" s="1"/>
  <c r="J91" i="9"/>
  <c r="Y12" i="9" s="1" a="1"/>
  <c r="Y12" i="9" s="1"/>
  <c r="M92" i="9"/>
  <c r="AB13" i="9" s="1" a="1"/>
  <c r="AB13" i="9" s="1"/>
  <c r="E94" i="9"/>
  <c r="H95" i="9"/>
  <c r="K96" i="9"/>
  <c r="E98" i="9"/>
  <c r="H99" i="9"/>
  <c r="W20" i="9" s="1" a="1"/>
  <c r="W20" i="9" s="1"/>
  <c r="K100" i="9"/>
  <c r="Z21" i="9" s="1" a="1"/>
  <c r="Z21" i="9" s="1"/>
  <c r="C102" i="9"/>
  <c r="R23" i="9" s="1" a="1"/>
  <c r="R23" i="9" s="1"/>
  <c r="F103" i="9"/>
  <c r="K104" i="9"/>
  <c r="Z25" i="9" s="1" a="1"/>
  <c r="Z25" i="9" s="1"/>
  <c r="C106" i="9"/>
  <c r="R27" i="9" s="1" a="1"/>
  <c r="R27" i="9" s="1"/>
  <c r="F107" i="9"/>
  <c r="U28" i="9" s="1" a="1"/>
  <c r="U28" i="9" s="1"/>
  <c r="I108" i="9"/>
  <c r="K109" i="9"/>
  <c r="K71" i="9" a="1"/>
  <c r="K71" i="9" s="1"/>
  <c r="O97" i="9"/>
  <c r="H86" i="9"/>
  <c r="C89" i="9"/>
  <c r="R10" i="9" s="1" a="1"/>
  <c r="R10" i="9" s="1"/>
  <c r="K91" i="9"/>
  <c r="Z12" i="9" s="1" a="1"/>
  <c r="Z12" i="9" s="1"/>
  <c r="C93" i="9"/>
  <c r="R14" i="9" s="1" a="1"/>
  <c r="R14" i="9" s="1"/>
  <c r="I95" i="9"/>
  <c r="X16" i="9" s="1" a="1"/>
  <c r="X16" i="9" s="1"/>
  <c r="F98" i="9"/>
  <c r="L100" i="9"/>
  <c r="AA21" i="9" s="1" a="1"/>
  <c r="AA21" i="9" s="1"/>
  <c r="G103" i="9"/>
  <c r="N103" i="9" s="1"/>
  <c r="D106" i="9"/>
  <c r="J108" i="9"/>
  <c r="V8" i="9" a="1"/>
  <c r="V8" i="9" s="1"/>
  <c r="AB15" i="9" a="1"/>
  <c r="AB15" i="9" s="1"/>
  <c r="L57" i="9" a="1"/>
  <c r="L57" i="9" s="1"/>
  <c r="J72" i="9" a="1"/>
  <c r="J72" i="9" s="1"/>
  <c r="V12" i="9" a="1"/>
  <c r="V12" i="9" s="1"/>
  <c r="G53" i="9" a="1"/>
  <c r="G53" i="9" s="1"/>
  <c r="K72" i="9" a="1"/>
  <c r="K72" i="9" s="1"/>
  <c r="O85" i="9"/>
  <c r="G85" i="9"/>
  <c r="M87" i="9"/>
  <c r="AB8" i="9" s="1" a="1"/>
  <c r="AB8" i="9" s="1"/>
  <c r="E89" i="9"/>
  <c r="M91" i="9"/>
  <c r="AB12" i="9" s="1" a="1"/>
  <c r="AB12" i="9" s="1"/>
  <c r="E93" i="9"/>
  <c r="K95" i="9"/>
  <c r="Z16" i="9" s="1" a="1"/>
  <c r="Z16" i="9" s="1"/>
  <c r="H98" i="9"/>
  <c r="C101" i="9"/>
  <c r="R22" i="9" s="1" a="1"/>
  <c r="R22" i="9" s="1"/>
  <c r="K103" i="9"/>
  <c r="F106" i="9"/>
  <c r="U27" i="9" s="1" a="1"/>
  <c r="U27" i="9" s="1"/>
  <c r="L108" i="9"/>
  <c r="L55" i="9" a="1"/>
  <c r="L55" i="9" s="1"/>
  <c r="O93" i="9"/>
  <c r="B11" i="20" s="1"/>
  <c r="O107" i="9"/>
  <c r="G87" i="9"/>
  <c r="J88" i="9"/>
  <c r="E91" i="9"/>
  <c r="M93" i="9"/>
  <c r="AB14" i="9" s="1" a="1"/>
  <c r="AB14" i="9" s="1"/>
  <c r="E95" i="9"/>
  <c r="K97" i="9"/>
  <c r="Z18" i="9" s="1" a="1"/>
  <c r="Z18" i="9" s="1"/>
  <c r="C103" i="9"/>
  <c r="H109" i="9"/>
  <c r="W30" i="9" s="1" a="1"/>
  <c r="W30" i="9" s="1"/>
  <c r="W7" i="9" a="1"/>
  <c r="W7" i="9" s="1"/>
  <c r="V31" i="9" a="1"/>
  <c r="V31" i="9" s="1"/>
  <c r="X6" i="9" a="1"/>
  <c r="X6" i="9" s="1"/>
  <c r="AA15" i="9" a="1"/>
  <c r="AA15" i="9" s="1"/>
  <c r="J52" i="9" a="1"/>
  <c r="J52" i="9" s="1"/>
  <c r="J62" i="9" a="1"/>
  <c r="J62" i="9" s="1"/>
  <c r="K67" i="9" a="1"/>
  <c r="K67" i="9" s="1"/>
  <c r="E85" i="9"/>
  <c r="K87" i="9"/>
  <c r="Z8" i="9" s="1" a="1"/>
  <c r="Z8" i="9" s="1"/>
  <c r="F90" i="9"/>
  <c r="F94" i="9"/>
  <c r="L96" i="9"/>
  <c r="AA17" i="9" s="1" a="1"/>
  <c r="AA17" i="9" s="1"/>
  <c r="I99" i="9"/>
  <c r="X20" i="9" s="1" a="1"/>
  <c r="X20" i="9" s="1"/>
  <c r="D102" i="9"/>
  <c r="L104" i="9"/>
  <c r="AA25" i="9" s="1" a="1"/>
  <c r="AA25" i="9" s="1"/>
  <c r="G107" i="9"/>
  <c r="L109" i="9"/>
  <c r="W31" i="9" a="1"/>
  <c r="W31" i="9" s="1"/>
  <c r="Y6" i="9" a="1"/>
  <c r="Y6" i="9" s="1"/>
  <c r="Y25" i="9" a="1"/>
  <c r="Y25" i="9" s="1"/>
  <c r="M52" i="9" a="1"/>
  <c r="M52" i="9" s="1"/>
  <c r="M62" i="9" a="1"/>
  <c r="M62" i="9" s="1"/>
  <c r="G68" i="9" a="1"/>
  <c r="G68" i="9" s="1"/>
  <c r="O100" i="9"/>
  <c r="B18" i="20" s="1"/>
  <c r="F85" i="9"/>
  <c r="U6" i="9" s="1" a="1"/>
  <c r="U6" i="9" s="1"/>
  <c r="I86" i="9"/>
  <c r="X7" i="9" s="1" a="1"/>
  <c r="X7" i="9" s="1"/>
  <c r="L87" i="9"/>
  <c r="D89" i="9"/>
  <c r="S10" i="9" s="1" a="1"/>
  <c r="S10" i="9" s="1"/>
  <c r="I90" i="9"/>
  <c r="L91" i="9"/>
  <c r="D93" i="9"/>
  <c r="G94" i="9"/>
  <c r="J95" i="9"/>
  <c r="Y16" i="9" s="1" a="1"/>
  <c r="Y16" i="9" s="1"/>
  <c r="D97" i="9"/>
  <c r="G98" i="9"/>
  <c r="J99" i="9"/>
  <c r="M100" i="9"/>
  <c r="AB21" i="9" s="1" a="1"/>
  <c r="AB21" i="9" s="1"/>
  <c r="E102" i="9"/>
  <c r="J103" i="9"/>
  <c r="Y24" i="9" s="1" a="1"/>
  <c r="Y24" i="9" s="1"/>
  <c r="M104" i="9"/>
  <c r="AB25" i="9" s="1" a="1"/>
  <c r="AB25" i="9" s="1"/>
  <c r="E106" i="9"/>
  <c r="H107" i="9"/>
  <c r="W28" i="9" s="1" a="1"/>
  <c r="W28" i="9" s="1"/>
  <c r="K108" i="9"/>
  <c r="Z29" i="9" s="1" a="1"/>
  <c r="Z29" i="9" s="1"/>
  <c r="M109" i="9"/>
  <c r="AB30" i="9" s="1" a="1"/>
  <c r="AB30" i="9" s="1"/>
  <c r="Z17" i="9" a="1"/>
  <c r="Z17" i="9" s="1"/>
  <c r="M57" i="9" a="1"/>
  <c r="M57" i="9" s="1"/>
  <c r="H68" i="9" a="1"/>
  <c r="H68" i="9" s="1"/>
  <c r="O89" i="9"/>
  <c r="B7" i="20" s="1"/>
  <c r="O103" i="9"/>
  <c r="I85" i="9"/>
  <c r="L86" i="9"/>
  <c r="AA7" i="9" s="1" a="1"/>
  <c r="AA7" i="9" s="1"/>
  <c r="D88" i="9"/>
  <c r="I89" i="9"/>
  <c r="X10" i="9" s="1" a="1"/>
  <c r="X10" i="9" s="1"/>
  <c r="L90" i="9"/>
  <c r="AA11" i="9" s="1" a="1"/>
  <c r="AA11" i="9" s="1"/>
  <c r="D92" i="9"/>
  <c r="G93" i="9"/>
  <c r="V14" i="9" s="1" a="1"/>
  <c r="V14" i="9" s="1"/>
  <c r="J94" i="9"/>
  <c r="D96" i="9"/>
  <c r="G97" i="9"/>
  <c r="J98" i="9"/>
  <c r="Y19" i="9" s="1" a="1"/>
  <c r="Y19" i="9" s="1"/>
  <c r="M99" i="9"/>
  <c r="AB20" i="9" s="1" a="1"/>
  <c r="AB20" i="9" s="1"/>
  <c r="E101" i="9"/>
  <c r="J102" i="9"/>
  <c r="M103" i="9"/>
  <c r="AB24" i="9" s="1" a="1"/>
  <c r="AB24" i="9" s="1"/>
  <c r="E105" i="9"/>
  <c r="H106" i="9"/>
  <c r="W27" i="9" s="1" a="1"/>
  <c r="W27" i="9" s="1"/>
  <c r="K107" i="9"/>
  <c r="Z28" i="9" s="1" a="1"/>
  <c r="Z28" i="9" s="1"/>
  <c r="D109" i="9"/>
  <c r="S30" i="9" s="1" a="1"/>
  <c r="S30" i="9" s="1"/>
  <c r="H74" i="9" a="1"/>
  <c r="H74" i="9" s="1"/>
  <c r="O91" i="9"/>
  <c r="K85" i="9"/>
  <c r="Z6" i="9" s="1" a="1"/>
  <c r="Z6" i="9" s="1"/>
  <c r="H88" i="9"/>
  <c r="W9" i="9" s="1" a="1"/>
  <c r="W9" i="9" s="1"/>
  <c r="K89" i="9"/>
  <c r="F92" i="9"/>
  <c r="I93" i="9"/>
  <c r="F96" i="9"/>
  <c r="I97" i="9"/>
  <c r="X18" i="9" s="1" a="1"/>
  <c r="X18" i="9" s="1"/>
  <c r="D100" i="9"/>
  <c r="S21" i="9" s="1" a="1"/>
  <c r="S21" i="9" s="1"/>
  <c r="I101" i="9"/>
  <c r="X22" i="9" s="1" a="1"/>
  <c r="X22" i="9" s="1"/>
  <c r="D104" i="9"/>
  <c r="G105" i="9"/>
  <c r="D108" i="9"/>
  <c r="J50" i="9" a="1"/>
  <c r="J50" i="9" s="1"/>
  <c r="K65" i="9" a="1"/>
  <c r="K65" i="9" s="1"/>
  <c r="M69" i="9" a="1"/>
  <c r="M69" i="9" s="1"/>
  <c r="O92" i="9"/>
  <c r="O106" i="9"/>
  <c r="L85" i="9"/>
  <c r="F87" i="9"/>
  <c r="U8" i="9" s="1" a="1"/>
  <c r="U8" i="9" s="1"/>
  <c r="I88" i="9"/>
  <c r="X9" i="9" s="1" a="1"/>
  <c r="X9" i="9" s="1"/>
  <c r="L89" i="9"/>
  <c r="D91" i="9"/>
  <c r="S12" i="9" s="1" a="1"/>
  <c r="S12" i="9" s="1"/>
  <c r="G92" i="9"/>
  <c r="L93" i="9"/>
  <c r="AA14" i="9" s="1" a="1"/>
  <c r="AA14" i="9" s="1"/>
  <c r="D95" i="9"/>
  <c r="G96" i="9"/>
  <c r="N96" i="9" s="1"/>
  <c r="G100" i="9"/>
  <c r="V21" i="9" s="1" a="1"/>
  <c r="V21" i="9" s="1"/>
  <c r="J101" i="9"/>
  <c r="M102" i="9"/>
  <c r="E104" i="9"/>
  <c r="H105" i="9"/>
  <c r="W26" i="9" s="1" a="1"/>
  <c r="W26" i="9" s="1"/>
  <c r="M106" i="9"/>
  <c r="AB27" i="9" s="1" a="1"/>
  <c r="AB27" i="9" s="1"/>
  <c r="L50" i="9" a="1"/>
  <c r="L50" i="9" s="1"/>
  <c r="L70" i="9" a="1"/>
  <c r="L70" i="9" s="1"/>
  <c r="M85" i="9"/>
  <c r="AB6" i="9" s="1" a="1"/>
  <c r="AB6" i="9" s="1"/>
  <c r="H92" i="9"/>
  <c r="H96" i="9"/>
  <c r="W17" i="9" s="1" a="1"/>
  <c r="W17" i="9" s="1"/>
  <c r="C99" i="9"/>
  <c r="R20" i="9" s="1" a="1"/>
  <c r="R20" i="9" s="1"/>
  <c r="K101" i="9"/>
  <c r="Z22" i="9" s="1" a="1"/>
  <c r="Z22" i="9" s="1"/>
  <c r="I105" i="9"/>
  <c r="F108" i="9"/>
  <c r="Y13" i="9" a="1"/>
  <c r="Y13" i="9" s="1"/>
  <c r="W13" i="9" a="1"/>
  <c r="W13" i="9" s="1"/>
  <c r="Z27" i="9" a="1"/>
  <c r="Z27" i="9" s="1"/>
  <c r="L53" i="9" a="1"/>
  <c r="L53" i="9" s="1"/>
  <c r="L58" i="9" a="1"/>
  <c r="L58" i="9" s="1"/>
  <c r="M63" i="9" a="1"/>
  <c r="M63" i="9" s="1"/>
  <c r="G69" i="9" a="1"/>
  <c r="G69" i="9" s="1"/>
  <c r="L72" i="9" a="1"/>
  <c r="L72" i="9" s="1"/>
  <c r="O88" i="9"/>
  <c r="O102" i="9"/>
  <c r="H85" i="9"/>
  <c r="K86" i="9"/>
  <c r="C88" i="9"/>
  <c r="R9" i="9" s="1" a="1"/>
  <c r="R9" i="9" s="1"/>
  <c r="H89" i="9"/>
  <c r="W10" i="9" s="1" a="1"/>
  <c r="W10" i="9" s="1"/>
  <c r="K90" i="9"/>
  <c r="Z11" i="9" s="1" a="1"/>
  <c r="Z11" i="9" s="1"/>
  <c r="C92" i="9"/>
  <c r="F93" i="9"/>
  <c r="I94" i="9"/>
  <c r="X15" i="9" s="1" a="1"/>
  <c r="X15" i="9" s="1"/>
  <c r="C96" i="9"/>
  <c r="R17" i="9" s="1" a="1"/>
  <c r="R17" i="9" s="1"/>
  <c r="F97" i="9"/>
  <c r="U18" i="9" s="1" a="1"/>
  <c r="U18" i="9" s="1"/>
  <c r="I98" i="9"/>
  <c r="X19" i="9" s="1" a="1"/>
  <c r="X19" i="9" s="1"/>
  <c r="L99" i="9"/>
  <c r="D101" i="9"/>
  <c r="I102" i="9"/>
  <c r="L103" i="9"/>
  <c r="D105" i="9"/>
  <c r="G106" i="9"/>
  <c r="N106" i="9" s="1"/>
  <c r="P106" i="9" s="1"/>
  <c r="J107" i="9"/>
  <c r="Y28" i="9" s="1" a="1"/>
  <c r="Y28" i="9" s="1"/>
  <c r="C109" i="9"/>
  <c r="AA8" i="9" a="1"/>
  <c r="AA8" i="9" s="1"/>
  <c r="AA27" i="9" a="1"/>
  <c r="AA27" i="9" s="1"/>
  <c r="G54" i="9" a="1"/>
  <c r="G54" i="9" s="1"/>
  <c r="G59" i="9" a="1"/>
  <c r="G59" i="9" s="1"/>
  <c r="H64" i="9" a="1"/>
  <c r="H64" i="9" s="1"/>
  <c r="H69" i="9" a="1"/>
  <c r="H69" i="9" s="1"/>
  <c r="H73" i="9" a="1"/>
  <c r="H73" i="9" s="1"/>
  <c r="Z20" i="9" a="1"/>
  <c r="Z20" i="9" s="1"/>
  <c r="M98" i="9"/>
  <c r="AB19" i="9" s="1" a="1"/>
  <c r="AB19" i="9" s="1"/>
  <c r="G109" i="9"/>
  <c r="AA12" i="9" a="1"/>
  <c r="AA12" i="9" s="1"/>
  <c r="L60" i="9" a="1"/>
  <c r="L60" i="9" s="1"/>
  <c r="J74" i="9" a="1"/>
  <c r="J74" i="9" s="1"/>
  <c r="F104" i="9"/>
  <c r="AA19" i="9" a="1"/>
  <c r="AA19" i="9" s="1"/>
  <c r="Y29" i="9" a="1"/>
  <c r="Y29" i="9" s="1"/>
  <c r="J54" i="9" a="1"/>
  <c r="J54" i="9" s="1"/>
  <c r="J59" i="9" a="1"/>
  <c r="J59" i="9" s="1"/>
  <c r="K64" i="9" a="1"/>
  <c r="K64" i="9" s="1"/>
  <c r="I69" i="9" a="1"/>
  <c r="I69" i="9" s="1"/>
  <c r="I73" i="9" a="1"/>
  <c r="I73" i="9" s="1"/>
  <c r="O90" i="9"/>
  <c r="B8" i="20" s="1"/>
  <c r="O104" i="9"/>
  <c r="J85" i="9"/>
  <c r="M86" i="9"/>
  <c r="AB7" i="9" s="1" a="1"/>
  <c r="AB7" i="9" s="1"/>
  <c r="G88" i="9"/>
  <c r="V9" i="9" s="1" a="1"/>
  <c r="V9" i="9" s="1"/>
  <c r="J89" i="9"/>
  <c r="Y10" i="9" s="1" a="1"/>
  <c r="Y10" i="9" s="1"/>
  <c r="M90" i="9"/>
  <c r="E92" i="9"/>
  <c r="H93" i="9"/>
  <c r="W14" i="9" s="1" a="1"/>
  <c r="W14" i="9" s="1"/>
  <c r="M94" i="9"/>
  <c r="E96" i="9"/>
  <c r="H97" i="9"/>
  <c r="W18" i="9" s="1" a="1"/>
  <c r="W18" i="9" s="1"/>
  <c r="K98" i="9"/>
  <c r="Z19" i="9" s="1" a="1"/>
  <c r="Z19" i="9" s="1"/>
  <c r="C100" i="9"/>
  <c r="H101" i="9"/>
  <c r="W22" i="9" s="1" a="1"/>
  <c r="W22" i="9" s="1"/>
  <c r="K102" i="9"/>
  <c r="C104" i="9"/>
  <c r="F105" i="9"/>
  <c r="I106" i="9"/>
  <c r="X27" i="9" s="1" a="1"/>
  <c r="X27" i="9" s="1"/>
  <c r="C108" i="9"/>
  <c r="R29" i="9" s="1" a="1"/>
  <c r="R29" i="9" s="1"/>
  <c r="E109" i="9"/>
  <c r="T30" i="9" s="1" a="1"/>
  <c r="T30" i="9" s="1"/>
  <c r="Y20" i="9" a="1"/>
  <c r="Y20" i="9" s="1"/>
  <c r="AA29" i="9" a="1"/>
  <c r="AA29" i="9" s="1"/>
  <c r="K54" i="9" a="1"/>
  <c r="K54" i="9" s="1"/>
  <c r="K59" i="9" a="1"/>
  <c r="K59" i="9" s="1"/>
  <c r="L64" i="9" a="1"/>
  <c r="L64" i="9" s="1"/>
  <c r="L69" i="9" a="1"/>
  <c r="L69" i="9" s="1"/>
  <c r="O105" i="9"/>
  <c r="C87" i="9"/>
  <c r="C91" i="9"/>
  <c r="C95" i="9"/>
  <c r="R16" i="9" s="1" a="1"/>
  <c r="R16" i="9" s="1"/>
  <c r="L98" i="9"/>
  <c r="L102" i="9"/>
  <c r="AA23" i="9" s="1" a="1"/>
  <c r="AA23" i="9" s="1"/>
  <c r="J106" i="9"/>
  <c r="F109" i="9"/>
  <c r="U30" i="9" s="1" a="1"/>
  <c r="U30" i="9" s="1"/>
  <c r="W19" i="9" a="1"/>
  <c r="W19" i="9" s="1"/>
  <c r="J55" i="9" a="1"/>
  <c r="J55" i="9" s="1"/>
  <c r="I74" i="9" a="1"/>
  <c r="I74" i="9" s="1"/>
  <c r="J97" i="9"/>
  <c r="Y18" i="9" s="1" a="1"/>
  <c r="Y18" i="9" s="1"/>
  <c r="E108" i="9"/>
  <c r="T29" i="9" s="1" a="1"/>
  <c r="T29" i="9" s="1"/>
  <c r="Y31" i="9" a="1"/>
  <c r="Y31" i="9" s="1"/>
  <c r="M65" i="9" a="1"/>
  <c r="M65" i="9" s="1"/>
  <c r="M89" i="9"/>
  <c r="AB10" i="9" s="1" a="1"/>
  <c r="AB10" i="9" s="1"/>
  <c r="H100" i="9"/>
  <c r="C107" i="9"/>
  <c r="R28" i="9" s="1" a="1"/>
  <c r="R28" i="9" s="1"/>
  <c r="AB31" i="9" a="1"/>
  <c r="AB31" i="9" s="1"/>
  <c r="H51" i="9" a="1"/>
  <c r="H51" i="9" s="1"/>
  <c r="H87" i="9"/>
  <c r="W8" i="9" s="1" a="1"/>
  <c r="W8" i="9" s="1"/>
  <c r="D103" i="9"/>
  <c r="F91" i="9"/>
  <c r="D107" i="9"/>
  <c r="I66" i="9" a="1"/>
  <c r="I66" i="9" s="1"/>
  <c r="O94" i="9"/>
  <c r="B12" i="20" s="1"/>
  <c r="K88" i="9"/>
  <c r="G104" i="9"/>
  <c r="C90" i="9"/>
  <c r="R11" i="9" s="1" a="1"/>
  <c r="R11" i="9" s="1"/>
  <c r="L105" i="9"/>
  <c r="B23" i="20" s="1"/>
  <c r="H61" i="9" a="1"/>
  <c r="H61" i="9" s="1"/>
  <c r="C94" i="9"/>
  <c r="I109" i="9"/>
  <c r="X30" i="9" s="1" a="1"/>
  <c r="X30" i="9" s="1"/>
  <c r="L97" i="9"/>
  <c r="AA18" i="9" s="1" a="1"/>
  <c r="AA18" i="9" s="1"/>
  <c r="I100" i="9"/>
  <c r="X21" i="9" s="1" a="1"/>
  <c r="X21" i="9" s="1"/>
  <c r="H56" i="9" a="1"/>
  <c r="H56" i="9" s="1"/>
  <c r="K92" i="9"/>
  <c r="Z13" i="9" s="1" a="1"/>
  <c r="Z13" i="9" s="1"/>
  <c r="G108" i="9"/>
  <c r="N108" i="9" s="1"/>
  <c r="P108" i="9" s="1"/>
  <c r="M70" i="9" a="1"/>
  <c r="M70" i="9" s="1"/>
  <c r="F95" i="9"/>
  <c r="U16" i="9" s="1" a="1"/>
  <c r="U16" i="9" s="1"/>
  <c r="L101" i="9"/>
  <c r="AA22" i="9" s="1" a="1"/>
  <c r="AA22" i="9" s="1"/>
  <c r="M74" i="9" a="1"/>
  <c r="M74" i="9" s="1"/>
  <c r="I96" i="9"/>
  <c r="X17" i="9" s="1" a="1"/>
  <c r="X17" i="9" s="1"/>
  <c r="F99" i="9"/>
  <c r="O108" i="9"/>
  <c r="E86" i="9"/>
  <c r="H13" i="15"/>
  <c r="H12" i="15"/>
  <c r="H11" i="15"/>
  <c r="C6" i="8"/>
  <c r="H10" i="15"/>
  <c r="E41" i="7"/>
  <c r="O75" i="9"/>
  <c r="R31" i="9" a="1"/>
  <c r="R31" i="9" s="1"/>
  <c r="S31" i="9" a="1"/>
  <c r="S31" i="9" s="1"/>
  <c r="B28" i="20"/>
  <c r="A28" i="20"/>
  <c r="U31" i="9" a="1"/>
  <c r="U31" i="9" s="1"/>
  <c r="T31" i="9" a="1"/>
  <c r="T31" i="9" s="1"/>
  <c r="B14" i="9"/>
  <c r="C14" i="9" s="1"/>
  <c r="O52" i="9"/>
  <c r="O55" i="9"/>
  <c r="R13" i="9" a="1"/>
  <c r="R13" i="9" s="1"/>
  <c r="U21" i="9" a="1"/>
  <c r="U21" i="9" s="1"/>
  <c r="U17" i="9" a="1"/>
  <c r="U17" i="9" s="1"/>
  <c r="T8" i="9" a="1"/>
  <c r="T8" i="9" s="1"/>
  <c r="S11" i="9" a="1"/>
  <c r="S11" i="9" s="1"/>
  <c r="S19" i="9" a="1"/>
  <c r="S19" i="9" s="1"/>
  <c r="T10" i="9" a="1"/>
  <c r="T10" i="9" s="1"/>
  <c r="U19" i="9" a="1"/>
  <c r="U19" i="9" s="1"/>
  <c r="O54" i="9"/>
  <c r="B21" i="20"/>
  <c r="B9" i="20"/>
  <c r="B16" i="9"/>
  <c r="E16" i="9" s="1"/>
  <c r="S14" i="9" a="1"/>
  <c r="S14" i="9" s="1"/>
  <c r="O51" i="9"/>
  <c r="S22" i="9" a="1"/>
  <c r="S22" i="9" s="1"/>
  <c r="B17" i="9"/>
  <c r="E17" i="9" s="1"/>
  <c r="S20" i="9" a="1"/>
  <c r="S20" i="9" s="1"/>
  <c r="R8" i="9" a="1"/>
  <c r="R8" i="9" s="1"/>
  <c r="R19" i="9" a="1"/>
  <c r="R19" i="9" s="1"/>
  <c r="R18" i="9" a="1"/>
  <c r="R18" i="9" s="1"/>
  <c r="U14" i="9" a="1"/>
  <c r="U14" i="9" s="1"/>
  <c r="T22" i="9" a="1"/>
  <c r="T22" i="9" s="1"/>
  <c r="O65" i="9"/>
  <c r="T7" i="9" a="1"/>
  <c r="T7" i="9" s="1"/>
  <c r="T20" i="9" a="1"/>
  <c r="T20" i="9" s="1"/>
  <c r="T9" i="9" a="1"/>
  <c r="T9" i="9" s="1"/>
  <c r="S23" i="9" a="1"/>
  <c r="S23" i="9" s="1"/>
  <c r="U20" i="9" a="1"/>
  <c r="U20" i="9" s="1"/>
  <c r="T12" i="9" a="1"/>
  <c r="T12" i="9" s="1"/>
  <c r="S9" i="9" a="1"/>
  <c r="S9" i="9" s="1"/>
  <c r="O67" i="9"/>
  <c r="T19" i="9" a="1"/>
  <c r="T19" i="9" s="1"/>
  <c r="U24" i="9" a="1"/>
  <c r="U24" i="9" s="1"/>
  <c r="S17" i="9" a="1"/>
  <c r="S17" i="9" s="1"/>
  <c r="O50" i="9"/>
  <c r="S13" i="9" a="1"/>
  <c r="S13" i="9" s="1"/>
  <c r="S7" i="9" a="1"/>
  <c r="S7" i="9" s="1"/>
  <c r="B8" i="9"/>
  <c r="C8" i="9" s="1"/>
  <c r="U12" i="9" a="1"/>
  <c r="U12" i="9" s="1"/>
  <c r="B7" i="9"/>
  <c r="C7" i="9" s="1"/>
  <c r="S16" i="9" a="1"/>
  <c r="S16" i="9" s="1"/>
  <c r="B14" i="20"/>
  <c r="B15" i="20"/>
  <c r="O53" i="9"/>
  <c r="U22" i="9" a="1"/>
  <c r="U22" i="9" s="1"/>
  <c r="B13" i="9"/>
  <c r="C13" i="9" s="1"/>
  <c r="T15" i="9" a="1"/>
  <c r="T15" i="9" s="1"/>
  <c r="B13" i="20"/>
  <c r="R6" i="9" a="1"/>
  <c r="R6" i="9" s="1"/>
  <c r="T18" i="9" a="1"/>
  <c r="T18" i="9" s="1"/>
  <c r="B20" i="20"/>
  <c r="T17" i="9" a="1"/>
  <c r="T17" i="9" s="1"/>
  <c r="T23" i="9" a="1"/>
  <c r="T23" i="9" s="1"/>
  <c r="B4" i="9"/>
  <c r="E4" i="9" s="1"/>
  <c r="T21" i="9" a="1"/>
  <c r="T21" i="9" s="1"/>
  <c r="R24" i="9" a="1"/>
  <c r="R24" i="9" s="1"/>
  <c r="S18" i="9" a="1"/>
  <c r="S18" i="9" s="1"/>
  <c r="B17" i="20"/>
  <c r="R21" i="9" a="1"/>
  <c r="R21" i="9" s="1"/>
  <c r="U23" i="9" a="1"/>
  <c r="U23" i="9" s="1"/>
  <c r="B5" i="20"/>
  <c r="B11" i="9"/>
  <c r="E11" i="9" s="1"/>
  <c r="B18" i="9"/>
  <c r="E18" i="9" s="1"/>
  <c r="T24" i="9" a="1"/>
  <c r="T24" i="9" s="1"/>
  <c r="O63" i="9"/>
  <c r="U15" i="9" a="1"/>
  <c r="U15" i="9" s="1"/>
  <c r="R12" i="9" a="1"/>
  <c r="R12" i="9" s="1"/>
  <c r="O60" i="9"/>
  <c r="S24" i="9" a="1"/>
  <c r="S24" i="9" s="1"/>
  <c r="O58" i="9"/>
  <c r="O56" i="9"/>
  <c r="B9" i="9"/>
  <c r="C9" i="9" s="1"/>
  <c r="O57" i="9"/>
  <c r="U7" i="9" a="1"/>
  <c r="U7" i="9" s="1"/>
  <c r="B15" i="9"/>
  <c r="E15" i="9" s="1"/>
  <c r="T13" i="9" a="1"/>
  <c r="T13" i="9" s="1"/>
  <c r="U13" i="9" a="1"/>
  <c r="U13" i="9" s="1"/>
  <c r="R7" i="9" a="1"/>
  <c r="R7" i="9" s="1"/>
  <c r="B19" i="20"/>
  <c r="O62" i="9"/>
  <c r="B5" i="9"/>
  <c r="C5" i="9" s="1"/>
  <c r="O68" i="9"/>
  <c r="T14" i="9" a="1"/>
  <c r="T14" i="9" s="1"/>
  <c r="O66" i="9"/>
  <c r="B4" i="20"/>
  <c r="B12" i="9"/>
  <c r="E12" i="9" s="1"/>
  <c r="S6" i="9" a="1"/>
  <c r="S6" i="9" s="1"/>
  <c r="B10" i="9"/>
  <c r="E10" i="9" s="1"/>
  <c r="S8" i="9" a="1"/>
  <c r="S8" i="9" s="1"/>
  <c r="O61" i="9"/>
  <c r="U11" i="9" a="1"/>
  <c r="U11" i="9" s="1"/>
  <c r="R15" i="9" a="1"/>
  <c r="R15" i="9" s="1"/>
  <c r="B6" i="9"/>
  <c r="E6" i="9" s="1"/>
  <c r="O59" i="9"/>
  <c r="T6" i="9" a="1"/>
  <c r="T6" i="9" s="1"/>
  <c r="T16" i="9" a="1"/>
  <c r="T16" i="9" s="1"/>
  <c r="B3" i="9"/>
  <c r="C3" i="9" s="1"/>
  <c r="T27" i="9" a="1"/>
  <c r="T27" i="9" s="1"/>
  <c r="O69" i="9"/>
  <c r="R26" i="9" a="1"/>
  <c r="R26" i="9" s="1"/>
  <c r="U26" i="9" a="1"/>
  <c r="U26" i="9" s="1"/>
  <c r="S26" i="9" a="1"/>
  <c r="S26" i="9" s="1"/>
  <c r="T25" i="9" a="1"/>
  <c r="T25" i="9" s="1"/>
  <c r="U25" i="9" a="1"/>
  <c r="U25" i="9" s="1"/>
  <c r="T26" i="9" a="1"/>
  <c r="T26" i="9" s="1"/>
  <c r="R25" i="9" a="1"/>
  <c r="R25" i="9" s="1"/>
  <c r="S29" i="9" a="1"/>
  <c r="S29" i="9" s="1"/>
  <c r="O70" i="9"/>
  <c r="O72" i="9"/>
  <c r="S27" i="9" a="1"/>
  <c r="S27" i="9" s="1"/>
  <c r="U29" i="9" a="1"/>
  <c r="U29" i="9" s="1"/>
  <c r="S25" i="9" a="1"/>
  <c r="S25" i="9" s="1"/>
  <c r="O71" i="9"/>
  <c r="O73" i="9"/>
  <c r="T28" i="9" a="1"/>
  <c r="T28" i="9" s="1"/>
  <c r="S28" i="9" a="1"/>
  <c r="S28" i="9" s="1"/>
  <c r="G73" i="2"/>
  <c r="H30" i="2"/>
  <c r="I30" i="2" s="1"/>
  <c r="D30" i="2" s="1"/>
  <c r="G67" i="2"/>
  <c r="G40" i="2"/>
  <c r="G11" i="2"/>
  <c r="G61" i="2"/>
  <c r="H75" i="2"/>
  <c r="I75" i="2" s="1"/>
  <c r="D75" i="2" s="1"/>
  <c r="G32" i="2"/>
  <c r="G23" i="2"/>
  <c r="G86" i="2"/>
  <c r="G79" i="2"/>
  <c r="H44" i="2"/>
  <c r="I44" i="2" s="1"/>
  <c r="D44" i="2" s="1"/>
  <c r="G80" i="2"/>
  <c r="H90" i="2"/>
  <c r="I90" i="2" s="1"/>
  <c r="D90" i="2" s="1"/>
  <c r="G22" i="2"/>
  <c r="G85" i="2"/>
  <c r="G12" i="2"/>
  <c r="G59" i="2"/>
  <c r="G9" i="2"/>
  <c r="G74" i="2"/>
  <c r="G5" i="2"/>
  <c r="G92" i="2"/>
  <c r="G88" i="2"/>
  <c r="G83" i="2"/>
  <c r="G8" i="2"/>
  <c r="G36" i="2"/>
  <c r="G47" i="2"/>
  <c r="H65" i="2"/>
  <c r="I65" i="2" s="1"/>
  <c r="D65" i="2" s="1"/>
  <c r="G26" i="2"/>
  <c r="H12" i="2"/>
  <c r="I12" i="2" s="1"/>
  <c r="D12" i="2" s="1"/>
  <c r="H88" i="2"/>
  <c r="I88" i="2" s="1"/>
  <c r="D88" i="2" s="1"/>
  <c r="G13" i="2"/>
  <c r="G18" i="2"/>
  <c r="G17" i="2"/>
  <c r="G34" i="2"/>
  <c r="G48" i="2"/>
  <c r="G62" i="2"/>
  <c r="G52" i="2"/>
  <c r="G14" i="2"/>
  <c r="G19" i="2"/>
  <c r="G27" i="2"/>
  <c r="H78" i="2"/>
  <c r="I78" i="2" s="1"/>
  <c r="D78" i="2" s="1"/>
  <c r="H86" i="2"/>
  <c r="I86" i="2" s="1"/>
  <c r="D86" i="2" s="1"/>
  <c r="A8" i="21"/>
  <c r="B8" i="21" s="1"/>
  <c r="B27" i="20"/>
  <c r="B25" i="20"/>
  <c r="R30" i="9" a="1"/>
  <c r="R30" i="9" s="1"/>
  <c r="O74" i="9"/>
  <c r="K6" i="6"/>
  <c r="H48" i="2"/>
  <c r="I48" i="2" s="1"/>
  <c r="D48" i="2" s="1"/>
  <c r="G54" i="2"/>
  <c r="H42" i="2"/>
  <c r="I42" i="2" s="1"/>
  <c r="D42" i="2" s="1"/>
  <c r="G43" i="2"/>
  <c r="G4" i="2"/>
  <c r="G41" i="2"/>
  <c r="G46" i="2"/>
  <c r="H61" i="2"/>
  <c r="I61" i="2" s="1"/>
  <c r="D61" i="2" s="1"/>
  <c r="G25" i="2"/>
  <c r="H13" i="2"/>
  <c r="I13" i="2" s="1"/>
  <c r="D13" i="2" s="1"/>
  <c r="G70" i="2"/>
  <c r="A16" i="20"/>
  <c r="A7" i="21"/>
  <c r="B7" i="21" s="1"/>
  <c r="A9" i="20"/>
  <c r="A24" i="20"/>
  <c r="B22" i="20"/>
  <c r="A15" i="21"/>
  <c r="B15" i="21" s="1"/>
  <c r="A27" i="20"/>
  <c r="A22" i="20"/>
  <c r="A6" i="21"/>
  <c r="B6" i="21" s="1"/>
  <c r="A4" i="20"/>
  <c r="A19" i="20"/>
  <c r="A14" i="20"/>
  <c r="A5" i="20"/>
  <c r="A13" i="20"/>
  <c r="A17" i="20"/>
  <c r="A18" i="20"/>
  <c r="A18" i="21"/>
  <c r="B18" i="21" s="1"/>
  <c r="B26" i="20"/>
  <c r="A15" i="20"/>
  <c r="A17" i="21"/>
  <c r="B17" i="21" s="1"/>
  <c r="A7" i="20"/>
  <c r="A16" i="21"/>
  <c r="B16" i="21" s="1"/>
  <c r="A21" i="21"/>
  <c r="B21" i="21" s="1"/>
  <c r="B10" i="20"/>
  <c r="A12" i="20"/>
  <c r="A25" i="20"/>
  <c r="A23" i="20"/>
  <c r="A22" i="21"/>
  <c r="B22" i="21" s="1"/>
  <c r="A4" i="21"/>
  <c r="B4" i="21" s="1"/>
  <c r="A26" i="20"/>
  <c r="A3" i="20"/>
  <c r="A5" i="21"/>
  <c r="B5" i="21" s="1"/>
  <c r="A9" i="21"/>
  <c r="B9" i="21" s="1"/>
  <c r="A13" i="21"/>
  <c r="B13" i="21" s="1"/>
  <c r="A10" i="20"/>
  <c r="A3" i="21"/>
  <c r="B3" i="21" s="1"/>
  <c r="A21" i="20"/>
  <c r="A12" i="21"/>
  <c r="B12" i="21" s="1"/>
  <c r="A11" i="21"/>
  <c r="B11" i="21" s="1"/>
  <c r="A8" i="20"/>
  <c r="A20" i="20"/>
  <c r="A20" i="21"/>
  <c r="B20" i="21" s="1"/>
  <c r="A19" i="21"/>
  <c r="B19" i="21" s="1"/>
  <c r="A10" i="21"/>
  <c r="B10" i="21" s="1"/>
  <c r="B24" i="20"/>
  <c r="A6" i="20"/>
  <c r="C10" i="9"/>
  <c r="A14" i="21"/>
  <c r="B14" i="21" s="1"/>
  <c r="Q5" i="9"/>
  <c r="B49" i="9"/>
  <c r="N76" i="9"/>
  <c r="P76" i="9" s="1"/>
  <c r="AC33" i="9"/>
  <c r="AE33" i="9" s="1"/>
  <c r="AC35" i="9"/>
  <c r="AE35" i="9" s="1"/>
  <c r="AC34" i="9"/>
  <c r="AE34" i="9" s="1"/>
  <c r="N78" i="9"/>
  <c r="P78" i="9" s="1"/>
  <c r="AC32" i="9"/>
  <c r="AE32" i="9" s="1"/>
  <c r="N79" i="9"/>
  <c r="N77" i="9"/>
  <c r="P77" i="9" s="1"/>
  <c r="G13" i="6"/>
  <c r="C12" i="10"/>
  <c r="N6" i="17"/>
  <c r="N7" i="17" s="1"/>
  <c r="I37" i="12"/>
  <c r="D38" i="14"/>
  <c r="C10" i="8" s="1"/>
  <c r="G14" i="15"/>
  <c r="D38" i="18"/>
  <c r="C11" i="8" s="1"/>
  <c r="H13" i="6"/>
  <c r="E38" i="18"/>
  <c r="J37" i="14"/>
  <c r="C12" i="8" s="1"/>
  <c r="C43" i="12"/>
  <c r="H10" i="7"/>
  <c r="I13" i="6"/>
  <c r="H14" i="15"/>
  <c r="D6" i="17"/>
  <c r="D2" i="2"/>
  <c r="N97" i="9" l="1"/>
  <c r="N104" i="9"/>
  <c r="P104" i="9" s="1"/>
  <c r="N109" i="9"/>
  <c r="P109" i="9" s="1"/>
  <c r="N98" i="9"/>
  <c r="N99" i="9"/>
  <c r="AA26" i="9" a="1"/>
  <c r="AA26" i="9" s="1"/>
  <c r="N85" i="9"/>
  <c r="V19" i="9" a="1"/>
  <c r="V19" i="9" s="1"/>
  <c r="AC19" i="9" s="1"/>
  <c r="C16" i="20" s="1"/>
  <c r="N92" i="9"/>
  <c r="N105" i="9"/>
  <c r="P105" i="9" s="1"/>
  <c r="AB5" i="9" a="1"/>
  <c r="AB5" i="9" s="1"/>
  <c r="AA5" i="9" a="1"/>
  <c r="AA5" i="9" s="1"/>
  <c r="M49" i="9" a="1"/>
  <c r="M49" i="9" s="1"/>
  <c r="O84" i="9"/>
  <c r="M84" i="9"/>
  <c r="X5" i="9" a="1"/>
  <c r="X5" i="9" s="1"/>
  <c r="L49" i="9" a="1"/>
  <c r="L49" i="9" s="1"/>
  <c r="V5" i="9" a="1"/>
  <c r="V5" i="9" s="1"/>
  <c r="J49" i="9" a="1"/>
  <c r="J49" i="9" s="1"/>
  <c r="D84" i="9"/>
  <c r="L84" i="9"/>
  <c r="W5" i="9" a="1"/>
  <c r="W5" i="9" s="1"/>
  <c r="I49" i="9" a="1"/>
  <c r="I49" i="9" s="1"/>
  <c r="C84" i="9"/>
  <c r="H49" i="9" a="1"/>
  <c r="H49" i="9" s="1"/>
  <c r="G49" i="9" a="1"/>
  <c r="G49" i="9" s="1"/>
  <c r="J84" i="9"/>
  <c r="Y5" i="9" s="1" a="1"/>
  <c r="Y5" i="9" s="1"/>
  <c r="H84" i="9"/>
  <c r="G84" i="9"/>
  <c r="K84" i="9"/>
  <c r="Z5" i="9" s="1" a="1"/>
  <c r="Z5" i="9" s="1"/>
  <c r="I84" i="9"/>
  <c r="F84" i="9"/>
  <c r="E84" i="9"/>
  <c r="T5" i="9" s="1" a="1"/>
  <c r="T5" i="9" s="1"/>
  <c r="D12" i="19" s="1" a="1"/>
  <c r="D12" i="19" s="1"/>
  <c r="K49" i="9" a="1"/>
  <c r="K49" i="9" s="1"/>
  <c r="N94" i="9"/>
  <c r="N95" i="9"/>
  <c r="N89" i="9"/>
  <c r="N90" i="9"/>
  <c r="V16" i="9" a="1"/>
  <c r="V16" i="9" s="1"/>
  <c r="N102" i="9"/>
  <c r="N101" i="9"/>
  <c r="N88" i="9"/>
  <c r="P88" i="9" s="1"/>
  <c r="N91" i="9"/>
  <c r="V30" i="9" a="1"/>
  <c r="V30" i="9" s="1"/>
  <c r="AC30" i="9" s="1"/>
  <c r="C27" i="20" s="1"/>
  <c r="V27" i="9" a="1"/>
  <c r="V27" i="9" s="1"/>
  <c r="AC27" i="9" s="1"/>
  <c r="C24" i="20" s="1"/>
  <c r="V26" i="9" a="1"/>
  <c r="V26" i="9" s="1"/>
  <c r="AC26" i="9" s="1"/>
  <c r="C23" i="20" s="1"/>
  <c r="N93" i="9"/>
  <c r="V17" i="9" a="1"/>
  <c r="V17" i="9" s="1"/>
  <c r="V7" i="9" a="1"/>
  <c r="V7" i="9" s="1"/>
  <c r="C11" i="9"/>
  <c r="V18" i="9" a="1"/>
  <c r="V18" i="9" s="1"/>
  <c r="AC18" i="9" s="1"/>
  <c r="C15" i="20" s="1"/>
  <c r="N107" i="9"/>
  <c r="P107" i="9" s="1"/>
  <c r="V24" i="9" a="1"/>
  <c r="V24" i="9" s="1"/>
  <c r="AC24" i="9" s="1"/>
  <c r="C21" i="20" s="1"/>
  <c r="V20" i="9" a="1"/>
  <c r="V20" i="9" s="1"/>
  <c r="N87" i="9"/>
  <c r="N100" i="9"/>
  <c r="V29" i="9" a="1"/>
  <c r="V29" i="9" s="1"/>
  <c r="AC29" i="9" s="1"/>
  <c r="C26" i="20" s="1"/>
  <c r="V28" i="9" a="1"/>
  <c r="V28" i="9" s="1"/>
  <c r="AC28" i="9" s="1"/>
  <c r="C25" i="20" s="1"/>
  <c r="E5" i="9"/>
  <c r="C12" i="9"/>
  <c r="E14" i="9"/>
  <c r="E7" i="9" a="1"/>
  <c r="E7" i="9" s="1"/>
  <c r="P96" i="9"/>
  <c r="P91" i="9"/>
  <c r="C16" i="9"/>
  <c r="P103" i="9"/>
  <c r="E8" i="9"/>
  <c r="P93" i="9"/>
  <c r="C6" i="9"/>
  <c r="AC12" i="9"/>
  <c r="C9" i="20" s="1"/>
  <c r="P95" i="9"/>
  <c r="N75" i="9"/>
  <c r="P75" i="9" s="1"/>
  <c r="AC31" i="9"/>
  <c r="C28" i="20" s="1"/>
  <c r="P101" i="9"/>
  <c r="P100" i="9"/>
  <c r="P92" i="9"/>
  <c r="P90" i="9"/>
  <c r="N53" i="9"/>
  <c r="P53" i="9" s="1"/>
  <c r="P87" i="9"/>
  <c r="C4" i="9"/>
  <c r="P102" i="9"/>
  <c r="C17" i="9"/>
  <c r="P86" i="9"/>
  <c r="P89" i="9"/>
  <c r="P98" i="9"/>
  <c r="E13" i="9"/>
  <c r="C15" i="9"/>
  <c r="N57" i="9"/>
  <c r="P57" i="9" s="1"/>
  <c r="AC9" i="9"/>
  <c r="C6" i="20" s="1"/>
  <c r="AC21" i="9"/>
  <c r="C18" i="20" s="1"/>
  <c r="AC20" i="9"/>
  <c r="C17" i="20" s="1"/>
  <c r="AC22" i="9"/>
  <c r="C19" i="20" s="1"/>
  <c r="N52" i="9"/>
  <c r="P52" i="9" s="1"/>
  <c r="P99" i="9"/>
  <c r="AC10" i="9"/>
  <c r="C7" i="20" s="1"/>
  <c r="C18" i="9"/>
  <c r="P85" i="9"/>
  <c r="P94" i="9"/>
  <c r="E3" i="9"/>
  <c r="E9" i="9"/>
  <c r="AC8" i="9"/>
  <c r="C5" i="20" s="1"/>
  <c r="P97" i="9"/>
  <c r="AC17" i="9"/>
  <c r="C14" i="20" s="1"/>
  <c r="AC14" i="9"/>
  <c r="C11" i="20" s="1"/>
  <c r="N61" i="9"/>
  <c r="P61" i="9" s="1"/>
  <c r="AC13" i="9"/>
  <c r="C10" i="20" s="1"/>
  <c r="N64" i="9"/>
  <c r="P64" i="9" s="1"/>
  <c r="AC15" i="9"/>
  <c r="C12" i="20" s="1"/>
  <c r="N58" i="9"/>
  <c r="P58" i="9" s="1"/>
  <c r="N63" i="9"/>
  <c r="P63" i="9" s="1"/>
  <c r="P7" i="17"/>
  <c r="C19" i="10"/>
  <c r="C49" i="9" a="1"/>
  <c r="C49" i="9" s="1"/>
  <c r="N72" i="9"/>
  <c r="P72" i="9" s="1"/>
  <c r="AC16" i="9"/>
  <c r="C13" i="20" s="1"/>
  <c r="E18" i="19" a="1"/>
  <c r="E18" i="19" s="1"/>
  <c r="N74" i="9"/>
  <c r="P74" i="9" s="1"/>
  <c r="O49" i="9"/>
  <c r="D49" i="9" a="1"/>
  <c r="D49" i="9" s="1"/>
  <c r="R5" i="9" a="1"/>
  <c r="R5" i="9" s="1"/>
  <c r="D8" i="19" s="1" a="1"/>
  <c r="D8" i="19" s="1"/>
  <c r="B2" i="9"/>
  <c r="E2" i="9" s="1"/>
  <c r="S5" i="9" a="1"/>
  <c r="S5" i="9" s="1"/>
  <c r="C14" i="19" a="1"/>
  <c r="C14" i="19" s="1"/>
  <c r="C12" i="19" a="1"/>
  <c r="C12" i="19" s="1"/>
  <c r="E49" i="9" a="1"/>
  <c r="E49" i="9" s="1"/>
  <c r="F49" i="9" a="1"/>
  <c r="F49" i="9" s="1"/>
  <c r="N68" i="9"/>
  <c r="P68" i="9" s="1"/>
  <c r="C22" i="20"/>
  <c r="AC11" i="9"/>
  <c r="C8" i="20" s="1"/>
  <c r="N55" i="9"/>
  <c r="P55" i="9" s="1"/>
  <c r="U5" i="9" a="1"/>
  <c r="U5" i="9" s="1"/>
  <c r="D14" i="19" s="1" a="1"/>
  <c r="D14" i="19" s="1"/>
  <c r="N62" i="9"/>
  <c r="P62" i="9" s="1"/>
  <c r="A2" i="21"/>
  <c r="B2" i="21" s="1"/>
  <c r="A2" i="20"/>
  <c r="AC7" i="9"/>
  <c r="C4" i="20" s="1"/>
  <c r="D10" i="19" a="1"/>
  <c r="D10" i="19" s="1"/>
  <c r="N54" i="9"/>
  <c r="P54" i="9" s="1"/>
  <c r="AC23" i="9"/>
  <c r="C20" i="20" s="1"/>
  <c r="N71" i="9"/>
  <c r="P71" i="9" s="1"/>
  <c r="N73" i="9"/>
  <c r="P73" i="9" s="1"/>
  <c r="N51" i="9"/>
  <c r="P51" i="9" s="1"/>
  <c r="AC6" i="9"/>
  <c r="C3" i="20" s="1"/>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6" i="17"/>
  <c r="N84" i="9" l="1"/>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<sst xmlns="http://schemas.openxmlformats.org/spreadsheetml/2006/main" count="723" uniqueCount="253">
  <si>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</si>
  <si>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</si>
  <si>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</si>
  <si>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</si>
  <si>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</si>
  <si>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</si>
  <si>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</si>
  <si>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</si>
  <si>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</si>
  <si>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</si>
  <si>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</si>
  <si>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</si>
  <si>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</si>
  <si>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</si>
  <si>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</si>
  <si>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</si>
  <si>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</si>
  <si>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</si>
  <si>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</si>
  <si>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</si>
  <si>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</si>
  <si>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</si>
  <si>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</si>
  <si>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</si>
  <si>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</si>
  <si>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</si>
  <si>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</si>
  <si>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</si>
  <si>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</si>
  <si>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</si>
  <si>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</si>
  <si>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</si>
  <si>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</si>
  <si>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</si>
  <si>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</si>
  <si>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</si>
  <si>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</si>
  <si>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</si>
  <si>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</si>
  <si>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</si>
  <si>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</si>
  <si>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</si>
  <si>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</si>
  <si>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</si>
  <si>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</si>
  <si>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</si>
  <si>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</si>
  <si>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</si>
  <si>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</si>
  <si>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</si>
  <si>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</si>
  <si>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</si>
  <si>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</si>
  <si>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</si>
  <si>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</si>
  <si>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</si>
  <si>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</si>
  <si>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</si>
  <si>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</si>
  <si>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</si>
  <si>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</si>
  <si>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</si>
  <si>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</si>
  <si>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</si>
  <si>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</si>
  <si>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</si>
  <si>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</si>
  <si>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</si>
  <si>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</si>
  <si>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</si>
  <si>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</si>
  <si>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</si>
  <si>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</si>
  <si>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</si>
  <si>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</si>
  <si>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</si>
  <si>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</si>
  <si>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</si>
  <si>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</si>
  <si>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</si>
  <si>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</si>
  <si>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</si>
  <si>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</si>
  <si>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</si>
  <si>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</si>
  <si>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</si>
  <si>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</si>
  <si>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</si>
  <si>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</si>
  <si>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</si>
  <si>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</si>
  <si>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</si>
  <si>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</si>
  <si>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</si>
  <si>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</si>
  <si>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</si>
  <si>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</si>
  <si>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</si>
  <si>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</si>
  <si>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</si>
  <si>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</si>
  <si>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</si>
  <si>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</si>
  <si>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</si>
  <si>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</si>
  <si>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</si>
  <si>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</si>
  <si>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</si>
  <si>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</si>
  <si>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</si>
  <si>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</si>
  <si>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</si>
  <si>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</si>
  <si>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</si>
  <si>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</si>
  <si>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</si>
  <si>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</si>
  <si>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</si>
  <si>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</si>
  <si>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</si>
  <si>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</si>
  <si>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</si>
  <si>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</si>
  <si>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</si>
  <si>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</si>
  <si>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</si>
  <si>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</si>
  <si>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</si>
  <si>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</si>
  <si>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</si>
  <si>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</si>
  <si>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</si>
  <si>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</si>
  <si>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</si>
  <si>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</si>
  <si>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</si>
  <si>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</si>
  <si>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</si>
  <si>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</si>
  <si>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</si>
  <si>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</si>
  <si>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</si>
  <si>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</si>
  <si>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</si>
  <si>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</si>
  <si>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</si>
  <si>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</si>
  <si>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</si>
  <si>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</si>
  <si>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</si>
  <si>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</si>
  <si>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</si>
  <si>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</si>
  <si>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</si>
  <si>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</si>
  <si>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</si>
  <si>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</si>
  <si>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</si>
  <si>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</si>
  <si>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</si>
  <si>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</si>
  <si>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</si>
  <si>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</si>
  <si>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</si>
  <si>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</si>
  <si>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</si>
  <si>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</si>
  <si>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</si>
  <si>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</si>
  <si>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</si>
  <si>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</si>
  <si>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</si>
  <si>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</si>
  <si>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</si>
  <si>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</si>
  <si>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oct-Nov</t>
  </si>
  <si>
    <t>Omer</t>
  </si>
  <si>
    <t>Faizan</t>
  </si>
  <si>
    <t>madina dyes</t>
  </si>
  <si>
    <t>Dasti</t>
  </si>
  <si>
    <t>Shafique Ansari</t>
  </si>
  <si>
    <t>Amjad sohail</t>
  </si>
  <si>
    <t>Billing (Slub)</t>
  </si>
  <si>
    <t>Billing (Satin)</t>
  </si>
  <si>
    <t>Aurangzeb</t>
  </si>
  <si>
    <t>General Dyes</t>
  </si>
  <si>
    <t>Salman Zaffar</t>
  </si>
  <si>
    <t>1880+1885</t>
  </si>
  <si>
    <t>Slub</t>
  </si>
  <si>
    <t>Satin</t>
  </si>
  <si>
    <t>closing CF</t>
  </si>
  <si>
    <t>black</t>
  </si>
  <si>
    <t>Closing October CF</t>
  </si>
  <si>
    <t>kaleem ullah</t>
  </si>
  <si>
    <t>salary</t>
  </si>
  <si>
    <t>60 bags starch 3 bp26</t>
  </si>
  <si>
    <t>700*810</t>
  </si>
  <si>
    <t>advance salary</t>
  </si>
  <si>
    <t>TKL 364</t>
  </si>
  <si>
    <t>ejaz sahab</t>
  </si>
  <si>
    <t>Amjad Sohail</t>
  </si>
  <si>
    <t>Arb Dasti</t>
  </si>
  <si>
    <t>Shahid Qasayi</t>
  </si>
  <si>
    <t>1670+1671</t>
  </si>
  <si>
    <t>misc</t>
  </si>
  <si>
    <t>1822+1823</t>
  </si>
  <si>
    <t>APL</t>
  </si>
  <si>
    <t>C 8947</t>
  </si>
  <si>
    <t>E 3229</t>
  </si>
  <si>
    <t>Abid ghafoor</t>
  </si>
  <si>
    <t>abid ghafoor</t>
  </si>
  <si>
    <t>TAD 290</t>
  </si>
  <si>
    <t>E 9399</t>
  </si>
  <si>
    <t>loom ac</t>
  </si>
  <si>
    <t>NAD 668</t>
  </si>
  <si>
    <t>ibraheem behraam</t>
  </si>
  <si>
    <t>Hameed corporation</t>
  </si>
  <si>
    <t>Shafi Dyes</t>
  </si>
  <si>
    <t>CAR 6957</t>
  </si>
  <si>
    <t>Madina Dyes</t>
  </si>
  <si>
    <t>shahid Qasayi</t>
  </si>
  <si>
    <t>irfan punjabi</t>
  </si>
  <si>
    <t>LES 8294</t>
  </si>
  <si>
    <t>Irfan Punjabi</t>
  </si>
  <si>
    <t>C 1605</t>
  </si>
  <si>
    <t>Zia-ullah karachi</t>
  </si>
  <si>
    <t>Amjad wood</t>
  </si>
  <si>
    <t>TKT 364</t>
  </si>
  <si>
    <t>LEI 9662</t>
  </si>
  <si>
    <t>LEI 2223</t>
  </si>
  <si>
    <t>JU 4472</t>
  </si>
  <si>
    <t>LEJ 9662</t>
  </si>
  <si>
    <t>LES 3785</t>
  </si>
  <si>
    <t>Black-Chamki</t>
  </si>
  <si>
    <t>Raaz fabrics</t>
  </si>
  <si>
    <t>Billing (Black-chamki)</t>
  </si>
  <si>
    <t>Temp</t>
  </si>
  <si>
    <t>1953+1952</t>
  </si>
  <si>
    <t>Billing (Kataan)</t>
  </si>
  <si>
    <t>SAB 3612</t>
  </si>
  <si>
    <t>ZA</t>
  </si>
  <si>
    <t>1957-67</t>
  </si>
  <si>
    <t>TAC 734</t>
  </si>
  <si>
    <t>This month</t>
  </si>
  <si>
    <t>Ahmad Javaid</t>
  </si>
  <si>
    <t>Munaar</t>
  </si>
  <si>
    <t>Billing (Munaar)</t>
  </si>
  <si>
    <t>November Closing CF</t>
  </si>
  <si>
    <t>Kataan</t>
  </si>
  <si>
    <t>billing (Slub)</t>
  </si>
  <si>
    <t>Billing (Black-Chamki)</t>
  </si>
  <si>
    <t>Billing (kataan</t>
  </si>
  <si>
    <t>Closing 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</si>
</sst>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64" fontId="10" fillId="0" borderId="0" xfId="0" applyNumberFormat="1" applyFont="1"/>
    <xf numFmtId="0" fontId="0" fillId="0" borderId="0" xfId="0" applyBorder="1"/>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Font="1" applyBorder="1"/>
    <xf numFmtId="14" fontId="0" fillId="0" borderId="8" xfId="0" applyNumberFormat="1" applyFont="1" applyBorder="1"/>
    <xf numFmtId="0" fontId="0" fillId="0" borderId="0" xfId="0" applyBorder="1" applyAlignment="1">
      <alignment horizontal="center"/>
    </xf>
    <xf numFmtId="0" fontId="0" fillId="0" borderId="0" xfId="0" applyNumberFormat="1"/>
    <xf numFmtId="14" fontId="1" fillId="0" borderId="0" xfId="0" applyNumberFormat="1" applyFont="1" applyAlignment="1">
      <alignment horizontal="center"/>
    </xf>
    <xf numFmtId="0" fontId="1" fillId="0" borderId="26" xfId="0" applyFont="1" applyBorder="1"/>
  </cellXfs>
  <cellStyles count="2">
    <cellStyle name="Comma" xfId="1" builtinId="3"/>
    <cellStyle name="Normal" xfId="0" builtinId="0"/>
  </cellStyles>
  <dxfs count="132">
    <dxf>
      <font>
        <b/>
      </font>
      <numFmt numFmtId="0" formatCode="General"/>
    </dxf>
    <dxf>
      <numFmt numFmtId="0" formatCode="General"/>
    </dxf>
    <dxf>
      <numFmt numFmtId="0" formatCode="Genera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numFmt numFmtId="19" formatCode="dd/mm/yyyy"/>
    </dxf>
    <dxf>
      <numFmt numFmtId="19" formatCode="dd/mm/yyyy"/>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4" formatCode="_-* #,##0_-;\-* #,##0_-;_-* &quot;-&quot;??_-;_-@_-"/>
    </dxf>
    <dxf>
      <numFmt numFmtId="0" formatCode="General"/>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refreshError="1"/>
      <sheetData sheetId="2" refreshError="1"/>
      <sheetData sheetId="3" refreshError="1"/>
      <sheetData sheetId="4" refreshError="1"/>
      <sheetData sheetId="5" refreshError="1"/>
      <sheetData sheetId="6" refreshError="1"/>
      <sheetData sheetId="7">
        <row r="5">
          <cell r="N5">
            <v>727497</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6">
      <pivotArea dataOnly="0" labelOnly="1" outline="0" fieldPosition="0">
        <references count="1">
          <reference field="1" count="1">
            <x v="1"/>
          </reference>
        </references>
      </pivotArea>
    </format>
    <format dxfId="10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10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6"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17">
    <i>
      <x v="26"/>
    </i>
    <i>
      <x v="35"/>
    </i>
    <i>
      <x v="36"/>
    </i>
    <i>
      <x v="37"/>
    </i>
    <i>
      <x v="38"/>
    </i>
    <i>
      <x v="39"/>
    </i>
    <i>
      <x v="40"/>
    </i>
    <i>
      <x v="41"/>
    </i>
    <i>
      <x v="42"/>
    </i>
    <i>
      <x v="43"/>
    </i>
    <i>
      <x v="44"/>
    </i>
    <i>
      <x v="45"/>
    </i>
    <i>
      <x v="46"/>
    </i>
    <i>
      <x v="47"/>
    </i>
    <i>
      <x v="48"/>
    </i>
    <i>
      <x v="4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3">
      <pivotArea type="all" dataOnly="0" outline="0" fieldPosition="0"/>
    </format>
    <format dxfId="62">
      <pivotArea outline="0" collapsedLevelsAreSubtotals="1" fieldPosition="0"/>
    </format>
    <format dxfId="61">
      <pivotArea field="4" type="button" dataOnly="0" labelOnly="1" outline="0" axis="axisRow" fieldPosition="0"/>
    </format>
    <format dxfId="60">
      <pivotArea dataOnly="0" labelOnly="1" fieldPosition="0">
        <references count="1">
          <reference field="4" count="0"/>
        </references>
      </pivotArea>
    </format>
    <format dxfId="59">
      <pivotArea dataOnly="0" labelOnly="1" grandRow="1" outline="0" fieldPosition="0"/>
    </format>
    <format dxfId="58">
      <pivotArea dataOnly="0" labelOnly="1" outline="0" fieldPosition="0">
        <references count="1">
          <reference field="4294967294" count="2">
            <x v="0"/>
            <x v="1"/>
          </reference>
        </references>
      </pivotArea>
    </format>
    <format dxfId="57">
      <pivotArea grandRow="1" outline="0" collapsedLevelsAreSubtotals="1" fieldPosition="0"/>
    </format>
    <format dxfId="56">
      <pivotArea field="4" type="button" dataOnly="0" labelOnly="1" outline="0" axis="axisRow" fieldPosition="0"/>
    </format>
    <format dxfId="5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2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60" totalsRowCount="1" headerRowDxfId="108" dataDxfId="107" headerRowCellStyle="Comma" dataCellStyle="Comma">
  <autoFilter ref="A1:K59" xr:uid="{11DACEC6-751B-4B1D-817F-5C5BCD38EF6D}"/>
  <tableColumns count="11">
    <tableColumn id="1" xr3:uid="{2FCE3FA8-A48C-4685-8919-AE44C6C71FD9}" name="Date" dataDxfId="2" dataCellStyle="Comma"/>
    <tableColumn id="2" xr3:uid="{5780FD5F-0890-44E6-B59C-8E37A559FE36}" name="Party Name" dataDxfId="0" dataCellStyle="Comma"/>
    <tableColumn id="3" xr3:uid="{5B3ECD85-9174-40AC-BFBD-49CAC97A83D3}" name="Bill Number" dataDxfId="1" dataCellStyle="Comma"/>
    <tableColumn id="4" xr3:uid="{11B50761-04B6-4262-AD4D-7182450037D1}" name="Quality" dataDxfId="50" dataCellStyle="Comma"/>
    <tableColumn id="5" xr3:uid="{2C556969-B713-4967-BD24-466AACCBE5F5}" name="Shipment Number" dataDxfId="49" totalsRowDxfId="14" dataCellStyle="Comma"/>
    <tableColumn id="6" xr3:uid="{F4E1FD2B-9017-4DEB-B772-BF447ECE56F7}" name="Kora/metre" dataDxfId="48" totalsRowDxfId="13" dataCellStyle="Comma"/>
    <tableColumn id="7" xr3:uid="{52ACC1DA-7A76-4A90-B809-3A1AE728E7EA}" name="Tiyaar/gaz" dataDxfId="47" totalsRowDxfId="12" dataCellStyle="Comma"/>
    <tableColumn id="8" xr3:uid="{31A0FF5E-56F0-44D1-9865-73256B964660}" name="shortage %" dataDxfId="46" totalsRowDxfId="11" dataCellStyle="Comma">
      <calculatedColumnFormula>_xlfn.XLOOKUP(Table1[[#This Row],[Shipment Number]], 'pivot '!A:A,'pivot '!G:G, "NF")</calculatedColumnFormula>
    </tableColumn>
    <tableColumn id="9" xr3:uid="{F99075E0-AC8E-094D-BB85-272AD2C6C568}" name="tiyar/meters" totalsRowFunction="custom" dataDxfId="45" totalsRowDxfId="10"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44" totalsRowDxfId="9"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43" totalsRowDxfId="8"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3" totalsRowCount="1" headerRowDxfId="104" headerRowBorderDxfId="103" tableBorderDxfId="102">
  <autoFilter ref="A1:I12" xr:uid="{F8E8C957-ABE7-4E4F-8D4E-7D44E26B334F}"/>
  <tableColumns count="9">
    <tableColumn id="1" xr3:uid="{C2E817D6-AB98-4DDD-8890-736B27F261CD}" name="Date" dataDxfId="38" totalsRowDxfId="31"/>
    <tableColumn id="2" xr3:uid="{CFB51890-CCDC-463C-81C9-3F8BD7469CB9}" name="Party Name"/>
    <tableColumn id="3" xr3:uid="{A113D971-1C9D-4733-99C4-BD0CC4333209}" name="Vehicle Number"/>
    <tableColumn id="4" xr3:uid="{49780304-3DD1-4AE9-98EE-2BC7EB8F3B57}" name="Weight" dataDxfId="37" totalsRowDxfId="30" dataCellStyle="Comma"/>
    <tableColumn id="5" xr3:uid="{FCAF1BC6-1D8C-42AD-8BBC-F924BF2DC7FE}" name="Rate" dataDxfId="36" totalsRowDxfId="29" dataCellStyle="Comma"/>
    <tableColumn id="6" xr3:uid="{8C70A624-4134-410C-9C45-9FDEB51D51BF}" name="Rent" dataDxfId="35" totalsRowDxfId="28" dataCellStyle="Comma"/>
    <tableColumn id="7" xr3:uid="{EBCE10AE-9634-4982-9C95-37ABC8A7078C}" name="Total" totalsRowFunction="sum" dataDxfId="34" totalsRowDxfId="27" dataCellStyle="Comma">
      <calculatedColumnFormula>D2*E2</calculatedColumnFormula>
    </tableColumn>
    <tableColumn id="9" xr3:uid="{D4788559-C94A-44D9-B9AE-E72B214355AC}" name="Paid" totalsRowFunction="sum" dataDxfId="33" totalsRowDxfId="26" dataCellStyle="Comma"/>
    <tableColumn id="8" xr3:uid="{E26F5BF0-1875-4FC6-994D-49F202ED562B}" name="balance" totalsRowFunction="sum" dataDxfId="32" totalsRowDxfId="25"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 totalsRowCount="1">
  <autoFilter ref="A1:G5" xr:uid="{CB032221-B416-47A8-9A76-693DE76CFD04}"/>
  <tableColumns count="7">
    <tableColumn id="1" xr3:uid="{554B1EED-65B6-4E9A-B646-82727FAC40DE}" name="Date" dataDxfId="100" totalsRowDxfId="42"/>
    <tableColumn id="2" xr3:uid="{32259059-42CF-4947-83DE-115AA430BE2B}" name="Party"/>
    <tableColumn id="3" xr3:uid="{A1320223-D55D-483C-91C3-AB19B95CC9D8}" name="Debit" totalsRowFunction="sum" dataDxfId="99" totalsRowDxfId="41" dataCellStyle="Comma"/>
    <tableColumn id="4" xr3:uid="{E9745767-9FF0-4B1C-9052-FF335D1D7588}" name="Credit" totalsRowFunction="sum" dataDxfId="98" totalsRowDxfId="40" dataCellStyle="Comma"/>
    <tableColumn id="5" xr3:uid="{5C88A48E-2467-4E6D-B626-2442B7FD0BE4}" name="Description"/>
    <tableColumn id="6" xr3:uid="{63CA4666-144E-4BE6-8B7C-7CB992BD3041}" name="Mode" totalsRowFunction="custom" dataDxfId="97" totalsRowDxfId="39">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6" tableBorderDxfId="95" totalsRowBorderDxfId="94">
  <autoFilter ref="J3:K6" xr:uid="{DCE01694-23ED-48BF-8B92-4186B9ED10A8}"/>
  <tableColumns count="2">
    <tableColumn id="1" xr3:uid="{C8484DAF-2989-4C2F-9AEC-A6917E1C57F6}" name="Type" dataDxfId="93"/>
    <tableColumn id="2" xr3:uid="{B07B7A2A-4D4E-4654-BED6-FE2F0A7BEC34}" name="Amount" dataDxfId="9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1" headerRowBorderDxfId="90" tableBorderDxfId="89" totalsRowBorderDxfId="88">
  <autoFilter ref="M3:O6" xr:uid="{D166BDD1-ACD7-45D7-8AE9-7350373F8CEB}"/>
  <tableColumns count="3">
    <tableColumn id="1" xr3:uid="{64F0205E-DEA7-4571-BA86-E4374A5FEE28}" name="Type" totalsRowLabel="Total" dataDxfId="87" totalsRowDxfId="86"/>
    <tableColumn id="2" xr3:uid="{15FA05F9-789C-4459-9BE0-5C1EC84D3365}" name="amount" totalsRowFunction="custom" dataDxfId="85" totalsRowDxfId="84">
      <totalsRowFormula>SUM(N5:N6)</totalsRowFormula>
    </tableColumn>
    <tableColumn id="3" xr3:uid="{3681D409-90C6-44D0-BDE2-4B5943A516F0}" name="Actual" totalsRowFunction="custom" totalsRowDxfId="83">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2" totalsRowDxfId="81"/>
    <tableColumn id="2" xr3:uid="{5B9D0FEE-4304-4C5C-A05C-5B27CF7841D3}" name="Type"/>
    <tableColumn id="3" xr3:uid="{6A91CA0D-C802-4C6F-9F39-CA53687E8EDE}" name="Description"/>
    <tableColumn id="4" xr3:uid="{A251D40C-AB87-4BB4-85F8-444B20E32FDF}" name="Total" totalsRowFunction="custom" dataDxfId="80" totalsRowDxfId="79"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78" headerRowBorderDxfId="77">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6"/>
    <tableColumn id="4" xr3:uid="{1889A312-9B41-4EC4-BD8F-05252F27084A}" name="Price" totalsRowFunction="sum"/>
    <tableColumn id="6" xr3:uid="{8B974B20-F003-4E67-8660-024FA4F324A9}" name="Party"/>
    <tableColumn id="7" xr3:uid="{0A5A5C21-FD61-47DA-9F54-66A6479FA557}" name="Paid" dataDxfId="75">
      <calculatedColumnFormula>SUMIFS(Table14[Debit], Table14[Date], Table8[[#This Row],[Date]], Table14[Party], Table8[[#This Row],[Party]])</calculatedColumnFormula>
    </tableColumn>
    <tableColumn id="8" xr3:uid="{8DCB3B43-2161-4081-82EC-CDB0F4DE4E6F}" name="Balance" totalsRowFunction="sum" dataDxfId="7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73" headerRowBorderDxfId="72">
  <autoFilter ref="A4:H13" xr:uid="{A4C80688-A8BA-4BA7-90B4-791CD99446B4}"/>
  <sortState xmlns:xlrd2="http://schemas.microsoft.com/office/spreadsheetml/2017/richdata2" ref="A5:H6">
    <sortCondition ref="A4:A6"/>
  </sortState>
  <tableColumns count="8">
    <tableColumn id="1" xr3:uid="{4A818912-918E-4111-ACFC-BC93FEF7C1AD}" name="Date" dataDxfId="71" totalsRowDxfId="23"/>
    <tableColumn id="8" xr3:uid="{477ACFD5-62AF-4F69-974B-E9B974C11D7D}" name="Party Name" dataDxfId="7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9">
      <calculatedColumnFormula>Table2[[#This Row],[Quantity]]*200*Table2[[#This Row],[Boxes]]</calculatedColumnFormula>
    </tableColumn>
    <tableColumn id="6" xr3:uid="{30432929-CBD4-4BA8-B63F-CD0F6CF6405F}" name="Paid" totalsRowFunction="sum" dataDxfId="68">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6" totalsRowDxfId="6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2" totalsRowDxfId="19"/>
    <tableColumn id="2" xr3:uid="{053BFC14-4828-417C-9F9F-95B6E232A945}" name="Amount" totalsRowFunction="custom" dataDxfId="21" totalsRowDxfId="1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4" totalsRowDxfId="2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54" totalsRowDxfId="1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53"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52">
      <calculatedColumnFormula>Billing!Q5</calculatedColumnFormula>
    </tableColumn>
    <tableColumn id="2" xr3:uid="{7093A59E-B58F-487D-888A-9AA8156B5F9A}" name="Amount Paid" dataDxfId="5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1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abSelected="1" topLeftCell="T9" zoomScale="109" zoomScaleNormal="80" workbookViewId="0">
      <selection activeCell="AE5" sqref="AE5:AE3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0</v>
      </c>
      <c r="D2">
        <v>10</v>
      </c>
      <c r="E2" s="14">
        <f>(SUMIFS(ledger!G:G, ledger!B:B, B2, ledger!E:E, "&lt;&gt;*RD*",ledger!D:D, "Silky") / 1.0936)*12 + (SUMIFS(ledger!G:G, ledger!B:B, B2, ledger!E:E, "&lt;&gt;*RD*",ledger!D:D, "Chamki") / 1.0936)*10</f>
        <v>0</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0</v>
      </c>
      <c r="D4">
        <v>10</v>
      </c>
      <c r="E4" s="14">
        <f>(SUMIFS(ledger!G:G, ledger!B:B, B4, ledger!E:E, "&lt;&gt;*RD*",ledger!D:D, "Silky") / 1.0936)*12 + (SUMIFS(ledger!G:G, ledger!B:B, B4, ledger!E:E, "&lt;&gt;*RD*",ledger!D:D, "Chamki") / 1.0936)*10</f>
        <v>0</v>
      </c>
      <c r="I4" t="s">
        <v>9</v>
      </c>
      <c r="Q4" s="21"/>
      <c r="R4" s="23" t="s">
        <v>10</v>
      </c>
      <c r="S4" s="23" t="s">
        <v>11</v>
      </c>
      <c r="T4" s="23" t="s">
        <v>12</v>
      </c>
      <c r="U4" s="23" t="s">
        <v>13</v>
      </c>
      <c r="V4" s="23" t="s">
        <v>14</v>
      </c>
      <c r="W4" s="23" t="s">
        <v>15</v>
      </c>
      <c r="X4" s="23" t="s">
        <v>182</v>
      </c>
      <c r="Y4" s="23" t="s">
        <v>183</v>
      </c>
      <c r="Z4" s="23" t="s">
        <v>235</v>
      </c>
      <c r="AA4" s="23" t="s">
        <v>238</v>
      </c>
      <c r="AB4" s="23" t="s">
        <v>246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20355074.981711783</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23938814.923189472</v>
      </c>
      <c r="AD5" s="22">
        <f ca="1">(SUMIF(Table14[Party],Q5,Table14[Credit]))+_xlfn.IFNA(O84,0)</f>
        <v>19750734</v>
      </c>
      <c r="AE5" s="33">
        <f ca="1">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 ca="1">(SUMIF(Table14[Party],Q6,Table14[Credit]))+_xlfn.IFNA(O85,0)</f>
        <v>3963904</v>
      </c>
      <c r="AE6" s="33">
        <f t="shared" ref="AE6:AE31" ca="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5227907.8273591809</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6228578.0907095838</v>
      </c>
      <c r="AD7" s="22">
        <f ca="1">(SUMIF(Table14[Party],Q7,Table14[Credit]))+_xlfn.IFNA(O86,0)</f>
        <v>6002935</v>
      </c>
      <c r="AE7" s="33">
        <f t="shared" ca="1" si="2"/>
        <v>225643.09070958383</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 ca="1">(SUMIF(Table14[Party],Q8,Table14[Credit]))+_xlfn.IFNA(O87,0)</f>
        <v>1268740</v>
      </c>
      <c r="AE8" s="33">
        <f t="shared" ca="1" si="2"/>
        <v>530.34403803967871</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 ca="1">(SUMIF(Table14[Party],Q9,Table14[Credit]))+_xlfn.IFNA(O88,0)</f>
        <v>10629100</v>
      </c>
      <c r="AE9" s="33">
        <f t="shared" ca="1"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 ca="1">(SUMIF(Table14[Party],Q10,Table14[Credit]))+_xlfn.IFNA(O89,0)</f>
        <v>7397871</v>
      </c>
      <c r="AE10" s="33">
        <f t="shared" ca="1"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 ca="1">(SUMIF(Table14[Party],Q11,Table14[Credit]))+_xlfn.IFNA(O90,0)</f>
        <v>1100000</v>
      </c>
      <c r="AE11" s="33">
        <f t="shared" ca="1"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3054690.9290416976</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3382139.7220190205</v>
      </c>
      <c r="AD12" s="22">
        <f ca="1">(SUMIF(Table14[Party],Q12,Table14[Credit]))+_xlfn.IFNA(O91,0)</f>
        <v>3322620</v>
      </c>
      <c r="AE12" s="33">
        <f t="shared" ca="1" si="2"/>
        <v>59519.722019020468</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 ca="1">(SUMIF(Table14[Party],Q13,Table14[Credit]))+_xlfn.IFNA(O92,0)</f>
        <v>640190</v>
      </c>
      <c r="AE13" s="33">
        <f t="shared" ca="1"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 ca="1">(SUMIF(Table14[Party],Q14,Table14[Credit]))+_xlfn.IFNA(O93,0)</f>
        <v>130000</v>
      </c>
      <c r="AE14" s="33">
        <f t="shared" ca="1"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 ca="1">(SUMIF(Table14[Party],Q15,Table14[Credit]))+_xlfn.IFNA(O94,0)</f>
        <v>1805980</v>
      </c>
      <c r="AE15" s="33">
        <f t="shared" ca="1"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3559098.3906364306</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5019722.933430871</v>
      </c>
      <c r="AD16" s="22">
        <f ca="1">(SUMIF(Table14[Party],Q16,Table14[Credit]))+_xlfn.IFNA(O95,0)</f>
        <v>4925761</v>
      </c>
      <c r="AE16" s="33">
        <f t="shared" ca="1"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 ca="1">(SUMIF(Table14[Party],Q17,Table14[Credit]))+_xlfn.IFNA(O96,0)</f>
        <v>0</v>
      </c>
      <c r="AE17" s="33">
        <f t="shared" ca="1"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177</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 ca="1">(SUMIF(Table14[Party],Q18,Table14[Credit]))+_xlfn.IFNA(O97,0)</f>
        <v>480000</v>
      </c>
      <c r="AE18" s="33">
        <f t="shared" ca="1" si="2"/>
        <v>3851.4996342355735</v>
      </c>
      <c r="AF18" s="21">
        <v>10</v>
      </c>
      <c r="AG18" s="21">
        <v>13</v>
      </c>
    </row>
    <row r="19" spans="2:33" x14ac:dyDescent="0.3">
      <c r="I19" t="s">
        <v>180</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 ca="1">(SUMIF(Table14[Party],Q19,Table14[Credit]))+_xlfn.IFNA(O98,0)</f>
        <v>95000</v>
      </c>
      <c r="AE19" s="33">
        <f t="shared" ca="1" si="2"/>
        <v>-5844.9158741770225</v>
      </c>
      <c r="AF19" s="21">
        <v>10</v>
      </c>
      <c r="AG19" s="21">
        <v>13</v>
      </c>
    </row>
    <row r="20" spans="2:33" x14ac:dyDescent="0.3">
      <c r="I20" t="s">
        <v>181</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 ca="1">(SUMIF(Table14[Party],Q20,Table14[Credit]))+_xlfn.IFNA(O99,0)</f>
        <v>594405</v>
      </c>
      <c r="AE20" s="33">
        <f t="shared" ca="1" si="2"/>
        <v>-0.28163862461224198</v>
      </c>
      <c r="AF20" s="21">
        <v>10</v>
      </c>
      <c r="AG20" s="21">
        <v>13</v>
      </c>
    </row>
    <row r="21" spans="2:33" x14ac:dyDescent="0.3">
      <c r="B21" s="40" t="s">
        <v>29</v>
      </c>
      <c r="C21" s="41">
        <f>SUM(N49:N78)</f>
        <v>0</v>
      </c>
      <c r="D21" t="s">
        <v>30</v>
      </c>
      <c r="I21" t="s">
        <v>186</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 ca="1">(SUMIF(Table14[Party],Q21,Table14[Credit]))+_xlfn.IFNA(O100,0)</f>
        <v>4915571</v>
      </c>
      <c r="AE21" s="33">
        <f t="shared" ca="1" si="2"/>
        <v>308616.08851499762</v>
      </c>
      <c r="AF21" s="21">
        <v>10</v>
      </c>
      <c r="AG21" s="21">
        <v>13</v>
      </c>
    </row>
    <row r="22" spans="2:33" x14ac:dyDescent="0.3">
      <c r="C22" s="18"/>
      <c r="I22" t="s">
        <v>202</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 ca="1">(SUMIF(Table14[Party],Q22,Table14[Credit]))+_xlfn.IFNA(O101,0)</f>
        <v>835660</v>
      </c>
      <c r="AE22" s="33">
        <f t="shared" ca="1" si="2"/>
        <v>356.82516459410544</v>
      </c>
      <c r="AF22" s="21">
        <v>10</v>
      </c>
      <c r="AG22" s="21">
        <v>13</v>
      </c>
    </row>
    <row r="23" spans="2:33" x14ac:dyDescent="0.3">
      <c r="B23" s="24" t="s">
        <v>31</v>
      </c>
      <c r="C23" s="37">
        <f>SUM(N49:N81)</f>
        <v>0</v>
      </c>
      <c r="D23" t="s">
        <v>32</v>
      </c>
      <c r="I23" t="s">
        <v>216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 ca="1">(SUMIF(Table14[Party],Q23,Table14[Credit]))+_xlfn.IFNA(O102,0)</f>
        <v>2300000</v>
      </c>
      <c r="AE23" s="33">
        <f t="shared" ca="1" si="2"/>
        <v>409309.61960497499</v>
      </c>
      <c r="AF23" s="21">
        <v>10</v>
      </c>
      <c r="AG23" s="21">
        <v>13</v>
      </c>
    </row>
    <row r="24" spans="2:33" x14ac:dyDescent="0.3">
      <c r="I24" t="s">
        <v>215</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 ca="1">(SUMIF(Table14[Party],Q24,Table14[Credit]))+_xlfn.IFNA(O103,0)</f>
        <v>0</v>
      </c>
      <c r="AE24" s="33">
        <f t="shared" ca="1" si="2"/>
        <v>713525.05486466724</v>
      </c>
      <c r="AF24" s="21">
        <v>10</v>
      </c>
      <c r="AG24" s="21">
        <v>13</v>
      </c>
    </row>
    <row r="25" spans="2:33" x14ac:dyDescent="0.3">
      <c r="I25" t="s">
        <v>225</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 ca="1">(SUMIF(Table14[Party],Q25,Table14[Credit]))+_xlfn.IFNA(O104,0)</f>
        <v>1468325</v>
      </c>
      <c r="AE25" s="33">
        <f t="shared" ca="1" si="2"/>
        <v>189776.68251645938</v>
      </c>
      <c r="AF25" s="21">
        <v>10</v>
      </c>
      <c r="AG25" s="21">
        <v>13</v>
      </c>
    </row>
    <row r="26" spans="2:33" x14ac:dyDescent="0.3">
      <c r="I26" t="s">
        <v>240</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 ca="1">(SUMIF(Table14[Party],Q26,Table14[Credit]))+_xlfn.IFNA(O105,0)</f>
        <v>424323</v>
      </c>
      <c r="AE26" s="33">
        <f t="shared" ca="1" si="2"/>
        <v>0.33577176299877465</v>
      </c>
      <c r="AF26" s="21">
        <v>10</v>
      </c>
      <c r="AG26" s="21">
        <v>13</v>
      </c>
    </row>
    <row r="27" spans="2:33" x14ac:dyDescent="0.3">
      <c r="I27" t="s">
        <v>244</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 ca="1">(SUMIF(Table14[Party],Q27,Table14[Credit]))+_xlfn.IFNA(O106,0)</f>
        <v>790500</v>
      </c>
      <c r="AE27" s="33">
        <f t="shared" ca="1"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 ca="1">(SUMIF(Table14[Party],Q28,Table14[Credit]))+_xlfn.IFNA(O107,0)</f>
        <v>124560</v>
      </c>
      <c r="AE28" s="33">
        <f t="shared" ca="1"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 ca="1">(SUMIF(Table14[Party],Q29,Table14[Credit]))+_xlfn.IFNA(O108,0)</f>
        <v>250000</v>
      </c>
      <c r="AE29" s="33">
        <f t="shared" ca="1"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 ca="1">(SUMIF(Table14[Party],Q30,Table14[Credit]))+_xlfn.IFNA(O109,0)</f>
        <v>0</v>
      </c>
      <c r="AE30" s="33">
        <f t="shared" ca="1"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 ca="1">(SUMIF(Table14[Party],Q31,Table14[Credit]))+_xlfn.IFNA(O110,0)</f>
        <v>0</v>
      </c>
      <c r="AE31" s="33">
        <f t="shared" ca="1"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 ca="1">(SUMIF(Table14[Party],Q32,Table14[Credit]))+_xlfn.IFNA(O111,0)</f>
        <v>0</v>
      </c>
      <c r="AE32" s="33">
        <f t="shared" ref="AE21:AE35" ca="1"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 ca="1">(SUMIF(Table14[Party],Q33,Table14[Credit]))+_xlfn.IFNA(O112,0)</f>
        <v>0</v>
      </c>
      <c r="AE33" s="33">
        <f t="shared" ca="1"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 ca="1">(SUMIF(Table14[Party],Q34,Table14[Credit]))+_xlfn.IFNA(O113,0)</f>
        <v>0</v>
      </c>
      <c r="AE34" s="33">
        <f t="shared" ca="1"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 ca="1">(SUMIF(Table14[Party],Q35,Table14[Credit]))+_xlfn.IFNA(O114,0)</f>
        <v>0</v>
      </c>
      <c r="AE35" s="33">
        <f t="shared" ca="1"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 ca="1">(SUMIF(Table14[Party],Q36,Table14[Credit]))+_xlfn.IFNA(O115,0)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182</v>
      </c>
      <c r="J48" s="23" t="s">
        <v>183</v>
      </c>
      <c r="K48" s="23" t="s">
        <v>235</v>
      </c>
      <c r="L48" s="23" t="s">
        <v>238</v>
      </c>
      <c r="M48" s="23" t="s">
        <v>246</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0</v>
      </c>
      <c r="D49" s="22" cm="1">
        <f t="array" ref="D49:D74">_xlfn.BYROW(_xlfn.ANCHORARRAY(B49), _xlfn.LAMBDA(_xlpm.party, SUMIFS(ledger!G:G, ledger!B:B, _xlpm.party, ledger!E:E, "&lt;&gt;*RD*") / 1.0936 ))</f>
        <v>0</v>
      </c>
      <c r="E49" s="63" cm="1">
        <f t="array" ref="E49:E74">(_xlfn.BYROW(_xlfn.ANCHORARRAY(B49),_xlfn.LAMBDA(_xlpm.party,SUMIFS(ledger!G:G,ledger!B:B,_xlpm.party,ledger!E:E,"&lt;&gt;*RD*",ledger!D:D,"Chamki")+SUMIFS(ledger!G:G, ledger!B:B, _xlpm.party, ledger!E:E, "&lt;&gt;*RD*", ledger!D:D, "Crinkle")))/1.0936)</f>
        <v>0</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0</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0</v>
      </c>
      <c r="O49" s="22">
        <f ca="1">(SUMIF(Table14[Party],B49,Table14[Credit]))</f>
        <v>0</v>
      </c>
      <c r="P49" s="37">
        <f ca="1">N49-O49</f>
        <v>0</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 ca="1">(SUMIF(Table14[Party],B50,Table14[Credit]))</f>
        <v>0</v>
      </c>
      <c r="P50" s="37">
        <f ca="1">N50-O50</f>
        <v>0</v>
      </c>
      <c r="Q50" s="21">
        <v>10</v>
      </c>
      <c r="R50" s="21">
        <v>12</v>
      </c>
    </row>
    <row r="51" spans="1:23" x14ac:dyDescent="0.3">
      <c r="B51" s="24" t="str">
        <v>Arshad</v>
      </c>
      <c r="C51" s="22">
        <v>0</v>
      </c>
      <c r="D51" s="22">
        <v>0</v>
      </c>
      <c r="E51" s="63">
        <v>0</v>
      </c>
      <c r="F51" s="63">
        <v>0</v>
      </c>
      <c r="G51" s="22" cm="1">
        <f t="array" ref="G51">(_xlfn.BYROW(B51,_xlfn.LAMBDA(_xlpm.party,
(SUMIFS(ledger!J:J,ledger!B:B,_xlpm.party,ledger!E:E,"&lt;&gt;*RD*",ledger!D:D,"Chamki",ledger!C:C,"&lt;&gt;November Closing CF")+
SUMIFS(ledger!J:J,ledger!B:B,_xlpm.party,ledger!E:E,"&lt;&gt;*RD*",ledger!D:D,"Crinkle",ledger!C:C,"&lt;&gt;November Closing CF")
))))</f>
        <v>0</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0</v>
      </c>
      <c r="O51" s="22">
        <f ca="1">(SUMIF(Table14[Party],B51,Table14[Credit]))</f>
        <v>0</v>
      </c>
      <c r="P51" s="37">
        <f ca="1">N51-O51</f>
        <v>0</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 ca="1">(SUMIF(Table14[Party],B52,Table14[Credit]))</f>
        <v>0</v>
      </c>
      <c r="P52" s="37">
        <f t="shared" ref="P52:P55" ca="1"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 ca="1">(SUMIF(Table14[Party],B53,Table14[Credit]))</f>
        <v>0</v>
      </c>
      <c r="P53" s="37">
        <f t="shared" ca="1"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 ca="1">(SUMIF(Table14[Party],B54,Table14[Credit]))</f>
        <v>0</v>
      </c>
      <c r="P54" s="37">
        <f t="shared" ca="1" si="5"/>
        <v>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 ca="1">(SUMIF(Table14[Party],B55,Table14[Credit]))</f>
        <v>0</v>
      </c>
      <c r="P55" s="37">
        <f t="shared" ca="1" si="5"/>
        <v>0</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(SUMIFS(ledger!J:J,ledger!B:B,_xlpm.party,ledger!E:E,"&lt;&gt;*RD*",ledger!D:D,"Chamki",ledger!C:C,"&lt;&gt;November Closing CF")+
SUMIFS(ledger!J:J,ledger!B:B,_xlpm.party,ledger!E:E,"&lt;&gt;*RD*",ledger!D:D,"Crinkle",ledger!C:C,"&lt;&gt;November Closing CF")
))))</f>
        <v>0</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0</v>
      </c>
      <c r="O56" s="22">
        <f ca="1">(SUMIF(Table14[Party],B56,Table14[Credit]))</f>
        <v>0</v>
      </c>
      <c r="P56" s="37">
        <f t="shared" ref="P56:P78" ca="1" si="6">N56-O56</f>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 ca="1">SUMIF(Table14[Party], B57, Table14[Credit])</f>
        <v>0</v>
      </c>
      <c r="P57" s="37">
        <f t="shared" ca="1"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 ca="1">SUMIF(Table14[Party], B58, Table14[Credit])</f>
        <v>0</v>
      </c>
      <c r="P58" s="37">
        <f t="shared" ca="1" si="6"/>
        <v>0</v>
      </c>
      <c r="Q58" s="21">
        <v>12</v>
      </c>
      <c r="R58" s="21">
        <v>12</v>
      </c>
      <c r="U58" s="4" t="s">
        <v>21</v>
      </c>
      <c r="V58" s="5">
        <v>301326.81053401611</v>
      </c>
      <c r="W58" s="18">
        <v>3335711.4118507681</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 ca="1">SUMIF(Table14[Party], B59, Table14[Credit])</f>
        <v>0</v>
      </c>
      <c r="P59" s="37">
        <f t="shared" ca="1" si="6"/>
        <v>0</v>
      </c>
      <c r="Q59" s="21">
        <v>10</v>
      </c>
      <c r="R59" s="21">
        <v>12</v>
      </c>
      <c r="U59" s="4" t="s">
        <v>22</v>
      </c>
      <c r="V59" s="5">
        <v>105662.94806144843</v>
      </c>
      <c r="W59" s="18">
        <v>1267955.3767373813</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(SUMIFS(ledger!J:J,ledger!B:B,_xlpm.party,ledger!E:E,"&lt;&gt;*RD*",ledger!D:D,"Chamki",ledger!C:C,"&lt;&gt;November Closing CF")+
SUMIFS(ledger!J:J,ledger!B:B,_xlpm.party,ledger!E:E,"&lt;&gt;*RD*",ledger!D:D,"Crinkle",ledger!C:C,"&lt;&gt;November Closing CF")
))))</f>
        <v>0</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0</v>
      </c>
      <c r="O60" s="22">
        <f ca="1">SUMIF(Table14[Party], B60, Table14[Credit])</f>
        <v>0</v>
      </c>
      <c r="P60" s="37">
        <f t="shared" ca="1" si="6"/>
        <v>0</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 ca="1">SUMIF(Table14[Party], B61, Table14[Credit])</f>
        <v>0</v>
      </c>
      <c r="P61" s="37">
        <f t="shared" ca="1"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 ca="1">SUMIF(Table14[Party], B62, Table14[Credit])</f>
        <v>0</v>
      </c>
      <c r="P62" s="37">
        <f t="shared" ca="1"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 ca="1">SUMIF(Table14[Party], B63, Table14[Credit])</f>
        <v>0</v>
      </c>
      <c r="P63" s="37">
        <f t="shared" ca="1" si="6"/>
        <v>0</v>
      </c>
      <c r="Q63" s="21">
        <v>10</v>
      </c>
      <c r="R63" s="21">
        <v>12</v>
      </c>
      <c r="U63" s="4" t="s">
        <v>25</v>
      </c>
      <c r="V63" s="5">
        <v>238543.34308705197</v>
      </c>
      <c r="W63" s="18">
        <v>2385433.4308705195</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 ca="1">SUMIF(Table14[Party], B81, Table14[Credit])</f>
        <v>0</v>
      </c>
      <c r="P64" s="37">
        <f t="shared" ca="1" si="6"/>
        <v>0</v>
      </c>
      <c r="Q64" s="21">
        <v>10</v>
      </c>
      <c r="R64" s="21">
        <v>12</v>
      </c>
      <c r="U64" s="4" t="s">
        <v>26</v>
      </c>
      <c r="V64" s="5">
        <v>47108.632040965625</v>
      </c>
      <c r="W64" s="18">
        <v>471086.32040965627</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 ca="1">SUMIF(Table14[Party], B65, Table14[Credit])</f>
        <v>0</v>
      </c>
      <c r="P65" s="37">
        <f t="shared" ca="1" si="6"/>
        <v>0</v>
      </c>
      <c r="Q65" s="21">
        <v>10</v>
      </c>
      <c r="R65" s="21">
        <v>13</v>
      </c>
      <c r="U65" s="4" t="s">
        <v>152</v>
      </c>
      <c r="V65" s="5">
        <v>143660.38771031456</v>
      </c>
      <c r="W65" s="18">
        <v>1436603.8771031457</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 ca="1">SUMIF(Table14[Party], B66, Table14[Credit])</f>
        <v>0</v>
      </c>
      <c r="P66" s="37">
        <f t="shared" ca="1"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 ca="1">SUMIF(Table14[Party], B67, Table14[Credit])</f>
        <v>0</v>
      </c>
      <c r="P67" s="37">
        <f t="shared" ca="1"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 ca="1">SUMIF(Table14[Party], B68, Table14[Credit])</f>
        <v>0</v>
      </c>
      <c r="P68" s="37">
        <f t="shared" ca="1" si="6"/>
        <v>0</v>
      </c>
      <c r="Q68" s="21">
        <v>10</v>
      </c>
      <c r="R68" s="21">
        <v>12</v>
      </c>
      <c r="U68" s="4" t="s">
        <v>27</v>
      </c>
      <c r="V68" s="5">
        <v>64305.047549378207</v>
      </c>
      <c r="W68" s="18">
        <v>643050.47549378208</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 ca="1">SUMIF(Table14[Party], B69, Table14[Credit])</f>
        <v>0</v>
      </c>
      <c r="P69" s="37">
        <f t="shared" ca="1" si="6"/>
        <v>0</v>
      </c>
      <c r="Q69" s="21">
        <v>10</v>
      </c>
      <c r="R69" s="21">
        <v>12</v>
      </c>
      <c r="U69" s="4" t="s">
        <v>166</v>
      </c>
      <c r="V69" s="5">
        <v>68178.493050475503</v>
      </c>
      <c r="W69" s="18">
        <v>789903.07242136076</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 ca="1">SUMIF(Table14[Party], B70, Table14[Credit])</f>
        <v>0</v>
      </c>
      <c r="P70" s="37">
        <f t="shared" ca="1"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 ca="1">SUMIF(Table14[Party], B71, Table14[Credit])</f>
        <v>0</v>
      </c>
      <c r="P71" s="37">
        <f t="shared" ca="1"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 ca="1">SUMIF(Table14[Party], B72, Table14[Credit])</f>
        <v>0</v>
      </c>
      <c r="P72" s="37">
        <f t="shared" ca="1"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 ca="1">SUMIF(Table14[Party], B73, Table14[Credit])</f>
        <v>0</v>
      </c>
      <c r="P73" s="37">
        <f t="shared" ca="1"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 ca="1">SUMIF(Table14[Party], B74, Table14[Credit])</f>
        <v>0</v>
      </c>
      <c r="P74" s="37">
        <f t="shared" ca="1" si="6"/>
        <v>0</v>
      </c>
      <c r="U74" s="4" t="s">
        <v>177</v>
      </c>
      <c r="V74" s="5">
        <v>198235.18653986833</v>
      </c>
      <c r="W74" s="18">
        <v>2378822.2384784198</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 ca="1">SUMIF(Table14[Party], B75, Table14[Credit])</f>
        <v>0</v>
      </c>
      <c r="P75" s="37">
        <f t="shared" ca="1" si="6"/>
        <v>0</v>
      </c>
      <c r="U75" s="4" t="s">
        <v>28</v>
      </c>
      <c r="V75" s="14">
        <v>1360548.6466715438</v>
      </c>
      <c r="W75" s="14">
        <v>14770480.980248719</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 ca="1">SUMIF(Table14[Party], B76, Table14[Credit])</f>
        <v>0</v>
      </c>
      <c r="P76" s="37">
        <f t="shared" ca="1"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 ca="1">SUMIF(Table14[Party], B77, Table14[Credit])</f>
        <v>0</v>
      </c>
      <c r="P77" s="37">
        <f t="shared" ca="1"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 ca="1">SUMIF(Table14[Party], B78, Table14[Credit])</f>
        <v>0</v>
      </c>
      <c r="P78" s="37">
        <f t="shared" ca="1"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249</v>
      </c>
      <c r="J83" s="23" t="s">
        <v>183</v>
      </c>
      <c r="K83" s="117" t="s">
        <v>250</v>
      </c>
      <c r="L83" s="117" t="s">
        <v>251</v>
      </c>
      <c r="M83" s="117" t="s">
        <v>246</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1"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220</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572100</v>
      </c>
      <c r="D4" t="s">
        <v>196</v>
      </c>
    </row>
    <row r="5" spans="1:4" x14ac:dyDescent="0.3">
      <c r="B5" t="s">
        <v>48</v>
      </c>
      <c r="C5" s="11">
        <f>SUM(Table8[Price])+Dyes!P56</f>
        <v>208660</v>
      </c>
    </row>
    <row r="6" spans="1:4" x14ac:dyDescent="0.3">
      <c r="B6" t="s">
        <v>49</v>
      </c>
      <c r="C6" s="11">
        <f>SUM(Table2[Price])+Finish!K30</f>
        <v>106600</v>
      </c>
      <c r="D6" t="s">
        <v>195</v>
      </c>
    </row>
    <row r="7" spans="1:4" x14ac:dyDescent="0.3">
      <c r="B7" t="s">
        <v>50</v>
      </c>
      <c r="C7" s="11">
        <f>SUMIFS(Table14[Debit], Table14[Party],Table12[[#This Row],[Type]])</f>
        <v>0</v>
      </c>
    </row>
    <row r="8" spans="1:4" x14ac:dyDescent="0.3">
      <c r="B8" t="s">
        <v>51</v>
      </c>
      <c r="C8" s="11">
        <f>Electricity!E3</f>
        <v>0</v>
      </c>
    </row>
    <row r="9" spans="1:4" x14ac:dyDescent="0.3">
      <c r="B9" t="s">
        <v>52</v>
      </c>
      <c r="C9" s="11">
        <f>SUMIFS(Table14[Debit], Table14[Party],Table12[[#This Row],[Type]])+SUMIFS(Table14[Debit], Table14[Party],"Advance Salary")</f>
        <v>0</v>
      </c>
    </row>
    <row r="10" spans="1:4" x14ac:dyDescent="0.3">
      <c r="B10" t="s">
        <v>53</v>
      </c>
      <c r="C10" s="11">
        <f>Table5[[#Totals],[Amount]]</f>
        <v>0</v>
      </c>
    </row>
    <row r="11" spans="1:4" x14ac:dyDescent="0.3">
      <c r="B11" t="s">
        <v>54</v>
      </c>
      <c r="C11" s="11">
        <f>Table13[[#Totals],[Debit]]</f>
        <v>0</v>
      </c>
    </row>
    <row r="12" spans="1:4" x14ac:dyDescent="0.3">
      <c r="B12" t="s">
        <v>55</v>
      </c>
      <c r="C12" s="11">
        <f>Table15[[#Totals],[Amount]]</f>
        <v>0</v>
      </c>
    </row>
    <row r="13" spans="1:4" x14ac:dyDescent="0.3">
      <c r="C13" s="11"/>
    </row>
    <row r="14" spans="1:4" x14ac:dyDescent="0.3">
      <c r="C14" s="14">
        <f>SUM(Table12[Amount])</f>
        <v>887360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 ca="1">Billing!C23 + SUMIFS(Table14[Credit], Table14[Party], "Transport")</f>
        <v>0</v>
      </c>
    </row>
    <row r="4" spans="1:3" x14ac:dyDescent="0.3">
      <c r="B4" s="11" t="s">
        <v>44</v>
      </c>
      <c r="C4" s="11">
        <f>Table12[[#Totals],[Amount]]</f>
        <v>887360</v>
      </c>
    </row>
    <row r="5" spans="1:3" x14ac:dyDescent="0.3">
      <c r="A5" s="6"/>
      <c r="B5" s="15" t="s">
        <v>68</v>
      </c>
      <c r="C5" s="15">
        <f ca="1">C3-C4</f>
        <v>-887360</v>
      </c>
    </row>
    <row r="10" spans="1:3" ht="15" thickBot="1" x14ac:dyDescent="0.35">
      <c r="B10" t="s">
        <v>66</v>
      </c>
      <c r="C10" s="14" t="s">
        <v>67</v>
      </c>
    </row>
    <row r="11" spans="1:3" x14ac:dyDescent="0.3">
      <c r="B11" s="56" t="s">
        <v>0</v>
      </c>
      <c r="C11" s="57">
        <f ca="1">C3</f>
        <v>0</v>
      </c>
    </row>
    <row r="12" spans="1:3" x14ac:dyDescent="0.3">
      <c r="B12" s="58" t="s">
        <v>69</v>
      </c>
      <c r="C12" s="59">
        <f ca="1">SUM(Table14[Credit])</f>
        <v>116581</v>
      </c>
    </row>
    <row r="13" spans="1:3" ht="15" thickBot="1" x14ac:dyDescent="0.35">
      <c r="B13" s="74" t="s">
        <v>93</v>
      </c>
      <c r="C13" s="73">
        <f ca="1">(C11-C12)</f>
        <v>-116581</v>
      </c>
    </row>
    <row r="14" spans="1:3" ht="15" thickBot="1" x14ac:dyDescent="0.35">
      <c r="B14" s="58"/>
      <c r="C14" s="59"/>
    </row>
    <row r="15" spans="1:3" x14ac:dyDescent="0.3">
      <c r="B15" s="56" t="s">
        <v>44</v>
      </c>
      <c r="C15" s="57">
        <f>C4</f>
        <v>887360</v>
      </c>
    </row>
    <row r="16" spans="1:3" x14ac:dyDescent="0.3">
      <c r="B16" s="58" t="s">
        <v>70</v>
      </c>
      <c r="C16" s="59">
        <f>SUM(Table14[Debit])</f>
        <v>0</v>
      </c>
    </row>
    <row r="17" spans="2:6" ht="15" thickBot="1" x14ac:dyDescent="0.35">
      <c r="B17" s="74" t="s">
        <v>71</v>
      </c>
      <c r="C17" s="73">
        <f>C15-C16</f>
        <v>887360</v>
      </c>
    </row>
    <row r="18" spans="2:6" ht="15" thickBot="1" x14ac:dyDescent="0.35">
      <c r="B18" s="58"/>
      <c r="C18" s="59"/>
    </row>
    <row r="19" spans="2:6" ht="15" thickBot="1" x14ac:dyDescent="0.35">
      <c r="B19" s="75" t="s">
        <v>72</v>
      </c>
      <c r="C19" s="76">
        <f ca="1">Table18[[#Totals],[amount]]</f>
        <v>116581</v>
      </c>
    </row>
    <row r="20" spans="2:6" ht="15" thickBot="1" x14ac:dyDescent="0.35">
      <c r="B20" s="71"/>
      <c r="C20" s="72"/>
    </row>
    <row r="21" spans="2:6" ht="15" thickBot="1" x14ac:dyDescent="0.35">
      <c r="B21" s="60" t="s">
        <v>73</v>
      </c>
      <c r="C21" s="61">
        <f ca="1">(C13-C17)+C19</f>
        <v>-887360</v>
      </c>
      <c r="E21" s="79" t="s">
        <v>74</v>
      </c>
      <c r="F21" s="80">
        <f ca="1">C5*0.05</f>
        <v>-44368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 ca="1">SUMIFS(Table14[Credit], Table14[Date], Table13[[#This Row],[Date]], Table14[Party], "Transport")</f>
        <v>0</v>
      </c>
    </row>
    <row r="4" spans="2:6" x14ac:dyDescent="0.3">
      <c r="B4" s="1">
        <v>45977</v>
      </c>
      <c r="D4">
        <f>SUMIFS(Table14[Debit], Table14[Date], Table13[[#This Row],[Date]], Table14[Party], "Transport")</f>
        <v>0</v>
      </c>
      <c r="E4">
        <f ca="1">SUMIFS(Table14[Credit], Table14[Date], Table13[[#This Row],[Date]], Table14[Party], "Transport")</f>
        <v>0</v>
      </c>
    </row>
    <row r="5" spans="2:6" x14ac:dyDescent="0.3">
      <c r="B5" s="1">
        <v>45978</v>
      </c>
      <c r="D5">
        <f>SUMIFS(Table14[Debit], Table14[Date], Table13[[#This Row],[Date]], Table14[Party], "Transport")</f>
        <v>0</v>
      </c>
      <c r="E5">
        <f ca="1">SUMIFS(Table14[Credit], Table14[Date], Table13[[#This Row],[Date]], Table14[Party], "Transport")</f>
        <v>0</v>
      </c>
    </row>
    <row r="6" spans="2:6" x14ac:dyDescent="0.3">
      <c r="B6" s="1">
        <v>45979</v>
      </c>
      <c r="D6">
        <f>SUMIFS(Table14[Debit], Table14[Date], Table13[[#This Row],[Date]], Table14[Party], "Transport")</f>
        <v>0</v>
      </c>
      <c r="E6">
        <f ca="1">SUMIFS(Table14[Credit], Table14[Date], Table13[[#This Row],[Date]], Table14[Party], "Transport")</f>
        <v>0</v>
      </c>
    </row>
    <row r="7" spans="2:6" x14ac:dyDescent="0.3">
      <c r="B7" s="1">
        <v>45980</v>
      </c>
      <c r="D7">
        <f>SUMIFS(Table14[Debit], Table14[Date], Table13[[#This Row],[Date]], Table14[Party], "Transport")</f>
        <v>0</v>
      </c>
      <c r="E7">
        <f ca="1">SUMIFS(Table14[Credit], Table14[Date], Table13[[#This Row],[Date]], Table14[Party], "Transport")</f>
        <v>0</v>
      </c>
    </row>
    <row r="8" spans="2:6" x14ac:dyDescent="0.3">
      <c r="B8" s="1">
        <v>45981</v>
      </c>
      <c r="D8">
        <f>SUMIFS(Table14[Debit], Table14[Date], Table13[[#This Row],[Date]], Table14[Party], "Transport")</f>
        <v>0</v>
      </c>
      <c r="E8">
        <f ca="1">SUMIFS(Table14[Credit], Table14[Date], Table13[[#This Row],[Date]], Table14[Party], "Transport")</f>
        <v>0</v>
      </c>
    </row>
    <row r="9" spans="2:6" x14ac:dyDescent="0.3">
      <c r="B9" s="1">
        <v>45982</v>
      </c>
      <c r="D9">
        <f>SUMIFS(Table14[Debit], Table14[Date], Table13[[#This Row],[Date]], Table14[Party], "Transport")</f>
        <v>0</v>
      </c>
      <c r="E9">
        <f ca="1">SUMIFS(Table14[Credit], Table14[Date], Table13[[#This Row],[Date]], Table14[Party], "Transport")</f>
        <v>0</v>
      </c>
    </row>
    <row r="10" spans="2:6" x14ac:dyDescent="0.3">
      <c r="B10" s="1">
        <v>45983</v>
      </c>
      <c r="D10">
        <f>SUMIFS(Table14[Debit], Table14[Date], Table13[[#This Row],[Date]], Table14[Party], "Transport")</f>
        <v>0</v>
      </c>
      <c r="E10">
        <f ca="1">SUMIFS(Table14[Credit], Table14[Date], Table13[[#This Row],[Date]], Table14[Party], "Transport")</f>
        <v>0</v>
      </c>
    </row>
    <row r="11" spans="2:6" x14ac:dyDescent="0.3">
      <c r="B11" s="1">
        <v>45984</v>
      </c>
      <c r="D11">
        <f>SUMIFS(Table14[Debit], Table14[Date], Table13[[#This Row],[Date]], Table14[Party], "Transport")</f>
        <v>0</v>
      </c>
      <c r="E11">
        <f ca="1">SUMIFS(Table14[Credit], Table14[Date], Table13[[#This Row],[Date]], Table14[Party], "Transport")</f>
        <v>0</v>
      </c>
    </row>
    <row r="12" spans="2:6" x14ac:dyDescent="0.3">
      <c r="B12" s="1">
        <v>45985</v>
      </c>
      <c r="D12">
        <f>SUMIFS(Table14[Debit], Table14[Date], Table13[[#This Row],[Date]], Table14[Party], "Transport")</f>
        <v>0</v>
      </c>
      <c r="E12">
        <f ca="1">SUMIFS(Table14[Credit], Table14[Date], Table13[[#This Row],[Date]], Table14[Party], "Transport")</f>
        <v>0</v>
      </c>
    </row>
    <row r="13" spans="2:6" x14ac:dyDescent="0.3">
      <c r="B13" s="1">
        <v>45986</v>
      </c>
      <c r="D13">
        <f>SUMIFS(Table14[Debit], Table14[Date], Table13[[#This Row],[Date]], Table14[Party], "Transport")</f>
        <v>0</v>
      </c>
      <c r="E13">
        <f ca="1">SUMIFS(Table14[Credit], Table14[Date], Table13[[#This Row],[Date]], Table14[Party], "Transport")</f>
        <v>0</v>
      </c>
    </row>
    <row r="14" spans="2:6" x14ac:dyDescent="0.3">
      <c r="B14" s="1">
        <v>45987</v>
      </c>
      <c r="D14">
        <f>SUMIFS(Table14[Debit], Table14[Date], Table13[[#This Row],[Date]], Table14[Party], "Transport")</f>
        <v>0</v>
      </c>
      <c r="E14">
        <f ca="1">SUMIFS(Table14[Credit], Table14[Date], Table13[[#This Row],[Date]], Table14[Party], "Transport")</f>
        <v>0</v>
      </c>
    </row>
    <row r="15" spans="2:6" x14ac:dyDescent="0.3">
      <c r="B15" s="1">
        <v>45988</v>
      </c>
      <c r="D15">
        <f>SUMIFS(Table14[Debit], Table14[Date], Table13[[#This Row],[Date]], Table14[Party], "Transport")</f>
        <v>0</v>
      </c>
      <c r="E15">
        <f ca="1">SUMIFS(Table14[Credit], Table14[Date], Table13[[#This Row],[Date]], Table14[Party], "Transport")</f>
        <v>0</v>
      </c>
    </row>
    <row r="16" spans="2:6" x14ac:dyDescent="0.3">
      <c r="B16" s="1">
        <v>45989</v>
      </c>
      <c r="D16">
        <f>SUMIFS(Table14[Debit], Table14[Date], Table13[[#This Row],[Date]], Table14[Party], "Transport")</f>
        <v>0</v>
      </c>
      <c r="E16">
        <f ca="1">SUMIFS(Table14[Credit], Table14[Date], Table13[[#This Row],[Date]], Table14[Party], "Transport")</f>
        <v>0</v>
      </c>
    </row>
    <row r="17" spans="2:5" x14ac:dyDescent="0.3">
      <c r="B17" s="1">
        <v>45990</v>
      </c>
      <c r="D17">
        <f>SUMIFS(Table14[Debit], Table14[Date], Table13[[#This Row],[Date]], Table14[Party], "Transport")</f>
        <v>0</v>
      </c>
      <c r="E17">
        <f ca="1">SUMIFS(Table14[Credit], Table14[Date], Table13[[#This Row],[Date]], Table14[Party], "Transport")</f>
        <v>0</v>
      </c>
    </row>
    <row r="18" spans="2:5" x14ac:dyDescent="0.3">
      <c r="B18" s="1">
        <v>45991</v>
      </c>
      <c r="D18">
        <f>SUMIFS(Table14[Debit], Table14[Date], Table13[[#This Row],[Date]], Table14[Party], "Transport")</f>
        <v>0</v>
      </c>
      <c r="E18">
        <f ca="1">SUMIFS(Table14[Credit], Table14[Date], Table13[[#This Row],[Date]], Table14[Party], "Transport")</f>
        <v>0</v>
      </c>
    </row>
    <row r="19" spans="2:5" x14ac:dyDescent="0.3">
      <c r="B19" s="1">
        <v>45992</v>
      </c>
      <c r="D19">
        <f>SUMIFS(Table14[Debit], Table14[Date], Table13[[#This Row],[Date]], Table14[Party], "Transport")</f>
        <v>0</v>
      </c>
      <c r="E19">
        <f ca="1">SUMIFS(Table14[Credit], Table14[Date], Table13[[#This Row],[Date]], Table14[Party], "Transport")</f>
        <v>0</v>
      </c>
    </row>
    <row r="20" spans="2:5" x14ac:dyDescent="0.3">
      <c r="B20" s="1">
        <v>45993</v>
      </c>
      <c r="D20">
        <f>SUMIFS(Table14[Debit], Table14[Date], Table13[[#This Row],[Date]], Table14[Party], "Transport")</f>
        <v>0</v>
      </c>
      <c r="E20">
        <f ca="1">SUMIFS(Table14[Credit], Table14[Date], Table13[[#This Row],[Date]], Table14[Party], "Transport")</f>
        <v>0</v>
      </c>
    </row>
    <row r="21" spans="2:5" x14ac:dyDescent="0.3">
      <c r="B21" s="1">
        <v>45994</v>
      </c>
      <c r="D21">
        <f>SUMIFS(Table14[Debit], Table14[Date], Table13[[#This Row],[Date]], Table14[Party], "Transport")</f>
        <v>0</v>
      </c>
      <c r="E21">
        <f ca="1">SUMIFS(Table14[Credit], Table14[Date], Table13[[#This Row],[Date]], Table14[Party], "Transport")</f>
        <v>0</v>
      </c>
    </row>
    <row r="22" spans="2:5" x14ac:dyDescent="0.3">
      <c r="B22" s="1">
        <v>45995</v>
      </c>
      <c r="D22">
        <f>SUMIFS(Table14[Debit], Table14[Date], Table13[[#This Row],[Date]], Table14[Party], "Transport")</f>
        <v>0</v>
      </c>
      <c r="E22">
        <f ca="1">SUMIFS(Table14[Credit], Table14[Date], Table13[[#This Row],[Date]], Table14[Party], "Transport")</f>
        <v>0</v>
      </c>
    </row>
    <row r="23" spans="2:5" x14ac:dyDescent="0.3">
      <c r="B23" s="1">
        <v>45996</v>
      </c>
      <c r="D23">
        <f>SUMIFS(Table14[Debit], Table14[Date], Table13[[#This Row],[Date]], Table14[Party], "Transport")</f>
        <v>0</v>
      </c>
      <c r="E23">
        <f ca="1">SUMIFS(Table14[Credit], Table14[Date], Table13[[#This Row],[Date]], Table14[Party], "Transport")</f>
        <v>0</v>
      </c>
    </row>
    <row r="24" spans="2:5" x14ac:dyDescent="0.3">
      <c r="B24" s="1">
        <v>45997</v>
      </c>
      <c r="D24">
        <f>SUMIFS(Table14[Debit], Table14[Date], Table13[[#This Row],[Date]], Table14[Party], "Transport")</f>
        <v>0</v>
      </c>
      <c r="E24">
        <f ca="1">SUMIFS(Table14[Credit], Table14[Date], Table13[[#This Row],[Date]], Table14[Party], "Transport")</f>
        <v>0</v>
      </c>
    </row>
    <row r="25" spans="2:5" x14ac:dyDescent="0.3">
      <c r="B25" s="1">
        <v>45998</v>
      </c>
      <c r="D25">
        <f>SUMIFS(Table14[Debit], Table14[Date], Table13[[#This Row],[Date]], Table14[Party], "Transport")</f>
        <v>0</v>
      </c>
      <c r="E25">
        <f ca="1">SUMIFS(Table14[Credit], Table14[Date], Table13[[#This Row],[Date]], Table14[Party], "Transport")</f>
        <v>0</v>
      </c>
    </row>
    <row r="26" spans="2:5" x14ac:dyDescent="0.3">
      <c r="B26" s="1">
        <v>45999</v>
      </c>
      <c r="D26">
        <f>SUMIFS(Table14[Debit], Table14[Date], Table13[[#This Row],[Date]], Table14[Party], "Transport")</f>
        <v>0</v>
      </c>
      <c r="E26">
        <f ca="1">SUMIFS(Table14[Credit], Table14[Date], Table13[[#This Row],[Date]], Table14[Party], "Transport")</f>
        <v>0</v>
      </c>
    </row>
    <row r="27" spans="2:5" x14ac:dyDescent="0.3">
      <c r="B27" s="1">
        <v>46000</v>
      </c>
      <c r="D27">
        <f>SUMIFS(Table14[Debit], Table14[Date], Table13[[#This Row],[Date]], Table14[Party], "Transport")</f>
        <v>0</v>
      </c>
      <c r="E27">
        <f ca="1">SUMIFS(Table14[Credit], Table14[Date], Table13[[#This Row],[Date]], Table14[Party], "Transport")</f>
        <v>0</v>
      </c>
    </row>
    <row r="28" spans="2:5" x14ac:dyDescent="0.3">
      <c r="B28" s="1">
        <v>46001</v>
      </c>
      <c r="D28">
        <f>SUMIFS(Table14[Debit], Table14[Date], Table13[[#This Row],[Date]], Table14[Party], "Transport")</f>
        <v>0</v>
      </c>
      <c r="E28">
        <f ca="1">SUMIFS(Table14[Credit], Table14[Date], Table13[[#This Row],[Date]], Table14[Party], "Transport")</f>
        <v>0</v>
      </c>
    </row>
    <row r="29" spans="2:5" x14ac:dyDescent="0.3">
      <c r="B29" s="1">
        <v>46002</v>
      </c>
      <c r="D29">
        <f>SUMIFS(Table14[Debit], Table14[Date], Table13[[#This Row],[Date]], Table14[Party], "Transport")</f>
        <v>0</v>
      </c>
      <c r="E29">
        <f ca="1">SUMIFS(Table14[Credit], Table14[Date], Table13[[#This Row],[Date]], Table14[Party], "Transport")</f>
        <v>0</v>
      </c>
    </row>
    <row r="30" spans="2:5" x14ac:dyDescent="0.3">
      <c r="B30" s="1">
        <v>46003</v>
      </c>
      <c r="D30">
        <f>SUMIFS(Table14[Debit], Table14[Date], Table13[[#This Row],[Date]], Table14[Party], "Transport")</f>
        <v>0</v>
      </c>
      <c r="E30">
        <f ca="1">SUMIFS(Table14[Credit], Table14[Date], Table13[[#This Row],[Date]], Table14[Party], "Transport")</f>
        <v>0</v>
      </c>
    </row>
    <row r="31" spans="2:5" x14ac:dyDescent="0.3">
      <c r="B31" s="1">
        <v>46004</v>
      </c>
      <c r="D31">
        <f>SUMIFS(Table14[Debit], Table14[Date], Table13[[#This Row],[Date]], Table14[Party], "Transport")</f>
        <v>0</v>
      </c>
      <c r="E31">
        <f ca="1">SUMIFS(Table14[Credit], Table14[Date], Table13[[#This Row],[Date]], Table14[Party], "Transport")</f>
        <v>0</v>
      </c>
    </row>
    <row r="32" spans="2:5" x14ac:dyDescent="0.3">
      <c r="B32" s="1">
        <v>46005</v>
      </c>
      <c r="D32">
        <f>SUMIFS(Table14[Debit], Table14[Date], Table13[[#This Row],[Date]], Table14[Party], "Transport")</f>
        <v>0</v>
      </c>
      <c r="E32">
        <f ca="1">SUMIFS(Table14[Credit], Table14[Date], Table13[[#This Row],[Date]], Table14[Party], "Transport")</f>
        <v>0</v>
      </c>
    </row>
    <row r="33" spans="2:6" x14ac:dyDescent="0.3">
      <c r="B33" s="1">
        <v>46006</v>
      </c>
      <c r="D33">
        <f>SUMIFS(Table14[Debit], Table14[Date], Table13[[#This Row],[Date]], Table14[Party], "Transport")</f>
        <v>0</v>
      </c>
      <c r="E33">
        <f ca="1">SUMIFS(Table14[Credit], Table14[Date], Table13[[#This Row],[Date]], Table14[Party], "Transport")</f>
        <v>0</v>
      </c>
    </row>
    <row r="34" spans="2:6" x14ac:dyDescent="0.3">
      <c r="B34" s="1">
        <v>46007</v>
      </c>
      <c r="D34">
        <f>SUMIFS(Table14[Debit], Table14[Date], Table13[[#This Row],[Date]], Table14[Party], "Transport")</f>
        <v>0</v>
      </c>
      <c r="E34">
        <f ca="1">SUMIFS(Table14[Credit], Table14[Date], Table13[[#This Row],[Date]], Table14[Party], "Transport")</f>
        <v>0</v>
      </c>
    </row>
    <row r="35" spans="2:6" x14ac:dyDescent="0.3">
      <c r="B35" s="1">
        <v>46008</v>
      </c>
      <c r="D35">
        <f>SUMIFS(Table14[Debit], Table14[Date], Table13[[#This Row],[Date]], Table14[Party], "Transport")</f>
        <v>0</v>
      </c>
      <c r="E35">
        <f ca="1">SUMIFS(Table14[Credit], Table14[Date], Table13[[#This Row],[Date]], Table14[Party], "Transport")</f>
        <v>0</v>
      </c>
    </row>
    <row r="36" spans="2:6" x14ac:dyDescent="0.3">
      <c r="B36" s="1">
        <v>46009</v>
      </c>
      <c r="D36">
        <f>SUMIFS(Table14[Debit], Table14[Date], Table13[[#This Row],[Date]], Table14[Party], "Transport")</f>
        <v>0</v>
      </c>
      <c r="E36">
        <f ca="1">SUMIFS(Table14[Credit], Table14[Date], Table13[[#This Row],[Date]], Table14[Party], "Transport")</f>
        <v>0</v>
      </c>
    </row>
    <row r="37" spans="2:6" x14ac:dyDescent="0.3">
      <c r="B37" s="1">
        <v>46010</v>
      </c>
      <c r="D37">
        <f>SUMIFS(Table14[Debit], Table14[Date], Table13[[#This Row],[Date]], Table14[Party], "Transport")</f>
        <v>0</v>
      </c>
      <c r="E37">
        <f ca="1">SUMIFS(Table14[Credit], Table14[Date], Table13[[#This Row],[Date]], Table14[Party], "Transport")</f>
        <v>0</v>
      </c>
    </row>
    <row r="38" spans="2:6" x14ac:dyDescent="0.3">
      <c r="B38" s="1"/>
      <c r="D38">
        <f>SUBTOTAL(109,Table13[Debit])</f>
        <v>0</v>
      </c>
      <c r="E38">
        <f ca="1">SUBTOTAL(109,Table13[Credit])</f>
        <v>0</v>
      </c>
      <c r="F38">
        <f ca="1">Table13[[#Totals],[Debit]]-Table13[[#Totals],[Credit]]</f>
        <v>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zoomScale="91" zoomScaleNormal="82" workbookViewId="0">
      <selection activeCell="E67" sqref="E6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247</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247</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247</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247</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247</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247</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247</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247</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247</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247</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247</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247</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247</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247</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247</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247</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177</v>
      </c>
      <c r="C18" s="108" t="s">
        <v>247</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180</v>
      </c>
      <c r="C19" s="108" t="s">
        <v>247</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181</v>
      </c>
      <c r="C20" s="108" t="s">
        <v>247</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186</v>
      </c>
      <c r="C21" s="108" t="s">
        <v>247</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202</v>
      </c>
      <c r="C22" s="108" t="s">
        <v>247</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216</v>
      </c>
      <c r="C23" s="108" t="s">
        <v>247</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215</v>
      </c>
      <c r="C24" s="108" t="s">
        <v>247</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225</v>
      </c>
      <c r="C25" s="108" t="s">
        <v>247</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240</v>
      </c>
      <c r="C26" s="108" t="s">
        <v>247</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23" t="s">
        <v>244</v>
      </c>
      <c r="C27" s="108" t="s">
        <v>247</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4">
        <v>45979</v>
      </c>
      <c r="B28" s="81" t="s">
        <v>21</v>
      </c>
      <c r="C28" s="115" t="s">
        <v>247</v>
      </c>
      <c r="D28" s="115" t="s">
        <v>86</v>
      </c>
      <c r="E28" s="13"/>
      <c r="F28" s="13"/>
      <c r="G28" s="13"/>
      <c r="H28" s="116" t="e">
        <f>_xlfn.XLOOKUP(Table1[[#This Row],[Shipment Number]], 'pivot '!A:A,'pivot '!G:G, "NF")</f>
        <v>#DIV/0!</v>
      </c>
      <c r="I28" s="116">
        <f>_xlfn.XLOOKUP(Table1[[#This Row],[Party Name]],
[1]Billing!$Q$5:$Q$40,
[1]Billing!$U$5:$U$40)</f>
        <v>282468.91002194589</v>
      </c>
      <c r="J28" s="116">
        <f>_xlfn.XLOOKUP(Table1[[#This Row],[Party Name]],
[1]Billing!$Q$5:$Q$40,
[1]Billing!$W$5:$W$40)</f>
        <v>3583739.941477689</v>
      </c>
      <c r="K28" s="115"/>
      <c r="P28"/>
      <c r="Q28"/>
      <c r="R28"/>
      <c r="S28"/>
      <c r="T28"/>
      <c r="U28"/>
      <c r="V28"/>
      <c r="W28"/>
      <c r="X28"/>
      <c r="Y28"/>
    </row>
    <row r="29" spans="1:25" x14ac:dyDescent="0.3">
      <c r="A29" s="107">
        <v>45979</v>
      </c>
      <c r="B29" s="81" t="s">
        <v>22</v>
      </c>
      <c r="C29" s="108" t="s">
        <v>247</v>
      </c>
      <c r="D29" s="108" t="s">
        <v>86</v>
      </c>
      <c r="E29" s="37"/>
      <c r="F29" s="37"/>
      <c r="G29" s="37"/>
      <c r="H29" s="110" t="e">
        <f>_xlfn.XLOOKUP(Table1[[#This Row],[Shipment Number]], 'pivot '!A:A,'pivot '!G:G, "NF")</f>
        <v>#DIV/0!</v>
      </c>
      <c r="I29" s="116">
        <f>_xlfn.XLOOKUP(Table1[[#This Row],[Party Name]],
[1]Billing!$Q$5:$Q$40,
[1]Billing!$U$5:$U$40)</f>
        <v>211578.27359180688</v>
      </c>
      <c r="J29" s="116">
        <f>_xlfn.XLOOKUP(Table1[[#This Row],[Party Name]],
[1]Billing!$Q$5:$Q$40,
[1]Billing!$W$5:$W$40)</f>
        <v>2691373.4455010975</v>
      </c>
      <c r="K29" s="108"/>
      <c r="P29"/>
      <c r="Q29"/>
      <c r="R29"/>
      <c r="S29"/>
      <c r="T29"/>
      <c r="U29"/>
      <c r="V29"/>
      <c r="W29"/>
      <c r="X29"/>
      <c r="Y29"/>
    </row>
    <row r="30" spans="1:25" x14ac:dyDescent="0.3">
      <c r="A30" s="107">
        <v>45979</v>
      </c>
      <c r="B30" s="81" t="s">
        <v>9</v>
      </c>
      <c r="C30" s="108" t="s">
        <v>247</v>
      </c>
      <c r="D30" s="115" t="s">
        <v>86</v>
      </c>
      <c r="E30" s="37"/>
      <c r="F30" s="37"/>
      <c r="G30" s="37"/>
      <c r="H30" s="110" t="e">
        <f>_xlfn.XLOOKUP(Table1[[#This Row],[Shipment Number]], 'pivot '!A:A,'pivot '!G:G, "NF")</f>
        <v>#DIV/0!</v>
      </c>
      <c r="I30" s="116">
        <f>_xlfn.XLOOKUP(Table1[[#This Row],[Party Name]],
[1]Billing!$Q$5:$Q$40,
[1]Billing!$U$5:$U$40)</f>
        <v>78112.65544989027</v>
      </c>
      <c r="J30" s="116">
        <f>_xlfn.XLOOKUP(Table1[[#This Row],[Party Name]],
[1]Billing!$Q$5:$Q$40,
[1]Billing!$W$5:$W$40)</f>
        <v>1000670.2633504025</v>
      </c>
      <c r="K30" s="108"/>
      <c r="P30"/>
      <c r="Q30"/>
      <c r="R30"/>
      <c r="S30"/>
      <c r="T30"/>
      <c r="U30"/>
      <c r="V30"/>
      <c r="W30"/>
      <c r="X30"/>
      <c r="Y30"/>
    </row>
    <row r="31" spans="1:25" x14ac:dyDescent="0.3">
      <c r="A31" s="107">
        <v>45979</v>
      </c>
      <c r="B31" s="81" t="s">
        <v>23</v>
      </c>
      <c r="C31" s="108" t="s">
        <v>247</v>
      </c>
      <c r="D31" s="108" t="s">
        <v>86</v>
      </c>
      <c r="E31" s="37"/>
      <c r="F31" s="37"/>
      <c r="G31" s="37"/>
      <c r="H31" s="110" t="e">
        <f>_xlfn.XLOOKUP(Table1[[#This Row],[Shipment Number]], 'pivot '!A:A,'pivot '!G:G, "NF")</f>
        <v>#DIV/0!</v>
      </c>
      <c r="I31" s="116">
        <f>_xlfn.XLOOKUP(Table1[[#This Row],[Party Name]],
[1]Billing!$Q$5:$Q$40,
[1]Billing!$U$5:$U$40)</f>
        <v>0</v>
      </c>
      <c r="J31" s="116">
        <f>_xlfn.XLOOKUP(Table1[[#This Row],[Party Name]],
[1]Billing!$Q$5:$Q$40,
[1]Billing!$W$5:$W$40)</f>
        <v>0</v>
      </c>
      <c r="K31" s="108"/>
      <c r="P31"/>
      <c r="Q31"/>
      <c r="R31"/>
      <c r="S31"/>
      <c r="T31"/>
      <c r="U31"/>
      <c r="V31"/>
      <c r="W31"/>
      <c r="X31"/>
      <c r="Y31"/>
    </row>
    <row r="32" spans="1:25" x14ac:dyDescent="0.3">
      <c r="A32" s="107">
        <v>45979</v>
      </c>
      <c r="B32" s="81" t="s">
        <v>24</v>
      </c>
      <c r="C32" s="108" t="s">
        <v>247</v>
      </c>
      <c r="D32" s="115" t="s">
        <v>86</v>
      </c>
      <c r="E32" s="37"/>
      <c r="F32" s="37"/>
      <c r="G32" s="37"/>
      <c r="H32" s="110" t="e">
        <f>_xlfn.XLOOKUP(Table1[[#This Row],[Shipment Number]], 'pivot '!A:A,'pivot '!G:G, "NF")</f>
        <v>#DIV/0!</v>
      </c>
      <c r="I32" s="116">
        <f>_xlfn.XLOOKUP(Table1[[#This Row],[Party Name]],
[1]Billing!$Q$5:$Q$40,
[1]Billing!$U$5:$U$40)</f>
        <v>485823.88441843458</v>
      </c>
      <c r="J32" s="116">
        <f>_xlfn.XLOOKUP(Table1[[#This Row],[Party Name]],
[1]Billing!$Q$5:$Q$40,
[1]Billing!$W$5:$W$40)</f>
        <v>5829886.6130212145</v>
      </c>
      <c r="K32" s="108"/>
      <c r="P32"/>
      <c r="Q32"/>
      <c r="R32"/>
      <c r="S32"/>
      <c r="T32"/>
      <c r="U32"/>
      <c r="V32"/>
      <c r="W32"/>
      <c r="X32"/>
      <c r="Y32"/>
    </row>
    <row r="33" spans="1:25" x14ac:dyDescent="0.3">
      <c r="A33" s="107">
        <v>45979</v>
      </c>
      <c r="B33" s="81" t="s">
        <v>25</v>
      </c>
      <c r="C33" s="108" t="s">
        <v>247</v>
      </c>
      <c r="D33" s="108" t="s">
        <v>86</v>
      </c>
      <c r="E33" s="37"/>
      <c r="F33" s="37"/>
      <c r="G33" s="37"/>
      <c r="H33" s="110" t="e">
        <f>_xlfn.XLOOKUP(Table1[[#This Row],[Shipment Number]], 'pivot '!A:A,'pivot '!G:G, "NF")</f>
        <v>#DIV/0!</v>
      </c>
      <c r="I33" s="116">
        <f>_xlfn.XLOOKUP(Table1[[#This Row],[Party Name]],
[1]Billing!$Q$5:$Q$40,
[1]Billing!$U$5:$U$40)</f>
        <v>0</v>
      </c>
      <c r="J33" s="116">
        <f>_xlfn.XLOOKUP(Table1[[#This Row],[Party Name]],
[1]Billing!$Q$5:$Q$40,
[1]Billing!$W$5:$W$40)</f>
        <v>0</v>
      </c>
      <c r="K33" s="108"/>
      <c r="P33"/>
      <c r="Q33"/>
      <c r="R33"/>
      <c r="S33"/>
      <c r="T33"/>
      <c r="U33"/>
      <c r="V33"/>
      <c r="W33"/>
      <c r="X33"/>
      <c r="Y33"/>
    </row>
    <row r="34" spans="1:25" x14ac:dyDescent="0.3">
      <c r="A34" s="107">
        <v>45979</v>
      </c>
      <c r="B34" s="81" t="s">
        <v>26</v>
      </c>
      <c r="C34" s="108" t="s">
        <v>247</v>
      </c>
      <c r="D34" s="115" t="s">
        <v>86</v>
      </c>
      <c r="E34" s="37"/>
      <c r="F34" s="37"/>
      <c r="G34" s="37"/>
      <c r="H34" s="110" t="e">
        <f>_xlfn.XLOOKUP(Table1[[#This Row],[Shipment Number]], 'pivot '!A:A,'pivot '!G:G, "NF")</f>
        <v>#DIV/0!</v>
      </c>
      <c r="I34" s="116">
        <f>_xlfn.XLOOKUP(Table1[[#This Row],[Party Name]],
[1]Billing!$Q$5:$Q$40,
[1]Billing!$U$5:$U$40)</f>
        <v>0</v>
      </c>
      <c r="J34" s="116">
        <f>_xlfn.XLOOKUP(Table1[[#This Row],[Party Name]],
[1]Billing!$Q$5:$Q$40,
[1]Billing!$W$5:$W$40)</f>
        <v>0</v>
      </c>
      <c r="K34" s="108"/>
      <c r="P34"/>
      <c r="Q34"/>
      <c r="R34"/>
      <c r="S34"/>
      <c r="T34"/>
      <c r="U34"/>
      <c r="V34"/>
      <c r="W34"/>
      <c r="X34"/>
      <c r="Y34"/>
    </row>
    <row r="35" spans="1:25" x14ac:dyDescent="0.3">
      <c r="A35" s="107">
        <v>45979</v>
      </c>
      <c r="B35" s="81" t="s">
        <v>152</v>
      </c>
      <c r="C35" s="108" t="s">
        <v>247</v>
      </c>
      <c r="D35" s="108" t="s">
        <v>86</v>
      </c>
      <c r="E35" s="37"/>
      <c r="F35" s="37"/>
      <c r="G35" s="37"/>
      <c r="H35" s="110" t="e">
        <f>_xlfn.XLOOKUP(Table1[[#This Row],[Shipment Number]], 'pivot '!A:A,'pivot '!G:G, "NF")</f>
        <v>#DIV/0!</v>
      </c>
      <c r="I35" s="116">
        <f>_xlfn.XLOOKUP(Table1[[#This Row],[Party Name]],
[1]Billing!$Q$5:$Q$40,
[1]Billing!$U$5:$U$40)</f>
        <v>25188.368690563279</v>
      </c>
      <c r="J35" s="116">
        <f>_xlfn.XLOOKUP(Table1[[#This Row],[Party Name]],
[1]Billing!$Q$5:$Q$40,
[1]Billing!$W$5:$W$40)</f>
        <v>327448.79297732259</v>
      </c>
      <c r="K35" s="108"/>
      <c r="P35"/>
      <c r="Q35"/>
      <c r="R35"/>
      <c r="S35"/>
      <c r="T35"/>
      <c r="U35"/>
      <c r="V35"/>
      <c r="W35"/>
      <c r="X35"/>
      <c r="Y35"/>
    </row>
    <row r="36" spans="1:25" x14ac:dyDescent="0.3">
      <c r="A36" s="107">
        <v>45979</v>
      </c>
      <c r="B36" s="81" t="s">
        <v>35</v>
      </c>
      <c r="C36" s="108" t="s">
        <v>247</v>
      </c>
      <c r="D36" s="115" t="s">
        <v>86</v>
      </c>
      <c r="E36" s="37"/>
      <c r="F36" s="37"/>
      <c r="G36" s="37"/>
      <c r="H36" s="110" t="e">
        <f>_xlfn.XLOOKUP(Table1[[#This Row],[Shipment Number]], 'pivot '!A:A,'pivot '!G:G, "NF")</f>
        <v>#DIV/0!</v>
      </c>
      <c r="I36" s="116">
        <f>_xlfn.XLOOKUP(Table1[[#This Row],[Party Name]],
[1]Billing!$Q$5:$Q$40,
[1]Billing!$U$5:$U$40)</f>
        <v>14995.427944403806</v>
      </c>
      <c r="J36" s="116">
        <f>_xlfn.XLOOKUP(Table1[[#This Row],[Party Name]],
[1]Billing!$Q$5:$Q$40,
[1]Billing!$W$5:$W$40)</f>
        <v>179945.13533284568</v>
      </c>
      <c r="K36" s="108"/>
      <c r="P36"/>
      <c r="Q36"/>
      <c r="R36"/>
      <c r="S36"/>
      <c r="T36"/>
      <c r="U36"/>
      <c r="V36"/>
      <c r="W36"/>
      <c r="X36"/>
      <c r="Y36"/>
    </row>
    <row r="37" spans="1:25" x14ac:dyDescent="0.3">
      <c r="A37" s="107">
        <v>45979</v>
      </c>
      <c r="B37" s="81" t="s">
        <v>148</v>
      </c>
      <c r="C37" s="108" t="s">
        <v>247</v>
      </c>
      <c r="D37" s="108" t="s">
        <v>86</v>
      </c>
      <c r="E37" s="37"/>
      <c r="F37" s="37"/>
      <c r="G37" s="37"/>
      <c r="H37" s="110" t="e">
        <f>_xlfn.XLOOKUP(Table1[[#This Row],[Shipment Number]], 'pivot '!A:A,'pivot '!G:G, "NF")</f>
        <v>#DIV/0!</v>
      </c>
      <c r="I37" s="116">
        <f>_xlfn.XLOOKUP(Table1[[#This Row],[Party Name]],
[1]Billing!$Q$5:$Q$40,
[1]Billing!$U$5:$U$40)</f>
        <v>0</v>
      </c>
      <c r="J37" s="116">
        <f>_xlfn.XLOOKUP(Table1[[#This Row],[Party Name]],
[1]Billing!$Q$5:$Q$40,
[1]Billing!$W$5:$W$40)</f>
        <v>0</v>
      </c>
      <c r="K37" s="108"/>
      <c r="P37"/>
      <c r="Q37"/>
      <c r="R37"/>
      <c r="S37"/>
      <c r="T37"/>
      <c r="U37"/>
      <c r="V37"/>
      <c r="W37"/>
      <c r="X37"/>
      <c r="Y37"/>
    </row>
    <row r="38" spans="1:25" x14ac:dyDescent="0.3">
      <c r="A38" s="107">
        <v>45979</v>
      </c>
      <c r="B38" s="81" t="s">
        <v>27</v>
      </c>
      <c r="C38" s="108" t="s">
        <v>247</v>
      </c>
      <c r="D38" s="115" t="s">
        <v>86</v>
      </c>
      <c r="E38" s="37"/>
      <c r="F38" s="37"/>
      <c r="G38" s="37"/>
      <c r="H38" s="110" t="e">
        <f>_xlfn.XLOOKUP(Table1[[#This Row],[Shipment Number]], 'pivot '!A:A,'pivot '!G:G, "NF")</f>
        <v>#DIV/0!</v>
      </c>
      <c r="I38" s="116">
        <f>_xlfn.XLOOKUP(Table1[[#This Row],[Party Name]],
[1]Billing!$Q$5:$Q$40,
[1]Billing!$U$5:$U$40)</f>
        <v>0</v>
      </c>
      <c r="J38" s="116">
        <f>_xlfn.XLOOKUP(Table1[[#This Row],[Party Name]],
[1]Billing!$Q$5:$Q$40,
[1]Billing!$W$5:$W$40)</f>
        <v>0</v>
      </c>
      <c r="K38" s="108"/>
      <c r="P38"/>
      <c r="Q38"/>
      <c r="R38"/>
      <c r="S38"/>
      <c r="T38"/>
      <c r="U38"/>
      <c r="V38"/>
      <c r="W38"/>
      <c r="X38"/>
      <c r="Y38"/>
    </row>
    <row r="39" spans="1:25" x14ac:dyDescent="0.3">
      <c r="A39" s="107">
        <v>45979</v>
      </c>
      <c r="B39" s="81" t="s">
        <v>166</v>
      </c>
      <c r="C39" s="108" t="s">
        <v>247</v>
      </c>
      <c r="D39" s="108" t="s">
        <v>86</v>
      </c>
      <c r="E39" s="37"/>
      <c r="F39" s="37"/>
      <c r="G39" s="37"/>
      <c r="H39" s="110" t="e">
        <f>_xlfn.XLOOKUP(Table1[[#This Row],[Shipment Number]], 'pivot '!A:A,'pivot '!G:G, "NF")</f>
        <v>#DIV/0!</v>
      </c>
      <c r="I39" s="116">
        <f>_xlfn.XLOOKUP(Table1[[#This Row],[Party Name]],
[1]Billing!$Q$5:$Q$40,
[1]Billing!$U$5:$U$40)</f>
        <v>117213.78931967814</v>
      </c>
      <c r="J39" s="116">
        <f>_xlfn.XLOOKUP(Table1[[#This Row],[Party Name]],
[1]Billing!$Q$5:$Q$40,
[1]Billing!$W$5:$W$40)</f>
        <v>1460624.5427944404</v>
      </c>
      <c r="K39" s="108"/>
      <c r="P39"/>
      <c r="Q39"/>
      <c r="R39"/>
      <c r="S39"/>
      <c r="T39"/>
      <c r="U39"/>
      <c r="V39"/>
      <c r="W39"/>
      <c r="X39"/>
      <c r="Y39"/>
    </row>
    <row r="40" spans="1:25" x14ac:dyDescent="0.3">
      <c r="A40" s="107">
        <v>45979</v>
      </c>
      <c r="B40" s="81" t="s">
        <v>168</v>
      </c>
      <c r="C40" s="108" t="s">
        <v>247</v>
      </c>
      <c r="D40" s="115" t="s">
        <v>86</v>
      </c>
      <c r="E40" s="37"/>
      <c r="F40" s="37"/>
      <c r="G40" s="37"/>
      <c r="H40" s="110" t="e">
        <f>_xlfn.XLOOKUP(Table1[[#This Row],[Shipment Number]], 'pivot '!A:A,'pivot '!G:G, "NF")</f>
        <v>#DIV/0!</v>
      </c>
      <c r="I40" s="116">
        <f>_xlfn.XLOOKUP(Table1[[#This Row],[Party Name]],
[1]Billing!$Q$5:$Q$40,
[1]Billing!$U$5:$U$40)</f>
        <v>0</v>
      </c>
      <c r="J40" s="116">
        <f>_xlfn.XLOOKUP(Table1[[#This Row],[Party Name]],
[1]Billing!$Q$5:$Q$40,
[1]Billing!$W$5:$W$40)</f>
        <v>0</v>
      </c>
      <c r="K40" s="108"/>
      <c r="P40"/>
      <c r="Q40"/>
      <c r="R40"/>
      <c r="S40"/>
      <c r="T40"/>
      <c r="U40"/>
      <c r="V40"/>
      <c r="W40"/>
      <c r="X40"/>
      <c r="Y40"/>
    </row>
    <row r="41" spans="1:25" x14ac:dyDescent="0.3">
      <c r="A41" s="107">
        <v>45979</v>
      </c>
      <c r="B41" s="81" t="s">
        <v>170</v>
      </c>
      <c r="C41" s="108" t="s">
        <v>247</v>
      </c>
      <c r="D41" s="108" t="s">
        <v>86</v>
      </c>
      <c r="E41" s="37"/>
      <c r="F41" s="37"/>
      <c r="G41" s="37"/>
      <c r="H41" s="110" t="e">
        <f>_xlfn.XLOOKUP(Table1[[#This Row],[Shipment Number]], 'pivot '!A:A,'pivot '!G:G, "NF")</f>
        <v>#DIV/0!</v>
      </c>
      <c r="I41" s="116">
        <f>_xlfn.XLOOKUP(Table1[[#This Row],[Party Name]],
[1]Billing!$Q$5:$Q$40,
[1]Billing!$U$5:$U$40)</f>
        <v>0</v>
      </c>
      <c r="J41" s="116">
        <f>_xlfn.XLOOKUP(Table1[[#This Row],[Party Name]],
[1]Billing!$Q$5:$Q$40,
[1]Billing!$W$5:$W$40)</f>
        <v>0</v>
      </c>
      <c r="K41" s="108"/>
      <c r="P41"/>
      <c r="Q41"/>
      <c r="R41"/>
      <c r="S41"/>
      <c r="T41"/>
      <c r="U41"/>
      <c r="V41"/>
      <c r="W41"/>
      <c r="X41"/>
      <c r="Y41"/>
    </row>
    <row r="42" spans="1:25" x14ac:dyDescent="0.3">
      <c r="A42" s="107">
        <v>45979</v>
      </c>
      <c r="B42" s="81" t="s">
        <v>171</v>
      </c>
      <c r="C42" s="108" t="s">
        <v>247</v>
      </c>
      <c r="D42" s="115" t="s">
        <v>86</v>
      </c>
      <c r="E42" s="37"/>
      <c r="F42" s="37"/>
      <c r="G42" s="37"/>
      <c r="H42" s="110" t="e">
        <f>_xlfn.XLOOKUP(Table1[[#This Row],[Shipment Number]], 'pivot '!A:A,'pivot '!G:G, "NF")</f>
        <v>#DIV/0!</v>
      </c>
      <c r="I42" s="116">
        <f>_xlfn.XLOOKUP(Table1[[#This Row],[Party Name]],
[1]Billing!$Q$5:$Q$40,
[1]Billing!$U$5:$U$40)</f>
        <v>0</v>
      </c>
      <c r="J42" s="116">
        <f>_xlfn.XLOOKUP(Table1[[#This Row],[Party Name]],
[1]Billing!$Q$5:$Q$40,
[1]Billing!$W$5:$W$40)</f>
        <v>0</v>
      </c>
      <c r="K42" s="108"/>
      <c r="P42"/>
      <c r="Q42"/>
      <c r="R42"/>
      <c r="S42"/>
      <c r="T42"/>
      <c r="U42"/>
      <c r="V42"/>
      <c r="W42"/>
      <c r="X42"/>
      <c r="Y42"/>
    </row>
    <row r="43" spans="1:25" x14ac:dyDescent="0.3">
      <c r="A43" s="107">
        <v>45979</v>
      </c>
      <c r="B43" s="81" t="s">
        <v>173</v>
      </c>
      <c r="C43" s="108" t="s">
        <v>247</v>
      </c>
      <c r="D43" s="108" t="s">
        <v>86</v>
      </c>
      <c r="E43" s="37"/>
      <c r="F43" s="37"/>
      <c r="G43" s="37"/>
      <c r="H43" s="110" t="e">
        <f>_xlfn.XLOOKUP(Table1[[#This Row],[Shipment Number]], 'pivot '!A:A,'pivot '!G:G, "NF")</f>
        <v>#DIV/0!</v>
      </c>
      <c r="I43" s="116">
        <f>_xlfn.XLOOKUP(Table1[[#This Row],[Party Name]],
[1]Billing!$Q$5:$Q$40,
[1]Billing!$U$5:$U$40)</f>
        <v>9232.809070958303</v>
      </c>
      <c r="J43" s="116">
        <f>_xlfn.XLOOKUP(Table1[[#This Row],[Party Name]],
[1]Billing!$Q$5:$Q$40,
[1]Billing!$W$5:$W$40)</f>
        <v>120026.51792245793</v>
      </c>
      <c r="K43" s="108"/>
      <c r="P43"/>
      <c r="Q43"/>
      <c r="R43"/>
      <c r="S43"/>
      <c r="T43"/>
      <c r="U43"/>
      <c r="V43"/>
      <c r="W43"/>
      <c r="X43"/>
      <c r="Y43"/>
    </row>
    <row r="44" spans="1:25" x14ac:dyDescent="0.3">
      <c r="A44" s="107">
        <v>45979</v>
      </c>
      <c r="B44" s="81" t="s">
        <v>177</v>
      </c>
      <c r="C44" s="108" t="s">
        <v>247</v>
      </c>
      <c r="D44" s="115" t="s">
        <v>86</v>
      </c>
      <c r="E44" s="37"/>
      <c r="F44" s="37"/>
      <c r="G44" s="37"/>
      <c r="H44" s="110" t="e">
        <f>_xlfn.XLOOKUP(Table1[[#This Row],[Shipment Number]], 'pivot '!A:A,'pivot '!G:G, "NF")</f>
        <v>#DIV/0!</v>
      </c>
      <c r="I44" s="116">
        <f>_xlfn.XLOOKUP(Table1[[#This Row],[Party Name]],
[1]Billing!$Q$5:$Q$40,
[1]Billing!$U$5:$U$40)</f>
        <v>398433.61375274323</v>
      </c>
      <c r="J44" s="116">
        <f>_xlfn.XLOOKUP(Table1[[#This Row],[Party Name]],
[1]Billing!$Q$5:$Q$40,
[1]Billing!$W$5:$W$40)</f>
        <v>5179636.9787856629</v>
      </c>
      <c r="K44" s="108"/>
      <c r="P44"/>
      <c r="Q44"/>
      <c r="R44"/>
      <c r="S44"/>
      <c r="T44"/>
      <c r="U44"/>
      <c r="V44"/>
      <c r="W44"/>
      <c r="X44"/>
      <c r="Y44"/>
    </row>
    <row r="45" spans="1:25" x14ac:dyDescent="0.3">
      <c r="A45" s="107">
        <v>45979</v>
      </c>
      <c r="B45" s="81" t="s">
        <v>180</v>
      </c>
      <c r="C45" s="108" t="s">
        <v>247</v>
      </c>
      <c r="D45" s="108" t="s">
        <v>86</v>
      </c>
      <c r="E45" s="37"/>
      <c r="F45" s="37"/>
      <c r="G45" s="37"/>
      <c r="H45" s="110" t="e">
        <f>_xlfn.XLOOKUP(Table1[[#This Row],[Shipment Number]], 'pivot '!A:A,'pivot '!G:G, "NF")</f>
        <v>#DIV/0!</v>
      </c>
      <c r="I45" s="116">
        <f>_xlfn.XLOOKUP(Table1[[#This Row],[Party Name]],
[1]Billing!$Q$5:$Q$40,
[1]Billing!$U$5:$U$40)</f>
        <v>7565.8376005852242</v>
      </c>
      <c r="J45" s="116">
        <f>_xlfn.XLOOKUP(Table1[[#This Row],[Party Name]],
[1]Billing!$Q$5:$Q$40,
[1]Billing!$W$5:$W$40)</f>
        <v>98355.888807607917</v>
      </c>
      <c r="K45" s="108"/>
      <c r="P45"/>
      <c r="Q45"/>
      <c r="R45"/>
      <c r="S45"/>
      <c r="T45"/>
      <c r="U45"/>
      <c r="V45"/>
      <c r="W45"/>
      <c r="X45"/>
      <c r="Y45"/>
    </row>
    <row r="46" spans="1:25" x14ac:dyDescent="0.3">
      <c r="A46" s="107">
        <v>45979</v>
      </c>
      <c r="B46" s="81" t="s">
        <v>181</v>
      </c>
      <c r="C46" s="108" t="s">
        <v>247</v>
      </c>
      <c r="D46" s="115" t="s">
        <v>86</v>
      </c>
      <c r="E46" s="37"/>
      <c r="F46" s="37"/>
      <c r="G46" s="37"/>
      <c r="H46" s="110" t="e">
        <f>_xlfn.XLOOKUP(Table1[[#This Row],[Shipment Number]], 'pivot '!A:A,'pivot '!G:G, "NF")</f>
        <v>#DIV/0!</v>
      </c>
      <c r="I46" s="116">
        <f>_xlfn.XLOOKUP(Table1[[#This Row],[Party Name]],
[1]Billing!$Q$5:$Q$40,
[1]Billing!$U$5:$U$40)</f>
        <v>43834.125822970011</v>
      </c>
      <c r="J46" s="116">
        <f>_xlfn.XLOOKUP(Table1[[#This Row],[Party Name]],
[1]Billing!$Q$5:$Q$40,
[1]Billing!$W$5:$W$40)</f>
        <v>569843.63569861022</v>
      </c>
      <c r="K46" s="108"/>
      <c r="P46"/>
      <c r="Q46"/>
      <c r="R46"/>
      <c r="S46"/>
      <c r="T46"/>
      <c r="U46"/>
      <c r="V46"/>
      <c r="W46"/>
      <c r="X46"/>
      <c r="Y46"/>
    </row>
    <row r="47" spans="1:25" x14ac:dyDescent="0.3">
      <c r="A47" s="107">
        <v>45979</v>
      </c>
      <c r="B47" s="81" t="s">
        <v>186</v>
      </c>
      <c r="C47" s="108" t="s">
        <v>247</v>
      </c>
      <c r="D47" s="108" t="s">
        <v>86</v>
      </c>
      <c r="E47" s="37"/>
      <c r="F47" s="37"/>
      <c r="G47" s="37"/>
      <c r="H47" s="110" t="e">
        <f>_xlfn.XLOOKUP(Table1[[#This Row],[Shipment Number]], 'pivot '!A:A,'pivot '!G:G, "NF")</f>
        <v>#DIV/0!</v>
      </c>
      <c r="I47" s="116">
        <f>_xlfn.XLOOKUP(Table1[[#This Row],[Party Name]],
[1]Billing!$Q$5:$Q$40,
[1]Billing!$U$5:$U$40)</f>
        <v>31409.107534747625</v>
      </c>
      <c r="J47" s="116">
        <f>_xlfn.XLOOKUP(Table1[[#This Row],[Party Name]],
[1]Billing!$Q$5:$Q$40,
[1]Billing!$W$5:$W$40)</f>
        <v>408318.39795171918</v>
      </c>
      <c r="K47" s="108"/>
      <c r="P47"/>
      <c r="Q47"/>
      <c r="R47"/>
      <c r="S47"/>
      <c r="T47"/>
      <c r="U47"/>
      <c r="V47"/>
      <c r="W47"/>
      <c r="X47"/>
      <c r="Y47"/>
    </row>
    <row r="48" spans="1:25" x14ac:dyDescent="0.3">
      <c r="A48" s="107">
        <v>45979</v>
      </c>
      <c r="B48" s="81" t="s">
        <v>202</v>
      </c>
      <c r="C48" s="108" t="s">
        <v>247</v>
      </c>
      <c r="D48" s="115" t="s">
        <v>86</v>
      </c>
      <c r="E48" s="37"/>
      <c r="F48" s="37"/>
      <c r="G48" s="37"/>
      <c r="H48" s="110" t="e">
        <f>_xlfn.XLOOKUP(Table1[[#This Row],[Shipment Number]], 'pivot '!A:A,'pivot '!G:G, "NF")</f>
        <v>#DIV/0!</v>
      </c>
      <c r="I48" s="116">
        <f>_xlfn.XLOOKUP(Table1[[#This Row],[Party Name]],
[1]Billing!$Q$5:$Q$40,
[1]Billing!$U$5:$U$40)</f>
        <v>0</v>
      </c>
      <c r="J48" s="116">
        <f>_xlfn.XLOOKUP(Table1[[#This Row],[Party Name]],
[1]Billing!$Q$5:$Q$40,
[1]Billing!$W$5:$W$40)</f>
        <v>0</v>
      </c>
      <c r="K48" s="108"/>
      <c r="P48"/>
      <c r="Q48"/>
      <c r="R48"/>
      <c r="S48"/>
      <c r="T48"/>
      <c r="U48"/>
      <c r="V48"/>
      <c r="W48"/>
      <c r="X48"/>
      <c r="Y48"/>
    </row>
    <row r="49" spans="1:25" x14ac:dyDescent="0.3">
      <c r="A49" s="107">
        <v>45979</v>
      </c>
      <c r="B49" s="81" t="s">
        <v>216</v>
      </c>
      <c r="C49" s="108" t="s">
        <v>247</v>
      </c>
      <c r="D49" s="108" t="s">
        <v>86</v>
      </c>
      <c r="E49" s="37"/>
      <c r="F49" s="37"/>
      <c r="G49" s="37"/>
      <c r="H49" s="110" t="e">
        <f>_xlfn.XLOOKUP(Table1[[#This Row],[Shipment Number]], 'pivot '!A:A,'pivot '!G:G, "NF")</f>
        <v>#DIV/0!</v>
      </c>
      <c r="I49" s="116">
        <f>_xlfn.XLOOKUP(Table1[[#This Row],[Party Name]],
[1]Billing!$Q$5:$Q$40,
[1]Billing!$U$5:$U$40)</f>
        <v>0</v>
      </c>
      <c r="J49" s="116">
        <f>_xlfn.XLOOKUP(Table1[[#This Row],[Party Name]],
[1]Billing!$Q$5:$Q$40,
[1]Billing!$W$5:$W$40)</f>
        <v>0</v>
      </c>
      <c r="K49" s="108"/>
      <c r="P49"/>
      <c r="Q49"/>
      <c r="R49"/>
      <c r="S49"/>
      <c r="T49"/>
      <c r="U49"/>
      <c r="V49"/>
      <c r="W49"/>
      <c r="X49"/>
      <c r="Y49"/>
    </row>
    <row r="50" spans="1:25" x14ac:dyDescent="0.3">
      <c r="A50" s="107">
        <v>45979</v>
      </c>
      <c r="B50" s="81" t="s">
        <v>215</v>
      </c>
      <c r="C50" s="108" t="s">
        <v>247</v>
      </c>
      <c r="D50" s="115" t="s">
        <v>86</v>
      </c>
      <c r="E50" s="37"/>
      <c r="F50" s="37"/>
      <c r="G50" s="37"/>
      <c r="H50" s="110" t="e">
        <f>_xlfn.XLOOKUP(Table1[[#This Row],[Shipment Number]], 'pivot '!A:A,'pivot '!G:G, "NF")</f>
        <v>#DIV/0!</v>
      </c>
      <c r="I50" s="116">
        <f>_xlfn.XLOOKUP(Table1[[#This Row],[Party Name]],
[1]Billing!$Q$5:$Q$40,
[1]Billing!$U$5:$U$40)</f>
        <v>60995.793708851503</v>
      </c>
      <c r="J50" s="116">
        <f>_xlfn.XLOOKUP(Table1[[#This Row],[Party Name]],
[1]Billing!$Q$5:$Q$40,
[1]Billing!$W$5:$W$40)</f>
        <v>792945.31821506959</v>
      </c>
      <c r="K50" s="108"/>
      <c r="P50"/>
      <c r="Q50"/>
      <c r="R50"/>
      <c r="S50"/>
      <c r="T50"/>
      <c r="U50"/>
      <c r="V50"/>
      <c r="W50"/>
      <c r="X50"/>
      <c r="Y50"/>
    </row>
    <row r="51" spans="1:25" x14ac:dyDescent="0.3">
      <c r="A51" s="107">
        <v>45979</v>
      </c>
      <c r="B51" s="81" t="s">
        <v>225</v>
      </c>
      <c r="C51" s="108" t="s">
        <v>247</v>
      </c>
      <c r="D51" s="108" t="s">
        <v>86</v>
      </c>
      <c r="E51" s="37"/>
      <c r="F51" s="37"/>
      <c r="G51" s="37"/>
      <c r="H51" s="110" t="e">
        <f>_xlfn.XLOOKUP(Table1[[#This Row],[Shipment Number]], 'pivot '!A:A,'pivot '!G:G, "NF")</f>
        <v>#DIV/0!</v>
      </c>
      <c r="I51" s="116">
        <f>_xlfn.XLOOKUP(Table1[[#This Row],[Party Name]],
[1]Billing!$Q$5:$Q$40,
[1]Billing!$U$5:$U$40)</f>
        <v>0</v>
      </c>
      <c r="J51" s="116">
        <f>_xlfn.XLOOKUP(Table1[[#This Row],[Party Name]],
[1]Billing!$Q$5:$Q$40,
[1]Billing!$W$5:$W$40)</f>
        <v>0</v>
      </c>
      <c r="K51" s="108"/>
      <c r="P51"/>
      <c r="Q51"/>
      <c r="R51"/>
      <c r="S51"/>
      <c r="T51"/>
      <c r="U51"/>
      <c r="V51"/>
      <c r="W51"/>
      <c r="X51"/>
      <c r="Y51"/>
    </row>
    <row r="52" spans="1:25" x14ac:dyDescent="0.3">
      <c r="A52" s="107">
        <v>45979</v>
      </c>
      <c r="B52" s="81" t="s">
        <v>240</v>
      </c>
      <c r="C52" s="108" t="s">
        <v>247</v>
      </c>
      <c r="D52" s="115" t="s">
        <v>86</v>
      </c>
      <c r="E52" s="37"/>
      <c r="F52" s="37"/>
      <c r="G52" s="37"/>
      <c r="H52" s="110" t="e">
        <f>_xlfn.XLOOKUP(Table1[[#This Row],[Shipment Number]], 'pivot '!A:A,'pivot '!G:G, "NF")</f>
        <v>#DIV/0!</v>
      </c>
      <c r="I52" s="116">
        <f>_xlfn.XLOOKUP(Table1[[#This Row],[Party Name]],
[1]Billing!$Q$5:$Q$40,
[1]Billing!$U$5:$U$40)</f>
        <v>29626.005852231167</v>
      </c>
      <c r="J52" s="116">
        <f>_xlfn.XLOOKUP(Table1[[#This Row],[Party Name]],
[1]Billing!$Q$5:$Q$40,
[1]Billing!$W$5:$W$40)</f>
        <v>385138.07607900514</v>
      </c>
      <c r="K52" s="108"/>
      <c r="P52"/>
      <c r="Q52"/>
      <c r="R52"/>
      <c r="S52"/>
      <c r="T52"/>
      <c r="U52"/>
      <c r="V52"/>
      <c r="W52"/>
      <c r="X52"/>
      <c r="Y52"/>
    </row>
    <row r="53" spans="1:25" x14ac:dyDescent="0.3">
      <c r="A53" s="107">
        <v>45979</v>
      </c>
      <c r="B53" s="81" t="s">
        <v>244</v>
      </c>
      <c r="C53" s="108" t="s">
        <v>247</v>
      </c>
      <c r="D53" s="108" t="s">
        <v>86</v>
      </c>
      <c r="E53" s="37"/>
      <c r="F53" s="37"/>
      <c r="G53" s="37"/>
      <c r="H53" s="110" t="e">
        <f>_xlfn.XLOOKUP(Table1[[#This Row],[Shipment Number]], 'pivot '!A:A,'pivot '!G:G, "NF")</f>
        <v>#DIV/0!</v>
      </c>
      <c r="I53" s="116">
        <f>_xlfn.XLOOKUP(Table1[[#This Row],[Party Name]],
[1]Billing!$Q$5:$Q$40,
[1]Billing!$U$5:$U$40)</f>
        <v>0</v>
      </c>
      <c r="J53" s="116">
        <f>_xlfn.XLOOKUP(Table1[[#This Row],[Party Name]],
[1]Billing!$Q$5:$Q$40,
[1]Billing!$W$5:$W$40)</f>
        <v>0</v>
      </c>
      <c r="K53" s="108"/>
      <c r="P53"/>
      <c r="Q53"/>
      <c r="R53"/>
      <c r="S53"/>
      <c r="T53"/>
      <c r="U53"/>
      <c r="V53"/>
      <c r="W53"/>
      <c r="X53"/>
      <c r="Y53"/>
    </row>
    <row r="54" spans="1:25" x14ac:dyDescent="0.3">
      <c r="A54" s="107">
        <v>45979</v>
      </c>
      <c r="B54" s="24" t="s">
        <v>25</v>
      </c>
      <c r="C54" s="108" t="s">
        <v>247</v>
      </c>
      <c r="D54" s="108" t="s">
        <v>188</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177</v>
      </c>
      <c r="C55" s="108" t="s">
        <v>247</v>
      </c>
      <c r="D55" s="108" t="s">
        <v>188</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180</v>
      </c>
      <c r="C56" s="108" t="s">
        <v>247</v>
      </c>
      <c r="D56" s="108" t="s">
        <v>189</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186</v>
      </c>
      <c r="C57" s="108" t="s">
        <v>247</v>
      </c>
      <c r="D57" s="108" t="s">
        <v>233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202</v>
      </c>
      <c r="C58" s="108" t="s">
        <v>247</v>
      </c>
      <c r="D58" s="108" t="s">
        <v>248</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244</v>
      </c>
      <c r="C59" s="108" t="s">
        <v>247</v>
      </c>
      <c r="D59" s="108" t="s">
        <v>245</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c r="B60"/>
      <c r="C60"/>
      <c r="D60"/>
      <c r="E60" s="14"/>
      <c r="F60" s="14"/>
      <c r="G60" s="14"/>
      <c r="H60" s="43"/>
      <c r="I60" s="94" cm="1">
        <f t="array" aca="1" ref="I60" ca="1">SUMPRODUCT( SUBTOTAL(109, OFFSET(Table1[tiyar/meters], ROW(Table1[tiyar/meters])-MIN(ROW(Table1[tiyar/meters])), 0, 1)), --(Table1[Bill Number]&lt;&gt;"November Closing CF") )</f>
        <v>0</v>
      </c>
      <c r="J60" s="43" cm="1">
        <f t="array" aca="1" ref="J60" ca="1">SUMPRODUCT( SUBTOTAL(109, OFFSET(Table1[billing], ROW(Table1[billing])-MIN(ROW(Table1[billing])), 0, 1)), --(Table1[Bill Number]&lt;&gt;"November Closing CF") )</f>
        <v>0</v>
      </c>
      <c r="K60" s="14">
        <f>SUMIFS(Table1[billing], Table1[Bill Number], "&lt;&gt;November Closing CF")</f>
        <v>0</v>
      </c>
      <c r="M60"/>
      <c r="P60"/>
      <c r="Q60"/>
      <c r="R60"/>
      <c r="S60"/>
      <c r="T60"/>
      <c r="U60"/>
    </row>
    <row r="61" spans="1:25" x14ac:dyDescent="0.3">
      <c r="M61"/>
      <c r="P61"/>
      <c r="Q61"/>
      <c r="R61"/>
      <c r="S61"/>
    </row>
    <row r="62" spans="1:25" x14ac:dyDescent="0.3">
      <c r="M62"/>
      <c r="P62"/>
      <c r="Q62"/>
      <c r="R62"/>
      <c r="S62"/>
    </row>
    <row r="63" spans="1:25" x14ac:dyDescent="0.3">
      <c r="S63"/>
    </row>
    <row r="64" spans="1:25" x14ac:dyDescent="0.3">
      <c r="S64"/>
    </row>
    <row r="65" spans="19:19" x14ac:dyDescent="0.3">
      <c r="S65"/>
    </row>
    <row r="66" spans="19:19" x14ac:dyDescent="0.3">
      <c r="S66"/>
    </row>
    <row r="67" spans="19:19" x14ac:dyDescent="0.3">
      <c r="S67"/>
    </row>
    <row r="68" spans="19:19" x14ac:dyDescent="0.3">
      <c r="S68"/>
    </row>
    <row r="69" spans="19:19" x14ac:dyDescent="0.3">
      <c r="S69"/>
    </row>
    <row r="70" spans="19:19" x14ac:dyDescent="0.3">
      <c r="S70"/>
    </row>
    <row r="71" spans="19:19" x14ac:dyDescent="0.3">
      <c r="S71"/>
    </row>
    <row r="72" spans="19:19" x14ac:dyDescent="0.3">
      <c r="S72"/>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59">
    <cfRule type="cellIs" dxfId="5"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4"/>
  <sheetViews>
    <sheetView zoomScale="145" zoomScaleNormal="90" workbookViewId="0">
      <selection activeCell="I10" sqref="I1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x14ac:dyDescent="0.3">
      <c r="A5" s="85">
        <v>46008</v>
      </c>
      <c r="B5" s="82" t="s">
        <v>169</v>
      </c>
      <c r="C5" s="82" t="s">
        <v>95</v>
      </c>
      <c r="D5" s="11"/>
      <c r="E5" s="11"/>
      <c r="F5" s="11"/>
      <c r="G5" s="11">
        <f t="shared" ref="G5:G6" si="0">D5*E5</f>
        <v>0</v>
      </c>
      <c r="H5" s="11"/>
      <c r="I5" s="87">
        <v>601883</v>
      </c>
    </row>
    <row r="6" spans="1:16" ht="15" thickTop="1" x14ac:dyDescent="0.3">
      <c r="A6" s="85">
        <v>46008</v>
      </c>
      <c r="B6" s="82" t="s">
        <v>172</v>
      </c>
      <c r="C6" s="82" t="s">
        <v>95</v>
      </c>
      <c r="D6" s="11"/>
      <c r="E6" s="11"/>
      <c r="F6" s="11"/>
      <c r="G6" s="11">
        <f t="shared" si="0"/>
        <v>0</v>
      </c>
      <c r="H6" s="11"/>
      <c r="I6" s="11">
        <v>97520</v>
      </c>
      <c r="K6" s="17">
        <f>SUM(Table3[Total])</f>
        <v>0</v>
      </c>
      <c r="L6" s="3" t="s">
        <v>2</v>
      </c>
      <c r="M6" t="s">
        <v>87</v>
      </c>
    </row>
    <row r="7" spans="1:16" x14ac:dyDescent="0.3">
      <c r="A7" s="85">
        <v>46008</v>
      </c>
      <c r="B7" s="82" t="s">
        <v>184</v>
      </c>
      <c r="C7" s="82" t="s">
        <v>95</v>
      </c>
      <c r="D7" s="11"/>
      <c r="E7" s="11"/>
      <c r="F7" s="11"/>
      <c r="G7" s="11">
        <f>D7*E7</f>
        <v>0</v>
      </c>
      <c r="H7" s="11"/>
      <c r="I7" s="11">
        <v>326400</v>
      </c>
    </row>
    <row r="8" spans="1:16" x14ac:dyDescent="0.3">
      <c r="A8" s="85">
        <v>46008</v>
      </c>
      <c r="B8" s="82" t="s">
        <v>223</v>
      </c>
      <c r="C8" s="82" t="s">
        <v>95</v>
      </c>
      <c r="D8" s="11"/>
      <c r="E8" s="11"/>
      <c r="F8" s="11"/>
      <c r="G8" s="11">
        <f t="shared" ref="G8:G12" si="1">D8*E8</f>
        <v>0</v>
      </c>
      <c r="H8" s="11"/>
      <c r="I8" s="11">
        <v>452750</v>
      </c>
      <c r="K8" s="11"/>
      <c r="L8" s="3" t="s">
        <v>98</v>
      </c>
      <c r="M8" t="s">
        <v>99</v>
      </c>
      <c r="N8" t="s">
        <v>100</v>
      </c>
      <c r="O8" t="s">
        <v>101</v>
      </c>
      <c r="P8" t="s">
        <v>102</v>
      </c>
    </row>
    <row r="9" spans="1:16" x14ac:dyDescent="0.3">
      <c r="A9" s="85">
        <v>46008</v>
      </c>
      <c r="B9" s="82" t="s">
        <v>226</v>
      </c>
      <c r="C9" s="82" t="s">
        <v>95</v>
      </c>
      <c r="D9" s="11"/>
      <c r="E9" s="11"/>
      <c r="F9" s="11"/>
      <c r="G9" s="11">
        <f t="shared" si="1"/>
        <v>0</v>
      </c>
      <c r="H9" s="11"/>
      <c r="I9" s="11">
        <v>106960</v>
      </c>
      <c r="K9" s="11"/>
      <c r="L9" s="26">
        <v>45947</v>
      </c>
      <c r="M9" s="14"/>
      <c r="N9" s="14">
        <v>0</v>
      </c>
      <c r="O9" s="14">
        <v>0</v>
      </c>
      <c r="P9" s="14">
        <v>2994053</v>
      </c>
    </row>
    <row r="10" spans="1:16" x14ac:dyDescent="0.3">
      <c r="A10" s="1"/>
      <c r="D10" s="11"/>
      <c r="E10" s="11"/>
      <c r="F10" s="11"/>
      <c r="G10" s="11">
        <f t="shared" si="1"/>
        <v>0</v>
      </c>
      <c r="H10" s="11"/>
      <c r="I10" s="11">
        <f>(D10*E10)-Table3[[#This Row],[Paid]]</f>
        <v>0</v>
      </c>
      <c r="K10" s="11"/>
      <c r="L10" s="42" t="s">
        <v>95</v>
      </c>
      <c r="M10" s="14"/>
      <c r="N10" s="14">
        <v>0</v>
      </c>
      <c r="O10" s="14">
        <v>0</v>
      </c>
      <c r="P10" s="14">
        <v>2994053</v>
      </c>
    </row>
    <row r="11" spans="1:16" x14ac:dyDescent="0.3">
      <c r="A11" s="1"/>
      <c r="D11" s="11"/>
      <c r="E11" s="11"/>
      <c r="F11" s="11"/>
      <c r="G11" s="11">
        <f t="shared" si="1"/>
        <v>0</v>
      </c>
      <c r="H11" s="11"/>
      <c r="I11" s="11">
        <f>(D11*E11)-Table3[[#This Row],[Paid]]</f>
        <v>0</v>
      </c>
      <c r="K11" s="11"/>
      <c r="L11" s="26">
        <v>45979</v>
      </c>
      <c r="M11" s="14"/>
      <c r="N11" s="14">
        <v>0</v>
      </c>
      <c r="O11" s="14"/>
      <c r="P11" s="14">
        <v>330400</v>
      </c>
    </row>
    <row r="12" spans="1:16" x14ac:dyDescent="0.3">
      <c r="A12" s="1"/>
      <c r="D12" s="11"/>
      <c r="E12" s="11"/>
      <c r="F12" s="11"/>
      <c r="G12" s="11">
        <f t="shared" si="1"/>
        <v>0</v>
      </c>
      <c r="H12" s="11"/>
      <c r="I12" s="11">
        <f>(D12*E12)-Table3[[#This Row],[Paid]]</f>
        <v>0</v>
      </c>
      <c r="K12" s="11"/>
      <c r="L12" s="42" t="s">
        <v>95</v>
      </c>
      <c r="M12" s="14"/>
      <c r="N12" s="14">
        <v>0</v>
      </c>
      <c r="O12" s="14"/>
      <c r="P12" s="14">
        <v>330400</v>
      </c>
    </row>
    <row r="13" spans="1:16" x14ac:dyDescent="0.3">
      <c r="A13" s="1"/>
      <c r="D13" s="14"/>
      <c r="E13" s="14"/>
      <c r="F13" s="14"/>
      <c r="G13" s="14">
        <f>SUBTOTAL(109,Table3[Total])</f>
        <v>0</v>
      </c>
      <c r="H13" s="14">
        <f>SUBTOTAL(109,Table3[Paid])</f>
        <v>0</v>
      </c>
      <c r="I13" s="14">
        <f>SUBTOTAL(109,Table3[balance])</f>
        <v>3267828</v>
      </c>
      <c r="K13" s="11"/>
      <c r="L13" s="26">
        <v>45982</v>
      </c>
      <c r="M13" s="14"/>
      <c r="N13" s="14">
        <v>0</v>
      </c>
      <c r="O13" s="14">
        <v>300152</v>
      </c>
      <c r="P13" s="14">
        <v>-300152</v>
      </c>
    </row>
    <row r="14" spans="1:16" x14ac:dyDescent="0.3">
      <c r="K14" s="11"/>
      <c r="L14" s="42" t="s">
        <v>103</v>
      </c>
      <c r="M14" s="14"/>
      <c r="N14" s="14">
        <v>0</v>
      </c>
      <c r="O14" s="14">
        <v>300152</v>
      </c>
      <c r="P14" s="14">
        <v>-300152</v>
      </c>
    </row>
    <row r="15" spans="1:16" x14ac:dyDescent="0.3">
      <c r="K15" s="11"/>
      <c r="L15" s="26">
        <v>45980</v>
      </c>
      <c r="M15" s="14"/>
      <c r="N15" s="14">
        <v>0</v>
      </c>
      <c r="O15" s="14">
        <v>414012</v>
      </c>
      <c r="P15" s="14">
        <v>-414012</v>
      </c>
    </row>
    <row r="16" spans="1:16" x14ac:dyDescent="0.3">
      <c r="K16" s="11"/>
      <c r="L16" s="42" t="s">
        <v>103</v>
      </c>
      <c r="M16" s="14"/>
      <c r="N16" s="14">
        <v>0</v>
      </c>
      <c r="O16" s="14">
        <v>414012</v>
      </c>
      <c r="P16" s="14">
        <v>-414012</v>
      </c>
    </row>
    <row r="17" spans="11:16" x14ac:dyDescent="0.3">
      <c r="K17" s="11"/>
      <c r="L17" s="26">
        <v>45981</v>
      </c>
      <c r="M17" s="14">
        <v>456</v>
      </c>
      <c r="N17" s="14">
        <v>369360</v>
      </c>
      <c r="O17" s="14">
        <v>80300</v>
      </c>
      <c r="P17" s="14">
        <v>289060</v>
      </c>
    </row>
    <row r="18" spans="11:16" x14ac:dyDescent="0.3">
      <c r="L18" s="42" t="s">
        <v>198</v>
      </c>
      <c r="M18" s="14">
        <v>456</v>
      </c>
      <c r="N18" s="14">
        <v>369360</v>
      </c>
      <c r="O18" s="14">
        <v>80300</v>
      </c>
      <c r="P18" s="14">
        <v>289060</v>
      </c>
    </row>
    <row r="19" spans="11:16" x14ac:dyDescent="0.3">
      <c r="L19" s="26">
        <v>45984</v>
      </c>
      <c r="M19" s="14">
        <v>576</v>
      </c>
      <c r="N19" s="14">
        <v>454340</v>
      </c>
      <c r="O19" s="14">
        <v>200068</v>
      </c>
      <c r="P19" s="14">
        <v>254272</v>
      </c>
    </row>
    <row r="20" spans="11:16" x14ac:dyDescent="0.3">
      <c r="L20" s="42" t="s">
        <v>198</v>
      </c>
      <c r="M20" s="14">
        <v>394</v>
      </c>
      <c r="N20" s="14">
        <v>319140</v>
      </c>
      <c r="O20" s="14">
        <v>200068</v>
      </c>
      <c r="P20" s="14">
        <v>119072</v>
      </c>
    </row>
    <row r="21" spans="11:16" x14ac:dyDescent="0.3">
      <c r="L21" s="42">
        <v>9662</v>
      </c>
      <c r="M21" s="14">
        <v>152</v>
      </c>
      <c r="N21" s="14">
        <v>117800</v>
      </c>
      <c r="O21" s="14">
        <v>0</v>
      </c>
      <c r="P21" s="14">
        <v>117800</v>
      </c>
    </row>
    <row r="22" spans="11:16" x14ac:dyDescent="0.3">
      <c r="L22" s="42" t="s">
        <v>206</v>
      </c>
      <c r="M22" s="14">
        <v>30</v>
      </c>
      <c r="N22" s="14">
        <v>17400</v>
      </c>
      <c r="O22" s="14">
        <v>0</v>
      </c>
      <c r="P22" s="14">
        <v>17400</v>
      </c>
    </row>
    <row r="23" spans="11:16" x14ac:dyDescent="0.3">
      <c r="L23" s="26">
        <v>45985</v>
      </c>
      <c r="M23" s="14">
        <v>152</v>
      </c>
      <c r="N23" s="14">
        <v>88160</v>
      </c>
      <c r="O23" s="14">
        <v>107500</v>
      </c>
      <c r="P23" s="14">
        <v>-19340</v>
      </c>
    </row>
    <row r="24" spans="11:16" x14ac:dyDescent="0.3">
      <c r="L24" s="42" t="s">
        <v>103</v>
      </c>
      <c r="M24" s="14"/>
      <c r="N24" s="14">
        <v>0</v>
      </c>
      <c r="O24" s="14">
        <v>67500</v>
      </c>
      <c r="P24" s="14">
        <v>-67500</v>
      </c>
    </row>
    <row r="25" spans="11:16" x14ac:dyDescent="0.3">
      <c r="L25" s="42" t="s">
        <v>206</v>
      </c>
      <c r="M25" s="14">
        <v>152</v>
      </c>
      <c r="N25" s="14">
        <v>88160</v>
      </c>
      <c r="O25" s="14">
        <v>40000</v>
      </c>
      <c r="P25" s="14">
        <v>48160</v>
      </c>
    </row>
    <row r="26" spans="11:16" x14ac:dyDescent="0.3">
      <c r="L26" s="26">
        <v>45986</v>
      </c>
      <c r="M26" s="14">
        <v>676</v>
      </c>
      <c r="N26" s="14">
        <v>538290</v>
      </c>
      <c r="O26" s="14">
        <v>107800</v>
      </c>
      <c r="P26" s="14">
        <v>430490</v>
      </c>
    </row>
    <row r="27" spans="11:16" x14ac:dyDescent="0.3">
      <c r="L27" s="42" t="s">
        <v>207</v>
      </c>
      <c r="M27" s="14">
        <v>470</v>
      </c>
      <c r="N27" s="14">
        <v>380700</v>
      </c>
      <c r="O27" s="14">
        <v>107800</v>
      </c>
      <c r="P27" s="14">
        <v>272900</v>
      </c>
    </row>
    <row r="28" spans="11:16" x14ac:dyDescent="0.3">
      <c r="L28" s="42" t="s">
        <v>208</v>
      </c>
      <c r="M28" s="14">
        <v>206</v>
      </c>
      <c r="N28" s="14">
        <v>157590</v>
      </c>
      <c r="O28" s="14"/>
      <c r="P28" s="14">
        <v>157590</v>
      </c>
    </row>
    <row r="29" spans="11:16" x14ac:dyDescent="0.3">
      <c r="K29" s="14"/>
      <c r="L29" s="26">
        <v>45987</v>
      </c>
      <c r="M29" s="14">
        <v>665</v>
      </c>
      <c r="N29" s="14">
        <v>527130</v>
      </c>
      <c r="O29" s="14">
        <v>447823</v>
      </c>
      <c r="P29" s="14">
        <v>79307</v>
      </c>
    </row>
    <row r="30" spans="11:16" x14ac:dyDescent="0.3">
      <c r="L30" s="42" t="s">
        <v>212</v>
      </c>
      <c r="M30" s="14">
        <v>281</v>
      </c>
      <c r="N30" s="14">
        <v>227610</v>
      </c>
      <c r="O30" s="14">
        <v>347823</v>
      </c>
      <c r="P30" s="14">
        <v>-120213</v>
      </c>
    </row>
    <row r="31" spans="11:16" x14ac:dyDescent="0.3">
      <c r="L31" s="42" t="s">
        <v>211</v>
      </c>
      <c r="M31" s="14">
        <v>384</v>
      </c>
      <c r="N31" s="14">
        <v>299520</v>
      </c>
      <c r="O31" s="14">
        <v>100000</v>
      </c>
      <c r="P31" s="14">
        <v>199520</v>
      </c>
    </row>
    <row r="32" spans="11:16" x14ac:dyDescent="0.3">
      <c r="L32" s="26">
        <v>45988</v>
      </c>
      <c r="M32" s="14">
        <v>496</v>
      </c>
      <c r="N32" s="14">
        <v>401760</v>
      </c>
      <c r="O32" s="14">
        <v>281000</v>
      </c>
      <c r="P32" s="14">
        <v>120760</v>
      </c>
    </row>
    <row r="33" spans="12:16" x14ac:dyDescent="0.3">
      <c r="L33" s="42" t="s">
        <v>103</v>
      </c>
      <c r="M33" s="14"/>
      <c r="N33" s="14">
        <v>0</v>
      </c>
      <c r="O33" s="14">
        <v>175000</v>
      </c>
      <c r="P33" s="14">
        <v>-175000</v>
      </c>
    </row>
    <row r="34" spans="12:16" x14ac:dyDescent="0.3">
      <c r="L34" s="42" t="s">
        <v>214</v>
      </c>
      <c r="M34" s="14">
        <v>496</v>
      </c>
      <c r="N34" s="14">
        <v>401760</v>
      </c>
      <c r="O34" s="14">
        <v>106000</v>
      </c>
      <c r="P34" s="14">
        <v>295760</v>
      </c>
    </row>
    <row r="35" spans="12:16" x14ac:dyDescent="0.3">
      <c r="L35" s="26">
        <v>45989</v>
      </c>
      <c r="M35" s="14">
        <v>287</v>
      </c>
      <c r="N35" s="14">
        <v>232470</v>
      </c>
      <c r="O35" s="14">
        <v>46100</v>
      </c>
      <c r="P35" s="14">
        <v>186370</v>
      </c>
    </row>
    <row r="36" spans="12:16" x14ac:dyDescent="0.3">
      <c r="L36" s="42" t="s">
        <v>218</v>
      </c>
      <c r="M36" s="14">
        <v>287</v>
      </c>
      <c r="N36" s="14">
        <v>232470</v>
      </c>
      <c r="O36" s="14">
        <v>46100</v>
      </c>
      <c r="P36" s="14">
        <v>186370</v>
      </c>
    </row>
    <row r="37" spans="12:16" x14ac:dyDescent="0.3">
      <c r="L37" s="26">
        <v>45990</v>
      </c>
      <c r="M37" s="14"/>
      <c r="N37" s="14">
        <v>0</v>
      </c>
      <c r="O37" s="14">
        <v>400338</v>
      </c>
      <c r="P37" s="14">
        <v>-400338</v>
      </c>
    </row>
    <row r="38" spans="12:16" x14ac:dyDescent="0.3">
      <c r="L38" s="42" t="s">
        <v>103</v>
      </c>
      <c r="M38" s="14"/>
      <c r="N38" s="14">
        <v>0</v>
      </c>
      <c r="O38" s="14">
        <v>400338</v>
      </c>
      <c r="P38" s="14">
        <v>-400338</v>
      </c>
    </row>
    <row r="39" spans="12:16" x14ac:dyDescent="0.3">
      <c r="L39" s="26">
        <v>45992</v>
      </c>
      <c r="M39" s="14">
        <v>433</v>
      </c>
      <c r="N39" s="14">
        <v>350730</v>
      </c>
      <c r="O39" s="14">
        <v>300204</v>
      </c>
      <c r="P39" s="14">
        <v>50526</v>
      </c>
    </row>
    <row r="40" spans="12:16" x14ac:dyDescent="0.3">
      <c r="L40" s="42" t="s">
        <v>198</v>
      </c>
      <c r="M40" s="14">
        <v>433</v>
      </c>
      <c r="N40" s="14">
        <v>350730</v>
      </c>
      <c r="O40" s="14">
        <v>300204</v>
      </c>
      <c r="P40" s="14">
        <v>50526</v>
      </c>
    </row>
    <row r="41" spans="12:16" x14ac:dyDescent="0.3">
      <c r="L41" s="26">
        <v>45993</v>
      </c>
      <c r="M41" s="14"/>
      <c r="N41" s="14">
        <v>0</v>
      </c>
      <c r="O41" s="14">
        <v>274600</v>
      </c>
      <c r="P41" s="14">
        <v>-274600</v>
      </c>
    </row>
    <row r="42" spans="12:16" x14ac:dyDescent="0.3">
      <c r="L42" s="42" t="s">
        <v>103</v>
      </c>
      <c r="M42" s="14"/>
      <c r="N42" s="14">
        <v>0</v>
      </c>
      <c r="O42" s="14">
        <v>274600</v>
      </c>
      <c r="P42" s="14">
        <v>-274600</v>
      </c>
    </row>
    <row r="43" spans="12:16" x14ac:dyDescent="0.3">
      <c r="L43" s="26">
        <v>45994</v>
      </c>
      <c r="M43" s="14">
        <v>225</v>
      </c>
      <c r="N43" s="14">
        <v>186750</v>
      </c>
      <c r="O43" s="14">
        <v>300768</v>
      </c>
      <c r="P43" s="14">
        <v>-114018</v>
      </c>
    </row>
    <row r="44" spans="12:16" x14ac:dyDescent="0.3">
      <c r="L44" s="42" t="s">
        <v>103</v>
      </c>
      <c r="M44" s="14"/>
      <c r="N44" s="14">
        <v>0</v>
      </c>
      <c r="O44" s="14">
        <v>250768</v>
      </c>
      <c r="P44" s="14">
        <v>-250768</v>
      </c>
    </row>
    <row r="45" spans="12:16" x14ac:dyDescent="0.3">
      <c r="L45" s="42" t="s">
        <v>222</v>
      </c>
      <c r="M45" s="14">
        <v>225</v>
      </c>
      <c r="N45" s="14">
        <v>186750</v>
      </c>
      <c r="O45" s="14">
        <v>50000</v>
      </c>
      <c r="P45" s="14">
        <v>136750</v>
      </c>
    </row>
    <row r="46" spans="12:16" x14ac:dyDescent="0.3">
      <c r="L46" s="26">
        <v>45995</v>
      </c>
      <c r="M46" s="14">
        <v>666</v>
      </c>
      <c r="N46" s="14">
        <v>543360</v>
      </c>
      <c r="O46" s="14">
        <v>588188</v>
      </c>
      <c r="P46" s="14">
        <v>-44828</v>
      </c>
    </row>
    <row r="47" spans="12:16" x14ac:dyDescent="0.3">
      <c r="L47" s="42" t="s">
        <v>224</v>
      </c>
      <c r="M47" s="14">
        <v>471</v>
      </c>
      <c r="N47" s="14">
        <v>381510</v>
      </c>
      <c r="O47" s="14">
        <v>418188</v>
      </c>
      <c r="P47" s="14">
        <v>-36678</v>
      </c>
    </row>
    <row r="48" spans="12:16" x14ac:dyDescent="0.3">
      <c r="L48" s="42" t="s">
        <v>229</v>
      </c>
      <c r="M48" s="14">
        <v>195</v>
      </c>
      <c r="N48" s="14">
        <v>161850</v>
      </c>
      <c r="O48" s="14">
        <v>170000</v>
      </c>
      <c r="P48" s="14">
        <v>-8150</v>
      </c>
    </row>
    <row r="49" spans="12:16" x14ac:dyDescent="0.3">
      <c r="L49" s="26">
        <v>45996</v>
      </c>
      <c r="M49" s="14">
        <v>581</v>
      </c>
      <c r="N49" s="14">
        <v>418210</v>
      </c>
      <c r="O49" s="14">
        <v>40450</v>
      </c>
      <c r="P49" s="14">
        <v>377760</v>
      </c>
    </row>
    <row r="50" spans="12:16" x14ac:dyDescent="0.3">
      <c r="L50" s="42" t="s">
        <v>230</v>
      </c>
      <c r="M50" s="14">
        <v>215</v>
      </c>
      <c r="N50" s="14">
        <v>174150</v>
      </c>
      <c r="O50" s="14">
        <v>40450</v>
      </c>
      <c r="P50" s="14">
        <v>133700</v>
      </c>
    </row>
    <row r="51" spans="12:16" x14ac:dyDescent="0.3">
      <c r="L51" s="42">
        <v>8618</v>
      </c>
      <c r="M51" s="14">
        <v>227</v>
      </c>
      <c r="N51" s="14">
        <v>163440</v>
      </c>
      <c r="O51" s="14">
        <v>0</v>
      </c>
      <c r="P51" s="14">
        <v>163440</v>
      </c>
    </row>
    <row r="52" spans="12:16" x14ac:dyDescent="0.3">
      <c r="L52" s="42" t="s">
        <v>231</v>
      </c>
      <c r="M52" s="14">
        <v>139</v>
      </c>
      <c r="N52" s="14">
        <v>80620</v>
      </c>
      <c r="O52" s="14"/>
      <c r="P52" s="14">
        <v>80620</v>
      </c>
    </row>
    <row r="53" spans="12:16" x14ac:dyDescent="0.3">
      <c r="L53" s="26">
        <v>45997</v>
      </c>
      <c r="M53" s="14">
        <v>828</v>
      </c>
      <c r="N53" s="14">
        <v>581890</v>
      </c>
      <c r="O53" s="14">
        <v>629010</v>
      </c>
      <c r="P53" s="14">
        <v>-47120</v>
      </c>
    </row>
    <row r="54" spans="12:16" x14ac:dyDescent="0.3">
      <c r="L54" s="42" t="s">
        <v>103</v>
      </c>
      <c r="M54" s="14"/>
      <c r="N54" s="14">
        <v>0</v>
      </c>
      <c r="O54" s="14">
        <v>50000</v>
      </c>
      <c r="P54" s="14">
        <v>-50000</v>
      </c>
    </row>
    <row r="55" spans="12:16" x14ac:dyDescent="0.3">
      <c r="L55" s="42" t="s">
        <v>229</v>
      </c>
      <c r="M55" s="14">
        <v>188</v>
      </c>
      <c r="N55" s="14">
        <v>152280</v>
      </c>
      <c r="O55" s="14">
        <v>128500</v>
      </c>
      <c r="P55" s="14">
        <v>23780</v>
      </c>
    </row>
    <row r="56" spans="12:16" x14ac:dyDescent="0.3">
      <c r="L56" s="42" t="s">
        <v>227</v>
      </c>
      <c r="M56" s="14">
        <v>61</v>
      </c>
      <c r="N56" s="14">
        <v>49410</v>
      </c>
      <c r="O56" s="14">
        <v>200510</v>
      </c>
      <c r="P56" s="14">
        <v>-151100</v>
      </c>
    </row>
    <row r="57" spans="12:16" x14ac:dyDescent="0.3">
      <c r="L57" s="42" t="s">
        <v>228</v>
      </c>
      <c r="M57" s="14">
        <v>134</v>
      </c>
      <c r="N57" s="14">
        <v>77720</v>
      </c>
      <c r="O57" s="14">
        <v>150000</v>
      </c>
      <c r="P57" s="14">
        <v>-72280</v>
      </c>
    </row>
    <row r="58" spans="12:16" x14ac:dyDescent="0.3">
      <c r="L58" s="42">
        <v>8618</v>
      </c>
      <c r="M58" s="14">
        <v>317</v>
      </c>
      <c r="N58" s="14">
        <v>228240</v>
      </c>
      <c r="O58" s="14">
        <v>100000</v>
      </c>
      <c r="P58" s="14">
        <v>128240</v>
      </c>
    </row>
    <row r="59" spans="12:16" x14ac:dyDescent="0.3">
      <c r="L59" s="42" t="s">
        <v>97</v>
      </c>
      <c r="M59" s="14">
        <v>128</v>
      </c>
      <c r="N59" s="14">
        <v>74240</v>
      </c>
      <c r="O59" s="14"/>
      <c r="P59" s="14">
        <v>74240</v>
      </c>
    </row>
    <row r="60" spans="12:16" x14ac:dyDescent="0.3">
      <c r="L60" s="26">
        <v>45998</v>
      </c>
      <c r="M60" s="14">
        <v>337</v>
      </c>
      <c r="N60" s="14">
        <v>239390</v>
      </c>
      <c r="O60" s="14">
        <v>0</v>
      </c>
      <c r="P60" s="14">
        <v>239390</v>
      </c>
    </row>
    <row r="61" spans="12:16" x14ac:dyDescent="0.3">
      <c r="L61" s="42" t="s">
        <v>97</v>
      </c>
      <c r="M61" s="14">
        <v>146</v>
      </c>
      <c r="N61" s="14">
        <v>84680</v>
      </c>
      <c r="O61" s="14"/>
      <c r="P61" s="14">
        <v>84680</v>
      </c>
    </row>
    <row r="62" spans="12:16" x14ac:dyDescent="0.3">
      <c r="L62" s="42" t="s">
        <v>232</v>
      </c>
      <c r="M62" s="14">
        <v>191</v>
      </c>
      <c r="N62" s="14">
        <v>154710</v>
      </c>
      <c r="O62" s="14">
        <v>0</v>
      </c>
      <c r="P62" s="14">
        <v>154710</v>
      </c>
    </row>
    <row r="63" spans="12:16" x14ac:dyDescent="0.3">
      <c r="L63" s="26">
        <v>45999</v>
      </c>
      <c r="M63" s="14">
        <v>172</v>
      </c>
      <c r="N63" s="14">
        <v>99760</v>
      </c>
      <c r="O63" s="14">
        <v>120000</v>
      </c>
      <c r="P63" s="14">
        <v>-20240</v>
      </c>
    </row>
    <row r="64" spans="12:16" x14ac:dyDescent="0.3">
      <c r="L64" s="42">
        <v>8618</v>
      </c>
      <c r="M64" s="14">
        <v>172</v>
      </c>
      <c r="N64" s="14">
        <v>99760</v>
      </c>
      <c r="O64" s="14">
        <v>120000</v>
      </c>
      <c r="P64" s="14">
        <v>-20240</v>
      </c>
    </row>
    <row r="65" spans="12:16" x14ac:dyDescent="0.3">
      <c r="L65" s="26">
        <v>46000</v>
      </c>
      <c r="M65" s="14">
        <v>308</v>
      </c>
      <c r="N65" s="14">
        <v>217740</v>
      </c>
      <c r="O65" s="14">
        <v>470050</v>
      </c>
      <c r="P65" s="14">
        <v>-252310</v>
      </c>
    </row>
    <row r="66" spans="12:16" x14ac:dyDescent="0.3">
      <c r="L66" s="42" t="s">
        <v>103</v>
      </c>
      <c r="M66" s="14"/>
      <c r="N66" s="14">
        <v>0</v>
      </c>
      <c r="O66" s="14">
        <v>370050</v>
      </c>
      <c r="P66" s="14">
        <v>-370050</v>
      </c>
    </row>
    <row r="67" spans="12:16" x14ac:dyDescent="0.3">
      <c r="L67" s="42" t="s">
        <v>229</v>
      </c>
      <c r="M67" s="14">
        <v>170</v>
      </c>
      <c r="N67" s="14">
        <v>137700</v>
      </c>
      <c r="O67" s="14">
        <v>100000</v>
      </c>
      <c r="P67" s="14">
        <v>37700</v>
      </c>
    </row>
    <row r="68" spans="12:16" x14ac:dyDescent="0.3">
      <c r="L68" s="42" t="s">
        <v>231</v>
      </c>
      <c r="M68" s="14">
        <v>138</v>
      </c>
      <c r="N68" s="14">
        <v>80040</v>
      </c>
      <c r="O68" s="14">
        <v>0</v>
      </c>
      <c r="P68" s="14">
        <v>80040</v>
      </c>
    </row>
    <row r="69" spans="12:16" x14ac:dyDescent="0.3">
      <c r="L69" s="26">
        <v>46001</v>
      </c>
      <c r="M69" s="14"/>
      <c r="N69" s="14">
        <v>0</v>
      </c>
      <c r="O69" s="14">
        <v>227000</v>
      </c>
      <c r="P69" s="14">
        <v>-227000</v>
      </c>
    </row>
    <row r="70" spans="12:16" x14ac:dyDescent="0.3">
      <c r="L70" s="42" t="s">
        <v>103</v>
      </c>
      <c r="M70" s="14"/>
      <c r="N70" s="14">
        <v>0</v>
      </c>
      <c r="O70" s="14">
        <v>227000</v>
      </c>
      <c r="P70" s="14">
        <v>-227000</v>
      </c>
    </row>
    <row r="71" spans="12:16" x14ac:dyDescent="0.3">
      <c r="L71" s="26">
        <v>46002</v>
      </c>
      <c r="M71" s="14">
        <v>186</v>
      </c>
      <c r="N71" s="14">
        <v>150660</v>
      </c>
      <c r="O71" s="14">
        <v>240500</v>
      </c>
      <c r="P71" s="14">
        <v>-89840</v>
      </c>
    </row>
    <row r="72" spans="12:16" x14ac:dyDescent="0.3">
      <c r="L72" s="42" t="s">
        <v>103</v>
      </c>
      <c r="M72" s="14"/>
      <c r="N72" s="14">
        <v>0</v>
      </c>
      <c r="O72" s="14">
        <v>150500</v>
      </c>
      <c r="P72" s="14">
        <v>-150500</v>
      </c>
    </row>
    <row r="73" spans="12:16" x14ac:dyDescent="0.3">
      <c r="L73" s="42" t="s">
        <v>229</v>
      </c>
      <c r="M73" s="14">
        <v>186</v>
      </c>
      <c r="N73" s="14">
        <v>150660</v>
      </c>
      <c r="O73" s="14">
        <v>90000</v>
      </c>
      <c r="P73" s="14">
        <v>60660</v>
      </c>
    </row>
    <row r="74" spans="12:16" x14ac:dyDescent="0.3">
      <c r="L74" s="26">
        <v>46003</v>
      </c>
      <c r="M74" s="14">
        <v>137</v>
      </c>
      <c r="N74" s="14">
        <v>79460</v>
      </c>
      <c r="O74" s="14">
        <v>190000</v>
      </c>
      <c r="P74" s="14">
        <v>-110540</v>
      </c>
    </row>
    <row r="75" spans="12:16" x14ac:dyDescent="0.3">
      <c r="L75" s="42" t="s">
        <v>103</v>
      </c>
      <c r="M75" s="14"/>
      <c r="N75" s="14">
        <v>0</v>
      </c>
      <c r="O75" s="14">
        <v>190000</v>
      </c>
      <c r="P75" s="14">
        <v>-190000</v>
      </c>
    </row>
    <row r="76" spans="12:16" x14ac:dyDescent="0.3">
      <c r="L76" s="42" t="s">
        <v>231</v>
      </c>
      <c r="M76" s="14">
        <v>137</v>
      </c>
      <c r="N76" s="14">
        <v>79460</v>
      </c>
      <c r="O76" s="14">
        <v>0</v>
      </c>
      <c r="P76" s="14">
        <v>79460</v>
      </c>
    </row>
    <row r="77" spans="12:16" x14ac:dyDescent="0.3">
      <c r="L77" s="26">
        <v>46005</v>
      </c>
      <c r="M77" s="14">
        <v>273</v>
      </c>
      <c r="N77" s="14">
        <v>215190</v>
      </c>
      <c r="O77" s="14">
        <v>40000</v>
      </c>
      <c r="P77" s="14">
        <v>175190</v>
      </c>
    </row>
    <row r="78" spans="12:16" x14ac:dyDescent="0.3">
      <c r="L78" s="42" t="s">
        <v>229</v>
      </c>
      <c r="M78" s="14">
        <v>207</v>
      </c>
      <c r="N78" s="14">
        <v>167670</v>
      </c>
      <c r="O78" s="14">
        <v>0</v>
      </c>
      <c r="P78" s="14">
        <v>167670</v>
      </c>
    </row>
    <row r="79" spans="12:16" x14ac:dyDescent="0.3">
      <c r="L79" s="42">
        <v>8618</v>
      </c>
      <c r="M79" s="14">
        <v>66</v>
      </c>
      <c r="N79" s="14">
        <v>47520</v>
      </c>
      <c r="O79" s="14">
        <v>40000</v>
      </c>
      <c r="P79" s="14">
        <v>7520</v>
      </c>
    </row>
    <row r="80" spans="12:16" x14ac:dyDescent="0.3">
      <c r="L80" s="26">
        <v>46004</v>
      </c>
      <c r="M80" s="14">
        <v>140</v>
      </c>
      <c r="N80" s="14">
        <v>81200</v>
      </c>
      <c r="O80" s="14">
        <v>0</v>
      </c>
      <c r="P80" s="14">
        <v>81200</v>
      </c>
    </row>
    <row r="81" spans="12:16" x14ac:dyDescent="0.3">
      <c r="L81" s="42" t="s">
        <v>231</v>
      </c>
      <c r="M81" s="14">
        <v>140</v>
      </c>
      <c r="N81" s="14">
        <v>81200</v>
      </c>
      <c r="O81" s="14">
        <v>0</v>
      </c>
      <c r="P81" s="14">
        <v>81200</v>
      </c>
    </row>
    <row r="82" spans="12:16" x14ac:dyDescent="0.3">
      <c r="L82" s="26">
        <v>46006</v>
      </c>
      <c r="M82" s="14">
        <v>634</v>
      </c>
      <c r="N82" s="14">
        <v>409120</v>
      </c>
      <c r="O82" s="14">
        <v>250000</v>
      </c>
      <c r="P82" s="14">
        <v>159120</v>
      </c>
    </row>
    <row r="83" spans="12:16" x14ac:dyDescent="0.3">
      <c r="L83" s="42" t="s">
        <v>103</v>
      </c>
      <c r="M83" s="14"/>
      <c r="N83" s="14">
        <v>0</v>
      </c>
      <c r="O83" s="14">
        <v>150000</v>
      </c>
      <c r="P83" s="14">
        <v>-150000</v>
      </c>
    </row>
    <row r="84" spans="12:16" x14ac:dyDescent="0.3">
      <c r="L84" s="42" t="s">
        <v>206</v>
      </c>
      <c r="M84" s="14">
        <v>76</v>
      </c>
      <c r="N84" s="14">
        <v>44080</v>
      </c>
      <c r="O84" s="14">
        <v>0</v>
      </c>
      <c r="P84" s="14">
        <v>44080</v>
      </c>
    </row>
    <row r="85" spans="12:16" x14ac:dyDescent="0.3">
      <c r="L85" s="42" t="s">
        <v>229</v>
      </c>
      <c r="M85" s="14">
        <v>180</v>
      </c>
      <c r="N85" s="14">
        <v>145800</v>
      </c>
      <c r="O85" s="14"/>
      <c r="P85" s="14">
        <v>145800</v>
      </c>
    </row>
    <row r="86" spans="12:16" x14ac:dyDescent="0.3">
      <c r="L86" s="42" t="s">
        <v>239</v>
      </c>
      <c r="M86" s="14">
        <v>378</v>
      </c>
      <c r="N86" s="14">
        <v>219240</v>
      </c>
      <c r="O86" s="14">
        <v>100000</v>
      </c>
      <c r="P86" s="14">
        <v>119240</v>
      </c>
    </row>
    <row r="87" spans="12:16" x14ac:dyDescent="0.3">
      <c r="L87" s="26">
        <v>46007</v>
      </c>
      <c r="M87" s="14">
        <v>596</v>
      </c>
      <c r="N87" s="14">
        <v>482760</v>
      </c>
      <c r="O87" s="14">
        <v>411172</v>
      </c>
      <c r="P87" s="14">
        <v>71588</v>
      </c>
    </row>
    <row r="88" spans="12:16" x14ac:dyDescent="0.3">
      <c r="L88" s="42" t="s">
        <v>103</v>
      </c>
      <c r="M88" s="14"/>
      <c r="N88" s="14">
        <v>0</v>
      </c>
      <c r="O88" s="14">
        <v>152072</v>
      </c>
      <c r="P88" s="14">
        <v>-152072</v>
      </c>
    </row>
    <row r="89" spans="12:16" x14ac:dyDescent="0.3">
      <c r="L89" s="42" t="s">
        <v>198</v>
      </c>
      <c r="M89" s="14">
        <v>363</v>
      </c>
      <c r="N89" s="14">
        <v>294030</v>
      </c>
      <c r="O89" s="14">
        <v>211500</v>
      </c>
      <c r="P89" s="14">
        <v>82530</v>
      </c>
    </row>
    <row r="90" spans="12:16" x14ac:dyDescent="0.3">
      <c r="L90" s="42" t="s">
        <v>242</v>
      </c>
      <c r="M90" s="14">
        <v>233</v>
      </c>
      <c r="N90" s="14">
        <v>188730</v>
      </c>
      <c r="O90" s="14">
        <v>47600</v>
      </c>
      <c r="P90" s="14">
        <v>141130</v>
      </c>
    </row>
    <row r="91" spans="12:16" x14ac:dyDescent="0.3">
      <c r="L91" s="26">
        <v>46008</v>
      </c>
      <c r="M91" s="14">
        <v>146</v>
      </c>
      <c r="N91" s="14">
        <v>84680</v>
      </c>
      <c r="O91" s="14">
        <v>342000</v>
      </c>
      <c r="P91" s="14">
        <v>-257320</v>
      </c>
    </row>
    <row r="92" spans="12:16" x14ac:dyDescent="0.3">
      <c r="L92" s="42" t="s">
        <v>103</v>
      </c>
      <c r="M92" s="14"/>
      <c r="N92" s="14">
        <v>0</v>
      </c>
      <c r="O92" s="14">
        <v>342000</v>
      </c>
      <c r="P92" s="14">
        <v>-342000</v>
      </c>
    </row>
    <row r="93" spans="12:16" x14ac:dyDescent="0.3">
      <c r="L93" s="42" t="s">
        <v>231</v>
      </c>
      <c r="M93" s="14">
        <v>146</v>
      </c>
      <c r="N93" s="14">
        <v>84680</v>
      </c>
      <c r="O93" s="14">
        <v>0</v>
      </c>
      <c r="P93" s="14">
        <v>84680</v>
      </c>
    </row>
    <row r="94" spans="12:16" x14ac:dyDescent="0.3">
      <c r="L94" s="26" t="s">
        <v>28</v>
      </c>
      <c r="M94" s="14">
        <v>8970</v>
      </c>
      <c r="N94" s="14">
        <v>6752410</v>
      </c>
      <c r="O94" s="14">
        <v>6809035</v>
      </c>
      <c r="P94" s="14">
        <v>3267828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zoomScale="160" workbookViewId="0">
      <selection activeCell="D4" sqref="D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252</v>
      </c>
      <c r="C2" s="11"/>
      <c r="D2" s="87">
        <f ca="1">[1]Cashbook!$N$5</f>
        <v>727497</v>
      </c>
      <c r="E2" s="81"/>
      <c r="F2" s="88" t="s">
        <v>108</v>
      </c>
    </row>
    <row r="3" spans="1:16" x14ac:dyDescent="0.3">
      <c r="A3" s="86">
        <v>46008</v>
      </c>
      <c r="B3" s="81" t="s">
        <v>252</v>
      </c>
      <c r="C3" s="11"/>
      <c r="D3" s="87">
        <f ca="1">[1]Cashbook!$N$6</f>
        <v>-610916</v>
      </c>
      <c r="E3" s="81"/>
      <c r="F3" s="88" t="s">
        <v>109</v>
      </c>
      <c r="J3" s="47" t="s">
        <v>45</v>
      </c>
      <c r="K3" s="35" t="s">
        <v>46</v>
      </c>
      <c r="M3" s="47" t="s">
        <v>45</v>
      </c>
      <c r="N3" s="50" t="s">
        <v>104</v>
      </c>
      <c r="O3" s="89" t="s">
        <v>105</v>
      </c>
      <c r="P3" t="s">
        <v>106</v>
      </c>
    </row>
    <row r="4" spans="1:16" x14ac:dyDescent="0.3">
      <c r="A4" s="118"/>
      <c r="C4" s="11"/>
      <c r="D4" s="11"/>
      <c r="F4" s="111"/>
      <c r="J4" s="45" t="s">
        <v>70</v>
      </c>
      <c r="K4" s="46">
        <f>Table14[[#Totals],[Debit]]</f>
        <v>0</v>
      </c>
      <c r="M4" s="45" t="s">
        <v>107</v>
      </c>
      <c r="N4" s="51">
        <f>SUMIFS(Table14[Withdrawal],Table14[Party],"Cash",Table14[Mode],"Transfer")</f>
        <v>0</v>
      </c>
    </row>
    <row r="5" spans="1:16" x14ac:dyDescent="0.3">
      <c r="A5" s="119"/>
      <c r="B5" s="113"/>
      <c r="C5" s="96"/>
      <c r="D5" s="96"/>
      <c r="E5" s="113"/>
      <c r="F5" s="120"/>
      <c r="G5" s="113"/>
      <c r="J5" s="45" t="s">
        <v>69</v>
      </c>
      <c r="K5" s="46">
        <f ca="1">Table14[[#Totals],[Credit]]</f>
        <v>116581</v>
      </c>
      <c r="M5" s="45" t="s">
        <v>108</v>
      </c>
      <c r="N5" s="46">
        <f ca="1">(SUMIFS(Table14[Credit],Table14[Mode],"Bank")-SUMIFS(Table14[Debit],Table14[Mode],"Bank")-SUMIFS(Table14[Withdrawal],Table14[Mode],"Transfer"))</f>
        <v>727497</v>
      </c>
      <c r="O5">
        <v>360000</v>
      </c>
    </row>
    <row r="6" spans="1:16" x14ac:dyDescent="0.3">
      <c r="A6" s="38"/>
      <c r="C6" s="14">
        <f>SUBTOTAL(109,Table14[Debit])</f>
        <v>0</v>
      </c>
      <c r="D6" s="14">
        <f ca="1">SUBTOTAL(109,Table14[Credit])</f>
        <v>116581</v>
      </c>
      <c r="F6" s="54">
        <f ca="1">(Table14[[#Totals],[Credit]]-Table14[[#Totals],[Debit]])</f>
        <v>116581</v>
      </c>
      <c r="J6" s="52" t="s">
        <v>43</v>
      </c>
      <c r="K6" s="53">
        <f ca="1">(K5-K4)</f>
        <v>116581</v>
      </c>
      <c r="M6" s="45" t="s">
        <v>109</v>
      </c>
      <c r="N6" s="46">
        <f ca="1">((SUMIFS(Table14[Credit],Table14[Mode],"Cash")-SUMIFS(Table14[Debit],Table14[Mode],"Cash"))+SUMIFS(Table14[Withdrawal],Table14[Party],"Cash",Table14[Mode],"Transfer"))</f>
        <v>-610916</v>
      </c>
      <c r="O6">
        <v>50000</v>
      </c>
    </row>
    <row r="7" spans="1:16" x14ac:dyDescent="0.3">
      <c r="M7" s="48" t="s">
        <v>5</v>
      </c>
      <c r="N7" s="49">
        <f ca="1">SUM(N5:N6)</f>
        <v>116581</v>
      </c>
      <c r="O7" s="90">
        <f>SUM(O5,O6)</f>
        <v>410000</v>
      </c>
      <c r="P7" s="14">
        <f ca="1">Table18[[#Totals],[amount]]-Table18[[#Totals],[Actual]]</f>
        <v>-293419</v>
      </c>
    </row>
    <row r="163" spans="10:12" x14ac:dyDescent="0.3">
      <c r="J163" s="3" t="s">
        <v>6</v>
      </c>
      <c r="K163" t="s">
        <v>118</v>
      </c>
      <c r="L163" t="s">
        <v>119</v>
      </c>
    </row>
    <row r="164" spans="10:12" x14ac:dyDescent="0.3">
      <c r="J164" s="4" t="s">
        <v>197</v>
      </c>
      <c r="K164" s="14"/>
      <c r="L164" s="14">
        <v>541500</v>
      </c>
    </row>
    <row r="165" spans="10:12" x14ac:dyDescent="0.3">
      <c r="J165" s="4" t="s">
        <v>9</v>
      </c>
      <c r="K165" s="14">
        <v>1900000</v>
      </c>
      <c r="L165" s="14"/>
    </row>
    <row r="166" spans="10:12" x14ac:dyDescent="0.3">
      <c r="J166" s="4" t="s">
        <v>21</v>
      </c>
      <c r="K166" s="14">
        <v>1339058</v>
      </c>
      <c r="L166" s="14"/>
    </row>
    <row r="167" spans="10:12" x14ac:dyDescent="0.3">
      <c r="J167" s="4" t="s">
        <v>117</v>
      </c>
      <c r="K167" s="14"/>
      <c r="L167" s="14">
        <v>24000</v>
      </c>
    </row>
    <row r="168" spans="10:12" x14ac:dyDescent="0.3">
      <c r="J168" s="4" t="s">
        <v>94</v>
      </c>
      <c r="K168" s="14"/>
      <c r="L168" s="14">
        <v>4185913</v>
      </c>
    </row>
    <row r="169" spans="10:12" x14ac:dyDescent="0.3">
      <c r="J169" s="4" t="s">
        <v>204</v>
      </c>
      <c r="K169" s="14"/>
      <c r="L169" s="14">
        <v>38648</v>
      </c>
    </row>
    <row r="170" spans="10:12" x14ac:dyDescent="0.3">
      <c r="J170" s="4" t="s">
        <v>55</v>
      </c>
      <c r="K170" s="14"/>
      <c r="L170" s="14">
        <v>405764</v>
      </c>
    </row>
    <row r="171" spans="10:12" x14ac:dyDescent="0.3">
      <c r="J171" s="4" t="s">
        <v>113</v>
      </c>
      <c r="K171" s="14"/>
      <c r="L171" s="14">
        <v>163990</v>
      </c>
    </row>
    <row r="172" spans="10:12" x14ac:dyDescent="0.3">
      <c r="J172" s="4" t="s">
        <v>194</v>
      </c>
      <c r="K172" s="14"/>
      <c r="L172" s="14">
        <v>1123850</v>
      </c>
    </row>
    <row r="173" spans="10:12" x14ac:dyDescent="0.3">
      <c r="J173" s="4" t="s">
        <v>54</v>
      </c>
      <c r="K173" s="14">
        <v>12700</v>
      </c>
      <c r="L173" s="14">
        <v>201080</v>
      </c>
    </row>
    <row r="174" spans="10:12" x14ac:dyDescent="0.3">
      <c r="J174" s="4" t="s">
        <v>179</v>
      </c>
      <c r="K174" s="14"/>
      <c r="L174" s="14">
        <v>177878</v>
      </c>
    </row>
    <row r="175" spans="10:12" x14ac:dyDescent="0.3">
      <c r="J175" s="4" t="s">
        <v>236</v>
      </c>
      <c r="K175" s="14"/>
      <c r="L175" s="14">
        <v>2000</v>
      </c>
    </row>
    <row r="176" spans="10:12" x14ac:dyDescent="0.3">
      <c r="J176" s="4" t="s">
        <v>176</v>
      </c>
      <c r="K176" s="14">
        <v>128092</v>
      </c>
      <c r="L176" s="14">
        <v>19470</v>
      </c>
    </row>
    <row r="177" spans="10:12" x14ac:dyDescent="0.3">
      <c r="J177" s="4" t="s">
        <v>199</v>
      </c>
      <c r="K177" s="14">
        <v>700000</v>
      </c>
      <c r="L177" s="14"/>
    </row>
    <row r="178" spans="10:12" x14ac:dyDescent="0.3">
      <c r="J178" s="4" t="s">
        <v>103</v>
      </c>
      <c r="K178" s="14"/>
      <c r="L178" s="14"/>
    </row>
    <row r="179" spans="10:12" x14ac:dyDescent="0.3">
      <c r="J179" s="4" t="s">
        <v>25</v>
      </c>
      <c r="K179" s="14">
        <v>1853061</v>
      </c>
      <c r="L179" s="14"/>
    </row>
    <row r="180" spans="10:12" x14ac:dyDescent="0.3">
      <c r="J180" s="4" t="s">
        <v>27</v>
      </c>
      <c r="K180" s="14">
        <v>605980</v>
      </c>
      <c r="L180" s="14"/>
    </row>
    <row r="181" spans="10:12" x14ac:dyDescent="0.3">
      <c r="J181" s="4" t="s">
        <v>115</v>
      </c>
      <c r="K181" s="14"/>
      <c r="L181" s="14">
        <v>240125</v>
      </c>
    </row>
    <row r="182" spans="10:12" x14ac:dyDescent="0.3">
      <c r="J182" s="4" t="s">
        <v>35</v>
      </c>
      <c r="K182" s="14">
        <v>10040</v>
      </c>
      <c r="L182" s="14"/>
    </row>
    <row r="183" spans="10:12" x14ac:dyDescent="0.3">
      <c r="J183" s="4" t="s">
        <v>234</v>
      </c>
      <c r="K183" s="14">
        <v>200000</v>
      </c>
      <c r="L183" s="14"/>
    </row>
    <row r="184" spans="10:12" x14ac:dyDescent="0.3">
      <c r="J184" s="4" t="s">
        <v>149</v>
      </c>
      <c r="K184" s="14"/>
      <c r="L184" s="14">
        <v>90000</v>
      </c>
    </row>
    <row r="185" spans="10:12" x14ac:dyDescent="0.3">
      <c r="J185" s="4" t="s">
        <v>152</v>
      </c>
      <c r="K185" s="14">
        <v>1705000</v>
      </c>
      <c r="L185" s="14"/>
    </row>
    <row r="186" spans="10:12" x14ac:dyDescent="0.3">
      <c r="J186" s="4" t="s">
        <v>166</v>
      </c>
      <c r="K186" s="14">
        <v>925217</v>
      </c>
      <c r="L186" s="14"/>
    </row>
    <row r="187" spans="10:12" x14ac:dyDescent="0.3">
      <c r="J187" s="4" t="s">
        <v>193</v>
      </c>
      <c r="K187" s="14"/>
      <c r="L187" s="14">
        <v>728572</v>
      </c>
    </row>
    <row r="188" spans="10:12" x14ac:dyDescent="0.3">
      <c r="J188" s="4" t="s">
        <v>172</v>
      </c>
      <c r="K188" s="14"/>
      <c r="L188" s="14">
        <v>201000</v>
      </c>
    </row>
    <row r="189" spans="10:12" x14ac:dyDescent="0.3">
      <c r="J189" s="4" t="s">
        <v>201</v>
      </c>
      <c r="K189" s="14">
        <v>4261717</v>
      </c>
      <c r="L189" s="14">
        <v>5526426</v>
      </c>
    </row>
    <row r="190" spans="10:12" x14ac:dyDescent="0.3">
      <c r="J190" s="4" t="s">
        <v>177</v>
      </c>
      <c r="K190" s="14">
        <v>2000000</v>
      </c>
      <c r="L190" s="14"/>
    </row>
    <row r="191" spans="10:12" x14ac:dyDescent="0.3">
      <c r="J191" s="4" t="s">
        <v>178</v>
      </c>
      <c r="K191" s="14"/>
      <c r="L191" s="14">
        <v>1223450</v>
      </c>
    </row>
    <row r="192" spans="10:12" x14ac:dyDescent="0.3">
      <c r="J192" s="4" t="s">
        <v>200</v>
      </c>
      <c r="K192" s="14">
        <v>1500000</v>
      </c>
      <c r="L192" s="14"/>
    </row>
    <row r="193" spans="10:12" x14ac:dyDescent="0.3">
      <c r="J193" s="4" t="s">
        <v>173</v>
      </c>
      <c r="K193" s="14">
        <v>120205</v>
      </c>
      <c r="L193" s="14"/>
    </row>
    <row r="194" spans="10:12" x14ac:dyDescent="0.3">
      <c r="J194" s="4" t="s">
        <v>184</v>
      </c>
      <c r="K194" s="14"/>
      <c r="L194" s="14">
        <v>4000</v>
      </c>
    </row>
    <row r="195" spans="10:12" x14ac:dyDescent="0.3">
      <c r="J195" s="4" t="s">
        <v>185</v>
      </c>
      <c r="K195" s="14"/>
      <c r="L195" s="14">
        <v>94375</v>
      </c>
    </row>
    <row r="196" spans="10:12" x14ac:dyDescent="0.3">
      <c r="J196" s="4" t="s">
        <v>192</v>
      </c>
      <c r="K196" s="14">
        <v>-1257831</v>
      </c>
      <c r="L196" s="14"/>
    </row>
    <row r="197" spans="10:12" x14ac:dyDescent="0.3">
      <c r="J197" s="4" t="s">
        <v>51</v>
      </c>
      <c r="K197" s="14"/>
      <c r="L197" s="14">
        <v>1803475</v>
      </c>
    </row>
    <row r="198" spans="10:12" x14ac:dyDescent="0.3">
      <c r="J198" s="4" t="s">
        <v>148</v>
      </c>
      <c r="K198" s="14">
        <v>130000</v>
      </c>
      <c r="L198" s="14"/>
    </row>
    <row r="199" spans="10:12" x14ac:dyDescent="0.3">
      <c r="J199" s="4" t="s">
        <v>210</v>
      </c>
      <c r="K199" s="14"/>
      <c r="L199" s="14">
        <v>624000</v>
      </c>
    </row>
    <row r="200" spans="10:12" x14ac:dyDescent="0.3">
      <c r="J200" s="4" t="s">
        <v>213</v>
      </c>
      <c r="K200" s="14">
        <v>16200</v>
      </c>
      <c r="L200" s="14">
        <v>73000</v>
      </c>
    </row>
    <row r="201" spans="10:12" x14ac:dyDescent="0.3">
      <c r="J201" s="4" t="s">
        <v>215</v>
      </c>
      <c r="K201" s="14">
        <v>790500</v>
      </c>
      <c r="L201" s="14"/>
    </row>
    <row r="202" spans="10:12" x14ac:dyDescent="0.3">
      <c r="J202" s="4" t="s">
        <v>217</v>
      </c>
      <c r="K202" s="14"/>
      <c r="L202" s="14">
        <v>85000</v>
      </c>
    </row>
    <row r="203" spans="10:12" x14ac:dyDescent="0.3">
      <c r="J203" s="4" t="s">
        <v>220</v>
      </c>
      <c r="K203" s="14">
        <v>1468325</v>
      </c>
      <c r="L203" s="14"/>
    </row>
    <row r="204" spans="10:12" x14ac:dyDescent="0.3">
      <c r="J204" s="4" t="s">
        <v>225</v>
      </c>
      <c r="K204" s="14">
        <v>124560</v>
      </c>
      <c r="L204" s="14"/>
    </row>
    <row r="205" spans="10:12" x14ac:dyDescent="0.3">
      <c r="J205" s="4" t="s">
        <v>221</v>
      </c>
      <c r="K205" s="14"/>
      <c r="L205" s="14">
        <v>1167550</v>
      </c>
    </row>
    <row r="206" spans="10:12" x14ac:dyDescent="0.3">
      <c r="J206" s="4" t="s">
        <v>216</v>
      </c>
      <c r="K206" s="14">
        <v>424323</v>
      </c>
      <c r="L206" s="14"/>
    </row>
    <row r="207" spans="10:12" x14ac:dyDescent="0.3">
      <c r="J207" s="4" t="s">
        <v>226</v>
      </c>
      <c r="K207" s="14"/>
      <c r="L207" s="14">
        <v>432000</v>
      </c>
    </row>
    <row r="208" spans="10:12" x14ac:dyDescent="0.3">
      <c r="J208" s="4" t="s">
        <v>240</v>
      </c>
      <c r="K208" s="14">
        <v>250000</v>
      </c>
      <c r="L208" s="14"/>
    </row>
    <row r="209" spans="10:12" x14ac:dyDescent="0.3">
      <c r="J209" s="4" t="s">
        <v>28</v>
      </c>
      <c r="K209" s="14">
        <v>19207147</v>
      </c>
      <c r="L209" s="14">
        <v>19177066</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11" zoomScale="93" zoomScaleNormal="210" workbookViewId="0">
      <selection activeCell="I12" sqref="I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190</v>
      </c>
      <c r="K2" t="s">
        <v>75</v>
      </c>
      <c r="L2" t="s">
        <v>45</v>
      </c>
      <c r="M2" t="s">
        <v>36</v>
      </c>
      <c r="N2" t="s">
        <v>5</v>
      </c>
    </row>
    <row r="3" spans="1:14" x14ac:dyDescent="0.3">
      <c r="A3" s="95">
        <v>46008</v>
      </c>
      <c r="B3" s="82" t="s">
        <v>64</v>
      </c>
      <c r="C3" s="81"/>
      <c r="D3" s="81"/>
      <c r="E3" s="81"/>
      <c r="F3" s="81" t="s">
        <v>178</v>
      </c>
      <c r="G3" s="82">
        <f>SUMIFS(Table14[Debit], Table14[Date], Table8[[#This Row],[Date]], Table14[Party], Table8[[#This Row],[Party]])</f>
        <v>0</v>
      </c>
      <c r="H3" s="82">
        <v>0</v>
      </c>
      <c r="I3" s="82" t="s">
        <v>190</v>
      </c>
      <c r="K3" s="1"/>
      <c r="L3" t="s">
        <v>124</v>
      </c>
      <c r="N3" s="11">
        <f t="shared" ref="N3" si="0">47000+28750</f>
        <v>75750</v>
      </c>
    </row>
    <row r="4" spans="1:14" x14ac:dyDescent="0.3">
      <c r="A4" s="85">
        <v>46008</v>
      </c>
      <c r="B4" s="82" t="s">
        <v>64</v>
      </c>
      <c r="F4" s="81" t="s">
        <v>185</v>
      </c>
      <c r="G4" s="82">
        <f>SUMIFS(Table14[Debit], Table14[Date], Table8[[#This Row],[Date]], Table14[Party], Table8[[#This Row],[Party]])</f>
        <v>0</v>
      </c>
      <c r="H4" s="82">
        <v>0</v>
      </c>
      <c r="I4" s="82" t="s">
        <v>190</v>
      </c>
      <c r="K4" s="1"/>
      <c r="N4" s="11"/>
    </row>
    <row r="5" spans="1:14" x14ac:dyDescent="0.3">
      <c r="A5" s="95">
        <v>46008</v>
      </c>
      <c r="B5" s="82" t="s">
        <v>64</v>
      </c>
      <c r="D5" s="121"/>
      <c r="F5" t="s">
        <v>217</v>
      </c>
      <c r="G5" s="82">
        <f>SUMIFS(Table14[Debit], Table14[Date], Table8[[#This Row],[Date]], Table14[Party], Table8[[#This Row],[Party]])</f>
        <v>0</v>
      </c>
      <c r="H5" s="82">
        <v>0</v>
      </c>
      <c r="I5" s="82" t="s">
        <v>190</v>
      </c>
      <c r="K5" s="1"/>
      <c r="N5" s="14">
        <f>SUM(Table7[Total])</f>
        <v>75750</v>
      </c>
    </row>
    <row r="6" spans="1:14" x14ac:dyDescent="0.3">
      <c r="D6" s="121"/>
      <c r="G6" s="121">
        <f>SUMIFS(Table14[Debit], Table14[Date], Table8[[#This Row],[Date]], Table14[Party], Table8[[#This Row],[Party]])</f>
        <v>0</v>
      </c>
      <c r="H6" s="121">
        <f>Table8[[#This Row],[Price]]-Table8[[#This Row],[Paid]]</f>
        <v>0</v>
      </c>
    </row>
    <row r="7" spans="1:14" x14ac:dyDescent="0.3">
      <c r="D7" s="121"/>
      <c r="G7" s="121">
        <f>SUMIFS(Table14[Debit], Table14[Date], Table8[[#This Row],[Date]], Table14[Party], Table8[[#This Row],[Party]])</f>
        <v>0</v>
      </c>
      <c r="H7" s="121">
        <f>Table8[[#This Row],[Price]]-Table8[[#This Row],[Paid]]</f>
        <v>0</v>
      </c>
      <c r="K7" s="3" t="s">
        <v>110</v>
      </c>
      <c r="L7" t="s">
        <v>87</v>
      </c>
    </row>
    <row r="8" spans="1:14" x14ac:dyDescent="0.3">
      <c r="D8" s="121"/>
      <c r="G8" s="121">
        <f>SUMIFS(Table14[Debit], Table14[Date], Table8[[#This Row],[Date]], Table14[Party], Table8[[#This Row],[Party]])</f>
        <v>0</v>
      </c>
      <c r="H8" s="121">
        <f>Table8[[#This Row],[Price]]-Table8[[#This Row],[Paid]]</f>
        <v>0</v>
      </c>
    </row>
    <row r="9" spans="1:14" x14ac:dyDescent="0.3">
      <c r="D9" s="121"/>
      <c r="G9" s="121">
        <f>SUMIFS(Table14[Debit], Table14[Date], Table8[[#This Row],[Date]], Table14[Party], Table8[[#This Row],[Party]])</f>
        <v>0</v>
      </c>
      <c r="H9" s="121">
        <f>Table8[[#This Row],[Price]]-Table8[[#This Row],[Paid]]</f>
        <v>0</v>
      </c>
      <c r="K9" s="3" t="s">
        <v>6</v>
      </c>
      <c r="L9" t="s">
        <v>127</v>
      </c>
      <c r="M9" t="s">
        <v>128</v>
      </c>
    </row>
    <row r="10" spans="1:14" x14ac:dyDescent="0.3">
      <c r="E10">
        <f>SUBTOTAL(109,Table8[Price])</f>
        <v>0</v>
      </c>
      <c r="H10">
        <f>SUBTOTAL(109,Table8[Balance])</f>
        <v>0</v>
      </c>
      <c r="K10" s="26">
        <v>45947</v>
      </c>
      <c r="M10">
        <v>240125</v>
      </c>
    </row>
    <row r="11" spans="1:14" x14ac:dyDescent="0.3">
      <c r="K11" s="26">
        <v>45979</v>
      </c>
      <c r="M11">
        <v>0</v>
      </c>
    </row>
    <row r="12" spans="1:14" x14ac:dyDescent="0.3">
      <c r="K12" s="26">
        <v>45981</v>
      </c>
      <c r="L12">
        <v>141950</v>
      </c>
      <c r="M12">
        <v>0</v>
      </c>
    </row>
    <row r="13" spans="1:14" x14ac:dyDescent="0.3">
      <c r="K13" s="26">
        <v>45983</v>
      </c>
      <c r="L13">
        <v>158000</v>
      </c>
      <c r="M13">
        <v>0</v>
      </c>
    </row>
    <row r="14" spans="1:14" x14ac:dyDescent="0.3">
      <c r="A14" t="s">
        <v>57</v>
      </c>
      <c r="B14" t="s">
        <v>156</v>
      </c>
      <c r="C14" t="s">
        <v>157</v>
      </c>
      <c r="D14" t="s">
        <v>4</v>
      </c>
      <c r="E14" t="s">
        <v>158</v>
      </c>
      <c r="K14" s="26">
        <v>45986</v>
      </c>
      <c r="L14">
        <v>231500</v>
      </c>
      <c r="M14">
        <v>0</v>
      </c>
    </row>
    <row r="15" spans="1:14" x14ac:dyDescent="0.3">
      <c r="A15" t="s">
        <v>131</v>
      </c>
      <c r="B15">
        <v>1</v>
      </c>
      <c r="C15">
        <v>25</v>
      </c>
      <c r="D15">
        <v>1400</v>
      </c>
      <c r="E15">
        <f>Table2325[[#This Row],[boxes]]*Table2325[[#This Row],[kgs]]*Table2325[[#This Row],[Rate]]</f>
        <v>35000</v>
      </c>
      <c r="K15" s="26">
        <v>45987</v>
      </c>
      <c r="M15">
        <v>-240125</v>
      </c>
    </row>
    <row r="16" spans="1:14" x14ac:dyDescent="0.3">
      <c r="A16" t="s">
        <v>129</v>
      </c>
      <c r="B16">
        <v>1</v>
      </c>
      <c r="C16">
        <v>3</v>
      </c>
      <c r="D16">
        <v>1340</v>
      </c>
      <c r="E16">
        <f>Table2325[[#This Row],[boxes]]*Table2325[[#This Row],[kgs]]*Table2325[[#This Row],[Rate]]</f>
        <v>4020</v>
      </c>
      <c r="K16" s="26">
        <v>45988</v>
      </c>
      <c r="L16">
        <v>85000</v>
      </c>
      <c r="M16">
        <v>0</v>
      </c>
    </row>
    <row r="17" spans="1:13" x14ac:dyDescent="0.3">
      <c r="A17" t="s">
        <v>147</v>
      </c>
      <c r="B17">
        <v>1</v>
      </c>
      <c r="D17">
        <v>1120</v>
      </c>
      <c r="E17">
        <f>Table2325[[#This Row],[boxes]]*Table2325[[#This Row],[kgs]]*Table2325[[#This Row],[Rate]]</f>
        <v>0</v>
      </c>
      <c r="K17" s="26">
        <v>45990</v>
      </c>
      <c r="L17">
        <v>46000</v>
      </c>
      <c r="M17">
        <v>0</v>
      </c>
    </row>
    <row r="18" spans="1:13" x14ac:dyDescent="0.3">
      <c r="A18" t="s">
        <v>126</v>
      </c>
      <c r="B18">
        <v>1</v>
      </c>
      <c r="C18">
        <v>25</v>
      </c>
      <c r="D18">
        <v>1120</v>
      </c>
      <c r="E18">
        <f>Table2325[[#This Row],[boxes]]*Table2325[[#This Row],[kgs]]*Table2325[[#This Row],[Rate]]</f>
        <v>28000</v>
      </c>
      <c r="K18" s="26">
        <v>45993</v>
      </c>
      <c r="L18">
        <v>242450</v>
      </c>
      <c r="M18">
        <v>0</v>
      </c>
    </row>
    <row r="19" spans="1:13" x14ac:dyDescent="0.3">
      <c r="A19" t="s">
        <v>125</v>
      </c>
      <c r="B19">
        <v>1</v>
      </c>
      <c r="C19">
        <v>25</v>
      </c>
      <c r="D19">
        <v>1120</v>
      </c>
      <c r="E19">
        <f>Table2325[[#This Row],[boxes]]*Table2325[[#This Row],[kgs]]*Table2325[[#This Row],[Rate]]</f>
        <v>28000</v>
      </c>
      <c r="K19" s="26">
        <v>45995</v>
      </c>
      <c r="L19">
        <v>56000</v>
      </c>
      <c r="M19">
        <v>0</v>
      </c>
    </row>
    <row r="20" spans="1:13" x14ac:dyDescent="0.3">
      <c r="A20" t="s">
        <v>146</v>
      </c>
      <c r="B20">
        <v>1</v>
      </c>
      <c r="D20">
        <v>1300</v>
      </c>
      <c r="E20">
        <f>Table2325[[#This Row],[boxes]]*Table2325[[#This Row],[kgs]]*Table2325[[#This Row],[Rate]]</f>
        <v>0</v>
      </c>
      <c r="K20" s="26">
        <v>45992</v>
      </c>
      <c r="L20">
        <v>52000</v>
      </c>
      <c r="M20">
        <v>0</v>
      </c>
    </row>
    <row r="21" spans="1:13" x14ac:dyDescent="0.3">
      <c r="A21" t="s">
        <v>132</v>
      </c>
      <c r="B21">
        <v>1</v>
      </c>
      <c r="C21">
        <v>25</v>
      </c>
      <c r="D21">
        <v>1450</v>
      </c>
      <c r="E21">
        <f>Table2325[[#This Row],[boxes]]*Table2325[[#This Row],[kgs]]*Table2325[[#This Row],[Rate]]</f>
        <v>36250</v>
      </c>
      <c r="K21" s="26">
        <v>46002</v>
      </c>
      <c r="L21">
        <v>134750</v>
      </c>
      <c r="M21">
        <v>0</v>
      </c>
    </row>
    <row r="22" spans="1:13" x14ac:dyDescent="0.3">
      <c r="A22" t="s">
        <v>159</v>
      </c>
      <c r="B22">
        <v>1</v>
      </c>
      <c r="C22">
        <v>25</v>
      </c>
      <c r="D22">
        <v>940</v>
      </c>
      <c r="E22">
        <f>Table2325[[#This Row],[boxes]]*Table2325[[#This Row],[kgs]]*Table2325[[#This Row],[Rate]]</f>
        <v>23500</v>
      </c>
      <c r="K22" s="26">
        <v>46000</v>
      </c>
      <c r="L22">
        <v>32000</v>
      </c>
      <c r="M22">
        <v>0</v>
      </c>
    </row>
    <row r="23" spans="1:13" x14ac:dyDescent="0.3">
      <c r="A23" t="s">
        <v>125</v>
      </c>
      <c r="D23">
        <v>1130</v>
      </c>
      <c r="E23">
        <f>Table2325[[#This Row],[boxes]]*Table2325[[#This Row],[kgs]]*Table2325[[#This Row],[Rate]]</f>
        <v>0</v>
      </c>
      <c r="K23" s="26">
        <v>45997</v>
      </c>
      <c r="L23">
        <v>46000</v>
      </c>
      <c r="M23">
        <v>0</v>
      </c>
    </row>
    <row r="24" spans="1:13" x14ac:dyDescent="0.3">
      <c r="A24" t="s">
        <v>146</v>
      </c>
      <c r="B24">
        <v>1</v>
      </c>
      <c r="C24">
        <v>12</v>
      </c>
      <c r="D24">
        <v>1300</v>
      </c>
      <c r="E24">
        <f>Table2325[[#This Row],[boxes]]*Table2325[[#This Row],[kgs]]*Table2325[[#This Row],[Rate]]</f>
        <v>15600</v>
      </c>
      <c r="K24" s="26">
        <v>46003</v>
      </c>
      <c r="L24">
        <v>66500</v>
      </c>
      <c r="M24">
        <v>0</v>
      </c>
    </row>
    <row r="25" spans="1:13" x14ac:dyDescent="0.3">
      <c r="A25" t="s">
        <v>133</v>
      </c>
      <c r="B25">
        <v>1</v>
      </c>
      <c r="C25">
        <v>8</v>
      </c>
      <c r="D25">
        <v>1650</v>
      </c>
      <c r="E25">
        <f>Table2325[[#This Row],[boxes]]*Table2325[[#This Row],[kgs]]*Table2325[[#This Row],[Rate]]</f>
        <v>13200</v>
      </c>
      <c r="K25" s="26">
        <v>46007</v>
      </c>
      <c r="L25">
        <v>110675</v>
      </c>
      <c r="M25">
        <v>0</v>
      </c>
    </row>
    <row r="26" spans="1:13" x14ac:dyDescent="0.3">
      <c r="A26" t="s">
        <v>129</v>
      </c>
      <c r="D26">
        <v>1340</v>
      </c>
      <c r="E26">
        <f>Table2325[[#This Row],[boxes]]*Table2325[[#This Row],[kgs]]*Table2325[[#This Row],[Rate]]</f>
        <v>0</v>
      </c>
      <c r="K26" s="4" t="s">
        <v>28</v>
      </c>
      <c r="L26">
        <v>1402825</v>
      </c>
      <c r="M26">
        <v>0</v>
      </c>
    </row>
    <row r="27" spans="1:13" x14ac:dyDescent="0.3">
      <c r="A27" t="s">
        <v>132</v>
      </c>
      <c r="B27">
        <v>1</v>
      </c>
      <c r="C27">
        <v>12</v>
      </c>
      <c r="D27">
        <v>1450</v>
      </c>
      <c r="E27">
        <f>Table2325[[#This Row],[boxes]]*Table2325[[#This Row],[kgs]]*Table2325[[#This Row],[Rate]]</f>
        <v>17400</v>
      </c>
    </row>
    <row r="28" spans="1:13" x14ac:dyDescent="0.3">
      <c r="A28" t="s">
        <v>131</v>
      </c>
      <c r="B28">
        <v>1</v>
      </c>
      <c r="C28">
        <v>4</v>
      </c>
      <c r="D28">
        <v>1400</v>
      </c>
      <c r="E28">
        <f>Table2325[[#This Row],[boxes]]*Table2325[[#This Row],[kgs]]*Table2325[[#This Row],[Rate]]</f>
        <v>5600</v>
      </c>
    </row>
    <row r="29" spans="1:13" x14ac:dyDescent="0.3">
      <c r="A29" t="s">
        <v>160</v>
      </c>
      <c r="D29">
        <v>1000</v>
      </c>
      <c r="E29">
        <f>Table2325[[#This Row],[boxes]]*Table2325[[#This Row],[kgs]]*Table2325[[#This Row],[Rate]]</f>
        <v>0</v>
      </c>
    </row>
    <row r="30" spans="1:13" x14ac:dyDescent="0.3">
      <c r="A30" t="s">
        <v>130</v>
      </c>
      <c r="B30">
        <v>1</v>
      </c>
      <c r="C30">
        <v>12</v>
      </c>
      <c r="D30">
        <v>1650</v>
      </c>
      <c r="E30">
        <f>Table2325[[#This Row],[boxes]]*Table2325[[#This Row],[kgs]]*Table2325[[#This Row],[Rate]]</f>
        <v>19800</v>
      </c>
    </row>
    <row r="31" spans="1:13" x14ac:dyDescent="0.3">
      <c r="A31" t="s">
        <v>114</v>
      </c>
      <c r="D31">
        <v>1130</v>
      </c>
      <c r="E31">
        <f>Table2325[[#This Row],[boxes]]*Table2325[[#This Row],[kgs]]*Table2325[[#This Row],[Rate]]</f>
        <v>0</v>
      </c>
    </row>
    <row r="32" spans="1:13"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191</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5</v>
      </c>
      <c r="O40">
        <v>1450</v>
      </c>
      <c r="P40">
        <f>Table23[[#This Row],[boxes]]*Table23[[#This Row],[kgs]]*Table23[[#This Row],[Rate]]</f>
        <v>7250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208660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1" sqref="D2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252</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252</v>
      </c>
      <c r="D6" s="82"/>
      <c r="E6" s="82"/>
      <c r="F6" s="82">
        <f>Table2[[#This Row],[Quantity]]*200*Table2[[#This Row],[Boxes]]</f>
        <v>0</v>
      </c>
      <c r="G6" s="82">
        <f>SUMIFS(Table14[Debit], Table14[Date], Table2[[#This Row],[Date]], Table14[Party], Table2[[#This Row],[Party Name]],Table14[Description],Table2[[#This Row],[Item]])</f>
        <v>0</v>
      </c>
      <c r="H6" s="82">
        <v>268000</v>
      </c>
      <c r="J6" s="4" t="s">
        <v>116</v>
      </c>
      <c r="K6">
        <v>269000</v>
      </c>
      <c r="L6">
        <v>0</v>
      </c>
      <c r="M6">
        <v>268000</v>
      </c>
    </row>
    <row r="7" spans="1:13" x14ac:dyDescent="0.3">
      <c r="A7" s="85">
        <v>46008</v>
      </c>
      <c r="B7" s="85" t="s">
        <v>165</v>
      </c>
      <c r="C7" s="82" t="s">
        <v>252</v>
      </c>
      <c r="F7" s="82">
        <f>Table2[[#This Row],[Quantity]]*200*Table2[[#This Row],[Boxes]]</f>
        <v>0</v>
      </c>
      <c r="G7" s="82">
        <f>SUMIFS(Table14[Debit], Table14[Date], Table2[[#This Row],[Date]], Table14[Party], Table2[[#This Row],[Party Name]],Table14[Description],Table2[[#This Row],[Item]])</f>
        <v>0</v>
      </c>
      <c r="H7" s="81">
        <v>0</v>
      </c>
      <c r="J7" s="4" t="s">
        <v>117</v>
      </c>
      <c r="K7">
        <v>24000</v>
      </c>
      <c r="L7">
        <v>24000</v>
      </c>
      <c r="M7">
        <v>0</v>
      </c>
    </row>
    <row r="8" spans="1:13" x14ac:dyDescent="0.3">
      <c r="A8" s="85">
        <v>46008</v>
      </c>
      <c r="B8" s="95" t="s">
        <v>209</v>
      </c>
      <c r="C8" s="82" t="s">
        <v>252</v>
      </c>
      <c r="F8" s="82">
        <f>Table2[[#This Row],[Quantity]]*200*Table2[[#This Row],[Boxes]]</f>
        <v>0</v>
      </c>
      <c r="G8" s="82">
        <f>SUMIFS(Table14[Debit], Table14[Date], Table2[[#This Row],[Date]], Table14[Party], Table2[[#This Row],[Party Name]],Table14[Description],Table2[[#This Row],[Item]])</f>
        <v>0</v>
      </c>
      <c r="H8" s="81">
        <v>224000</v>
      </c>
      <c r="J8" s="4" t="s">
        <v>165</v>
      </c>
      <c r="K8">
        <v>0</v>
      </c>
      <c r="L8">
        <v>0</v>
      </c>
      <c r="M8">
        <v>0</v>
      </c>
    </row>
    <row r="9" spans="1:13" x14ac:dyDescent="0.3">
      <c r="A9" s="122">
        <v>46008</v>
      </c>
      <c r="B9" s="122" t="s">
        <v>219</v>
      </c>
      <c r="C9" s="88" t="s">
        <v>252</v>
      </c>
      <c r="F9" s="82">
        <f>Table2[[#This Row],[Quantity]]*200*Table2[[#This Row],[Boxes]]</f>
        <v>0</v>
      </c>
      <c r="G9" s="82">
        <f>SUMIFS(Table14[Debit], Table14[Date], Table2[[#This Row],[Date]], Table14[Party], Table2[[#This Row],[Party Name]],Table14[Description],Table2[[#This Row],[Item]])</f>
        <v>0</v>
      </c>
      <c r="H9" s="81">
        <f>Table2[[#This Row],[Price]]-Table2[[#This Row],[Paid]]</f>
        <v>0</v>
      </c>
      <c r="J9" s="4" t="s">
        <v>209</v>
      </c>
      <c r="K9">
        <v>0</v>
      </c>
      <c r="L9">
        <v>400000</v>
      </c>
      <c r="M9">
        <v>224000</v>
      </c>
    </row>
    <row r="10" spans="1:13" x14ac:dyDescent="0.3">
      <c r="A10" s="1"/>
      <c r="B10" s="1"/>
      <c r="F10">
        <f>Table2[[#This Row],[Quantity]]*200*Table2[[#This Row],[Boxes]]</f>
        <v>0</v>
      </c>
      <c r="G10">
        <f>SUMIFS(Table14[Debit], Table14[Date], Table2[[#This Row],[Date]], Table14[Party], Table2[[#This Row],[Party Name]],Table14[Description],Table2[[#This Row],[Item]])</f>
        <v>0</v>
      </c>
      <c r="H10">
        <f>Table2[[#This Row],[Price]]-Table2[[#This Row],[Paid]]</f>
        <v>0</v>
      </c>
      <c r="J10" s="4" t="s">
        <v>219</v>
      </c>
      <c r="K10">
        <v>52000</v>
      </c>
      <c r="L10">
        <v>52000</v>
      </c>
      <c r="M10">
        <v>0</v>
      </c>
    </row>
    <row r="11" spans="1:13" x14ac:dyDescent="0.3">
      <c r="A11" s="1"/>
      <c r="B11" s="1"/>
      <c r="F11">
        <f>Table2[[#This Row],[Quantity]]*200*Table2[[#This Row],[Boxes]]</f>
        <v>0</v>
      </c>
      <c r="G11">
        <f>SUMIFS(Table14[Debit], Table14[Date], Table2[[#This Row],[Date]], Table14[Party], Table2[[#This Row],[Party Name]],Table14[Description],Table2[[#This Row],[Item]])</f>
        <v>0</v>
      </c>
      <c r="H11">
        <f>Table2[[#This Row],[Price]]-Table2[[#This Row],[Paid]]</f>
        <v>0</v>
      </c>
      <c r="J11" s="4" t="s">
        <v>28</v>
      </c>
      <c r="K11">
        <v>345000</v>
      </c>
      <c r="L11">
        <v>476000</v>
      </c>
      <c r="M11">
        <v>492000</v>
      </c>
    </row>
    <row r="12" spans="1:13"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0</v>
      </c>
      <c r="H14">
        <f>SUBTOTAL(109,Table2[Balance])</f>
        <v>492000</v>
      </c>
    </row>
    <row r="24" spans="9:11" x14ac:dyDescent="0.3">
      <c r="I24" t="s">
        <v>57</v>
      </c>
      <c r="J24" t="s">
        <v>174</v>
      </c>
      <c r="K24" t="s">
        <v>243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175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187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203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205</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237</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241</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topLeftCell="A10" workbookViewId="0">
      <selection activeCell="M30" sqref="M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0</v>
      </c>
    </row>
    <row r="38" spans="2:10" x14ac:dyDescent="0.3">
      <c r="B38" s="1"/>
      <c r="D38">
        <f>SUM(Table5[Amount])</f>
        <v>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opLeftCell="A2" zoomScale="67" workbookViewId="0">
      <selection activeCell="C22" sqref="C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 ca="1">Billing!AD5</f>
        <v>19750734</v>
      </c>
      <c r="C2" s="103">
        <f ca="1">Billing!AE5</f>
        <v>4188080.9231894724</v>
      </c>
    </row>
    <row r="3" spans="1:3" ht="21" x14ac:dyDescent="0.4">
      <c r="A3" s="102" t="str">
        <f>Billing!Q6</f>
        <v>Ejaz Sahab</v>
      </c>
      <c r="B3" s="105">
        <f ca="1">Billing!AD6</f>
        <v>3963904</v>
      </c>
      <c r="C3" s="103">
        <f ca="1">Billing!AE6</f>
        <v>208925.1880029263</v>
      </c>
    </row>
    <row r="4" spans="1:3" ht="21" x14ac:dyDescent="0.4">
      <c r="A4" s="102" t="str">
        <f>Billing!Q7</f>
        <v>Arshad</v>
      </c>
      <c r="B4" s="105">
        <f ca="1">Billing!AD7</f>
        <v>6002935</v>
      </c>
      <c r="C4" s="104">
        <f ca="1">Billing!AE7</f>
        <v>225643.09070958383</v>
      </c>
    </row>
    <row r="5" spans="1:3" ht="21" x14ac:dyDescent="0.4">
      <c r="A5" s="102" t="str">
        <f>Billing!Q8</f>
        <v>Shehzad Kamoki</v>
      </c>
      <c r="B5" s="105">
        <f ca="1">Billing!AD8</f>
        <v>1268740</v>
      </c>
      <c r="C5" s="104">
        <f ca="1">Billing!AE8</f>
        <v>530.34403803967871</v>
      </c>
    </row>
    <row r="6" spans="1:3" ht="21" x14ac:dyDescent="0.4">
      <c r="A6" s="102" t="str">
        <f>Billing!Q9</f>
        <v>Sufi Nawaz Sahab</v>
      </c>
      <c r="B6" s="105">
        <f ca="1">Billing!AD9</f>
        <v>10629100</v>
      </c>
      <c r="C6" s="103">
        <f ca="1">Billing!AE9</f>
        <v>609704.47256766632</v>
      </c>
    </row>
    <row r="7" spans="1:3" ht="21" x14ac:dyDescent="0.4">
      <c r="A7" s="102" t="str">
        <f>Billing!Q10</f>
        <v>Sajad Khan</v>
      </c>
      <c r="B7" s="105">
        <f ca="1">Billing!AD10</f>
        <v>7397871</v>
      </c>
      <c r="C7" s="103">
        <f ca="1">Billing!AE10</f>
        <v>533291.21653255355</v>
      </c>
    </row>
    <row r="8" spans="1:3" ht="21" x14ac:dyDescent="0.4">
      <c r="A8" s="102" t="str">
        <f>Billing!Q11</f>
        <v>Raaz Fabrics</v>
      </c>
      <c r="B8" s="105">
        <f ca="1">Billing!AD11</f>
        <v>1100000</v>
      </c>
      <c r="C8" s="104">
        <f ca="1">Billing!AE11</f>
        <v>293873.44550109748</v>
      </c>
    </row>
    <row r="9" spans="1:3" ht="21" x14ac:dyDescent="0.4">
      <c r="A9" s="102" t="str">
        <f>Billing!Q12</f>
        <v>Azam</v>
      </c>
      <c r="B9" s="105">
        <f ca="1">Billing!AD12</f>
        <v>3322620</v>
      </c>
      <c r="C9" s="103">
        <f ca="1">Billing!AE12</f>
        <v>59519.722019020468</v>
      </c>
    </row>
    <row r="10" spans="1:3" ht="21" x14ac:dyDescent="0.4">
      <c r="A10" s="102" t="str">
        <f>Billing!Q13</f>
        <v>Ubaidullah</v>
      </c>
      <c r="B10" s="105">
        <f ca="1">Billing!AD13</f>
        <v>640190</v>
      </c>
      <c r="C10" s="103">
        <f ca="1">Billing!AE13</f>
        <v>1084.6891002196353</v>
      </c>
    </row>
    <row r="11" spans="1:3" ht="21" x14ac:dyDescent="0.4">
      <c r="A11" s="102" t="str">
        <f>Billing!Q14</f>
        <v>Ashraf Zia</v>
      </c>
      <c r="B11" s="105">
        <f ca="1">Billing!AD14</f>
        <v>130000</v>
      </c>
      <c r="C11" s="103">
        <f ca="1">Billing!AE14</f>
        <v>125724.21360643749</v>
      </c>
    </row>
    <row r="12" spans="1:3" ht="21" x14ac:dyDescent="0.4">
      <c r="A12" s="102" t="str">
        <f>Billing!Q15</f>
        <v>Hafiz Qureshi</v>
      </c>
      <c r="B12" s="105">
        <f ca="1">Billing!AD15</f>
        <v>1805980</v>
      </c>
      <c r="C12" s="103">
        <f ca="1">Billing!AE15</f>
        <v>48582.911485003773</v>
      </c>
    </row>
    <row r="13" spans="1:3" ht="21" x14ac:dyDescent="0.4">
      <c r="A13" s="102" t="str">
        <f>Billing!Q16</f>
        <v>Badshah Fabrics</v>
      </c>
      <c r="B13" s="105">
        <f ca="1">Billing!AD16</f>
        <v>4925761</v>
      </c>
      <c r="C13" s="103">
        <f ca="1">Billing!AE16</f>
        <v>93961.933430870995</v>
      </c>
    </row>
    <row r="14" spans="1:3" ht="21" x14ac:dyDescent="0.4">
      <c r="A14" s="102" t="str">
        <f>Billing!Q17</f>
        <v>Reject</v>
      </c>
      <c r="B14" s="105">
        <f ca="1">Billing!AD17</f>
        <v>0</v>
      </c>
      <c r="C14" s="103">
        <f ca="1">Billing!AE17</f>
        <v>0</v>
      </c>
    </row>
    <row r="15" spans="1:3" ht="21" x14ac:dyDescent="0.4">
      <c r="A15" s="102" t="str">
        <f>Billing!Q18</f>
        <v>Amjad 7up</v>
      </c>
      <c r="B15" s="105">
        <f ca="1">Billing!AD18</f>
        <v>480000</v>
      </c>
      <c r="C15" s="104">
        <f ca="1">Billing!AE18</f>
        <v>3851.4996342355735</v>
      </c>
    </row>
    <row r="16" spans="1:3" ht="21" x14ac:dyDescent="0.4">
      <c r="A16" s="102" t="str">
        <f>Billing!Q19</f>
        <v>Hazrat Khan</v>
      </c>
      <c r="B16" s="105">
        <f ca="1">Billing!AD19</f>
        <v>95000</v>
      </c>
      <c r="C16" s="104">
        <f ca="1">Billing!AE19</f>
        <v>-5844.9158741770225</v>
      </c>
    </row>
    <row r="17" spans="1:3" ht="21" x14ac:dyDescent="0.4">
      <c r="A17" s="102" t="str">
        <f>Billing!Q20</f>
        <v>Haseeb Shamsi</v>
      </c>
      <c r="B17" s="105">
        <f ca="1">Billing!AD20</f>
        <v>594405</v>
      </c>
      <c r="C17" s="103">
        <f ca="1">Billing!AE20</f>
        <v>-0.28163862461224198</v>
      </c>
    </row>
    <row r="18" spans="1:3" ht="21" x14ac:dyDescent="0.4">
      <c r="A18" s="102" t="str">
        <f>Billing!Q21</f>
        <v>Faizan</v>
      </c>
      <c r="B18" s="105">
        <f ca="1">Billing!AD21</f>
        <v>4915571</v>
      </c>
      <c r="C18" s="104">
        <f ca="1">Billing!AE21</f>
        <v>308616.08851499762</v>
      </c>
    </row>
    <row r="19" spans="1:3" ht="21" x14ac:dyDescent="0.4">
      <c r="A19" s="102" t="str">
        <f>Billing!Q22</f>
        <v>Shafique Ansari</v>
      </c>
      <c r="B19" s="105">
        <f ca="1">Billing!AD22</f>
        <v>835660</v>
      </c>
      <c r="C19" s="104">
        <f ca="1">Billing!AE22</f>
        <v>356.82516459410544</v>
      </c>
    </row>
    <row r="20" spans="1:3" ht="21" x14ac:dyDescent="0.4">
      <c r="A20" s="102" t="str">
        <f>Billing!Q23</f>
        <v>Amjad sohail</v>
      </c>
      <c r="B20" s="105">
        <f ca="1">Billing!AD23</f>
        <v>2300000</v>
      </c>
      <c r="C20" s="103">
        <f ca="1">Billing!AE23</f>
        <v>409309.61960497499</v>
      </c>
    </row>
    <row r="21" spans="1:3" ht="21" x14ac:dyDescent="0.4">
      <c r="A21" s="102" t="str">
        <f>Billing!Q24</f>
        <v>Salman Zaffar</v>
      </c>
      <c r="B21" s="14">
        <f ca="1">Billing!AD24</f>
        <v>0</v>
      </c>
      <c r="C21" s="103">
        <f ca="1">Billing!AE24</f>
        <v>713525.05486466724</v>
      </c>
    </row>
    <row r="22" spans="1:3" ht="21" x14ac:dyDescent="0.4">
      <c r="A22" s="102" t="str">
        <f>Billing!Q25</f>
        <v>Shahid Qasayi</v>
      </c>
      <c r="B22" s="112">
        <f ca="1">Billing!AD25</f>
        <v>1468325</v>
      </c>
      <c r="C22" s="103">
        <f ca="1">Billing!AE25</f>
        <v>189776.68251645938</v>
      </c>
    </row>
    <row r="23" spans="1:3" ht="21" x14ac:dyDescent="0.4">
      <c r="A23" s="102" t="str">
        <f>Billing!Q26</f>
        <v>Hameed corporation</v>
      </c>
      <c r="B23" s="112">
        <f ca="1">Billing!AD26</f>
        <v>424323</v>
      </c>
      <c r="C23" s="103">
        <f ca="1">Billing!AE26</f>
        <v>0.33577176299877465</v>
      </c>
    </row>
    <row r="24" spans="1:3" ht="21" x14ac:dyDescent="0.4">
      <c r="A24" s="102" t="str">
        <f>Billing!Q27</f>
        <v>ibraheem behraam</v>
      </c>
      <c r="B24" s="112">
        <f ca="1">Billing!AD27</f>
        <v>790500</v>
      </c>
      <c r="C24" s="103">
        <f ca="1">Billing!AE27</f>
        <v>2445.3182150695939</v>
      </c>
    </row>
    <row r="25" spans="1:3" ht="21" x14ac:dyDescent="0.4">
      <c r="A25" s="102" t="str">
        <f>Billing!Q28</f>
        <v>Zia-ullah karachi</v>
      </c>
      <c r="B25" s="112">
        <f ca="1">Billing!AD28</f>
        <v>124560</v>
      </c>
      <c r="C25" s="103">
        <f ca="1">Billing!AE28</f>
        <v>1.0826627651840681</v>
      </c>
    </row>
    <row r="26" spans="1:3" ht="21" x14ac:dyDescent="0.4">
      <c r="A26" s="102" t="str">
        <f>Billing!Q29</f>
        <v>ZA</v>
      </c>
      <c r="B26" s="112">
        <f ca="1">Billing!AD29</f>
        <v>250000</v>
      </c>
      <c r="C26" s="103">
        <f ca="1">Billing!AE29</f>
        <v>135138.07607900514</v>
      </c>
    </row>
    <row r="27" spans="1:3" ht="21" x14ac:dyDescent="0.4">
      <c r="A27" s="102" t="str">
        <f>Billing!Q30</f>
        <v>Ahmad Javaid</v>
      </c>
      <c r="B27" s="112">
        <f ca="1">Billing!AD30</f>
        <v>0</v>
      </c>
      <c r="C27" s="103">
        <f ca="1">Billing!AE30</f>
        <v>54170.629114850039</v>
      </c>
    </row>
    <row r="28" spans="1:3" ht="21" x14ac:dyDescent="0.4">
      <c r="A28" s="102">
        <f>Billing!Q31</f>
        <v>0</v>
      </c>
      <c r="B28" s="112">
        <f ca="1">Billing!AD31</f>
        <v>0</v>
      </c>
      <c r="C28" s="103">
        <f ca="1">Billing!AE31</f>
        <v>0</v>
      </c>
    </row>
  </sheetData>
  <conditionalFormatting sqref="C2:C28">
    <cfRule type="cellIs" dxfId="4" priority="1" operator="lessThan">
      <formula>10</formula>
    </cfRule>
  </conditionalFormatting>
  <conditionalFormatting sqref="C2:C29">
    <cfRule type="cellIs" dxfId="3"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7"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t="str">
        <f>Billing!Q5</f>
        <v>BSC</v>
      </c>
      <c r="B2" s="10">
        <f>_xlfn.XLOOKUP($A2,[1]Billing!$Q$5:$Q$40,[1]Billing!$AD$5:$AD$40)</f>
        <v>19750734</v>
      </c>
    </row>
    <row r="3" spans="1:2" x14ac:dyDescent="0.3">
      <c r="A3" t="str">
        <f>Billing!Q6</f>
        <v>Ejaz Sahab</v>
      </c>
      <c r="B3" s="10">
        <f>_xlfn.XLOOKUP($A3,[1]Billing!$Q$5:$Q$40,[1]Billing!$AD$5:$AD$40)</f>
        <v>3963904</v>
      </c>
    </row>
    <row r="4" spans="1:2" x14ac:dyDescent="0.3">
      <c r="A4" t="str">
        <f>Billing!Q7</f>
        <v>Arshad</v>
      </c>
      <c r="B4" s="10">
        <f>_xlfn.XLOOKUP($A4,[1]Billing!$Q$5:$Q$40,[1]Billing!$AD$5:$AD$40)</f>
        <v>6002935</v>
      </c>
    </row>
    <row r="5" spans="1:2" x14ac:dyDescent="0.3">
      <c r="A5" t="str">
        <f>Billing!Q8</f>
        <v>Shehzad Kamoki</v>
      </c>
      <c r="B5" s="10">
        <f>_xlfn.XLOOKUP($A5,[1]Billing!$Q$5:$Q$40,[1]Billing!$AD$5:$AD$40)</f>
        <v>1268740</v>
      </c>
    </row>
    <row r="6" spans="1:2" x14ac:dyDescent="0.3">
      <c r="A6" t="str">
        <f>Billing!Q9</f>
        <v>Sufi Nawaz Sahab</v>
      </c>
      <c r="B6" s="10">
        <f>_xlfn.XLOOKUP($A6,[1]Billing!$Q$5:$Q$40,[1]Billing!$AD$5:$AD$40)</f>
        <v>10629100</v>
      </c>
    </row>
    <row r="7" spans="1:2" x14ac:dyDescent="0.3">
      <c r="A7" t="str">
        <f>Billing!Q10</f>
        <v>Sajad Khan</v>
      </c>
      <c r="B7" s="10">
        <f>_xlfn.XLOOKUP($A7,[1]Billing!$Q$5:$Q$40,[1]Billing!$AD$5:$AD$40)</f>
        <v>7397871</v>
      </c>
    </row>
    <row r="8" spans="1:2" x14ac:dyDescent="0.3">
      <c r="A8" t="str">
        <f>Billing!Q11</f>
        <v>Raaz Fabrics</v>
      </c>
      <c r="B8" s="10">
        <f>_xlfn.XLOOKUP($A8,[1]Billing!$Q$5:$Q$40,[1]Billing!$AD$5:$AD$40)</f>
        <v>1100000</v>
      </c>
    </row>
    <row r="9" spans="1:2" x14ac:dyDescent="0.3">
      <c r="A9" t="str">
        <f>Billing!Q12</f>
        <v>Azam</v>
      </c>
      <c r="B9" s="10">
        <f>_xlfn.XLOOKUP($A9,[1]Billing!$Q$5:$Q$40,[1]Billing!$AD$5:$AD$40)</f>
        <v>3322620</v>
      </c>
    </row>
    <row r="10" spans="1:2" x14ac:dyDescent="0.3">
      <c r="A10" t="str">
        <f>Billing!Q13</f>
        <v>Ubaidullah</v>
      </c>
      <c r="B10" s="10">
        <f>_xlfn.XLOOKUP($A10,[1]Billing!$Q$5:$Q$40,[1]Billing!$AD$5:$AD$40)</f>
        <v>640190</v>
      </c>
    </row>
    <row r="11" spans="1:2" x14ac:dyDescent="0.3">
      <c r="A11" t="str">
        <f>Billing!Q14</f>
        <v>Ashraf Zia</v>
      </c>
      <c r="B11" s="10">
        <f>_xlfn.XLOOKUP($A11,[1]Billing!$Q$5:$Q$40,[1]Billing!$AD$5:$AD$40)</f>
        <v>130000</v>
      </c>
    </row>
    <row r="12" spans="1:2" x14ac:dyDescent="0.3">
      <c r="A12" t="str">
        <f>Billing!Q15</f>
        <v>Hafiz Qureshi</v>
      </c>
      <c r="B12" s="10">
        <f>_xlfn.XLOOKUP($A12,[1]Billing!$Q$5:$Q$40,[1]Billing!$AD$5:$AD$40)</f>
        <v>1805980</v>
      </c>
    </row>
    <row r="13" spans="1:2" x14ac:dyDescent="0.3">
      <c r="A13" t="str">
        <f>Billing!Q16</f>
        <v>Badshah Fabrics</v>
      </c>
      <c r="B13" s="10">
        <f>_xlfn.XLOOKUP($A13,[1]Billing!$Q$5:$Q$40,[1]Billing!$AD$5:$AD$40)</f>
        <v>4925761</v>
      </c>
    </row>
    <row r="14" spans="1:2" x14ac:dyDescent="0.3">
      <c r="A14" t="str">
        <f>Billing!Q17</f>
        <v>Reject</v>
      </c>
      <c r="B14" s="10">
        <f>_xlfn.XLOOKUP($A14,[1]Billing!$Q$5:$Q$40,[1]Billing!$AD$5:$AD$40)</f>
        <v>0</v>
      </c>
    </row>
    <row r="15" spans="1:2" x14ac:dyDescent="0.3">
      <c r="A15" t="str">
        <f>Billing!Q18</f>
        <v>Amjad 7up</v>
      </c>
      <c r="B15" s="10">
        <f>_xlfn.XLOOKUP($A15,[1]Billing!$Q$5:$Q$40,[1]Billing!$AD$5:$AD$40)</f>
        <v>480000</v>
      </c>
    </row>
    <row r="16" spans="1:2" x14ac:dyDescent="0.3">
      <c r="A16" t="str">
        <f>Billing!Q19</f>
        <v>Hazrat Khan</v>
      </c>
      <c r="B16" s="10">
        <f>_xlfn.XLOOKUP($A16,[1]Billing!$Q$5:$Q$40,[1]Billing!$AD$5:$AD$40)</f>
        <v>95000</v>
      </c>
    </row>
    <row r="17" spans="1:2" x14ac:dyDescent="0.3">
      <c r="A17" t="str">
        <f>Billing!Q20</f>
        <v>Haseeb Shamsi</v>
      </c>
      <c r="B17" s="10">
        <f>_xlfn.XLOOKUP($A17,[1]Billing!$Q$5:$Q$40,[1]Billing!$AD$5:$AD$40)</f>
        <v>594405</v>
      </c>
    </row>
    <row r="18" spans="1:2" x14ac:dyDescent="0.3">
      <c r="A18" t="str">
        <f>Billing!Q21</f>
        <v>Faizan</v>
      </c>
      <c r="B18" s="10">
        <f>_xlfn.XLOOKUP($A18,[1]Billing!$Q$5:$Q$40,[1]Billing!$AD$5:$AD$40)</f>
        <v>4915571</v>
      </c>
    </row>
    <row r="19" spans="1:2" x14ac:dyDescent="0.3">
      <c r="A19" t="str">
        <f>Billing!Q22</f>
        <v>Shafique Ansari</v>
      </c>
      <c r="B19" s="10">
        <f>_xlfn.XLOOKUP($A19,[1]Billing!$Q$5:$Q$40,[1]Billing!$AD$5:$AD$40)</f>
        <v>835660</v>
      </c>
    </row>
    <row r="20" spans="1:2" x14ac:dyDescent="0.3">
      <c r="A20" t="str">
        <f>Billing!Q23</f>
        <v>Amjad sohail</v>
      </c>
      <c r="B20" s="10">
        <f>_xlfn.XLOOKUP($A20,[1]Billing!$Q$5:$Q$40,[1]Billing!$AD$5:$AD$40)</f>
        <v>2300000</v>
      </c>
    </row>
    <row r="21" spans="1:2" x14ac:dyDescent="0.3">
      <c r="A21" t="str">
        <f>Billing!Q24</f>
        <v>Salman Zaffar</v>
      </c>
      <c r="B21" s="10">
        <f>_xlfn.XLOOKUP($A21,[1]Billing!$Q$5:$Q$40,[1]Billing!$AD$5:$AD$40)</f>
        <v>0</v>
      </c>
    </row>
    <row r="22" spans="1:2" x14ac:dyDescent="0.3">
      <c r="A22" t="str">
        <f>Billing!Q25</f>
        <v>Shahid Qasayi</v>
      </c>
      <c r="B22" s="10">
        <f>_xlfn.XLOOKUP($A22,[1]Billing!$Q$5:$Q$40,[1]Billing!$AD$5:$AD$40)</f>
        <v>1468325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2025-12-17T22:22:58Z</dcterms:modified>
  <cp:category/>
  <cp:contentStatus/>
</cp:coreProperties>
</file>