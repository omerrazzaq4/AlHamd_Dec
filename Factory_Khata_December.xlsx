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hidePivotFieldList="1"/>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111" documentId="13_ncr:1_{89B07303-4F83-4416-81AD-F450F7417961}" xr6:coauthVersionLast="47" xr6:coauthVersionMax="47" xr10:uidLastSave="{52D3E3BA-1FF0-49D2-BE0E-A4DB06B6E007}"/>
  <bookViews>
    <workbookView xWindow="5760" yWindow="3360" windowWidth="17280" windowHeight="8880" tabRatio="597"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19"/>
    <pivotCache cacheId="1" r:id="rId20"/>
    <pivotCache cacheId="2" r:id="rId21"/>
    <pivotCache cacheId="3" r:id="rId22"/>
    <pivotCache cacheId="4" r:id="rId23"/>
    <pivotCache cacheId="5"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4" i="6" l="1"/>
  <c r="I126" i="6"/>
  <c r="I128" i="6"/>
  <c r="H177" i="6"/>
  <c r="I177" i="6" s="1"/>
  <c r="H178" i="6"/>
  <c r="I178" i="6" s="1"/>
  <c r="H179" i="6"/>
  <c r="I179" i="6" s="1"/>
  <c r="H180" i="6"/>
  <c r="I180" i="6" s="1"/>
  <c r="H181" i="6"/>
  <c r="I181" i="6" s="1"/>
  <c r="H182" i="6"/>
  <c r="I182" i="6" s="1"/>
  <c r="H183" i="6"/>
  <c r="I183" i="6" s="1"/>
  <c r="H184" i="6"/>
  <c r="I184" i="6" s="1"/>
  <c r="H185" i="6"/>
  <c r="I185" i="6" s="1"/>
  <c r="H186" i="6"/>
  <c r="I186" i="6" s="1"/>
  <c r="H187" i="6"/>
  <c r="I187" i="6" s="1"/>
  <c r="H188" i="6"/>
  <c r="I188" i="6" s="1"/>
  <c r="H189" i="6"/>
  <c r="I189" i="6" s="1"/>
  <c r="H190" i="6"/>
  <c r="I190" i="6" s="1"/>
  <c r="H191" i="6"/>
  <c r="I191" i="6" s="1"/>
  <c r="H192" i="6"/>
  <c r="I192" i="6" s="1"/>
  <c r="H193" i="6"/>
  <c r="I193" i="6" s="1"/>
  <c r="H194" i="6"/>
  <c r="I194" i="6" s="1"/>
  <c r="H195" i="6"/>
  <c r="I195" i="6" s="1"/>
  <c r="H196" i="6"/>
  <c r="I196" i="6" s="1"/>
  <c r="H197" i="6"/>
  <c r="I197" i="6" s="1"/>
  <c r="H198" i="6"/>
  <c r="I198" i="6" s="1"/>
  <c r="H199" i="6"/>
  <c r="I199" i="6" s="1"/>
  <c r="H200" i="6"/>
  <c r="I200" i="6" s="1"/>
  <c r="H201" i="6"/>
  <c r="I201" i="6" s="1"/>
  <c r="H202" i="6"/>
  <c r="I202" i="6" s="1"/>
  <c r="H203" i="6"/>
  <c r="I203" i="6" s="1"/>
  <c r="H204" i="6"/>
  <c r="I204" i="6" s="1"/>
  <c r="H205" i="6"/>
  <c r="I205" i="6" s="1"/>
  <c r="H206" i="6"/>
  <c r="I206" i="6" s="1"/>
  <c r="H207" i="6"/>
  <c r="I207" i="6" s="1"/>
  <c r="H208" i="6"/>
  <c r="I208" i="6" s="1"/>
  <c r="H209" i="6"/>
  <c r="I209" i="6" s="1"/>
  <c r="H210" i="6"/>
  <c r="I210" i="6" s="1"/>
  <c r="H211" i="6"/>
  <c r="I211" i="6" s="1"/>
  <c r="H212" i="6"/>
  <c r="I212" i="6" s="1"/>
  <c r="H213" i="6"/>
  <c r="I213" i="6" s="1"/>
  <c r="H214" i="6"/>
  <c r="I214" i="6" s="1"/>
  <c r="H215" i="6"/>
  <c r="I215" i="6" s="1"/>
  <c r="H216" i="6"/>
  <c r="I216" i="6" s="1"/>
  <c r="H163" i="6"/>
  <c r="I163" i="6" s="1"/>
  <c r="H164" i="6"/>
  <c r="I164" i="6" s="1"/>
  <c r="H165" i="6"/>
  <c r="I165" i="6" s="1"/>
  <c r="H166" i="6"/>
  <c r="I166" i="6" s="1"/>
  <c r="H167" i="6"/>
  <c r="I167" i="6" s="1"/>
  <c r="H168" i="6"/>
  <c r="I168" i="6" s="1"/>
  <c r="H169" i="6"/>
  <c r="I169" i="6" s="1"/>
  <c r="H170" i="6"/>
  <c r="I170" i="6" s="1"/>
  <c r="H171" i="6"/>
  <c r="I171" i="6" s="1"/>
  <c r="H172" i="6"/>
  <c r="I172" i="6" s="1"/>
  <c r="H173" i="6"/>
  <c r="I173" i="6" s="1"/>
  <c r="H174" i="6"/>
  <c r="I174" i="6" s="1"/>
  <c r="H175" i="6"/>
  <c r="I175" i="6" s="1"/>
  <c r="H176" i="6"/>
  <c r="I176" i="6" s="1"/>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I217" i="6"/>
  <c r="I218" i="6"/>
  <c r="I219" i="6"/>
  <c r="I220" i="6"/>
  <c r="I221" i="6"/>
  <c r="I222" i="6"/>
  <c r="I223" i="6"/>
  <c r="I224" i="6"/>
  <c r="I225" i="6"/>
  <c r="I226" i="6"/>
  <c r="I227" i="6"/>
  <c r="I228" i="6"/>
  <c r="I229" i="6"/>
  <c r="I230" i="6"/>
  <c r="I231" i="6"/>
  <c r="I232" i="6"/>
  <c r="G147" i="6"/>
  <c r="G148" i="6"/>
  <c r="G149" i="6"/>
  <c r="G150" i="6"/>
  <c r="G151" i="6"/>
  <c r="G152" i="6"/>
  <c r="G153" i="6"/>
  <c r="G154" i="6"/>
  <c r="G155" i="6"/>
  <c r="G156" i="6"/>
  <c r="G157" i="6"/>
  <c r="G158" i="6"/>
  <c r="G159" i="6"/>
  <c r="G160" i="6"/>
  <c r="G161" i="6"/>
  <c r="G162" i="6"/>
  <c r="H147" i="6"/>
  <c r="I147" i="6" s="1"/>
  <c r="H148" i="6"/>
  <c r="I148" i="6" s="1"/>
  <c r="H149" i="6"/>
  <c r="I149" i="6" s="1"/>
  <c r="H150" i="6"/>
  <c r="I150" i="6" s="1"/>
  <c r="H151" i="6"/>
  <c r="I151" i="6" s="1"/>
  <c r="H152" i="6"/>
  <c r="I152" i="6" s="1"/>
  <c r="H153" i="6"/>
  <c r="I153" i="6" s="1"/>
  <c r="H154" i="6"/>
  <c r="I154" i="6" s="1"/>
  <c r="H155" i="6"/>
  <c r="I155" i="6" s="1"/>
  <c r="H156" i="6"/>
  <c r="I156" i="6" s="1"/>
  <c r="H157" i="6"/>
  <c r="I157" i="6" s="1"/>
  <c r="H158" i="6"/>
  <c r="I158" i="6"/>
  <c r="H159" i="6"/>
  <c r="I159" i="6" s="1"/>
  <c r="H160" i="6"/>
  <c r="I160" i="6" s="1"/>
  <c r="H161" i="6"/>
  <c r="I161" i="6" s="1"/>
  <c r="H162" i="6"/>
  <c r="I162" i="6" s="1"/>
  <c r="G139" i="6"/>
  <c r="G140" i="6"/>
  <c r="G141" i="6"/>
  <c r="G142" i="6"/>
  <c r="G143" i="6"/>
  <c r="G144" i="6"/>
  <c r="G145" i="6"/>
  <c r="G146" i="6"/>
  <c r="H129" i="6"/>
  <c r="I129" i="6" s="1"/>
  <c r="H130" i="6"/>
  <c r="I130" i="6" s="1"/>
  <c r="H131" i="6"/>
  <c r="I131" i="6" s="1"/>
  <c r="H132" i="6"/>
  <c r="I132" i="6" s="1"/>
  <c r="H133" i="6"/>
  <c r="I133" i="6" s="1"/>
  <c r="H134" i="6"/>
  <c r="I134" i="6" s="1"/>
  <c r="H135" i="6"/>
  <c r="I135" i="6" s="1"/>
  <c r="H136" i="6"/>
  <c r="I136" i="6" s="1"/>
  <c r="H137" i="6"/>
  <c r="I137" i="6" s="1"/>
  <c r="H138" i="6"/>
  <c r="I138" i="6" s="1"/>
  <c r="H139" i="6"/>
  <c r="I139" i="6" s="1"/>
  <c r="H140" i="6"/>
  <c r="I140" i="6" s="1"/>
  <c r="H141" i="6"/>
  <c r="I141" i="6" s="1"/>
  <c r="H142" i="6"/>
  <c r="I142" i="6" s="1"/>
  <c r="H143" i="6"/>
  <c r="I143" i="6" s="1"/>
  <c r="H144" i="6"/>
  <c r="I144" i="6" s="1"/>
  <c r="H145" i="6"/>
  <c r="I145" i="6" s="1"/>
  <c r="H146" i="6"/>
  <c r="I146" i="6"/>
  <c r="G133" i="6"/>
  <c r="G134" i="6"/>
  <c r="G135" i="6"/>
  <c r="G136" i="6"/>
  <c r="G137" i="6"/>
  <c r="G138" i="6"/>
  <c r="G129" i="6"/>
  <c r="G130" i="6"/>
  <c r="G131" i="6"/>
  <c r="G132" i="6"/>
  <c r="H118" i="6"/>
  <c r="I118" i="6" s="1"/>
  <c r="H119" i="6"/>
  <c r="I119" i="6" s="1"/>
  <c r="H120" i="6"/>
  <c r="I120" i="6" s="1"/>
  <c r="H121" i="6"/>
  <c r="I121" i="6" s="1"/>
  <c r="H122" i="6"/>
  <c r="I122" i="6" s="1"/>
  <c r="H123" i="6"/>
  <c r="I123" i="6" s="1"/>
  <c r="H125" i="6"/>
  <c r="I125" i="6" s="1"/>
  <c r="H126" i="6"/>
  <c r="H127" i="6"/>
  <c r="I127" i="6" s="1"/>
  <c r="H128" i="6"/>
  <c r="H117" i="6"/>
  <c r="I117" i="6" s="1"/>
  <c r="G126" i="6"/>
  <c r="G127" i="6"/>
  <c r="G128" i="6"/>
  <c r="G106" i="6"/>
  <c r="I106" i="6"/>
  <c r="J37" i="14"/>
  <c r="J38" i="14"/>
  <c r="J39" i="14"/>
  <c r="J40" i="14"/>
  <c r="J41" i="14"/>
  <c r="J42" i="14"/>
  <c r="D38" i="14"/>
  <c r="D39" i="14"/>
  <c r="D40" i="14"/>
  <c r="D41" i="14"/>
  <c r="D38" i="18"/>
  <c r="D39" i="18"/>
  <c r="D40" i="18"/>
  <c r="D41" i="18"/>
  <c r="D42" i="18"/>
  <c r="D43" i="18"/>
  <c r="E38" i="18"/>
  <c r="E39" i="18"/>
  <c r="E40" i="18"/>
  <c r="E41" i="18"/>
  <c r="E42" i="18"/>
  <c r="E43" i="18"/>
  <c r="F20" i="15"/>
  <c r="G20" i="15"/>
  <c r="H20" i="15" s="1"/>
  <c r="I177" i="1"/>
  <c r="J177" i="1" a="1"/>
  <c r="J177" i="1"/>
  <c r="I178" i="1"/>
  <c r="J178" i="1" a="1"/>
  <c r="J178" i="1"/>
  <c r="I179" i="1"/>
  <c r="J179" i="1" a="1"/>
  <c r="J179" i="1"/>
  <c r="I180" i="1"/>
  <c r="J180" i="1" a="1"/>
  <c r="J180" i="1"/>
  <c r="I181" i="1"/>
  <c r="J181" i="1" a="1"/>
  <c r="J181" i="1"/>
  <c r="I175" i="1"/>
  <c r="J175" i="1" a="1"/>
  <c r="J175" i="1"/>
  <c r="I176" i="1"/>
  <c r="J176" i="1" a="1"/>
  <c r="J176" i="1"/>
  <c r="I114" i="6"/>
  <c r="I115" i="6"/>
  <c r="I116" i="6"/>
  <c r="G116" i="6"/>
  <c r="G115" i="6"/>
  <c r="G114" i="6"/>
  <c r="I167" i="1"/>
  <c r="J167" i="1" a="1"/>
  <c r="J167" i="1"/>
  <c r="I168" i="1"/>
  <c r="J168" i="1" a="1"/>
  <c r="J168" i="1"/>
  <c r="I169" i="1"/>
  <c r="J169" i="1" a="1"/>
  <c r="J169" i="1"/>
  <c r="I170" i="1"/>
  <c r="J170" i="1" a="1"/>
  <c r="J170" i="1"/>
  <c r="I171" i="1"/>
  <c r="J171" i="1" a="1"/>
  <c r="J171" i="1"/>
  <c r="I172" i="1"/>
  <c r="J172" i="1" a="1"/>
  <c r="J172" i="1"/>
  <c r="I173" i="1"/>
  <c r="J173" i="1" a="1"/>
  <c r="J173" i="1"/>
  <c r="I174" i="1"/>
  <c r="J174" i="1" a="1"/>
  <c r="J174" i="1"/>
  <c r="B49" i="9" a="1"/>
  <c r="G67" i="9" a="1"/>
  <c r="G67" i="9"/>
  <c r="H67" i="9" a="1"/>
  <c r="H67" i="9"/>
  <c r="I67" i="9" a="1"/>
  <c r="I67" i="9"/>
  <c r="J67" i="9" a="1"/>
  <c r="K67" i="9" a="1"/>
  <c r="L67" i="9" a="1"/>
  <c r="M67" i="9" a="1"/>
  <c r="J67" i="9"/>
  <c r="K67" i="9"/>
  <c r="L67" i="9"/>
  <c r="M67" i="9"/>
  <c r="N67" i="9"/>
  <c r="G14" i="15"/>
  <c r="H14" i="15" s="1"/>
  <c r="G15" i="15"/>
  <c r="H15" i="15"/>
  <c r="G16" i="15"/>
  <c r="H16" i="15" s="1"/>
  <c r="I164" i="1"/>
  <c r="J164" i="1" a="1"/>
  <c r="J164" i="1"/>
  <c r="I165" i="1"/>
  <c r="J165" i="1" a="1"/>
  <c r="J165" i="1"/>
  <c r="I166" i="1"/>
  <c r="J166" i="1" a="1"/>
  <c r="J166" i="1"/>
  <c r="I109" i="6"/>
  <c r="G112" i="6"/>
  <c r="G113" i="6"/>
  <c r="I111" i="6"/>
  <c r="I112" i="6"/>
  <c r="I113" i="6"/>
  <c r="I110" i="6"/>
  <c r="I108" i="6"/>
  <c r="I161" i="1"/>
  <c r="J161" i="1" a="1"/>
  <c r="J161" i="1"/>
  <c r="I162" i="1"/>
  <c r="J162" i="1" a="1"/>
  <c r="J162" i="1"/>
  <c r="I163" i="1"/>
  <c r="J163" i="1" a="1"/>
  <c r="J163" i="1"/>
  <c r="I107" i="6"/>
  <c r="I103" i="6"/>
  <c r="I104" i="6"/>
  <c r="I105" i="6"/>
  <c r="G103" i="6"/>
  <c r="G104" i="6"/>
  <c r="G105" i="6"/>
  <c r="G107" i="6"/>
  <c r="G108" i="6"/>
  <c r="G109" i="6"/>
  <c r="G110" i="6"/>
  <c r="G111" i="6"/>
  <c r="I102" i="6"/>
  <c r="I159" i="1"/>
  <c r="J159" i="1" a="1"/>
  <c r="J159" i="1"/>
  <c r="I160" i="1"/>
  <c r="J160" i="1" a="1"/>
  <c r="J160" i="1"/>
  <c r="C422" i="17"/>
  <c r="C9" i="8"/>
  <c r="G19" i="7"/>
  <c r="H19" i="7" s="1"/>
  <c r="G20" i="7"/>
  <c r="H20" i="7" s="1"/>
  <c r="G5" i="15"/>
  <c r="G6" i="15"/>
  <c r="G7" i="15"/>
  <c r="G8" i="15"/>
  <c r="G9" i="15"/>
  <c r="H9" i="15" s="1"/>
  <c r="F9" i="15"/>
  <c r="G10" i="15"/>
  <c r="H10" i="15" s="1"/>
  <c r="G11" i="15"/>
  <c r="F11" i="15"/>
  <c r="H11" i="15"/>
  <c r="G12" i="15"/>
  <c r="H12" i="15" s="1"/>
  <c r="F12" i="15"/>
  <c r="G13" i="15"/>
  <c r="F13" i="15"/>
  <c r="H13" i="15"/>
  <c r="G99" i="6"/>
  <c r="G100" i="6"/>
  <c r="G101" i="6"/>
  <c r="G102" i="6"/>
  <c r="I99" i="6"/>
  <c r="I100" i="6"/>
  <c r="I101" i="6"/>
  <c r="I98" i="6"/>
  <c r="I97" i="6"/>
  <c r="I94" i="6"/>
  <c r="I95" i="6"/>
  <c r="I96" i="6"/>
  <c r="I93" i="6"/>
  <c r="I143" i="1"/>
  <c r="J143" i="1" a="1"/>
  <c r="J143" i="1"/>
  <c r="I144" i="1"/>
  <c r="J144" i="1" a="1"/>
  <c r="J144" i="1"/>
  <c r="I145" i="1"/>
  <c r="J145" i="1" a="1"/>
  <c r="J145" i="1"/>
  <c r="I146" i="1"/>
  <c r="J146" i="1" a="1"/>
  <c r="J146" i="1"/>
  <c r="I147" i="1"/>
  <c r="J147" i="1" a="1"/>
  <c r="J147" i="1"/>
  <c r="I148" i="1"/>
  <c r="J148" i="1" a="1"/>
  <c r="J148" i="1"/>
  <c r="I149" i="1"/>
  <c r="J149" i="1" a="1"/>
  <c r="J149" i="1"/>
  <c r="I150" i="1"/>
  <c r="J150" i="1" a="1"/>
  <c r="J150" i="1"/>
  <c r="I151" i="1"/>
  <c r="J151" i="1" a="1"/>
  <c r="J151" i="1"/>
  <c r="I152" i="1"/>
  <c r="J152" i="1" a="1"/>
  <c r="J152" i="1"/>
  <c r="G75" i="9" a="1"/>
  <c r="G75" i="9"/>
  <c r="I154" i="1"/>
  <c r="J154" i="1" a="1"/>
  <c r="J154" i="1"/>
  <c r="I155" i="1"/>
  <c r="J155" i="1" a="1"/>
  <c r="J155" i="1"/>
  <c r="I156" i="1"/>
  <c r="J156" i="1" a="1"/>
  <c r="J156" i="1"/>
  <c r="I157" i="1"/>
  <c r="J157" i="1" a="1"/>
  <c r="J157" i="1"/>
  <c r="I158" i="1"/>
  <c r="J158" i="1" a="1"/>
  <c r="J158" i="1"/>
  <c r="G153" i="1"/>
  <c r="I153" i="1"/>
  <c r="J153" i="1" a="1"/>
  <c r="J153" i="1"/>
  <c r="I135" i="1"/>
  <c r="J135" i="1" a="1"/>
  <c r="J135" i="1"/>
  <c r="I136" i="1"/>
  <c r="J136" i="1" a="1"/>
  <c r="J136" i="1"/>
  <c r="I137" i="1"/>
  <c r="J137" i="1" a="1"/>
  <c r="J137" i="1"/>
  <c r="I138" i="1"/>
  <c r="J138" i="1" a="1"/>
  <c r="J138" i="1"/>
  <c r="I139" i="1"/>
  <c r="J139" i="1" a="1"/>
  <c r="J139" i="1"/>
  <c r="I140" i="1"/>
  <c r="J140" i="1" a="1"/>
  <c r="J140" i="1"/>
  <c r="I141" i="1"/>
  <c r="J141" i="1" a="1"/>
  <c r="J141" i="1"/>
  <c r="I142" i="1"/>
  <c r="J142" i="1" a="1"/>
  <c r="J142" i="1"/>
  <c r="G91" i="6"/>
  <c r="G92" i="6"/>
  <c r="G93" i="6"/>
  <c r="G94" i="6"/>
  <c r="G95" i="6"/>
  <c r="G96" i="6"/>
  <c r="G97" i="6"/>
  <c r="G98" i="6"/>
  <c r="I91" i="6"/>
  <c r="I92" i="6"/>
  <c r="G17" i="7"/>
  <c r="H17" i="7" s="1"/>
  <c r="G18" i="7"/>
  <c r="H18" i="7" s="1"/>
  <c r="I90" i="6"/>
  <c r="I89" i="6"/>
  <c r="I88" i="6"/>
  <c r="I86" i="6"/>
  <c r="I85" i="6"/>
  <c r="G16" i="7"/>
  <c r="H16" i="7" s="1"/>
  <c r="I51" i="6"/>
  <c r="I130" i="1"/>
  <c r="J130" i="1" a="1"/>
  <c r="J130" i="1"/>
  <c r="I131" i="1"/>
  <c r="J131" i="1" a="1"/>
  <c r="J131" i="1"/>
  <c r="I132" i="1"/>
  <c r="J132" i="1" a="1"/>
  <c r="J132" i="1"/>
  <c r="I133" i="1"/>
  <c r="J133" i="1" a="1"/>
  <c r="J133" i="1"/>
  <c r="I134" i="1"/>
  <c r="J134" i="1" a="1"/>
  <c r="J134" i="1"/>
  <c r="F112" i="1"/>
  <c r="F116" i="1"/>
  <c r="F124" i="1"/>
  <c r="I84" i="6"/>
  <c r="I83" i="6"/>
  <c r="G83" i="6"/>
  <c r="G84" i="6"/>
  <c r="G85" i="6"/>
  <c r="G86" i="6"/>
  <c r="G87" i="6"/>
  <c r="G88" i="6"/>
  <c r="G89" i="6"/>
  <c r="G90" i="6"/>
  <c r="I87" i="6"/>
  <c r="G101" i="1"/>
  <c r="I101" i="1"/>
  <c r="J101" i="1" a="1"/>
  <c r="J101" i="1"/>
  <c r="G100" i="1"/>
  <c r="I100" i="1"/>
  <c r="J100" i="1" a="1"/>
  <c r="J100" i="1"/>
  <c r="K69" i="9" a="1"/>
  <c r="I69" i="1"/>
  <c r="J69" i="1" a="1"/>
  <c r="J69" i="1"/>
  <c r="I44" i="6"/>
  <c r="I118" i="1"/>
  <c r="J118" i="1" a="1"/>
  <c r="J118" i="1"/>
  <c r="I119" i="1"/>
  <c r="J119" i="1" a="1"/>
  <c r="J119" i="1"/>
  <c r="I120" i="1"/>
  <c r="J120" i="1" a="1"/>
  <c r="J120" i="1"/>
  <c r="I121" i="1"/>
  <c r="J121" i="1" a="1"/>
  <c r="J121" i="1"/>
  <c r="I122" i="1"/>
  <c r="J122" i="1" a="1"/>
  <c r="J122" i="1"/>
  <c r="I123" i="1"/>
  <c r="J123" i="1" a="1"/>
  <c r="J123" i="1"/>
  <c r="I124" i="1"/>
  <c r="J124" i="1" a="1"/>
  <c r="J124" i="1"/>
  <c r="I125" i="1"/>
  <c r="J125" i="1" a="1"/>
  <c r="J125" i="1"/>
  <c r="I126" i="1"/>
  <c r="J126" i="1" a="1"/>
  <c r="J126" i="1"/>
  <c r="I127" i="1"/>
  <c r="J127" i="1" a="1"/>
  <c r="J127" i="1"/>
  <c r="I128" i="1"/>
  <c r="J128" i="1" a="1"/>
  <c r="J128" i="1"/>
  <c r="I129" i="1"/>
  <c r="J129" i="1" a="1"/>
  <c r="J129" i="1"/>
  <c r="I72" i="6"/>
  <c r="G72" i="6"/>
  <c r="I82" i="6"/>
  <c r="I80" i="6"/>
  <c r="I78" i="6"/>
  <c r="I76" i="6"/>
  <c r="I75" i="6"/>
  <c r="I73" i="6"/>
  <c r="G79" i="6"/>
  <c r="G80" i="6"/>
  <c r="I79" i="6"/>
  <c r="G48" i="6"/>
  <c r="G49" i="6"/>
  <c r="I48" i="6"/>
  <c r="I49" i="6"/>
  <c r="G50" i="6"/>
  <c r="I50" i="6"/>
  <c r="G75" i="6"/>
  <c r="G76" i="6"/>
  <c r="G77" i="6"/>
  <c r="I77" i="6"/>
  <c r="I71" i="6"/>
  <c r="G71" i="6"/>
  <c r="G73" i="6"/>
  <c r="G74" i="6"/>
  <c r="I74" i="6"/>
  <c r="I70" i="6"/>
  <c r="I69" i="6"/>
  <c r="I67" i="6"/>
  <c r="I65" i="6"/>
  <c r="I63" i="6"/>
  <c r="G68" i="6"/>
  <c r="G69" i="6"/>
  <c r="I68" i="6"/>
  <c r="G70" i="6"/>
  <c r="G78" i="6"/>
  <c r="G66" i="6"/>
  <c r="G67" i="6"/>
  <c r="I66" i="6"/>
  <c r="G13" i="7"/>
  <c r="H13" i="7" s="1"/>
  <c r="G14" i="7"/>
  <c r="H14" i="7" s="1"/>
  <c r="G15" i="7"/>
  <c r="H15" i="7"/>
  <c r="I81" i="6"/>
  <c r="G63" i="6"/>
  <c r="G64" i="6"/>
  <c r="G65" i="6"/>
  <c r="G81" i="6"/>
  <c r="G82" i="6"/>
  <c r="I64" i="6"/>
  <c r="I114" i="1"/>
  <c r="J114" i="1" a="1"/>
  <c r="J114" i="1"/>
  <c r="I115" i="1"/>
  <c r="J115" i="1" a="1"/>
  <c r="J115" i="1"/>
  <c r="I116" i="1"/>
  <c r="J116" i="1" a="1"/>
  <c r="J116" i="1"/>
  <c r="I117" i="1"/>
  <c r="J117" i="1" a="1"/>
  <c r="J117" i="1"/>
  <c r="F115" i="1"/>
  <c r="G12" i="7"/>
  <c r="H12" i="7" s="1"/>
  <c r="I62" i="6"/>
  <c r="G62" i="6"/>
  <c r="I59" i="6"/>
  <c r="I60" i="6"/>
  <c r="I61" i="6"/>
  <c r="I58" i="6"/>
  <c r="G61" i="6"/>
  <c r="G60" i="6"/>
  <c r="G59" i="6"/>
  <c r="G58" i="6"/>
  <c r="G57" i="6"/>
  <c r="I57" i="6"/>
  <c r="G56" i="6"/>
  <c r="I56" i="6"/>
  <c r="I112" i="1"/>
  <c r="J112" i="1" a="1"/>
  <c r="J112" i="1"/>
  <c r="I113" i="1"/>
  <c r="J113" i="1" a="1"/>
  <c r="J113" i="1"/>
  <c r="I111" i="1"/>
  <c r="J111" i="1" a="1"/>
  <c r="J111" i="1"/>
  <c r="I103" i="1"/>
  <c r="J103" i="1" a="1"/>
  <c r="J103" i="1"/>
  <c r="I104" i="1"/>
  <c r="J104" i="1" a="1"/>
  <c r="J104" i="1"/>
  <c r="I105" i="1"/>
  <c r="J105" i="1" a="1"/>
  <c r="J105" i="1"/>
  <c r="I106" i="1"/>
  <c r="J106" i="1" a="1"/>
  <c r="J106" i="1"/>
  <c r="I107" i="1"/>
  <c r="J107" i="1" a="1"/>
  <c r="J107" i="1"/>
  <c r="I108" i="1"/>
  <c r="J108" i="1" a="1"/>
  <c r="J108" i="1"/>
  <c r="I109" i="1"/>
  <c r="J109" i="1" a="1"/>
  <c r="J109" i="1"/>
  <c r="I110" i="1"/>
  <c r="J110" i="1" a="1"/>
  <c r="J110" i="1"/>
  <c r="F110" i="1"/>
  <c r="C192" i="17"/>
  <c r="O112" i="9"/>
  <c r="AD33" i="9"/>
  <c r="B21" i="21"/>
  <c r="D3" i="17"/>
  <c r="N6" i="17"/>
  <c r="D2" i="17"/>
  <c r="C12" i="10"/>
  <c r="B4" i="21"/>
  <c r="I53" i="6"/>
  <c r="I52" i="6"/>
  <c r="G54" i="6"/>
  <c r="G55" i="6"/>
  <c r="I54" i="6"/>
  <c r="I55" i="6"/>
  <c r="G51" i="6"/>
  <c r="G52" i="6"/>
  <c r="G53" i="6"/>
  <c r="I94" i="1"/>
  <c r="J94" i="1" a="1"/>
  <c r="J94" i="1"/>
  <c r="I95" i="1"/>
  <c r="J95" i="1" a="1"/>
  <c r="J95" i="1"/>
  <c r="I99" i="1"/>
  <c r="J99" i="1" a="1"/>
  <c r="J99" i="1"/>
  <c r="I102" i="1"/>
  <c r="J102" i="1" a="1"/>
  <c r="J102" i="1"/>
  <c r="G98" i="1"/>
  <c r="I98" i="1"/>
  <c r="J98" i="1" a="1"/>
  <c r="J98" i="1"/>
  <c r="G97" i="1"/>
  <c r="I97" i="1"/>
  <c r="J97" i="1" a="1"/>
  <c r="J97" i="1"/>
  <c r="G93" i="1"/>
  <c r="I93" i="1"/>
  <c r="J93" i="1" a="1"/>
  <c r="J93" i="1"/>
  <c r="G96" i="1"/>
  <c r="I96" i="1"/>
  <c r="J96" i="1" a="1"/>
  <c r="J96" i="1"/>
  <c r="F94" i="1"/>
  <c r="G11" i="7"/>
  <c r="H11" i="7" s="1"/>
  <c r="G10" i="7"/>
  <c r="H10" i="7" s="1"/>
  <c r="I47" i="6"/>
  <c r="I46" i="6"/>
  <c r="G46" i="6"/>
  <c r="G47" i="6"/>
  <c r="I42" i="6"/>
  <c r="G45" i="6"/>
  <c r="I45" i="6"/>
  <c r="I77" i="1"/>
  <c r="J77" i="1" a="1"/>
  <c r="J77" i="1"/>
  <c r="I78" i="1"/>
  <c r="J78" i="1" a="1"/>
  <c r="J78" i="1"/>
  <c r="I79" i="1"/>
  <c r="J79" i="1" a="1"/>
  <c r="J79" i="1"/>
  <c r="I80" i="1"/>
  <c r="J80" i="1" a="1"/>
  <c r="J80" i="1"/>
  <c r="I81" i="1"/>
  <c r="J81" i="1" a="1"/>
  <c r="J81" i="1"/>
  <c r="I82" i="1"/>
  <c r="J82" i="1" a="1"/>
  <c r="J82" i="1"/>
  <c r="I83" i="1"/>
  <c r="J83" i="1" a="1"/>
  <c r="J83" i="1"/>
  <c r="I84" i="1"/>
  <c r="J84" i="1" a="1"/>
  <c r="J84" i="1"/>
  <c r="I85" i="1"/>
  <c r="J85" i="1" a="1"/>
  <c r="J85" i="1"/>
  <c r="I86" i="1"/>
  <c r="J86" i="1" a="1"/>
  <c r="J86" i="1"/>
  <c r="I87" i="1"/>
  <c r="J87" i="1" a="1"/>
  <c r="J87" i="1"/>
  <c r="I88" i="1"/>
  <c r="I89" i="1"/>
  <c r="J89" i="1" a="1"/>
  <c r="J89" i="1"/>
  <c r="I90" i="1"/>
  <c r="J90" i="1" a="1"/>
  <c r="J90" i="1"/>
  <c r="I91" i="1"/>
  <c r="J91" i="1" a="1"/>
  <c r="J91" i="1"/>
  <c r="I92" i="1"/>
  <c r="J92" i="1" a="1"/>
  <c r="J92" i="1"/>
  <c r="I37" i="6"/>
  <c r="G37" i="6"/>
  <c r="G38" i="6"/>
  <c r="I38" i="6"/>
  <c r="I36" i="6"/>
  <c r="I39" i="6"/>
  <c r="I40" i="6"/>
  <c r="I41" i="6"/>
  <c r="I35" i="6"/>
  <c r="I32" i="6"/>
  <c r="I33" i="6"/>
  <c r="G32" i="6"/>
  <c r="G33" i="6"/>
  <c r="G34" i="6"/>
  <c r="G35" i="6"/>
  <c r="G36" i="6"/>
  <c r="G39" i="6"/>
  <c r="G40" i="6"/>
  <c r="G41" i="6"/>
  <c r="G42" i="6"/>
  <c r="G43" i="6"/>
  <c r="G44" i="6"/>
  <c r="I34" i="6"/>
  <c r="I43" i="6"/>
  <c r="I70" i="1"/>
  <c r="J70" i="1" a="1"/>
  <c r="J70" i="1"/>
  <c r="I71" i="1"/>
  <c r="J71" i="1" a="1"/>
  <c r="J71" i="1"/>
  <c r="I72" i="1"/>
  <c r="J72" i="1" a="1"/>
  <c r="J72" i="1"/>
  <c r="I73" i="1"/>
  <c r="J73" i="1" a="1"/>
  <c r="J73" i="1"/>
  <c r="I74" i="1"/>
  <c r="J74" i="1" a="1"/>
  <c r="J74" i="1"/>
  <c r="I75" i="1"/>
  <c r="J75" i="1" a="1"/>
  <c r="J75" i="1"/>
  <c r="I76" i="1"/>
  <c r="J76" i="1" a="1"/>
  <c r="J76" i="1"/>
  <c r="C106" i="17"/>
  <c r="C7" i="8"/>
  <c r="C103" i="17"/>
  <c r="I31" i="6"/>
  <c r="G31" i="6"/>
  <c r="G22" i="6"/>
  <c r="I22" i="6"/>
  <c r="G26" i="6"/>
  <c r="I26" i="6"/>
  <c r="G28" i="6"/>
  <c r="G29" i="6"/>
  <c r="G30" i="6"/>
  <c r="I28" i="6"/>
  <c r="I29" i="6"/>
  <c r="I30" i="6"/>
  <c r="C74" i="17"/>
  <c r="I27" i="6"/>
  <c r="G27" i="6"/>
  <c r="G25" i="6"/>
  <c r="I23" i="6"/>
  <c r="I24" i="6"/>
  <c r="I25" i="6"/>
  <c r="I21" i="6"/>
  <c r="G21" i="6"/>
  <c r="G23" i="6"/>
  <c r="G24" i="6"/>
  <c r="I65" i="1"/>
  <c r="J65" i="1" a="1"/>
  <c r="J65" i="1"/>
  <c r="I66" i="1"/>
  <c r="J66" i="1" a="1"/>
  <c r="J66" i="1"/>
  <c r="I67" i="1"/>
  <c r="J67" i="1" a="1"/>
  <c r="J67" i="1"/>
  <c r="I68" i="1"/>
  <c r="J68" i="1" a="1"/>
  <c r="J68" i="1"/>
  <c r="C63" i="17"/>
  <c r="I63" i="1"/>
  <c r="J63" i="1" a="1"/>
  <c r="J63" i="1"/>
  <c r="I64" i="1"/>
  <c r="J64" i="1" a="1"/>
  <c r="J64" i="1"/>
  <c r="I14" i="6"/>
  <c r="I17" i="6"/>
  <c r="I18" i="6"/>
  <c r="I19" i="6"/>
  <c r="I20" i="6"/>
  <c r="I16" i="6"/>
  <c r="G20" i="6"/>
  <c r="G19" i="6"/>
  <c r="G18" i="6"/>
  <c r="G17" i="6"/>
  <c r="G16" i="6"/>
  <c r="G15" i="6"/>
  <c r="I15" i="6"/>
  <c r="G14" i="6"/>
  <c r="G13" i="6"/>
  <c r="I13" i="6"/>
  <c r="I61" i="1"/>
  <c r="J61" i="1" a="1"/>
  <c r="J61" i="1"/>
  <c r="I62" i="1"/>
  <c r="J62" i="1" a="1"/>
  <c r="J62" i="1"/>
  <c r="I60" i="1"/>
  <c r="J60" i="1" a="1"/>
  <c r="J60" i="1"/>
  <c r="I10" i="6"/>
  <c r="C112" i="9"/>
  <c r="D112" i="9"/>
  <c r="E112" i="9"/>
  <c r="T33" i="9" a="1"/>
  <c r="T33" i="9"/>
  <c r="F112" i="9"/>
  <c r="G112" i="9"/>
  <c r="V33" i="9" a="1"/>
  <c r="V33" i="9"/>
  <c r="H112" i="9"/>
  <c r="W33" i="9" a="1"/>
  <c r="W33" i="9"/>
  <c r="I112" i="9"/>
  <c r="X33" i="9" a="1"/>
  <c r="X33" i="9"/>
  <c r="J112" i="9"/>
  <c r="Y33" i="9" a="1"/>
  <c r="Y33" i="9"/>
  <c r="K112" i="9"/>
  <c r="Z33" i="9" a="1"/>
  <c r="Z33" i="9"/>
  <c r="L112" i="9"/>
  <c r="AA33" i="9" a="1"/>
  <c r="AA33" i="9"/>
  <c r="M112" i="9"/>
  <c r="AB33" i="9" a="1"/>
  <c r="AB33" i="9"/>
  <c r="C113" i="9"/>
  <c r="D113" i="9"/>
  <c r="S34" i="9" a="1"/>
  <c r="S34" i="9"/>
  <c r="E113" i="9"/>
  <c r="T34" i="9" a="1"/>
  <c r="T34" i="9"/>
  <c r="F113" i="9"/>
  <c r="U34" i="9" a="1"/>
  <c r="U34" i="9"/>
  <c r="G113" i="9"/>
  <c r="V34" i="9" a="1"/>
  <c r="V34" i="9"/>
  <c r="H113" i="9"/>
  <c r="I113" i="9"/>
  <c r="X34" i="9" a="1"/>
  <c r="X34" i="9"/>
  <c r="J113" i="9"/>
  <c r="Y34" i="9" a="1"/>
  <c r="Y34" i="9"/>
  <c r="K113" i="9"/>
  <c r="Z34" i="9" a="1"/>
  <c r="Z34" i="9"/>
  <c r="L113" i="9"/>
  <c r="AA34" i="9" a="1"/>
  <c r="AA34" i="9"/>
  <c r="M113" i="9"/>
  <c r="AB34" i="9" a="1"/>
  <c r="AB34" i="9"/>
  <c r="C114" i="9"/>
  <c r="R35" i="9" a="1"/>
  <c r="R35" i="9"/>
  <c r="D114" i="9"/>
  <c r="S35" i="9" a="1"/>
  <c r="S35" i="9"/>
  <c r="E114" i="9"/>
  <c r="T35" i="9" a="1"/>
  <c r="T35" i="9"/>
  <c r="F114" i="9"/>
  <c r="U35" i="9" a="1"/>
  <c r="U35" i="9"/>
  <c r="G114" i="9"/>
  <c r="H114" i="9"/>
  <c r="I114" i="9"/>
  <c r="X35" i="9" a="1"/>
  <c r="X35" i="9"/>
  <c r="J114" i="9"/>
  <c r="Y35" i="9" a="1"/>
  <c r="Y35" i="9"/>
  <c r="K114" i="9"/>
  <c r="Z35" i="9" a="1"/>
  <c r="Z35" i="9"/>
  <c r="L114" i="9"/>
  <c r="AA35" i="9" a="1"/>
  <c r="AA35" i="9"/>
  <c r="M114" i="9"/>
  <c r="AB35" i="9" a="1"/>
  <c r="AB35" i="9"/>
  <c r="C115" i="9"/>
  <c r="D115" i="9"/>
  <c r="E115" i="9"/>
  <c r="F115" i="9"/>
  <c r="G115" i="9"/>
  <c r="V36" i="9" a="1"/>
  <c r="V36" i="9"/>
  <c r="H115" i="9"/>
  <c r="W36" i="9" a="1"/>
  <c r="W36" i="9"/>
  <c r="I115" i="9"/>
  <c r="J115" i="9"/>
  <c r="Y36" i="9" a="1"/>
  <c r="Y36" i="9"/>
  <c r="K115" i="9"/>
  <c r="Z36" i="9" a="1"/>
  <c r="Z36" i="9"/>
  <c r="L115" i="9"/>
  <c r="AA36" i="9" a="1"/>
  <c r="AA36" i="9"/>
  <c r="M115" i="9"/>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F5" i="15"/>
  <c r="F6" i="15"/>
  <c r="F8" i="15"/>
  <c r="F21" i="15"/>
  <c r="G5" i="7"/>
  <c r="G3" i="7"/>
  <c r="G4" i="7"/>
  <c r="G6" i="7"/>
  <c r="H6" i="7" s="1"/>
  <c r="G7" i="7"/>
  <c r="H7" i="7" s="1"/>
  <c r="H8" i="7"/>
  <c r="G9" i="7"/>
  <c r="H9" i="7" s="1"/>
  <c r="G8" i="6"/>
  <c r="G9" i="6"/>
  <c r="G10" i="6"/>
  <c r="G11" i="6"/>
  <c r="G12" i="6"/>
  <c r="I11" i="6"/>
  <c r="I12" i="6"/>
  <c r="G79" i="9" a="1"/>
  <c r="G79" i="9"/>
  <c r="H79" i="9" a="1"/>
  <c r="H79" i="9"/>
  <c r="I79" i="9" a="1"/>
  <c r="I79" i="9"/>
  <c r="J79" i="9" a="1"/>
  <c r="J79" i="9"/>
  <c r="K79" i="9" a="1"/>
  <c r="K79" i="9"/>
  <c r="L79" i="9" a="1"/>
  <c r="L79" i="9"/>
  <c r="M79" i="9" a="1"/>
  <c r="M79" i="9"/>
  <c r="G77" i="9" a="1"/>
  <c r="G77" i="9"/>
  <c r="H77" i="9" a="1"/>
  <c r="H77" i="9"/>
  <c r="I77" i="9" a="1"/>
  <c r="I77" i="9"/>
  <c r="J77" i="9" a="1"/>
  <c r="J77" i="9"/>
  <c r="K77" i="9" a="1"/>
  <c r="K77" i="9"/>
  <c r="L77" i="9" a="1"/>
  <c r="L77" i="9"/>
  <c r="M77" i="9" a="1"/>
  <c r="M77" i="9"/>
  <c r="G78" i="9" a="1"/>
  <c r="G78" i="9"/>
  <c r="H78" i="9" a="1"/>
  <c r="H78" i="9"/>
  <c r="I78" i="9" a="1"/>
  <c r="I78" i="9"/>
  <c r="J78" i="9" a="1"/>
  <c r="J78" i="9"/>
  <c r="K78" i="9" a="1"/>
  <c r="K78" i="9"/>
  <c r="L78" i="9" a="1"/>
  <c r="L78" i="9"/>
  <c r="M78" i="9" a="1"/>
  <c r="M78" i="9"/>
  <c r="P35" i="7"/>
  <c r="P36" i="7"/>
  <c r="P56" i="7"/>
  <c r="C5" i="8"/>
  <c r="P37" i="7"/>
  <c r="P38" i="7"/>
  <c r="P39" i="7"/>
  <c r="P40" i="7"/>
  <c r="P41" i="7"/>
  <c r="P42" i="7"/>
  <c r="P43" i="7"/>
  <c r="P44" i="7"/>
  <c r="P45" i="7"/>
  <c r="P46" i="7"/>
  <c r="P47" i="7"/>
  <c r="P48" i="7"/>
  <c r="P49" i="7"/>
  <c r="P50" i="7"/>
  <c r="P51" i="7"/>
  <c r="P52" i="7"/>
  <c r="P53" i="7"/>
  <c r="P54" i="7"/>
  <c r="P55" i="7"/>
  <c r="P34" i="7"/>
  <c r="K27" i="15"/>
  <c r="K26" i="15"/>
  <c r="K25" i="15"/>
  <c r="K30" i="15"/>
  <c r="C6" i="8"/>
  <c r="H65" i="9" a="1"/>
  <c r="H65" i="9"/>
  <c r="E21" i="7"/>
  <c r="O77" i="9"/>
  <c r="P77" i="9" s="1"/>
  <c r="O78" i="9"/>
  <c r="I36" i="12"/>
  <c r="J35" i="14"/>
  <c r="J36" i="14"/>
  <c r="D35" i="14"/>
  <c r="D36" i="14"/>
  <c r="D35" i="18"/>
  <c r="D36" i="18"/>
  <c r="D37" i="18"/>
  <c r="E35" i="18"/>
  <c r="E36" i="18"/>
  <c r="E37" i="18"/>
  <c r="J25" i="15"/>
  <c r="J27" i="15"/>
  <c r="J30" i="15"/>
  <c r="E59" i="7"/>
  <c r="E58" i="7"/>
  <c r="G7" i="6"/>
  <c r="C39" i="12"/>
  <c r="C40" i="12"/>
  <c r="C41" i="12"/>
  <c r="C42" i="12"/>
  <c r="C38" i="12"/>
  <c r="C37" i="12"/>
  <c r="R33" i="9" a="1"/>
  <c r="R33" i="9"/>
  <c r="S33" i="9" a="1"/>
  <c r="S33" i="9"/>
  <c r="U33" i="9" a="1"/>
  <c r="U33" i="9"/>
  <c r="R34" i="9" a="1"/>
  <c r="R34"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B84" i="9"/>
  <c r="E37" i="7"/>
  <c r="E38" i="7"/>
  <c r="E62" i="7"/>
  <c r="E39" i="7"/>
  <c r="E40" i="7"/>
  <c r="E41" i="7"/>
  <c r="E42" i="7"/>
  <c r="E43" i="7"/>
  <c r="E44" i="7"/>
  <c r="E45" i="7"/>
  <c r="E46" i="7"/>
  <c r="E47" i="7"/>
  <c r="E48" i="7"/>
  <c r="E49" i="7"/>
  <c r="E50" i="7"/>
  <c r="E51" i="7"/>
  <c r="E52" i="7"/>
  <c r="E53" i="7"/>
  <c r="E54" i="7"/>
  <c r="E55" i="7"/>
  <c r="E56" i="7"/>
  <c r="E57" i="7"/>
  <c r="E36"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G74" i="2"/>
  <c r="F74" i="2"/>
  <c r="H74" i="2"/>
  <c r="I74" i="2"/>
  <c r="D74" i="2"/>
  <c r="E75" i="2"/>
  <c r="G75" i="2"/>
  <c r="F75" i="2"/>
  <c r="E76" i="2"/>
  <c r="F76" i="2"/>
  <c r="H76" i="2"/>
  <c r="I76" i="2"/>
  <c r="D76" i="2"/>
  <c r="E77" i="2"/>
  <c r="F77" i="2"/>
  <c r="E78" i="2"/>
  <c r="F78" i="2"/>
  <c r="H78" i="2"/>
  <c r="I78" i="2"/>
  <c r="D78" i="2"/>
  <c r="E79" i="2"/>
  <c r="F79" i="2"/>
  <c r="G79" i="2"/>
  <c r="H79" i="2"/>
  <c r="I79" i="2"/>
  <c r="D79" i="2"/>
  <c r="E80" i="2"/>
  <c r="F80" i="2"/>
  <c r="H80" i="2"/>
  <c r="I80" i="2"/>
  <c r="D80" i="2"/>
  <c r="E81" i="2"/>
  <c r="F81" i="2"/>
  <c r="G81" i="2"/>
  <c r="E82" i="2"/>
  <c r="F82" i="2"/>
  <c r="Q5" i="9" a="1"/>
  <c r="A13" i="20"/>
  <c r="O64" i="9"/>
  <c r="P64" i="9"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G57" i="2" s="1"/>
  <c r="F57" i="2"/>
  <c r="H57" i="2" s="1"/>
  <c r="I57" i="2" s="1"/>
  <c r="D57" i="2" s="1"/>
  <c r="E58" i="2"/>
  <c r="F58" i="2"/>
  <c r="F27" i="2"/>
  <c r="H27" i="2" s="1"/>
  <c r="I27" i="2" s="1"/>
  <c r="D27" i="2" s="1"/>
  <c r="E27" i="2"/>
  <c r="E59" i="2"/>
  <c r="F59" i="2"/>
  <c r="H59" i="2" s="1"/>
  <c r="I59" i="2" s="1"/>
  <c r="D59" i="2" s="1"/>
  <c r="F28" i="2"/>
  <c r="H28" i="2" s="1"/>
  <c r="I28" i="2" s="1"/>
  <c r="D28" i="2" s="1"/>
  <c r="E28" i="2"/>
  <c r="E60" i="2"/>
  <c r="F60" i="2"/>
  <c r="H60" i="2" s="1"/>
  <c r="I60" i="2" s="1"/>
  <c r="D60" i="2" s="1"/>
  <c r="E61" i="2"/>
  <c r="G61" i="2" s="1"/>
  <c r="F61" i="2"/>
  <c r="H61" i="2" s="1"/>
  <c r="I61" i="2" s="1"/>
  <c r="D61" i="2" s="1"/>
  <c r="E62" i="2"/>
  <c r="F62" i="2"/>
  <c r="H62" i="2" s="1"/>
  <c r="I62" i="2" s="1"/>
  <c r="D62" i="2" s="1"/>
  <c r="E63" i="2"/>
  <c r="F63" i="2"/>
  <c r="H63" i="2" s="1"/>
  <c r="I63" i="2" s="1"/>
  <c r="D63" i="2" s="1"/>
  <c r="E64" i="2"/>
  <c r="F64" i="2"/>
  <c r="H64" i="2"/>
  <c r="I64" i="2" s="1"/>
  <c r="D64" i="2" s="1"/>
  <c r="E65" i="2"/>
  <c r="F65" i="2"/>
  <c r="H65" i="2" s="1"/>
  <c r="I65" i="2" s="1"/>
  <c r="D65" i="2" s="1"/>
  <c r="E66" i="2"/>
  <c r="F66" i="2"/>
  <c r="H66" i="2" s="1"/>
  <c r="I66" i="2" s="1"/>
  <c r="D66" i="2" s="1"/>
  <c r="E67" i="2"/>
  <c r="F67" i="2"/>
  <c r="H67" i="2" s="1"/>
  <c r="I67" i="2" s="1"/>
  <c r="D67" i="2" s="1"/>
  <c r="E68" i="2"/>
  <c r="F68" i="2"/>
  <c r="E69" i="2"/>
  <c r="F69" i="2"/>
  <c r="E70" i="2"/>
  <c r="F70" i="2"/>
  <c r="H70" i="2" s="1"/>
  <c r="I70" i="2" s="1"/>
  <c r="D70" i="2" s="1"/>
  <c r="E71" i="2"/>
  <c r="F71" i="2"/>
  <c r="G71" i="2" s="1"/>
  <c r="E72" i="2"/>
  <c r="G72" i="2"/>
  <c r="H43" i="1" s="1"/>
  <c r="F72" i="2"/>
  <c r="H72" i="2" s="1"/>
  <c r="I72" i="2" s="1"/>
  <c r="D72" i="2" s="1"/>
  <c r="E73" i="2"/>
  <c r="F73" i="2"/>
  <c r="H73" i="2"/>
  <c r="I73" i="2"/>
  <c r="D73" i="2" s="1"/>
  <c r="E45" i="2"/>
  <c r="F45" i="2"/>
  <c r="H45" i="2" s="1"/>
  <c r="I45" i="2" s="1"/>
  <c r="D45" i="2" s="1"/>
  <c r="E46" i="2"/>
  <c r="F46" i="2"/>
  <c r="E47" i="2"/>
  <c r="F47" i="2"/>
  <c r="E48" i="2"/>
  <c r="F48" i="2"/>
  <c r="F20" i="2"/>
  <c r="H20" i="2" s="1"/>
  <c r="I20" i="2" s="1"/>
  <c r="D20" i="2" s="1"/>
  <c r="E20" i="2"/>
  <c r="E49" i="2"/>
  <c r="F49" i="2"/>
  <c r="H49" i="2" s="1"/>
  <c r="I49" i="2" s="1"/>
  <c r="D49" i="2" s="1"/>
  <c r="F21" i="2"/>
  <c r="E21" i="2"/>
  <c r="E50" i="2"/>
  <c r="G50" i="2" s="1"/>
  <c r="H144" i="1" s="1"/>
  <c r="F50" i="2"/>
  <c r="H50" i="2" s="1"/>
  <c r="I50" i="2" s="1"/>
  <c r="D50" i="2" s="1"/>
  <c r="E51" i="2"/>
  <c r="F51" i="2"/>
  <c r="E52" i="2"/>
  <c r="F52" i="2"/>
  <c r="H52" i="2" s="1"/>
  <c r="I52" i="2" s="1"/>
  <c r="D52" i="2" s="1"/>
  <c r="E53" i="2"/>
  <c r="F53" i="2"/>
  <c r="H53" i="2" s="1"/>
  <c r="I53" i="2" s="1"/>
  <c r="D53" i="2" s="1"/>
  <c r="E54" i="2"/>
  <c r="F54" i="2"/>
  <c r="H54" i="2" s="1"/>
  <c r="I54" i="2" s="1"/>
  <c r="D54" i="2" s="1"/>
  <c r="F24" i="2"/>
  <c r="H24" i="2" s="1"/>
  <c r="I24" i="2" s="1"/>
  <c r="D24" i="2" s="1"/>
  <c r="E24" i="2"/>
  <c r="E55" i="2"/>
  <c r="F55" i="2"/>
  <c r="F25" i="2"/>
  <c r="E25" i="2"/>
  <c r="G25" i="2" s="1"/>
  <c r="H95" i="1" s="1"/>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G5" i="2" s="1"/>
  <c r="E5" i="2"/>
  <c r="E34" i="2"/>
  <c r="G34" i="2"/>
  <c r="H113" i="1" s="1"/>
  <c r="F34" i="2"/>
  <c r="H34" i="2"/>
  <c r="I34" i="2" s="1"/>
  <c r="D34" i="2" s="1"/>
  <c r="F18" i="2"/>
  <c r="E18" i="2"/>
  <c r="E35" i="2"/>
  <c r="F35" i="2"/>
  <c r="E36" i="2"/>
  <c r="F36" i="2"/>
  <c r="H36" i="2" s="1"/>
  <c r="I36" i="2" s="1"/>
  <c r="D36" i="2" s="1"/>
  <c r="F22" i="2"/>
  <c r="H22" i="2" s="1"/>
  <c r="I22" i="2" s="1"/>
  <c r="D22" i="2" s="1"/>
  <c r="E22" i="2"/>
  <c r="F7" i="2"/>
  <c r="H7" i="2" s="1"/>
  <c r="I7" i="2" s="1"/>
  <c r="D7" i="2" s="1"/>
  <c r="E7" i="2"/>
  <c r="G7" i="2" s="1"/>
  <c r="E37" i="2"/>
  <c r="F37" i="2"/>
  <c r="G37" i="2" s="1"/>
  <c r="H118" i="1" s="1"/>
  <c r="E39" i="2"/>
  <c r="F39" i="2"/>
  <c r="E40" i="2"/>
  <c r="F40" i="2"/>
  <c r="G40" i="2" s="1"/>
  <c r="H135" i="1" s="1"/>
  <c r="E41" i="2"/>
  <c r="F41" i="2"/>
  <c r="E42" i="2"/>
  <c r="F42" i="2"/>
  <c r="H42" i="2"/>
  <c r="I42" i="2" s="1"/>
  <c r="D42" i="2" s="1"/>
  <c r="E43" i="2"/>
  <c r="F43" i="2"/>
  <c r="H43" i="2" s="1"/>
  <c r="I43" i="2" s="1"/>
  <c r="D43" i="2" s="1"/>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26" i="2"/>
  <c r="H26" i="2" s="1"/>
  <c r="I26" i="2" s="1"/>
  <c r="D26" i="2" s="1"/>
  <c r="E26"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G14" i="2" s="1"/>
  <c r="E30" i="2"/>
  <c r="E32" i="2"/>
  <c r="N4" i="17"/>
  <c r="F12" i="2"/>
  <c r="G12" i="2" s="1"/>
  <c r="E12" i="2"/>
  <c r="F11" i="2"/>
  <c r="G11" i="2" s="1"/>
  <c r="H78" i="1" s="1"/>
  <c r="E11" i="2"/>
  <c r="E17" i="2"/>
  <c r="F17" i="2"/>
  <c r="F9" i="2"/>
  <c r="H9" i="2" s="1"/>
  <c r="I9" i="2" s="1"/>
  <c r="D9" i="2" s="1"/>
  <c r="E9" i="2"/>
  <c r="E8" i="2"/>
  <c r="G8" i="2" s="1"/>
  <c r="H71" i="1" s="1"/>
  <c r="F8" i="2"/>
  <c r="E10" i="2"/>
  <c r="E4" i="2"/>
  <c r="C8" i="8"/>
  <c r="F10" i="2"/>
  <c r="G10" i="2" s="1"/>
  <c r="H60" i="1" s="1"/>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H77" i="2"/>
  <c r="I77" i="2"/>
  <c r="D77" i="2"/>
  <c r="G76" i="2"/>
  <c r="G82" i="2"/>
  <c r="G77" i="2"/>
  <c r="H89" i="2"/>
  <c r="I89" i="2"/>
  <c r="D89" i="2"/>
  <c r="H81" i="2"/>
  <c r="I81" i="2"/>
  <c r="D81" i="2"/>
  <c r="G84" i="2"/>
  <c r="G73" i="2"/>
  <c r="H75" i="2"/>
  <c r="I75" i="2"/>
  <c r="D75" i="2"/>
  <c r="G86" i="2"/>
  <c r="G80" i="2"/>
  <c r="H90" i="2"/>
  <c r="I90" i="2"/>
  <c r="D90" i="2"/>
  <c r="G85" i="2"/>
  <c r="G92" i="2"/>
  <c r="G88" i="2"/>
  <c r="G83" i="2"/>
  <c r="H88" i="2"/>
  <c r="I88" i="2"/>
  <c r="D88" i="2"/>
  <c r="H86" i="2"/>
  <c r="I86" i="2"/>
  <c r="D86" i="2"/>
  <c r="H41" i="1"/>
  <c r="H28" i="1"/>
  <c r="H7" i="1"/>
  <c r="H31" i="1"/>
  <c r="H44" i="1"/>
  <c r="B10" i="21"/>
  <c r="B14" i="21"/>
  <c r="X36" i="9" a="1"/>
  <c r="X36" i="9"/>
  <c r="B3" i="21"/>
  <c r="B15" i="21"/>
  <c r="B5" i="21"/>
  <c r="B22" i="21"/>
  <c r="B13" i="21"/>
  <c r="B26" i="21"/>
  <c r="B24" i="21"/>
  <c r="B27" i="21"/>
  <c r="B2" i="21"/>
  <c r="O114" i="9"/>
  <c r="AD35" i="9"/>
  <c r="B23" i="21"/>
  <c r="O115" i="9"/>
  <c r="AD36" i="9"/>
  <c r="O113" i="9"/>
  <c r="AD34" i="9"/>
  <c r="AE34" i="9" s="1"/>
  <c r="B9" i="21"/>
  <c r="B11" i="21"/>
  <c r="B6" i="21"/>
  <c r="B19" i="21"/>
  <c r="B12" i="21"/>
  <c r="B17" i="21"/>
  <c r="B7" i="21"/>
  <c r="B20" i="21"/>
  <c r="B8" i="21"/>
  <c r="B18" i="21"/>
  <c r="B25" i="21"/>
  <c r="B16" i="21"/>
  <c r="G42" i="2"/>
  <c r="H123" i="1" s="1"/>
  <c r="V35" i="9" a="1"/>
  <c r="V35" i="9"/>
  <c r="H68" i="2"/>
  <c r="I68" i="2" s="1"/>
  <c r="D68" i="2" s="1"/>
  <c r="G49" i="2"/>
  <c r="H146" i="1" s="1"/>
  <c r="G26" i="2"/>
  <c r="H94" i="1" s="1"/>
  <c r="H99" i="1"/>
  <c r="J88" i="1" a="1"/>
  <c r="J88" i="1"/>
  <c r="H40" i="2"/>
  <c r="I40" i="2" s="1"/>
  <c r="D40" i="2" s="1"/>
  <c r="H8" i="2"/>
  <c r="I8" i="2"/>
  <c r="D8" i="2" s="1"/>
  <c r="H12" i="2"/>
  <c r="I12" i="2" s="1"/>
  <c r="D12" i="2" s="1"/>
  <c r="H25" i="2"/>
  <c r="I25" i="2" s="1"/>
  <c r="D25" i="2" s="1"/>
  <c r="H46" i="2"/>
  <c r="I46" i="2" s="1"/>
  <c r="D46" i="2" s="1"/>
  <c r="H47" i="2"/>
  <c r="I47" i="2" s="1"/>
  <c r="D47" i="2" s="1"/>
  <c r="G78" i="2"/>
  <c r="G9" i="2"/>
  <c r="H66" i="1" s="1"/>
  <c r="C88" i="9"/>
  <c r="D630" i="17"/>
  <c r="K5" i="17"/>
  <c r="K59" i="9" a="1"/>
  <c r="K59" i="9"/>
  <c r="L71" i="9" a="1"/>
  <c r="L71" i="9"/>
  <c r="K70" i="9" a="1"/>
  <c r="K70" i="9"/>
  <c r="J97" i="9"/>
  <c r="Y18" i="9" a="1"/>
  <c r="Y18" i="9"/>
  <c r="H90" i="9"/>
  <c r="W11" i="9" a="1"/>
  <c r="W11" i="9"/>
  <c r="E90" i="9"/>
  <c r="T11" i="9" a="1"/>
  <c r="T11" i="9"/>
  <c r="M52" i="9" a="1"/>
  <c r="M52" i="9"/>
  <c r="M71" i="9" a="1"/>
  <c r="M71" i="9"/>
  <c r="O88" i="9"/>
  <c r="AD9" i="9"/>
  <c r="B6" i="20"/>
  <c r="M87" i="9"/>
  <c r="AB8" i="9" a="1"/>
  <c r="AB8" i="9"/>
  <c r="A15" i="20"/>
  <c r="D101" i="9"/>
  <c r="S22" i="9" a="1"/>
  <c r="S22" i="9"/>
  <c r="O109" i="9"/>
  <c r="AD30" i="9"/>
  <c r="AE30" i="9" s="1"/>
  <c r="C27" i="20" s="1"/>
  <c r="M91" i="9"/>
  <c r="AB12" i="9" a="1"/>
  <c r="AB12" i="9"/>
  <c r="K74" i="9" a="1"/>
  <c r="K74" i="9"/>
  <c r="A25" i="20"/>
  <c r="J65" i="9" a="1"/>
  <c r="J65" i="9"/>
  <c r="M99" i="9"/>
  <c r="AB20" i="9" a="1"/>
  <c r="AB20" i="9"/>
  <c r="I65" i="9" a="1"/>
  <c r="I65" i="9"/>
  <c r="B14" i="9"/>
  <c r="E14" i="9"/>
  <c r="K53" i="9" a="1"/>
  <c r="K53" i="9"/>
  <c r="H64" i="9" a="1"/>
  <c r="H64" i="9"/>
  <c r="H85" i="9"/>
  <c r="I71" i="9" a="1"/>
  <c r="I71" i="9"/>
  <c r="B15" i="9"/>
  <c r="C15" i="9"/>
  <c r="K107" i="9"/>
  <c r="Z28" i="9" a="1"/>
  <c r="Z28" i="9"/>
  <c r="I61" i="9" a="1"/>
  <c r="I61" i="9"/>
  <c r="L86" i="9"/>
  <c r="AA7" i="9" a="1"/>
  <c r="AA7" i="9"/>
  <c r="I57" i="9" a="1"/>
  <c r="I57" i="9"/>
  <c r="K91" i="9"/>
  <c r="I106" i="9"/>
  <c r="X27" i="9" a="1"/>
  <c r="X27" i="9"/>
  <c r="J94" i="9"/>
  <c r="Y15" i="9" a="1"/>
  <c r="Y15" i="9"/>
  <c r="O96" i="9"/>
  <c r="AD17" i="9"/>
  <c r="B14" i="20" s="1"/>
  <c r="I103" i="9"/>
  <c r="X24" i="9" a="1"/>
  <c r="X24" i="9"/>
  <c r="G111" i="9"/>
  <c r="V32" i="9" a="1"/>
  <c r="V32" i="9"/>
  <c r="G98" i="9"/>
  <c r="V19" i="9" a="1"/>
  <c r="V19" i="9"/>
  <c r="H92" i="9"/>
  <c r="O51" i="9"/>
  <c r="P51" i="9" s="1"/>
  <c r="I110" i="9"/>
  <c r="X31" i="9" a="1"/>
  <c r="X31" i="9"/>
  <c r="D109" i="9"/>
  <c r="S30" i="9" a="1"/>
  <c r="S30" i="9"/>
  <c r="I91" i="9"/>
  <c r="X12" i="9" a="1"/>
  <c r="X12" i="9"/>
  <c r="B6" i="9"/>
  <c r="C6" i="9"/>
  <c r="D100" i="9"/>
  <c r="S21" i="9" a="1"/>
  <c r="S21" i="9"/>
  <c r="I102" i="9"/>
  <c r="X23" i="9" a="1"/>
  <c r="X23" i="9"/>
  <c r="D87" i="9"/>
  <c r="S8" i="9" a="1"/>
  <c r="S8" i="9"/>
  <c r="C99" i="9"/>
  <c r="R20" i="9" a="1"/>
  <c r="R20" i="9"/>
  <c r="J108" i="9"/>
  <c r="Y29" i="9" a="1"/>
  <c r="Y29" i="9"/>
  <c r="G63" i="9" a="1"/>
  <c r="G63" i="9"/>
  <c r="K103" i="9"/>
  <c r="Z24" i="9" a="1"/>
  <c r="Z24" i="9"/>
  <c r="G105" i="9"/>
  <c r="V26" i="9" a="1"/>
  <c r="V26" i="9"/>
  <c r="C106" i="9"/>
  <c r="R27" i="9" a="1"/>
  <c r="R27" i="9"/>
  <c r="B9" i="9"/>
  <c r="C9" i="9"/>
  <c r="J71" i="9" a="1"/>
  <c r="J71" i="9"/>
  <c r="G101" i="9"/>
  <c r="V22" i="9" a="1"/>
  <c r="V22" i="9"/>
  <c r="A9" i="20"/>
  <c r="H98" i="9"/>
  <c r="W19" i="9" a="1"/>
  <c r="W19" i="9"/>
  <c r="C96" i="9"/>
  <c r="R17" i="9" a="1"/>
  <c r="R17" i="9"/>
  <c r="J69" i="9" a="1"/>
  <c r="J69" i="9"/>
  <c r="C102" i="9"/>
  <c r="R23" i="9" a="1"/>
  <c r="R23" i="9"/>
  <c r="A17" i="20"/>
  <c r="A26" i="20"/>
  <c r="K90" i="9"/>
  <c r="Z11" i="9" a="1"/>
  <c r="Z11" i="9"/>
  <c r="A18" i="20"/>
  <c r="K104" i="9"/>
  <c r="Z25" i="9" a="1"/>
  <c r="Z25" i="9"/>
  <c r="H100" i="9"/>
  <c r="W21" i="9" a="1"/>
  <c r="W21" i="9"/>
  <c r="G87" i="9"/>
  <c r="D107" i="9"/>
  <c r="S28" i="9" a="1"/>
  <c r="S28" i="9"/>
  <c r="K100" i="9"/>
  <c r="Z21" i="9" a="1"/>
  <c r="Z21" i="9"/>
  <c r="B10" i="9"/>
  <c r="E10" i="9"/>
  <c r="E103" i="9"/>
  <c r="T24" i="9" a="1"/>
  <c r="T24" i="9"/>
  <c r="M103" i="9"/>
  <c r="AB24" i="9" a="1"/>
  <c r="AB24" i="9"/>
  <c r="K89" i="9"/>
  <c r="Z10" i="9" a="1"/>
  <c r="Z10" i="9"/>
  <c r="H54" i="9" a="1"/>
  <c r="H54" i="9"/>
  <c r="E95" i="9"/>
  <c r="T16" i="9" a="1"/>
  <c r="T16" i="9"/>
  <c r="F104" i="9"/>
  <c r="U25" i="9" a="1"/>
  <c r="U25" i="9"/>
  <c r="K52" i="9" a="1"/>
  <c r="K52" i="9"/>
  <c r="J92" i="9"/>
  <c r="Y13" i="9" a="1"/>
  <c r="Y13" i="9"/>
  <c r="D99" i="9"/>
  <c r="S20" i="9" a="1"/>
  <c r="S20" i="9"/>
  <c r="E89" i="9"/>
  <c r="T10" i="9" a="1"/>
  <c r="T10" i="9"/>
  <c r="C109" i="9"/>
  <c r="R30" i="9" a="1"/>
  <c r="R30" i="9"/>
  <c r="I98" i="9"/>
  <c r="X19" i="9" a="1"/>
  <c r="X19" i="9"/>
  <c r="D97" i="9"/>
  <c r="S18" i="9" a="1"/>
  <c r="S18" i="9"/>
  <c r="I56" i="9" a="1"/>
  <c r="I56" i="9"/>
  <c r="J66" i="9" a="1"/>
  <c r="J66" i="9"/>
  <c r="M63" i="9" a="1"/>
  <c r="M63" i="9"/>
  <c r="M101" i="9"/>
  <c r="AB22" i="9" a="1"/>
  <c r="AB22" i="9"/>
  <c r="C110" i="9"/>
  <c r="R31" i="9" a="1"/>
  <c r="R31" i="9"/>
  <c r="J72" i="9" a="1"/>
  <c r="J72" i="9"/>
  <c r="D96" i="9"/>
  <c r="S17" i="9" a="1"/>
  <c r="S17" i="9"/>
  <c r="G92" i="9"/>
  <c r="V13" i="9" a="1"/>
  <c r="V13" i="9"/>
  <c r="M105" i="9"/>
  <c r="AB26" i="9" a="1"/>
  <c r="AB26" i="9"/>
  <c r="F103" i="9"/>
  <c r="U24" i="9" a="1"/>
  <c r="U24" i="9"/>
  <c r="L108" i="9"/>
  <c r="AA29" i="9" a="1"/>
  <c r="AA29" i="9"/>
  <c r="D91" i="9"/>
  <c r="S12" i="9" a="1"/>
  <c r="S12" i="9"/>
  <c r="G106" i="9"/>
  <c r="V27" i="9" a="1"/>
  <c r="V27" i="9"/>
  <c r="H88" i="9"/>
  <c r="W9" i="9" a="1"/>
  <c r="W9" i="9"/>
  <c r="M109" i="9"/>
  <c r="J68" i="9" a="1"/>
  <c r="J68" i="9"/>
  <c r="J91" i="9"/>
  <c r="Y12" i="9" a="1"/>
  <c r="Y12" i="9"/>
  <c r="L102" i="9"/>
  <c r="AA23" i="9" a="1"/>
  <c r="AA23" i="9"/>
  <c r="F110" i="9"/>
  <c r="U31" i="9" a="1"/>
  <c r="U31" i="9"/>
  <c r="M104" i="9"/>
  <c r="AB25" i="9" a="1"/>
  <c r="AB25" i="9"/>
  <c r="M62" i="9" a="1"/>
  <c r="M62" i="9"/>
  <c r="O72" i="9"/>
  <c r="J60" i="9" a="1"/>
  <c r="J60" i="9"/>
  <c r="G71" i="9" a="1"/>
  <c r="G71" i="9"/>
  <c r="M97" i="9"/>
  <c r="AB18" i="9" a="1"/>
  <c r="AB18" i="9"/>
  <c r="G110" i="9"/>
  <c r="B8" i="9"/>
  <c r="J99" i="9"/>
  <c r="Y20" i="9" a="1"/>
  <c r="Y20" i="9"/>
  <c r="B16" i="9"/>
  <c r="H71" i="9" a="1"/>
  <c r="H71" i="9"/>
  <c r="I66" i="9" a="1"/>
  <c r="I66" i="9"/>
  <c r="K88" i="9"/>
  <c r="Z9" i="9" a="1"/>
  <c r="Z9" i="9"/>
  <c r="I89" i="9"/>
  <c r="X10" i="9" a="1"/>
  <c r="X10" i="9"/>
  <c r="I99" i="9"/>
  <c r="X20" i="9" a="1"/>
  <c r="X20" i="9"/>
  <c r="F98" i="9"/>
  <c r="U19" i="9" a="1"/>
  <c r="U19" i="9"/>
  <c r="C91" i="9"/>
  <c r="R12" i="9" a="1"/>
  <c r="R12" i="9"/>
  <c r="J98" i="9"/>
  <c r="Y19" i="9" a="1"/>
  <c r="Y19" i="9"/>
  <c r="D102" i="9"/>
  <c r="S23" i="9" a="1"/>
  <c r="S23" i="9"/>
  <c r="F87" i="9"/>
  <c r="U8" i="9" a="1"/>
  <c r="U8" i="9"/>
  <c r="O97" i="9"/>
  <c r="AD18" i="9"/>
  <c r="B15" i="20" s="1"/>
  <c r="F91" i="9"/>
  <c r="U12" i="9" a="1"/>
  <c r="U12" i="9"/>
  <c r="H99" i="9"/>
  <c r="W20" i="9" a="1"/>
  <c r="W20" i="9"/>
  <c r="L104" i="9"/>
  <c r="AA25" i="9" a="1"/>
  <c r="AA25" i="9"/>
  <c r="I105" i="9"/>
  <c r="X26" i="9" a="1"/>
  <c r="X26" i="9"/>
  <c r="M58" i="9" a="1"/>
  <c r="M58" i="9"/>
  <c r="B7" i="9"/>
  <c r="M102" i="9"/>
  <c r="AB23" i="9" a="1"/>
  <c r="AB23" i="9"/>
  <c r="J95" i="9"/>
  <c r="Y16" i="9" a="1"/>
  <c r="Y16" i="9"/>
  <c r="L103" i="9"/>
  <c r="G64" i="9" a="1"/>
  <c r="G64" i="9"/>
  <c r="O108" i="9"/>
  <c r="AD29" i="9"/>
  <c r="L57" i="9" a="1"/>
  <c r="L57" i="9"/>
  <c r="M53" i="9" a="1"/>
  <c r="M53" i="9"/>
  <c r="M51" i="9" a="1"/>
  <c r="M51" i="9"/>
  <c r="L95" i="9"/>
  <c r="AA16" i="9" a="1"/>
  <c r="AA16" i="9"/>
  <c r="I92" i="9"/>
  <c r="X13" i="9" a="1"/>
  <c r="X13" i="9"/>
  <c r="H107" i="9"/>
  <c r="W28" i="9" a="1"/>
  <c r="W28" i="9"/>
  <c r="L110" i="9"/>
  <c r="AA31" i="9" a="1"/>
  <c r="AA31" i="9"/>
  <c r="F109" i="9"/>
  <c r="U30" i="9" a="1"/>
  <c r="U30" i="9"/>
  <c r="D94" i="9"/>
  <c r="S15" i="9" a="1"/>
  <c r="S15" i="9"/>
  <c r="J74" i="9" a="1"/>
  <c r="J74" i="9"/>
  <c r="I68" i="9" a="1"/>
  <c r="I68" i="9"/>
  <c r="M92" i="9"/>
  <c r="AB13" i="9" a="1"/>
  <c r="AB13" i="9"/>
  <c r="O104" i="9"/>
  <c r="AD25" i="9"/>
  <c r="B22" i="20" s="1"/>
  <c r="H95" i="9"/>
  <c r="J102" i="9"/>
  <c r="Y23" i="9" a="1"/>
  <c r="Y23" i="9"/>
  <c r="J86" i="9"/>
  <c r="Y7" i="9" a="1"/>
  <c r="Y7" i="9"/>
  <c r="O98" i="9"/>
  <c r="AD19" i="9"/>
  <c r="AE19" i="9" s="1"/>
  <c r="C16" i="20" s="1"/>
  <c r="K50" i="9" a="1"/>
  <c r="K50" i="9"/>
  <c r="D98" i="9"/>
  <c r="S19" i="9" a="1"/>
  <c r="S19" i="9"/>
  <c r="G97" i="9"/>
  <c r="V18" i="9" a="1"/>
  <c r="V18" i="9"/>
  <c r="K102" i="9"/>
  <c r="Z23" i="9" a="1"/>
  <c r="Z23" i="9"/>
  <c r="F92" i="9"/>
  <c r="U13" i="9" a="1"/>
  <c r="U13" i="9"/>
  <c r="O50" i="9"/>
  <c r="P50" i="9" s="1"/>
  <c r="O70" i="9"/>
  <c r="P70" i="9" s="1"/>
  <c r="H75" i="9" a="1"/>
  <c r="H75" i="9"/>
  <c r="F95" i="9"/>
  <c r="U16" i="9" a="1"/>
  <c r="U16" i="9"/>
  <c r="H94" i="9"/>
  <c r="W15" i="9" a="1"/>
  <c r="W15" i="9"/>
  <c r="H109" i="9"/>
  <c r="W30" i="9" a="1"/>
  <c r="W30" i="9"/>
  <c r="E85" i="9"/>
  <c r="T6" i="9" a="1"/>
  <c r="T6" i="9"/>
  <c r="F101" i="9"/>
  <c r="U22" i="9" a="1"/>
  <c r="U22" i="9"/>
  <c r="I59" i="9" a="1"/>
  <c r="I59" i="9"/>
  <c r="L92" i="9"/>
  <c r="AA13" i="9" a="1"/>
  <c r="AA13" i="9"/>
  <c r="O55" i="9"/>
  <c r="P55" i="9" s="1"/>
  <c r="L93" i="9"/>
  <c r="AA14" i="9" a="1"/>
  <c r="AA14" i="9"/>
  <c r="I86" i="9"/>
  <c r="X7" i="9" a="1"/>
  <c r="X7" i="9"/>
  <c r="O85" i="9"/>
  <c r="AD6" i="9"/>
  <c r="AE6" i="9" s="1"/>
  <c r="C3" i="20" s="1"/>
  <c r="O101" i="9"/>
  <c r="AD22" i="9"/>
  <c r="AE22" i="9" s="1"/>
  <c r="C19" i="20" s="1"/>
  <c r="M75" i="9" a="1"/>
  <c r="M75" i="9"/>
  <c r="L87" i="9"/>
  <c r="AA8" i="9" a="1"/>
  <c r="AA8" i="9"/>
  <c r="O74" i="9"/>
  <c r="P74" i="9" s="1"/>
  <c r="M65" i="9" a="1"/>
  <c r="M65" i="9"/>
  <c r="D108" i="9"/>
  <c r="S29" i="9" a="1"/>
  <c r="S29" i="9"/>
  <c r="L64" i="9" a="1"/>
  <c r="L64" i="9"/>
  <c r="G103" i="9"/>
  <c r="O67" i="9"/>
  <c r="P67" i="9" s="1"/>
  <c r="G73" i="9" a="1"/>
  <c r="G73" i="9"/>
  <c r="L56" i="9" a="1"/>
  <c r="L56" i="9"/>
  <c r="E86" i="9"/>
  <c r="T7" i="9" a="1"/>
  <c r="T7" i="9"/>
  <c r="I54" i="9" a="1"/>
  <c r="I54" i="9"/>
  <c r="K106" i="9"/>
  <c r="Z27" i="9" a="1"/>
  <c r="Z27" i="9"/>
  <c r="I107" i="9"/>
  <c r="X28" i="9" a="1"/>
  <c r="X28" i="9"/>
  <c r="M76" i="9" a="1"/>
  <c r="M76" i="9"/>
  <c r="K92" i="9"/>
  <c r="Z13" i="9" a="1"/>
  <c r="Z13" i="9"/>
  <c r="M73" i="9" a="1"/>
  <c r="M73" i="9"/>
  <c r="C90" i="9"/>
  <c r="R11" i="9" a="1"/>
  <c r="R11" i="9"/>
  <c r="E104" i="9"/>
  <c r="T25" i="9" a="1"/>
  <c r="T25" i="9"/>
  <c r="K55" i="9" a="1"/>
  <c r="K55" i="9"/>
  <c r="K73" i="9" a="1"/>
  <c r="K73" i="9"/>
  <c r="O86" i="9"/>
  <c r="AD7" i="9"/>
  <c r="AE7" i="9" s="1"/>
  <c r="C4" i="20" s="1"/>
  <c r="G76" i="9" a="1"/>
  <c r="G76" i="9"/>
  <c r="K93" i="9"/>
  <c r="Z14" i="9" a="1"/>
  <c r="Z14" i="9"/>
  <c r="I58" i="9" a="1"/>
  <c r="I58" i="9"/>
  <c r="C86" i="9"/>
  <c r="R7" i="9" a="1"/>
  <c r="R7" i="9"/>
  <c r="H91" i="9"/>
  <c r="L91" i="9"/>
  <c r="AA12" i="9" a="1"/>
  <c r="AA12" i="9"/>
  <c r="I100" i="9"/>
  <c r="X21" i="9" a="1"/>
  <c r="X21" i="9"/>
  <c r="I85" i="9"/>
  <c r="X6" i="9" a="1"/>
  <c r="X6" i="9"/>
  <c r="L50" i="9" a="1"/>
  <c r="L50" i="9"/>
  <c r="I62" i="9" a="1"/>
  <c r="I62" i="9"/>
  <c r="O105" i="9"/>
  <c r="AD26" i="9"/>
  <c r="AE26" i="9" s="1"/>
  <c r="C23" i="20" s="1"/>
  <c r="L72" i="9" a="1"/>
  <c r="L72" i="9"/>
  <c r="I63" i="9" a="1"/>
  <c r="I63" i="9"/>
  <c r="K62" i="9" a="1"/>
  <c r="K62" i="9"/>
  <c r="K57" i="9" a="1"/>
  <c r="K57" i="9"/>
  <c r="L99" i="9"/>
  <c r="AA20" i="9" a="1"/>
  <c r="AA20" i="9"/>
  <c r="I88" i="9"/>
  <c r="X9" i="9" a="1"/>
  <c r="X9" i="9"/>
  <c r="G95" i="9"/>
  <c r="K110" i="9"/>
  <c r="Z31" i="9" a="1"/>
  <c r="Z31" i="9"/>
  <c r="G74" i="9" a="1"/>
  <c r="G74" i="9"/>
  <c r="B3" i="9"/>
  <c r="O63" i="9"/>
  <c r="P63" i="9" s="1"/>
  <c r="E101" i="9"/>
  <c r="T22" i="9" a="1"/>
  <c r="T22" i="9"/>
  <c r="I90" i="9"/>
  <c r="X11" i="9" a="1"/>
  <c r="X11" i="9"/>
  <c r="L88" i="9"/>
  <c r="AA9" i="9" a="1"/>
  <c r="AA9" i="9"/>
  <c r="D93" i="9"/>
  <c r="S14" i="9" a="1"/>
  <c r="S14" i="9"/>
  <c r="J56" i="9" a="1"/>
  <c r="J56" i="9"/>
  <c r="J106" i="9"/>
  <c r="Y27" i="9" a="1"/>
  <c r="Y27" i="9"/>
  <c r="K101" i="9"/>
  <c r="Z22" i="9" a="1"/>
  <c r="Z22" i="9"/>
  <c r="G62" i="9" a="1"/>
  <c r="G62" i="9"/>
  <c r="O110" i="9"/>
  <c r="AD31" i="9"/>
  <c r="E18" i="19" s="1" a="1"/>
  <c r="E18" i="19" s="1"/>
  <c r="Q5" i="9"/>
  <c r="H76" i="9" a="1"/>
  <c r="H76" i="9"/>
  <c r="K85" i="9"/>
  <c r="Z6" i="9" a="1"/>
  <c r="Z6" i="9"/>
  <c r="C105" i="9"/>
  <c r="R26" i="9" a="1"/>
  <c r="R26" i="9"/>
  <c r="M61" i="9" a="1"/>
  <c r="M61" i="9"/>
  <c r="O75" i="9"/>
  <c r="P75" i="9" s="1"/>
  <c r="O59" i="9"/>
  <c r="P59" i="9" s="1"/>
  <c r="E108" i="9"/>
  <c r="T29" i="9" a="1"/>
  <c r="T29" i="9"/>
  <c r="L65" i="9" a="1"/>
  <c r="L65" i="9"/>
  <c r="J52" i="9" a="1"/>
  <c r="J52" i="9"/>
  <c r="H111" i="9"/>
  <c r="W32" i="9" a="1"/>
  <c r="W32" i="9"/>
  <c r="G86" i="9"/>
  <c r="H106" i="9"/>
  <c r="W27" i="9" a="1"/>
  <c r="W27" i="9"/>
  <c r="C89" i="9"/>
  <c r="R10" i="9" a="1"/>
  <c r="R10" i="9"/>
  <c r="K87" i="9"/>
  <c r="Z8" i="9" a="1"/>
  <c r="Z8" i="9"/>
  <c r="O95" i="9"/>
  <c r="AD16" i="9"/>
  <c r="B13" i="20" s="1"/>
  <c r="M107" i="9"/>
  <c r="AB28" i="9" a="1"/>
  <c r="AB28" i="9"/>
  <c r="I95" i="9"/>
  <c r="X16" i="9" a="1"/>
  <c r="X16" i="9"/>
  <c r="L109" i="9"/>
  <c r="AA30" i="9" a="1"/>
  <c r="AA30" i="9"/>
  <c r="G93" i="9"/>
  <c r="V14" i="9" a="1"/>
  <c r="V14" i="9"/>
  <c r="H87" i="9"/>
  <c r="W8" i="9" a="1"/>
  <c r="W8" i="9"/>
  <c r="B18" i="9"/>
  <c r="G61" i="9" a="1"/>
  <c r="G61" i="9"/>
  <c r="C92" i="9"/>
  <c r="R13" i="9" a="1"/>
  <c r="R13" i="9"/>
  <c r="K86" i="9"/>
  <c r="Z7" i="9" a="1"/>
  <c r="Z7" i="9"/>
  <c r="G58" i="9" a="1"/>
  <c r="G58" i="9"/>
  <c r="J61" i="9" a="1"/>
  <c r="J61" i="9"/>
  <c r="O87" i="9"/>
  <c r="AD8" i="9"/>
  <c r="B5" i="20" s="1"/>
  <c r="B12" i="9"/>
  <c r="I51" i="9" a="1"/>
  <c r="I51" i="9"/>
  <c r="I50" i="9" a="1"/>
  <c r="I50" i="9"/>
  <c r="K108" i="9"/>
  <c r="Z29" i="9" a="1"/>
  <c r="Z29" i="9"/>
  <c r="L59" i="9" a="1"/>
  <c r="L59" i="9"/>
  <c r="O69" i="9"/>
  <c r="P69" i="9" s="1"/>
  <c r="B11" i="9"/>
  <c r="O111" i="9"/>
  <c r="AD32" i="9"/>
  <c r="AE32" i="9" s="1"/>
  <c r="B13" i="9"/>
  <c r="K111" i="9"/>
  <c r="Z32" i="9" a="1"/>
  <c r="Z32" i="9"/>
  <c r="I111" i="9"/>
  <c r="X32" i="9" a="1"/>
  <c r="X32" i="9"/>
  <c r="G100" i="9"/>
  <c r="V21" i="9" a="1"/>
  <c r="V21" i="9"/>
  <c r="M88" i="9"/>
  <c r="AB9" i="9" a="1"/>
  <c r="AB9" i="9"/>
  <c r="H62" i="9" a="1"/>
  <c r="H62" i="9"/>
  <c r="M86" i="9"/>
  <c r="AB7" i="9" a="1"/>
  <c r="AB7" i="9"/>
  <c r="H89" i="9"/>
  <c r="W10" i="9" a="1"/>
  <c r="W10" i="9"/>
  <c r="B17" i="9"/>
  <c r="L70" i="9" a="1"/>
  <c r="L70" i="9"/>
  <c r="I101" i="9"/>
  <c r="X22" i="9" a="1"/>
  <c r="X22" i="9"/>
  <c r="M64" i="9" a="1"/>
  <c r="M64" i="9"/>
  <c r="B49" i="9"/>
  <c r="E49" i="9" a="1"/>
  <c r="E49" i="9"/>
  <c r="J93" i="9"/>
  <c r="Y14" i="9" a="1"/>
  <c r="Y14" i="9"/>
  <c r="M110" i="9"/>
  <c r="AB31" i="9" a="1"/>
  <c r="AB31" i="9"/>
  <c r="K99" i="9"/>
  <c r="Z20" i="9" a="1"/>
  <c r="Z20" i="9"/>
  <c r="O107" i="9"/>
  <c r="AD28" i="9"/>
  <c r="L75" i="9" a="1"/>
  <c r="L75" i="9"/>
  <c r="H86" i="9"/>
  <c r="G70" i="9" a="1"/>
  <c r="G70" i="9"/>
  <c r="O58" i="9"/>
  <c r="P58" i="9" s="1"/>
  <c r="M89" i="9"/>
  <c r="AB10" i="9" a="1"/>
  <c r="AB10" i="9"/>
  <c r="O61" i="9"/>
  <c r="P61" i="9" s="1"/>
  <c r="L63" i="9" a="1"/>
  <c r="L63" i="9"/>
  <c r="K75" i="9" a="1"/>
  <c r="K75" i="9"/>
  <c r="I64" i="9" a="1"/>
  <c r="I64" i="9"/>
  <c r="M66" i="9" a="1"/>
  <c r="M66" i="9"/>
  <c r="I96" i="9"/>
  <c r="X17" i="9" a="1"/>
  <c r="X17" i="9"/>
  <c r="F86" i="9"/>
  <c r="U7" i="9" a="1"/>
  <c r="U7" i="9"/>
  <c r="L58" i="9" a="1"/>
  <c r="L58" i="9"/>
  <c r="F111" i="9"/>
  <c r="U32" i="9" a="1"/>
  <c r="U32" i="9"/>
  <c r="C94" i="9"/>
  <c r="R15" i="9" a="1"/>
  <c r="R15" i="9"/>
  <c r="F93" i="9"/>
  <c r="U14" i="9" a="1"/>
  <c r="U14" i="9"/>
  <c r="L73" i="9" a="1"/>
  <c r="L73" i="9"/>
  <c r="H69" i="9" a="1"/>
  <c r="H69" i="9"/>
  <c r="L111" i="9"/>
  <c r="AA32" i="9" a="1"/>
  <c r="AA32" i="9"/>
  <c r="O60" i="9"/>
  <c r="D104" i="9"/>
  <c r="S25" i="9" a="1"/>
  <c r="S25" i="9"/>
  <c r="F99" i="9"/>
  <c r="U20" i="9" a="1"/>
  <c r="U20" i="9"/>
  <c r="O53" i="9"/>
  <c r="P53" i="9" s="1"/>
  <c r="H108" i="9"/>
  <c r="W29" i="9" a="1"/>
  <c r="W29" i="9"/>
  <c r="G72" i="9" a="1"/>
  <c r="G72" i="9"/>
  <c r="D105" i="9"/>
  <c r="S26" i="9" a="1"/>
  <c r="S26" i="9"/>
  <c r="G94" i="9"/>
  <c r="J96" i="9"/>
  <c r="Y17" i="9" a="1"/>
  <c r="Y17" i="9"/>
  <c r="K96" i="9"/>
  <c r="Z17" i="9" a="1"/>
  <c r="Z17" i="9"/>
  <c r="F89" i="9"/>
  <c r="U10" i="9" a="1"/>
  <c r="U10" i="9"/>
  <c r="L51" i="9" a="1"/>
  <c r="L51" i="9"/>
  <c r="D85" i="9"/>
  <c r="S6" i="9" a="1"/>
  <c r="S6" i="9"/>
  <c r="I72" i="9" a="1"/>
  <c r="I72" i="9"/>
  <c r="H68" i="9" a="1"/>
  <c r="H68" i="9"/>
  <c r="M100" i="9"/>
  <c r="AB21" i="9" a="1"/>
  <c r="AB21" i="9"/>
  <c r="M54" i="9" a="1"/>
  <c r="M54" i="9"/>
  <c r="O54" i="9"/>
  <c r="P54" i="9" s="1"/>
  <c r="E111" i="9"/>
  <c r="T32" i="9" a="1"/>
  <c r="T32" i="9"/>
  <c r="O103" i="9"/>
  <c r="AD24" i="9"/>
  <c r="AE24" i="9" s="1"/>
  <c r="C21" i="20" s="1"/>
  <c r="M57" i="9" a="1"/>
  <c r="M57" i="9"/>
  <c r="K94" i="9"/>
  <c r="Z15" i="9" a="1"/>
  <c r="Z15" i="9"/>
  <c r="H74" i="9" a="1"/>
  <c r="H74" i="9"/>
  <c r="J105" i="9"/>
  <c r="Y26" i="9" a="1"/>
  <c r="Y26" i="9"/>
  <c r="H63" i="9" a="1"/>
  <c r="H63" i="9"/>
  <c r="J89" i="9"/>
  <c r="Y10" i="9" a="1"/>
  <c r="Y10" i="9"/>
  <c r="L53" i="9" a="1"/>
  <c r="L53" i="9"/>
  <c r="H104" i="9"/>
  <c r="W25" i="9" a="1"/>
  <c r="W25" i="9"/>
  <c r="E98" i="9"/>
  <c r="T19" i="9" a="1"/>
  <c r="T19" i="9"/>
  <c r="L100" i="9"/>
  <c r="AA21" i="9" a="1"/>
  <c r="AA21" i="9"/>
  <c r="M106" i="9"/>
  <c r="AB27" i="9" a="1"/>
  <c r="AB27" i="9"/>
  <c r="L52" i="9" a="1"/>
  <c r="L52" i="9"/>
  <c r="F107" i="9"/>
  <c r="U28" i="9" a="1"/>
  <c r="U28" i="9"/>
  <c r="K97" i="9"/>
  <c r="Z18" i="9" a="1"/>
  <c r="Z18" i="9"/>
  <c r="I69" i="9" a="1"/>
  <c r="I69" i="9"/>
  <c r="G108" i="9"/>
  <c r="V29" i="9" a="1"/>
  <c r="V29" i="9"/>
  <c r="M69" i="9" a="1"/>
  <c r="M69" i="9"/>
  <c r="O106" i="9"/>
  <c r="AD27" i="9"/>
  <c r="AE27" i="9" s="1"/>
  <c r="C24" i="20" s="1"/>
  <c r="M108" i="9"/>
  <c r="AB29" i="9" a="1"/>
  <c r="AB29" i="9"/>
  <c r="H93" i="9"/>
  <c r="W14" i="9" a="1"/>
  <c r="W14" i="9"/>
  <c r="J73" i="9" a="1"/>
  <c r="J73" i="9"/>
  <c r="M70" i="9" a="1"/>
  <c r="M70" i="9"/>
  <c r="D95" i="9"/>
  <c r="S16" i="9" a="1"/>
  <c r="S16" i="9"/>
  <c r="D106" i="9"/>
  <c r="S27" i="9" a="1"/>
  <c r="S27" i="9"/>
  <c r="O102" i="9"/>
  <c r="AD23" i="9"/>
  <c r="B20" i="20" s="1"/>
  <c r="G57" i="9" a="1"/>
  <c r="G57" i="9"/>
  <c r="E109" i="9"/>
  <c r="T30" i="9" a="1"/>
  <c r="T30" i="9"/>
  <c r="L62" i="9" a="1"/>
  <c r="L62" i="9"/>
  <c r="H102" i="9"/>
  <c r="W23" i="9" a="1"/>
  <c r="W23" i="9"/>
  <c r="K56" i="9" a="1"/>
  <c r="K56" i="9"/>
  <c r="H96" i="9"/>
  <c r="W17" i="9" a="1"/>
  <c r="W17" i="9"/>
  <c r="I104" i="9"/>
  <c r="X25" i="9" a="1"/>
  <c r="X25" i="9"/>
  <c r="E107" i="9"/>
  <c r="T28" i="9" a="1"/>
  <c r="T28" i="9"/>
  <c r="L105" i="9"/>
  <c r="AA26" i="9" a="1"/>
  <c r="AA26" i="9"/>
  <c r="L101" i="9"/>
  <c r="AA22" i="9" a="1"/>
  <c r="AA22" i="9"/>
  <c r="L55" i="9" a="1"/>
  <c r="L55" i="9"/>
  <c r="J70" i="9" a="1"/>
  <c r="J70" i="9"/>
  <c r="G50" i="9" a="1"/>
  <c r="G50" i="9"/>
  <c r="J63" i="9" a="1"/>
  <c r="J63" i="9"/>
  <c r="H101" i="9"/>
  <c r="W22" i="9" a="1"/>
  <c r="W22" i="9"/>
  <c r="O99" i="9"/>
  <c r="AD20" i="9"/>
  <c r="B17" i="20" s="1"/>
  <c r="G90" i="9"/>
  <c r="E97" i="9"/>
  <c r="T18" i="9" a="1"/>
  <c r="T18" i="9"/>
  <c r="E93" i="9"/>
  <c r="T14" i="9" a="1"/>
  <c r="T14" i="9"/>
  <c r="J58" i="9" a="1"/>
  <c r="J58" i="9"/>
  <c r="J55" i="9" a="1"/>
  <c r="J55" i="9"/>
  <c r="J85" i="9"/>
  <c r="Y6" i="9" a="1"/>
  <c r="Y6" i="9"/>
  <c r="F102" i="9"/>
  <c r="U23" i="9" a="1"/>
  <c r="U23" i="9"/>
  <c r="E88" i="9"/>
  <c r="T9" i="9" a="1"/>
  <c r="T9" i="9"/>
  <c r="D92" i="9"/>
  <c r="S13" i="9" a="1"/>
  <c r="S13" i="9"/>
  <c r="E102" i="9"/>
  <c r="T23" i="9" a="1"/>
  <c r="T23" i="9"/>
  <c r="F100" i="9"/>
  <c r="U21" i="9" a="1"/>
  <c r="U21" i="9"/>
  <c r="E91" i="9"/>
  <c r="T12" i="9" a="1"/>
  <c r="T12" i="9"/>
  <c r="G53" i="9" a="1"/>
  <c r="G53" i="9"/>
  <c r="K95" i="9"/>
  <c r="Z16" i="9" a="1"/>
  <c r="Z16" i="9"/>
  <c r="L89" i="9"/>
  <c r="AA10" i="9" a="1"/>
  <c r="AA10" i="9"/>
  <c r="H110" i="9"/>
  <c r="W31" i="9" a="1"/>
  <c r="W31" i="9"/>
  <c r="G89" i="9"/>
  <c r="N89" i="9"/>
  <c r="O89" i="9"/>
  <c r="P89" i="9"/>
  <c r="K66" i="9" a="1"/>
  <c r="K66" i="9"/>
  <c r="L60" i="9" a="1"/>
  <c r="L60" i="9"/>
  <c r="M85" i="9"/>
  <c r="AB6" i="9" a="1"/>
  <c r="AB6" i="9"/>
  <c r="E100" i="9"/>
  <c r="T21" i="9" a="1"/>
  <c r="T21" i="9"/>
  <c r="O68" i="9"/>
  <c r="P68" i="9" s="1"/>
  <c r="AD10" i="9"/>
  <c r="J76" i="9" a="1"/>
  <c r="J76" i="9"/>
  <c r="E105" i="9"/>
  <c r="T26" i="9" a="1"/>
  <c r="T26" i="9"/>
  <c r="K58" i="9" a="1"/>
  <c r="K58" i="9"/>
  <c r="B5" i="9"/>
  <c r="E5" i="9"/>
  <c r="C108" i="9"/>
  <c r="R29" i="9" a="1"/>
  <c r="R29" i="9"/>
  <c r="H61" i="9" a="1"/>
  <c r="H61" i="9"/>
  <c r="H97" i="9"/>
  <c r="H73" i="9" a="1"/>
  <c r="H73" i="9"/>
  <c r="L74" i="9" a="1"/>
  <c r="L74" i="9"/>
  <c r="O57" i="9"/>
  <c r="K63" i="9" a="1"/>
  <c r="K63" i="9"/>
  <c r="F88" i="9"/>
  <c r="U9" i="9" a="1"/>
  <c r="U9" i="9"/>
  <c r="J107" i="9"/>
  <c r="Y28" i="9" a="1"/>
  <c r="Y28" i="9"/>
  <c r="L97" i="9"/>
  <c r="AA18" i="9" a="1"/>
  <c r="AA18" i="9"/>
  <c r="J103" i="9"/>
  <c r="Y24" i="9" a="1"/>
  <c r="Y24" i="9"/>
  <c r="I93" i="9"/>
  <c r="X14" i="9" a="1"/>
  <c r="X14" i="9"/>
  <c r="J54" i="9" a="1"/>
  <c r="J54" i="9"/>
  <c r="O92" i="9"/>
  <c r="AD13" i="9"/>
  <c r="B10" i="20" s="1"/>
  <c r="J111" i="9"/>
  <c r="Y32" i="9" a="1"/>
  <c r="Y32" i="9"/>
  <c r="F106" i="9"/>
  <c r="U27" i="9" a="1"/>
  <c r="U27" i="9"/>
  <c r="M94" i="9"/>
  <c r="AB15" i="9" a="1"/>
  <c r="AB15" i="9"/>
  <c r="I60" i="9" a="1"/>
  <c r="I60" i="9"/>
  <c r="H70" i="9" a="1"/>
  <c r="H70" i="9"/>
  <c r="I97" i="9"/>
  <c r="X18" i="9" a="1"/>
  <c r="X18" i="9"/>
  <c r="J62" i="9" a="1"/>
  <c r="J62" i="9"/>
  <c r="G91" i="9"/>
  <c r="I76" i="9" a="1"/>
  <c r="I76" i="9"/>
  <c r="M111" i="9"/>
  <c r="AB32" i="9" a="1"/>
  <c r="AB32" i="9"/>
  <c r="O76" i="9"/>
  <c r="P76" i="9" s="1"/>
  <c r="E96" i="9"/>
  <c r="T17" i="9" a="1"/>
  <c r="T17" i="9"/>
  <c r="K71" i="9" a="1"/>
  <c r="K71" i="9"/>
  <c r="M95" i="9"/>
  <c r="AB16" i="9" a="1"/>
  <c r="AB16" i="9"/>
  <c r="G85" i="9"/>
  <c r="V6" i="9" a="1"/>
  <c r="V6" i="9"/>
  <c r="J90" i="9"/>
  <c r="Y11" i="9" a="1"/>
  <c r="Y11" i="9"/>
  <c r="J88" i="9"/>
  <c r="M59" i="9" a="1"/>
  <c r="M59" i="9"/>
  <c r="I55" i="9" a="1"/>
  <c r="I55" i="9"/>
  <c r="K54" i="9" a="1"/>
  <c r="K54" i="9"/>
  <c r="I52" i="9" a="1"/>
  <c r="I52" i="9"/>
  <c r="C95" i="9"/>
  <c r="R16" i="9" a="1"/>
  <c r="R16" i="9"/>
  <c r="I109" i="9"/>
  <c r="X30" i="9" a="1"/>
  <c r="X30" i="9"/>
  <c r="G107" i="9"/>
  <c r="G66" i="9" a="1"/>
  <c r="G66" i="9"/>
  <c r="K61" i="9" a="1"/>
  <c r="K61" i="9"/>
  <c r="J87" i="9"/>
  <c r="Y8" i="9" a="1"/>
  <c r="Y8" i="9"/>
  <c r="M98" i="9"/>
  <c r="AB19" i="9" a="1"/>
  <c r="AB19" i="9"/>
  <c r="J50" i="9" a="1"/>
  <c r="J50" i="9"/>
  <c r="E92" i="9"/>
  <c r="T13" i="9" a="1"/>
  <c r="T13" i="9"/>
  <c r="B4" i="9"/>
  <c r="K105" i="9"/>
  <c r="Z26" i="9" a="1"/>
  <c r="Z26" i="9"/>
  <c r="R9" i="9" a="1"/>
  <c r="R9" i="9"/>
  <c r="K64" i="9" a="1"/>
  <c r="K64" i="9"/>
  <c r="M90" i="9"/>
  <c r="AB11" i="9" a="1"/>
  <c r="AB11" i="9"/>
  <c r="G104" i="9"/>
  <c r="M96" i="9"/>
  <c r="AB17" i="9" a="1"/>
  <c r="AB17" i="9"/>
  <c r="C111" i="9"/>
  <c r="R32" i="9" a="1"/>
  <c r="R32" i="9"/>
  <c r="M56" i="9" a="1"/>
  <c r="M56" i="9"/>
  <c r="C87" i="9"/>
  <c r="R8" i="9" a="1"/>
  <c r="R8" i="9"/>
  <c r="J57" i="9" a="1"/>
  <c r="J57" i="9"/>
  <c r="H103" i="9"/>
  <c r="W24" i="9" a="1"/>
  <c r="W24" i="9"/>
  <c r="D90" i="9"/>
  <c r="S11" i="9" a="1"/>
  <c r="S11" i="9"/>
  <c r="K51" i="9" a="1"/>
  <c r="K51" i="9"/>
  <c r="G96" i="9"/>
  <c r="L54" i="9" a="1"/>
  <c r="L54" i="9"/>
  <c r="L61" i="9" a="1"/>
  <c r="L61" i="9"/>
  <c r="L69" i="9" a="1"/>
  <c r="L69" i="9"/>
  <c r="J59" i="9" a="1"/>
  <c r="J59" i="9"/>
  <c r="M50" i="9" a="1"/>
  <c r="M50" i="9"/>
  <c r="O73" i="9"/>
  <c r="P73" i="9" s="1"/>
  <c r="I108" i="9"/>
  <c r="X29" i="9" a="1"/>
  <c r="X29" i="9"/>
  <c r="L66" i="9" a="1"/>
  <c r="L66" i="9"/>
  <c r="L90" i="9"/>
  <c r="AA11" i="9" a="1"/>
  <c r="AA11" i="9"/>
  <c r="G65" i="9" a="1"/>
  <c r="G65" i="9"/>
  <c r="K72" i="9" a="1"/>
  <c r="K72" i="9"/>
  <c r="L94" i="9"/>
  <c r="AA15" i="9" a="1"/>
  <c r="AA15" i="9"/>
  <c r="O100" i="9"/>
  <c r="AD21" i="9"/>
  <c r="AE21" i="9" s="1"/>
  <c r="C18" i="20" s="1"/>
  <c r="B18" i="20"/>
  <c r="M55" i="9" a="1"/>
  <c r="M55" i="9"/>
  <c r="C97" i="9"/>
  <c r="R18" i="9" a="1"/>
  <c r="R18" i="9"/>
  <c r="O66" i="9"/>
  <c r="P66" i="9" s="1"/>
  <c r="O94" i="9"/>
  <c r="AD15" i="9"/>
  <c r="B12" i="20" s="1"/>
  <c r="D86" i="9"/>
  <c r="S7" i="9" a="1"/>
  <c r="S7" i="9"/>
  <c r="O93" i="9"/>
  <c r="AD14" i="9"/>
  <c r="AE14" i="9" s="1"/>
  <c r="C11" i="20" s="1"/>
  <c r="I87" i="9"/>
  <c r="X8" i="9" a="1"/>
  <c r="X8" i="9"/>
  <c r="M68" i="9" a="1"/>
  <c r="M68" i="9"/>
  <c r="C103" i="9"/>
  <c r="R24" i="9" a="1"/>
  <c r="R24" i="9"/>
  <c r="D88" i="9"/>
  <c r="S9" i="9" a="1"/>
  <c r="S9" i="9"/>
  <c r="M72" i="9" a="1"/>
  <c r="M72" i="9"/>
  <c r="O90" i="9"/>
  <c r="AD11" i="9"/>
  <c r="AE11" i="9" s="1"/>
  <c r="C8" i="20" s="1"/>
  <c r="F97" i="9"/>
  <c r="U18" i="9" a="1"/>
  <c r="U18" i="9"/>
  <c r="H66" i="9" a="1"/>
  <c r="H66" i="9"/>
  <c r="I75" i="9" a="1"/>
  <c r="I75" i="9"/>
  <c r="L96" i="9"/>
  <c r="AA17" i="9" a="1"/>
  <c r="AA17" i="9"/>
  <c r="F96" i="9"/>
  <c r="U17" i="9" a="1"/>
  <c r="U17" i="9"/>
  <c r="H59" i="9" a="1"/>
  <c r="H59" i="9"/>
  <c r="E94" i="9"/>
  <c r="T15" i="9" a="1"/>
  <c r="T15" i="9"/>
  <c r="L76" i="9" a="1"/>
  <c r="L76" i="9"/>
  <c r="D111" i="9"/>
  <c r="S32" i="9" a="1"/>
  <c r="S32" i="9"/>
  <c r="D89" i="9"/>
  <c r="S10" i="9" a="1"/>
  <c r="S10" i="9"/>
  <c r="K98" i="9"/>
  <c r="Z19" i="9" a="1"/>
  <c r="Z19" i="9"/>
  <c r="C101" i="9"/>
  <c r="R22" i="9" a="1"/>
  <c r="R22" i="9"/>
  <c r="F94" i="9"/>
  <c r="U15" i="9" a="1"/>
  <c r="U15" i="9"/>
  <c r="L98" i="9"/>
  <c r="AA19" i="9" a="1"/>
  <c r="AA19" i="9"/>
  <c r="C85" i="9"/>
  <c r="R6" i="9" a="1"/>
  <c r="R6" i="9"/>
  <c r="G99" i="9"/>
  <c r="N99" i="9"/>
  <c r="P99" i="9"/>
  <c r="O91" i="9"/>
  <c r="AD12" i="9"/>
  <c r="B9" i="20" s="1"/>
  <c r="I94" i="9"/>
  <c r="X15" i="9" a="1"/>
  <c r="X15" i="9"/>
  <c r="J110" i="9"/>
  <c r="Y31" i="9" a="1"/>
  <c r="Y31" i="9"/>
  <c r="J64" i="9" a="1"/>
  <c r="J64" i="9"/>
  <c r="H72" i="9" a="1"/>
  <c r="H72" i="9"/>
  <c r="E87" i="9"/>
  <c r="T8" i="9" a="1"/>
  <c r="T8" i="9"/>
  <c r="G109" i="9"/>
  <c r="V30" i="9" a="1"/>
  <c r="V30" i="9"/>
  <c r="F85" i="9"/>
  <c r="U6" i="9" a="1"/>
  <c r="U6" i="9"/>
  <c r="O71" i="9"/>
  <c r="P71" i="9" s="1"/>
  <c r="D103" i="9"/>
  <c r="S24" i="9" a="1"/>
  <c r="S24" i="9"/>
  <c r="F105" i="9"/>
  <c r="U26" i="9" a="1"/>
  <c r="U26" i="9"/>
  <c r="H55" i="9" a="1"/>
  <c r="H55" i="9"/>
  <c r="K68" i="9" a="1"/>
  <c r="K68" i="9"/>
  <c r="O62" i="9"/>
  <c r="A28" i="20"/>
  <c r="A5" i="20"/>
  <c r="A20" i="20"/>
  <c r="A3" i="20"/>
  <c r="A27" i="20"/>
  <c r="A4" i="20"/>
  <c r="A10" i="20"/>
  <c r="A23" i="20"/>
  <c r="A16" i="20"/>
  <c r="A21" i="20"/>
  <c r="A22" i="20"/>
  <c r="A14" i="20"/>
  <c r="D12" i="19" a="1"/>
  <c r="D12" i="19"/>
  <c r="A11" i="20"/>
  <c r="A7" i="20"/>
  <c r="A24" i="20"/>
  <c r="A8" i="20"/>
  <c r="H58" i="9" a="1"/>
  <c r="H58" i="9"/>
  <c r="I70" i="9" a="1"/>
  <c r="I70" i="9"/>
  <c r="D110" i="9"/>
  <c r="S31" i="9" a="1"/>
  <c r="S31" i="9"/>
  <c r="O65" i="9"/>
  <c r="P65" i="9" s="1"/>
  <c r="E106" i="9"/>
  <c r="T27" i="9" a="1"/>
  <c r="T27" i="9"/>
  <c r="K76" i="9" a="1"/>
  <c r="K76" i="9"/>
  <c r="J75" i="9" a="1"/>
  <c r="J75" i="9"/>
  <c r="J104" i="9"/>
  <c r="Y25" i="9" a="1"/>
  <c r="Y25" i="9"/>
  <c r="F90" i="9"/>
  <c r="U11" i="9" a="1"/>
  <c r="U11" i="9"/>
  <c r="I73" i="9" a="1"/>
  <c r="I73" i="9"/>
  <c r="J100" i="9"/>
  <c r="A19" i="20"/>
  <c r="L106" i="9"/>
  <c r="AA27" i="9" a="1"/>
  <c r="AA27" i="9"/>
  <c r="C93" i="9"/>
  <c r="R14" i="9" a="1"/>
  <c r="R14" i="9"/>
  <c r="A6" i="20"/>
  <c r="M60" i="9" a="1"/>
  <c r="M60" i="9"/>
  <c r="I74" i="9" a="1"/>
  <c r="I74" i="9"/>
  <c r="C100" i="9"/>
  <c r="R21" i="9" a="1"/>
  <c r="R21" i="9"/>
  <c r="G88" i="9"/>
  <c r="V9" i="9" a="1"/>
  <c r="V9" i="9"/>
  <c r="J101" i="9"/>
  <c r="Y22" i="9" a="1"/>
  <c r="Y22" i="9"/>
  <c r="J51" i="9" a="1"/>
  <c r="J51" i="9"/>
  <c r="C98" i="9"/>
  <c r="R19" i="9" a="1"/>
  <c r="R19" i="9"/>
  <c r="L85" i="9"/>
  <c r="O56" i="9"/>
  <c r="P56" i="9" s="1"/>
  <c r="I53" i="9" a="1"/>
  <c r="I53" i="9"/>
  <c r="G102" i="9"/>
  <c r="H52" i="9" a="1"/>
  <c r="H52" i="9"/>
  <c r="K109" i="9"/>
  <c r="Z30" i="9" a="1"/>
  <c r="Z30" i="9"/>
  <c r="C104" i="9"/>
  <c r="R25" i="9" a="1"/>
  <c r="R25" i="9"/>
  <c r="K60" i="9" a="1"/>
  <c r="K60" i="9"/>
  <c r="C107" i="9"/>
  <c r="R28" i="9" a="1"/>
  <c r="R28" i="9"/>
  <c r="K65" i="9" a="1"/>
  <c r="K65" i="9"/>
  <c r="E99" i="9"/>
  <c r="T20" i="9" a="1"/>
  <c r="T20" i="9"/>
  <c r="K69" i="9"/>
  <c r="H53" i="9" a="1"/>
  <c r="H53" i="9"/>
  <c r="A12" i="20"/>
  <c r="O52" i="9"/>
  <c r="E110" i="9"/>
  <c r="T31" i="9" a="1"/>
  <c r="T31" i="9"/>
  <c r="M93" i="9"/>
  <c r="AB14" i="9" a="1"/>
  <c r="AB14" i="9"/>
  <c r="F108" i="9"/>
  <c r="U29" i="9" a="1"/>
  <c r="U29" i="9"/>
  <c r="L107" i="9"/>
  <c r="AA28" i="9" a="1"/>
  <c r="AA28" i="9"/>
  <c r="H105" i="9"/>
  <c r="W26" i="9" a="1"/>
  <c r="W26" i="9"/>
  <c r="J109" i="9"/>
  <c r="Y30" i="9" a="1"/>
  <c r="Y30" i="9"/>
  <c r="H60" i="9" a="1"/>
  <c r="H60" i="9"/>
  <c r="E9" i="9"/>
  <c r="E15" i="9"/>
  <c r="F49" i="9" a="1"/>
  <c r="F49" i="9"/>
  <c r="C12" i="19" a="1"/>
  <c r="C12" i="19" s="1"/>
  <c r="E12" i="19" s="1"/>
  <c r="D49" i="9" a="1"/>
  <c r="D49" i="9"/>
  <c r="C10" i="9"/>
  <c r="C5" i="9"/>
  <c r="C14" i="9"/>
  <c r="E6" i="9"/>
  <c r="C14" i="19" a="1"/>
  <c r="C14" i="19" s="1"/>
  <c r="E14" i="19" s="1"/>
  <c r="E16" i="9"/>
  <c r="C16" i="9"/>
  <c r="C8" i="9"/>
  <c r="E8" i="9"/>
  <c r="E11" i="9"/>
  <c r="C11" i="9"/>
  <c r="N110" i="9"/>
  <c r="P110" i="9"/>
  <c r="E7" i="9" a="1"/>
  <c r="E7" i="9" s="1"/>
  <c r="C7" i="9"/>
  <c r="C13" i="9"/>
  <c r="E13" i="9"/>
  <c r="A2" i="20"/>
  <c r="D10" i="19" a="1"/>
  <c r="D10" i="19"/>
  <c r="D8" i="19" a="1"/>
  <c r="D8" i="19"/>
  <c r="V28" i="9" a="1"/>
  <c r="V28" i="9"/>
  <c r="I49" i="9" a="1"/>
  <c r="I49" i="9"/>
  <c r="L84" i="9"/>
  <c r="AA5" i="9" a="1"/>
  <c r="AA5" i="9"/>
  <c r="J49" i="9" a="1"/>
  <c r="J49" i="9"/>
  <c r="C84" i="9"/>
  <c r="R5" i="9" a="1"/>
  <c r="R5" i="9"/>
  <c r="O84" i="9"/>
  <c r="AD5" i="9"/>
  <c r="B2" i="20" s="1"/>
  <c r="F84" i="9"/>
  <c r="U5" i="9" a="1"/>
  <c r="U5" i="9"/>
  <c r="D84" i="9"/>
  <c r="S5" i="9" a="1"/>
  <c r="S5" i="9"/>
  <c r="B2" i="9"/>
  <c r="G84" i="9"/>
  <c r="H84" i="9"/>
  <c r="K84" i="9"/>
  <c r="Z5" i="9" a="1"/>
  <c r="Z5" i="9"/>
  <c r="M49" i="9" a="1"/>
  <c r="M49" i="9"/>
  <c r="K49" i="9" a="1"/>
  <c r="K49" i="9"/>
  <c r="J84" i="9"/>
  <c r="Y5" i="9" a="1"/>
  <c r="Y5" i="9"/>
  <c r="L49" i="9" a="1"/>
  <c r="L49" i="9"/>
  <c r="O49" i="9"/>
  <c r="P49" i="9" s="1"/>
  <c r="M84" i="9"/>
  <c r="AB5" i="9" a="1"/>
  <c r="AB5" i="9"/>
  <c r="E84" i="9"/>
  <c r="T5" i="9" a="1"/>
  <c r="T5" i="9"/>
  <c r="C49" i="9" a="1"/>
  <c r="C49" i="9"/>
  <c r="I84" i="9"/>
  <c r="X5" i="9" a="1"/>
  <c r="X5" i="9"/>
  <c r="E12" i="9"/>
  <c r="C12" i="9"/>
  <c r="E18" i="9"/>
  <c r="C18" i="9"/>
  <c r="E17" i="9"/>
  <c r="C17" i="9"/>
  <c r="E4" i="9"/>
  <c r="C4" i="9"/>
  <c r="E3" i="9"/>
  <c r="C3" i="9"/>
  <c r="D14" i="19" a="1"/>
  <c r="D14" i="19"/>
  <c r="C2" i="9"/>
  <c r="E2" i="9"/>
  <c r="N88" i="9"/>
  <c r="P88" i="9"/>
  <c r="H51" i="9" a="1"/>
  <c r="H51" i="9"/>
  <c r="H49" i="9" a="1"/>
  <c r="H49" i="9"/>
  <c r="H57" i="9" a="1"/>
  <c r="H57" i="9"/>
  <c r="N57" i="9"/>
  <c r="N66" i="9"/>
  <c r="N107" i="9"/>
  <c r="P107" i="9"/>
  <c r="N91" i="9"/>
  <c r="P91" i="9"/>
  <c r="V25" i="9" a="1"/>
  <c r="V25" i="9"/>
  <c r="AC25" i="9"/>
  <c r="I202" i="1" a="1"/>
  <c r="I202" i="1" s="1"/>
  <c r="W16" i="9" a="1"/>
  <c r="W16" i="9"/>
  <c r="N94" i="9"/>
  <c r="P94" i="9"/>
  <c r="N86" i="9"/>
  <c r="P86" i="9"/>
  <c r="Y9" i="9" a="1"/>
  <c r="Y9" i="9"/>
  <c r="AC9" i="9"/>
  <c r="N97" i="9"/>
  <c r="P97" i="9"/>
  <c r="N87" i="9"/>
  <c r="P87" i="9"/>
  <c r="V12" i="9" a="1"/>
  <c r="V12" i="9"/>
  <c r="G56" i="9" a="1"/>
  <c r="G56" i="9"/>
  <c r="M74" i="9" a="1"/>
  <c r="M74" i="9"/>
  <c r="N74" i="9"/>
  <c r="AB30" i="9" a="1"/>
  <c r="AB30" i="9"/>
  <c r="AC30" i="9"/>
  <c r="AC33" i="9"/>
  <c r="K202" i="1"/>
  <c r="W5" i="9" a="1"/>
  <c r="W5" i="9"/>
  <c r="AC14" i="9"/>
  <c r="N109" i="9"/>
  <c r="P109" i="9"/>
  <c r="W18" i="9" a="1"/>
  <c r="W18" i="9"/>
  <c r="AC18" i="9"/>
  <c r="AC22" i="9"/>
  <c r="N63" i="9"/>
  <c r="N78" i="9"/>
  <c r="N100" i="9"/>
  <c r="P100" i="9"/>
  <c r="G59" i="9" a="1"/>
  <c r="G59" i="9"/>
  <c r="N59" i="9"/>
  <c r="V11" i="9" a="1"/>
  <c r="V11" i="9"/>
  <c r="AC11" i="9"/>
  <c r="H50" i="9" a="1"/>
  <c r="H50" i="9"/>
  <c r="N50" i="9"/>
  <c r="L68" i="9" a="1"/>
  <c r="L68" i="9"/>
  <c r="G60" i="9" a="1"/>
  <c r="G60" i="9"/>
  <c r="N60" i="9"/>
  <c r="P60" i="9"/>
  <c r="V16" i="9" a="1"/>
  <c r="V16" i="9"/>
  <c r="N84" i="9"/>
  <c r="P84" i="9"/>
  <c r="N105" i="9"/>
  <c r="P105" i="9"/>
  <c r="N73" i="9"/>
  <c r="N72" i="9"/>
  <c r="AC19" i="9"/>
  <c r="Z12" i="9" a="1"/>
  <c r="Z12" i="9"/>
  <c r="N77" i="9"/>
  <c r="J53" i="9" a="1"/>
  <c r="J53" i="9"/>
  <c r="V23" i="9" a="1"/>
  <c r="V23" i="9"/>
  <c r="AC23" i="9"/>
  <c r="N61" i="9"/>
  <c r="N113" i="9"/>
  <c r="P113" i="9"/>
  <c r="V7" i="9" a="1"/>
  <c r="V7" i="9"/>
  <c r="N98" i="9"/>
  <c r="P98" i="9"/>
  <c r="AC28" i="9"/>
  <c r="N62" i="9"/>
  <c r="V20" i="9" a="1"/>
  <c r="V20" i="9"/>
  <c r="AC20" i="9"/>
  <c r="N108" i="9"/>
  <c r="P108" i="9"/>
  <c r="AC29" i="9"/>
  <c r="N65" i="9"/>
  <c r="N85" i="9"/>
  <c r="P85" i="9"/>
  <c r="N64" i="9"/>
  <c r="N71" i="9"/>
  <c r="N93" i="9"/>
  <c r="P93" i="9"/>
  <c r="V5" i="9" a="1"/>
  <c r="V5" i="9"/>
  <c r="G54" i="9" a="1"/>
  <c r="G54" i="9"/>
  <c r="N54" i="9"/>
  <c r="G69" i="9" a="1"/>
  <c r="G69" i="9"/>
  <c r="N69" i="9"/>
  <c r="C630" i="17"/>
  <c r="K4" i="17" s="1"/>
  <c r="AC26" i="9"/>
  <c r="AC27" i="9"/>
  <c r="AC32" i="9"/>
  <c r="N53" i="9"/>
  <c r="N75" i="9"/>
  <c r="N76" i="9"/>
  <c r="V17" i="9" a="1"/>
  <c r="V17" i="9"/>
  <c r="AC17" i="9"/>
  <c r="N96" i="9"/>
  <c r="P96" i="9"/>
  <c r="N101" i="9"/>
  <c r="P101" i="9"/>
  <c r="G49" i="9" a="1"/>
  <c r="G49" i="9"/>
  <c r="N49" i="9"/>
  <c r="N106" i="9"/>
  <c r="P106" i="9"/>
  <c r="G51" i="9" a="1"/>
  <c r="G51" i="9"/>
  <c r="N51" i="9"/>
  <c r="AA6" i="9" a="1"/>
  <c r="AA6" i="9"/>
  <c r="Y21" i="9" a="1"/>
  <c r="Y21" i="9"/>
  <c r="AC21" i="9"/>
  <c r="W7" i="9" a="1"/>
  <c r="W7" i="9"/>
  <c r="P57" i="9"/>
  <c r="V15" i="9" a="1"/>
  <c r="V15" i="9"/>
  <c r="AC15" i="9"/>
  <c r="V10" i="9" a="1"/>
  <c r="V10" i="9"/>
  <c r="AC10" i="9"/>
  <c r="N104" i="9"/>
  <c r="P104" i="9"/>
  <c r="N70" i="9"/>
  <c r="W6" i="9" a="1"/>
  <c r="W6" i="9"/>
  <c r="G68" i="9" a="1"/>
  <c r="G68" i="9"/>
  <c r="V24" i="9" a="1"/>
  <c r="V24" i="9"/>
  <c r="AA24" i="9" a="1"/>
  <c r="AA24" i="9"/>
  <c r="AC24" i="9"/>
  <c r="AB36" i="9" a="1"/>
  <c r="AB36" i="9"/>
  <c r="AC36" i="9"/>
  <c r="N115" i="9"/>
  <c r="P115" i="9"/>
  <c r="N102" i="9"/>
  <c r="P102" i="9"/>
  <c r="N92" i="9"/>
  <c r="P92" i="9"/>
  <c r="V31" i="9" a="1"/>
  <c r="V31" i="9"/>
  <c r="AC31" i="9"/>
  <c r="J202" i="1" a="1"/>
  <c r="J202" i="1" s="1"/>
  <c r="N103" i="9"/>
  <c r="P103" i="9"/>
  <c r="N79" i="9"/>
  <c r="H56" i="9" a="1"/>
  <c r="H56" i="9"/>
  <c r="N56" i="9"/>
  <c r="W12" i="9" a="1"/>
  <c r="W12" i="9"/>
  <c r="AC12" i="9"/>
  <c r="W13" i="9" a="1"/>
  <c r="W13" i="9"/>
  <c r="AC13" i="9"/>
  <c r="AE13" i="9"/>
  <c r="C10" i="20" s="1"/>
  <c r="P78" i="9"/>
  <c r="V8" i="9" a="1"/>
  <c r="V8" i="9"/>
  <c r="AC8" i="9"/>
  <c r="AE8" i="9"/>
  <c r="C5" i="20" s="1"/>
  <c r="G52" i="9" a="1"/>
  <c r="G52" i="9"/>
  <c r="N52" i="9"/>
  <c r="P52" i="9"/>
  <c r="N95" i="9"/>
  <c r="P95" i="9"/>
  <c r="N58" i="9"/>
  <c r="N111" i="9"/>
  <c r="P111" i="9"/>
  <c r="W35" i="9" a="1"/>
  <c r="W35" i="9"/>
  <c r="AC35" i="9"/>
  <c r="AE35" i="9"/>
  <c r="N114" i="9"/>
  <c r="P114" i="9"/>
  <c r="G55" i="9" a="1"/>
  <c r="G55" i="9"/>
  <c r="N55" i="9"/>
  <c r="N90" i="9"/>
  <c r="P90" i="9"/>
  <c r="W34" i="9" a="1"/>
  <c r="W34" i="9"/>
  <c r="AC34" i="9"/>
  <c r="P62" i="9"/>
  <c r="P72" i="9"/>
  <c r="N112" i="9"/>
  <c r="P112" i="9"/>
  <c r="C16" i="10"/>
  <c r="N5" i="17"/>
  <c r="G33" i="2"/>
  <c r="H125" i="1"/>
  <c r="H51" i="2"/>
  <c r="I51" i="2" s="1"/>
  <c r="D51" i="2" s="1"/>
  <c r="H48" i="2"/>
  <c r="I48" i="2" s="1"/>
  <c r="D48" i="2" s="1"/>
  <c r="G62" i="2"/>
  <c r="H166" i="1" s="1"/>
  <c r="G27" i="2"/>
  <c r="H97" i="1" s="1"/>
  <c r="G43" i="2"/>
  <c r="H126" i="1" s="1"/>
  <c r="G32" i="2"/>
  <c r="H111" i="1"/>
  <c r="H58" i="2"/>
  <c r="I58" i="2" s="1"/>
  <c r="D58" i="2" s="1"/>
  <c r="G67" i="2"/>
  <c r="H180" i="1" s="1"/>
  <c r="G68" i="2"/>
  <c r="H181" i="1"/>
  <c r="H124" i="1"/>
  <c r="H116" i="1"/>
  <c r="H112" i="1"/>
  <c r="H35" i="2"/>
  <c r="I35" i="2" s="1"/>
  <c r="D35" i="2" s="1"/>
  <c r="H10" i="2"/>
  <c r="I10" i="2" s="1"/>
  <c r="D10" i="2" s="1"/>
  <c r="H114" i="1"/>
  <c r="AE25" i="9"/>
  <c r="C22" i="20" s="1"/>
  <c r="B8" i="20"/>
  <c r="B21" i="20"/>
  <c r="B11" i="20"/>
  <c r="AC7" i="9"/>
  <c r="AC16" i="9"/>
  <c r="AC5" i="9"/>
  <c r="AC6" i="9"/>
  <c r="N68" i="9"/>
  <c r="H98" i="1"/>
  <c r="C21" i="9"/>
  <c r="C23" i="9"/>
  <c r="C3" i="10"/>
  <c r="C11" i="10" s="1"/>
  <c r="C13" i="10" s="1"/>
  <c r="C2" i="2"/>
  <c r="B4" i="20" l="1"/>
  <c r="N7" i="17"/>
  <c r="C19" i="10" s="1"/>
  <c r="B7" i="20"/>
  <c r="B24" i="20"/>
  <c r="AE15" i="9"/>
  <c r="C12" i="20" s="1"/>
  <c r="H160" i="1"/>
  <c r="H163" i="1"/>
  <c r="H179" i="1"/>
  <c r="H165" i="1"/>
  <c r="H169" i="1"/>
  <c r="H65" i="1"/>
  <c r="H61" i="1"/>
  <c r="H74" i="1"/>
  <c r="H5" i="1"/>
  <c r="H53" i="1"/>
  <c r="H47" i="1"/>
  <c r="H34" i="1"/>
  <c r="H40" i="1"/>
  <c r="H37" i="2"/>
  <c r="I37" i="2" s="1"/>
  <c r="D37" i="2" s="1"/>
  <c r="G18" i="2"/>
  <c r="H83" i="1" s="1"/>
  <c r="H49" i="1"/>
  <c r="G45" i="2"/>
  <c r="H4" i="1"/>
  <c r="H42" i="1"/>
  <c r="H54" i="1"/>
  <c r="H9" i="1"/>
  <c r="H46" i="1"/>
  <c r="H36" i="1"/>
  <c r="H2" i="1"/>
  <c r="H59" i="1"/>
  <c r="H50" i="1"/>
  <c r="H6" i="1"/>
  <c r="H15" i="1"/>
  <c r="G44" i="2"/>
  <c r="H127" i="1" s="1"/>
  <c r="H11" i="2"/>
  <c r="I11" i="2" s="1"/>
  <c r="H19" i="1"/>
  <c r="H22" i="1"/>
  <c r="H51" i="1"/>
  <c r="H57" i="1"/>
  <c r="H8" i="1"/>
  <c r="G29" i="2"/>
  <c r="H21" i="1"/>
  <c r="H45" i="1"/>
  <c r="H12" i="1"/>
  <c r="H39" i="1"/>
  <c r="H29" i="1"/>
  <c r="G41" i="2"/>
  <c r="H122" i="1" s="1"/>
  <c r="G48" i="2"/>
  <c r="H141" i="1" s="1"/>
  <c r="H3" i="1"/>
  <c r="H38" i="1"/>
  <c r="H27" i="1"/>
  <c r="H10" i="1"/>
  <c r="H30" i="1"/>
  <c r="H24" i="1"/>
  <c r="H48" i="1"/>
  <c r="G4" i="2"/>
  <c r="H11" i="1"/>
  <c r="H14" i="1"/>
  <c r="H13" i="1"/>
  <c r="H26" i="1"/>
  <c r="H18" i="1"/>
  <c r="H55" i="1"/>
  <c r="H37" i="1"/>
  <c r="G24" i="2"/>
  <c r="H17" i="1"/>
  <c r="H32" i="1"/>
  <c r="H20" i="1"/>
  <c r="H35" i="1"/>
  <c r="H16" i="1"/>
  <c r="G19" i="2"/>
  <c r="H84" i="1" s="1"/>
  <c r="H23" i="1"/>
  <c r="H25" i="1"/>
  <c r="H58" i="1"/>
  <c r="H52" i="1"/>
  <c r="H56" i="1"/>
  <c r="H33" i="1"/>
  <c r="G17" i="2"/>
  <c r="H81" i="1" s="1"/>
  <c r="G23" i="2"/>
  <c r="G39" i="2"/>
  <c r="H75" i="1"/>
  <c r="H82" i="1"/>
  <c r="H41" i="2"/>
  <c r="I41" i="2" s="1"/>
  <c r="D41" i="2" s="1"/>
  <c r="G70" i="2"/>
  <c r="H178" i="1" s="1"/>
  <c r="G56" i="2"/>
  <c r="H72" i="1"/>
  <c r="G52" i="2"/>
  <c r="H158" i="1" s="1"/>
  <c r="G64" i="2"/>
  <c r="H171" i="1" s="1"/>
  <c r="H64" i="1"/>
  <c r="H5" i="2"/>
  <c r="I5" i="2" s="1"/>
  <c r="D5" i="2" s="1"/>
  <c r="G51" i="2"/>
  <c r="G55" i="2"/>
  <c r="H156" i="1" s="1"/>
  <c r="G47" i="2"/>
  <c r="H137" i="1" s="1"/>
  <c r="G63" i="2"/>
  <c r="H168" i="1" s="1"/>
  <c r="G16" i="2"/>
  <c r="H79" i="1" s="1"/>
  <c r="G46" i="2"/>
  <c r="H133" i="1" s="1"/>
  <c r="G54" i="2"/>
  <c r="G66" i="2"/>
  <c r="H70" i="1"/>
  <c r="H93" i="1"/>
  <c r="H96" i="1"/>
  <c r="H68" i="1"/>
  <c r="H152" i="1"/>
  <c r="H159" i="1"/>
  <c r="H89" i="1"/>
  <c r="H91" i="1"/>
  <c r="H63" i="1"/>
  <c r="H62" i="1"/>
  <c r="G31" i="2"/>
  <c r="H110" i="1" s="1"/>
  <c r="H128" i="1"/>
  <c r="G38" i="2"/>
  <c r="H119" i="1" s="1"/>
  <c r="G20" i="2"/>
  <c r="H138" i="1" s="1"/>
  <c r="G35" i="2"/>
  <c r="H115" i="1" s="1"/>
  <c r="G59" i="2"/>
  <c r="H162" i="1" s="1"/>
  <c r="G53" i="2"/>
  <c r="H149" i="1" s="1"/>
  <c r="G6" i="2"/>
  <c r="H103" i="1" s="1"/>
  <c r="G13" i="2"/>
  <c r="H69" i="1" s="1"/>
  <c r="G65" i="2"/>
  <c r="H174" i="1" s="1"/>
  <c r="H173" i="1"/>
  <c r="G30" i="2"/>
  <c r="G58" i="2"/>
  <c r="H161" i="1" s="1"/>
  <c r="H121" i="1"/>
  <c r="G69" i="2"/>
  <c r="H155" i="1" s="1"/>
  <c r="H130" i="1"/>
  <c r="G22" i="2"/>
  <c r="G60" i="2"/>
  <c r="G36" i="2"/>
  <c r="H117" i="1" s="1"/>
  <c r="H143" i="1"/>
  <c r="H142" i="1"/>
  <c r="H56" i="2"/>
  <c r="I56" i="2" s="1"/>
  <c r="D56" i="2" s="1"/>
  <c r="H17" i="2"/>
  <c r="I17" i="2" s="1"/>
  <c r="D17" i="2" s="1"/>
  <c r="G15" i="2"/>
  <c r="G21" i="2"/>
  <c r="H86" i="1" s="1"/>
  <c r="G28" i="2"/>
  <c r="H104" i="1" s="1"/>
  <c r="K6" i="6"/>
  <c r="C4" i="8" s="1"/>
  <c r="G233" i="6"/>
  <c r="H233" i="6"/>
  <c r="H157" i="1"/>
  <c r="H150" i="1"/>
  <c r="H148" i="1"/>
  <c r="H154" i="1"/>
  <c r="H177" i="1"/>
  <c r="H176" i="1"/>
  <c r="H120" i="1"/>
  <c r="H131" i="1"/>
  <c r="H67" i="1"/>
  <c r="H145" i="1"/>
  <c r="H147" i="1"/>
  <c r="H170" i="1"/>
  <c r="H140" i="1"/>
  <c r="H73" i="1"/>
  <c r="H18" i="2"/>
  <c r="I18" i="2" s="1"/>
  <c r="D18" i="2" s="1"/>
  <c r="H55" i="2"/>
  <c r="I55" i="2" s="1"/>
  <c r="D55" i="2" s="1"/>
  <c r="H21" i="2"/>
  <c r="I21" i="2" s="1"/>
  <c r="D21" i="2" s="1"/>
  <c r="H129" i="1"/>
  <c r="H69" i="2"/>
  <c r="I69" i="2" s="1"/>
  <c r="D69" i="2" s="1"/>
  <c r="H77" i="1"/>
  <c r="H71" i="2"/>
  <c r="I71" i="2" s="1"/>
  <c r="D71" i="2" s="1"/>
  <c r="H39" i="2"/>
  <c r="I39" i="2" s="1"/>
  <c r="D39" i="2" s="1"/>
  <c r="B23" i="20"/>
  <c r="AE10" i="9"/>
  <c r="C7" i="20" s="1"/>
  <c r="G21" i="15"/>
  <c r="D44" i="18"/>
  <c r="C11" i="8" s="1"/>
  <c r="E11" i="8" s="1"/>
  <c r="E44" i="18"/>
  <c r="B19" i="20"/>
  <c r="AE33" i="9"/>
  <c r="J43" i="14"/>
  <c r="C12" i="8" s="1"/>
  <c r="E12" i="8" s="1"/>
  <c r="C43" i="12"/>
  <c r="I37" i="12"/>
  <c r="D42" i="14"/>
  <c r="C10" i="8" s="1"/>
  <c r="AE5" i="9"/>
  <c r="C2" i="20" s="1"/>
  <c r="H21" i="15"/>
  <c r="AE18" i="9"/>
  <c r="C15" i="20" s="1"/>
  <c r="F44" i="18"/>
  <c r="H21" i="7"/>
  <c r="K6" i="17"/>
  <c r="I233" i="6"/>
  <c r="B28" i="20"/>
  <c r="P7" i="17"/>
  <c r="AE16" i="9"/>
  <c r="C13" i="20" s="1"/>
  <c r="AE12" i="9"/>
  <c r="C9" i="20" s="1"/>
  <c r="AE31" i="9"/>
  <c r="AE23" i="9"/>
  <c r="C20" i="20" s="1"/>
  <c r="B3" i="20"/>
  <c r="B16" i="20"/>
  <c r="F630" i="17"/>
  <c r="AE28" i="9"/>
  <c r="C25" i="20" s="1"/>
  <c r="AE17" i="9"/>
  <c r="C14" i="20" s="1"/>
  <c r="AE9" i="9"/>
  <c r="C6" i="20" s="1"/>
  <c r="B27" i="20"/>
  <c r="AE29" i="9"/>
  <c r="C26" i="20" s="1"/>
  <c r="B26" i="20"/>
  <c r="B25" i="20"/>
  <c r="AE20" i="9"/>
  <c r="C17" i="20" s="1"/>
  <c r="D2" i="2"/>
  <c r="E13" i="8"/>
  <c r="E4" i="8"/>
  <c r="E8" i="8"/>
  <c r="E6" i="8"/>
  <c r="E7" i="8"/>
  <c r="F14" i="8"/>
  <c r="E9" i="8"/>
  <c r="E5" i="8"/>
  <c r="E16" i="19"/>
  <c r="C14" i="8" l="1"/>
  <c r="C4" i="10" s="1"/>
  <c r="H153" i="1"/>
  <c r="H90" i="1"/>
  <c r="H101" i="1"/>
  <c r="H100" i="1"/>
  <c r="H136" i="1"/>
  <c r="H139" i="1"/>
  <c r="H134" i="1"/>
  <c r="H132" i="1"/>
  <c r="H109" i="1"/>
  <c r="H106" i="1"/>
  <c r="H172" i="1"/>
  <c r="H85" i="1"/>
  <c r="H151" i="1"/>
  <c r="H102" i="1"/>
  <c r="H108" i="1"/>
  <c r="H107" i="1"/>
  <c r="H105" i="1"/>
  <c r="H88" i="1"/>
  <c r="H92" i="1"/>
  <c r="H87" i="1"/>
  <c r="H175" i="1"/>
  <c r="H76" i="1"/>
  <c r="H80" i="1"/>
  <c r="H164" i="1"/>
  <c r="H167" i="1"/>
  <c r="C15" i="10"/>
  <c r="C17" i="10" s="1"/>
  <c r="C21" i="10" s="1"/>
  <c r="C5" i="10"/>
  <c r="F21" i="10" s="1"/>
  <c r="E10" i="8"/>
  <c r="E14" i="8" s="1"/>
  <c r="E20" i="19" a="1"/>
  <c r="E20" i="19" s="1"/>
  <c r="C28"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<sst xmlns="http://schemas.openxmlformats.org/spreadsheetml/2006/main" count="2839" uniqueCount="567">
  <si>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</si>
  <si>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</si>
  <si>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</si>
  <si>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</si>
  <si>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</si>
  <si>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</si>
  <si>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</si>
  <si>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</si>
  <si>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</si>
  <si>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</si>
  <si>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</si>
  <si>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</si>
  <si>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</si>
  <si>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</si>
  <si>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</si>
  <si>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</si>
  <si>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</si>
  <si>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</si>
  <si>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</si>
  <si>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</si>
  <si>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</si>
  <si>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</si>
  <si>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</si>
  <si>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</si>
  <si>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</si>
  <si>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</si>
  <si>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</si>
  <si>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</si>
  <si>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</si>
  <si>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</si>
  <si>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</si>
  <si>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</si>
  <si>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</si>
  <si>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</si>
  <si>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</si>
  <si>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</si>
  <si>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</si>
  <si>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</si>
  <si>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</si>
  <si>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</si>
  <si>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</si>
  <si>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</si>
  <si>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</si>
  <si>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</si>
  <si>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</si>
  <si>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</si>
  <si>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</si>
  <si>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</si>
  <si>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</si>
  <si>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</si>
  <si>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</si>
  <si>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</si>
  <si>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</si>
  <si>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</si>
  <si>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</si>
  <si>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</si>
  <si>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</si>
  <si>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</si>
  <si>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</si>
  <si>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</si>
  <si>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</si>
  <si>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</si>
  <si>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</si>
  <si>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</si>
  <si>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</si>
  <si>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</si>
  <si>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</si>
  <si>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</si>
  <si>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</si>
  <si>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</si>
  <si>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</si>
  <si>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</si>
  <si>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</si>
  <si>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</si>
  <si>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</si>
  <si>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</si>
  <si>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</si>
  <si>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</si>
  <si>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</si>
  <si>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</si>
  <si>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</si>
  <si>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</si>
  <si>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</si>
  <si>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</si>
  <si>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</si>
  <si>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</si>
  <si>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</si>
  <si>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</si>
  <si>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</si>
  <si>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</si>
  <si>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</si>
  <si>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</si>
  <si>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</si>
  <si>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</si>
  <si>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</si>
  <si>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</si>
  <si>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</si>
  <si>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</si>
  <si>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</si>
  <si>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</si>
  <si>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</si>
  <si>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</si>
  <si>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</si>
  <si>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</si>
  <si>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</si>
  <si>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</si>
  <si>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</si>
  <si>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</si>
  <si>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</si>
  <si>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</si>
  <si>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</si>
  <si>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</si>
  <si>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</si>
  <si>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</si>
  <si>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</si>
  <si>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</si>
  <si>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</si>
  <si>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</si>
  <si>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</si>
  <si>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</si>
  <si>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</si>
  <si>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</si>
  <si>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</si>
  <si>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</si>
  <si>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</si>
  <si>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</si>
  <si>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</si>
  <si>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</si>
  <si>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</si>
  <si>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</si>
  <si>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</si>
  <si>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</si>
  <si>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</si>
  <si>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</si>
  <si>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</si>
  <si>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</si>
  <si>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</si>
  <si>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</si>
  <si>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</si>
  <si>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</si>
  <si>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</si>
  <si>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</si>
  <si>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</si>
  <si>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</si>
  <si>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</si>
  <si>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</si>
  <si>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</si>
  <si>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</si>
  <si>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</si>
  <si>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</si>
  <si>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</si>
  <si>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</si>
  <si>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</si>
  <si>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</si>
  <si>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</si>
  <si>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</si>
  <si>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</si>
  <si>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</si>
  <si>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</si>
  <si>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</si>
  <si>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</si>
  <si>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</si>
  <si>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</si>
  <si>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</si>
  <si>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</si>
  <si>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</si>
  <si>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</si>
  <si>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</si>
  <si>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</si>
  <si>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</si>
  <si>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</si>
  <si>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</si>
  <si>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</si>
  <si>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</si>
  <si>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</si>
  <si>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</si>
  <si>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</si>
  <si>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</si>
  <si>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</si>
  <si>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</si>
  <si>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</si>
  <si>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</si>
  <si>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</si>
  <si>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</si>
  <si>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</si>
  <si>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</si>
  <si>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</si>
  <si>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</si>
  <si>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</si>
  <si>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</si>
  <si>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</si>
  <si>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</si>
  <si>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</si>
  <si>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</si>
  <si>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</si>
  <si>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</si>
  <si>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</si>
  <si>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</si>
  <si>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</si>
  <si>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</si>
  <si>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</si>
  <si>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</si>
  <si>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</si>
  <si>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</si>
  <si>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</si>
  <si>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</si>
  <si>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</si>
  <si>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</si>
  <si>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</si>
  <si>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</si>
  <si>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</si>
  <si>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</si>
  <si>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</si>
  <si>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</si>
  <si>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</si>
  <si>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</si>
  <si>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</si>
  <si>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</si>
  <si>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</si>
  <si>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</si>
  <si>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</si>
  <si>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</si>
  <si>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</si>
  <si>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</si>
  <si>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</si>
  <si>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</si>
  <si>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</si>
  <si>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</si>
  <si>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</si>
  <si>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</si>
  <si>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</si>
  <si>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</si>
  <si>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</si>
  <si>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</si>
  <si>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</si>
  <si>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</si>
  <si>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</si>
  <si>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</si>
  <si>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</si>
  <si>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</si>
  <si>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</si>
  <si>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</si>
  <si>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</si>
  <si>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</si>
  <si>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</si>
  <si>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</si>
  <si>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</si>
  <si>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</si>
  <si>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</si>
  <si>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</si>
  <si>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</si>
  <si>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</si>
  <si>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</si>
  <si>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</si>
  <si>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</si>
  <si>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</si>
  <si>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</si>
  <si>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</si>
  <si>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</si>
  <si>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</si>
  <si>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</si>
  <si>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</si>
  <si>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</si>
  <si>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</si>
  <si>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</si>
  <si>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</si>
  <si>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</si>
  <si>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</si>
  <si>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</si>
  <si>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</si>
  <si>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</si>
  <si>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</si>
  <si>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</si>
  <si>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</si>
  <si>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</si>
  <si>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</si>
  <si>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</si>
  <si>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</si>
  <si>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</si>
  <si>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</si>
  <si>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</si>
  <si>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</si>
  <si>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</si>
  <si>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</si>
  <si>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</si>
  <si>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</si>
  <si>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</si>
  <si>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</si>
  <si>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</si>
  <si>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</si>
  <si>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</si>
  <si>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</si>
  <si>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</si>
  <si>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</si>
  <si>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</si>
  <si>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</si>
  <si>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</si>
  <si>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</si>
  <si>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</si>
  <si>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</si>
  <si>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</si>
  <si>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</si>
  <si>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</si>
  <si>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</si>
  <si>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</si>
  <si>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</si>
  <si>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</si>
  <si>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</si>
  <si>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</si>
  <si>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</si>
  <si>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</si>
  <si>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</si>
  <si>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</si>
  <si>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</si>
  <si>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</si>
  <si>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</si>
  <si>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</si>
  <si>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</si>
  <si>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</si>
  <si>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</si>
  <si>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</si>
  <si>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</si>
  <si>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</si>
  <si>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</si>
  <si>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</si>
  <si>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</si>
  <si>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</si>
  <si>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</si>
  <si>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</si>
  <si>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</si>
  <si>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</si>
  <si>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</si>
  <si>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</si>
  <si>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</si>
  <si>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</si>
  <si>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</si>
  <si>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</si>
  <si>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</si>
  <si>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</si>
  <si>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</si>
  <si>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</si>
  <si>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</si>
  <si>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</si>
  <si>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</si>
  <si>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</si>
  <si>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</si>
  <si>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</si>
  <si>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</si>
  <si>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</si>
  <si>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</si>
  <si>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</si>
  <si>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</si>
  <si>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</si>
  <si>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</si>
  <si>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</si>
  <si>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</si>
  <si>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</si>
  <si>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</si>
  <si>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</si>
  <si>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</si>
  <si>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</si>
  <si>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</si>
  <si>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</si>
  <si>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</si>
  <si>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</si>
  <si>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</si>
  <si>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</si>
  <si>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</si>
  <si>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</si>
  <si>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</si>
  <si>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</si>
  <si>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</si>
  <si>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</si>
  <si>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</si>
  <si>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</si>
  <si>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</si>
  <si>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</si>
  <si>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</si>
  <si>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</si>
  <si>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</si>
  <si>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</si>
  <si>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</si>
  <si>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</si>
  <si>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</si>
  <si>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</si>
  <si>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</si>
  <si>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</si>
  <si>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</si>
  <si>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</si>
  <si>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</si>
  <si>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</si>
  <si>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</si>
  <si>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</si>
  <si>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</si>
  <si>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</si>
  <si>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</si>
  <si>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</si>
  <si>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</si>
  <si>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</si>
  <si>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</si>
  <si>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</si>
  <si>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</si>
  <si>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</si>
  <si>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</si>
  <si>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</si>
  <si>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</si>
  <si>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</si>
  <si>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</si>
  <si>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</si>
  <si>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</si>
  <si>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</si>
  <si>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</si>
  <si>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</si>
  <si>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</si>
  <si>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</si>
  <si>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</si>
  <si>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</si>
  <si>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</si>
  <si>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</si>
  <si>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</si>
  <si>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</si>
  <si>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</si>
  <si>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</si>
  <si>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</si>
  <si>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</si>
  <si>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</si>
  <si>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</si>
  <si>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</si>
  <si>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</si>
  <si>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</si>
  <si>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</si>
  <si>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</si>
  <si>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</si>
  <si>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</si>
  <si>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</si>
  <si>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</si>
  <si>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</si>
  <si>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</si>
  <si>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</si>
  <si>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</si>
  <si>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</si>
  <si>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</si>
  <si>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</si>
  <si>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</si>
  <si>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</si>
  <si>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</si>
  <si>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</si>
  <si>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</si>
  <si>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</si>
  <si>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</si>
  <si>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</si>
  <si>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</si>
  <si>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</si>
  <si>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</si>
  <si>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</si>
  <si>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</si>
  <si>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</si>
  <si>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</si>
  <si>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</si>
  <si>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</si>
  <si>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</si>
  <si>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</si>
  <si>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</si>
  <si>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</si>
  <si>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</si>
  <si>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</si>
  <si>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</si>
  <si>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</si>
  <si>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</si>
  <si>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</si>
  <si>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</si>
  <si>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</si>
  <si>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</si>
  <si>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</si>
  <si>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</si>
  <si>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</si>
  <si>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</si>
  <si>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</si>
  <si>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</si>
  <si>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</si>
  <si>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</si>
  <si>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</si>
  <si>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</si>
  <si>
    <t>master Tanveer</t>
  </si>
  <si>
    <t>Nasir opt</t>
  </si>
  <si>
    <t>ali hasnain helper stenter</t>
  </si>
  <si>
    <t>shoaib</t>
  </si>
  <si>
    <t>Ashraf Guard</t>
  </si>
  <si>
    <t>100x3</t>
  </si>
  <si>
    <t>TID:469135</t>
  </si>
  <si>
    <t>TID:956033</t>
  </si>
  <si>
    <t>TID:127303</t>
  </si>
  <si>
    <t>optix</t>
  </si>
  <si>
    <t>starch karaya</t>
  </si>
  <si>
    <t>hafiz qureshi 253</t>
  </si>
  <si>
    <t>TID:532307</t>
  </si>
  <si>
    <t>TID:366911</t>
  </si>
  <si>
    <t>oarts</t>
  </si>
  <si>
    <t>TID:854707</t>
  </si>
  <si>
    <t>belts 16inch</t>
  </si>
  <si>
    <t>TID:341685</t>
  </si>
  <si>
    <t>starch</t>
  </si>
  <si>
    <t>nut bolts</t>
  </si>
  <si>
    <t>TID:822769</t>
  </si>
  <si>
    <t>Kora sale 2189/58</t>
  </si>
  <si>
    <t>imran jet</t>
  </si>
  <si>
    <t>kora karaya</t>
  </si>
  <si>
    <t>welder</t>
  </si>
  <si>
    <t>taha</t>
  </si>
  <si>
    <t>pin nuts</t>
  </si>
  <si>
    <t>nuts</t>
  </si>
  <si>
    <t>TID:090184</t>
  </si>
  <si>
    <t>TID:879536</t>
  </si>
  <si>
    <t>TID:293867</t>
  </si>
  <si>
    <t>TID:812711</t>
  </si>
  <si>
    <t>accord fuel pump</t>
  </si>
  <si>
    <t>TID:971130</t>
  </si>
  <si>
    <t>coke ahmad</t>
  </si>
  <si>
    <t>TLH 569</t>
  </si>
  <si>
    <t>farman package</t>
  </si>
  <si>
    <t>TID:908762</t>
  </si>
  <si>
    <t>Valve</t>
  </si>
  <si>
    <t>loader petrol</t>
  </si>
  <si>
    <t>guage</t>
  </si>
  <si>
    <t>holder</t>
  </si>
  <si>
    <t>elect</t>
  </si>
  <si>
    <t>zodium 10number</t>
  </si>
  <si>
    <t>ubaidullah</t>
  </si>
  <si>
    <t>TID:553385</t>
  </si>
  <si>
    <t>DYes</t>
  </si>
  <si>
    <t>TID:335170</t>
  </si>
  <si>
    <t>TID:690942</t>
  </si>
  <si>
    <t>TID:205742</t>
  </si>
  <si>
    <t>TID:625274</t>
  </si>
  <si>
    <t>munawar</t>
  </si>
  <si>
    <t>ali raza</t>
  </si>
  <si>
    <t>punture</t>
  </si>
  <si>
    <t>shoaib folding</t>
  </si>
  <si>
    <t>TID:410921</t>
  </si>
  <si>
    <t>ABL</t>
  </si>
  <si>
    <t>TID:783321</t>
  </si>
  <si>
    <t>TID:484646</t>
  </si>
  <si>
    <t>Padel</t>
  </si>
  <si>
    <t>crayons</t>
  </si>
  <si>
    <t>Nadeem silai</t>
  </si>
  <si>
    <t>Shahid qasai</t>
  </si>
  <si>
    <t>5k*6</t>
  </si>
  <si>
    <t>chakki</t>
  </si>
  <si>
    <t>salary</t>
  </si>
  <si>
    <t>akhtar khan</t>
  </si>
  <si>
    <t>welding plant</t>
  </si>
  <si>
    <t>master waheed</t>
  </si>
  <si>
    <t>TID:823354</t>
  </si>
  <si>
    <t>coil + flexible pipe</t>
  </si>
  <si>
    <t>150K+200K</t>
  </si>
  <si>
    <t>Bank Deposit</t>
  </si>
  <si>
    <t>TID:417059</t>
  </si>
  <si>
    <t>TID:804281</t>
  </si>
  <si>
    <t>TID:853603</t>
  </si>
  <si>
    <t>LESCO</t>
  </si>
  <si>
    <t>fire extinguishers x3</t>
  </si>
  <si>
    <t>2017-b</t>
  </si>
  <si>
    <t>2017-a</t>
  </si>
  <si>
    <t>ali ahmad</t>
  </si>
  <si>
    <t>Nov salary</t>
  </si>
  <si>
    <t>Nov salary//omer</t>
  </si>
  <si>
    <t>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</si>
</sst>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
      <patternFill patternType="solid">
        <fgColor theme="0" tint="-0.34998626667073579"/>
        <bgColor indexed="64"/>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top style="thin">
        <color theme="4" tint="0.39997558519241921"/>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42">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65" fontId="0" fillId="8" borderId="0" xfId="1" applyNumberFormat="1" applyFont="1" applyFill="1"/>
    <xf numFmtId="14"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164" fontId="0" fillId="12" borderId="27" xfId="1" applyNumberFormat="1" applyFont="1" applyFill="1" applyBorder="1"/>
    <xf numFmtId="0" fontId="8" fillId="0" borderId="0" xfId="0" applyFont="1" applyAlignment="1">
      <alignment horizontal="left"/>
    </xf>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openxmlformats.org/officeDocument/2006/relationships/calcChain" Target="calcChai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488</xdr:rowOff>
    </xdr:from>
    <xdr:to>
      <xdr:col>11</xdr:col>
      <xdr:colOff>66829</xdr:colOff>
      <xdr:row>40</xdr:row>
      <xdr:rowOff>37062</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556557</xdr:colOff>
      <xdr:row>633</xdr:row>
      <xdr:rowOff>43181</xdr:rowOff>
    </xdr:from>
    <xdr:to>
      <xdr:col>13</xdr:col>
      <xdr:colOff>441999</xdr:colOff>
      <xdr:row>637</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254846</xdr:colOff>
      <xdr:row>638</xdr:row>
      <xdr:rowOff>138748</xdr:rowOff>
    </xdr:from>
    <xdr:to>
      <xdr:col>14</xdr:col>
      <xdr:colOff>577742</xdr:colOff>
      <xdr:row>647</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7377462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37753009259" createdVersion="8" refreshedVersion="8" minRefreshableVersion="3" recordCount="628" xr:uid="{B5BDFB73-D93A-4A7A-8149-666BC190B09B}">
  <cacheSource type="worksheet">
    <worksheetSource name="Table14"/>
  </cacheSource>
  <cacheFields count="7">
    <cacheField name="Date" numFmtId="0">
      <sharedItems containsNonDate="0" containsDate="1" containsString="0" containsBlank="1" minDate="2025-01-03T00:00:00" maxDate="2026-12-31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s v="ubaidullah"/>
        <m/>
        <s v="Closing October CF" u="1"/>
        <s v="Aurangzeb" u="1"/>
        <s v="BSC" u="1"/>
        <s v="Haseeb Shamsi" u="1"/>
        <s v="Ashraf Zia" u="1"/>
        <s v="General Dyes" u="1"/>
        <s v="Faizan" u="1"/>
        <s v="Zia-ullah karachi" u="1"/>
        <s v="Ishaq" u="1"/>
        <s v="Unicolour" u="1"/>
        <s v="ibraheem behraam"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0">
      <sharedItems containsString="0" containsBlank="1" containsNumber="1" containsInteger="1" minValue="140" maxValue="8189253"/>
    </cacheField>
    <cacheField name="Credit" numFmtId="0">
      <sharedItems containsString="0" containsBlank="1" containsNumber="1" containsInteger="1" minValue="-610916" maxValue="737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37753472221"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30023.66715435265"/>
    </cacheField>
    <cacheField name="Rate" numFmtId="0">
      <sharedItems containsString="0" containsBlank="1" containsNumber="1" minValue="10" maxValue="12"/>
    </cacheField>
    <cacheField name="Total" numFmtId="164">
      <sharedItems containsSemiMixedTypes="0" containsString="0" containsNumber="1" minValue="0" maxValue="5066883.686905633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37753819444" createdVersion="8" refreshedVersion="8" minRefreshableVersion="3" recordCount="19" xr:uid="{AC867DCC-CE64-4D1A-827D-F1F3EE10EE4E}">
  <cacheSource type="worksheet">
    <worksheetSource name="Table8"/>
  </cacheSource>
  <cacheFields count="9">
    <cacheField name="Date" numFmtId="0">
      <sharedItems containsSemiMixedTypes="0" containsNonDate="0" containsDate="1" containsString="0" minDate="2025-05-16T00:00:00" maxDate="2026-01-23T00:00:00" count="65">
        <d v="2025-12-17T00:00:00"/>
        <d v="2025-12-18T00:00:00"/>
        <d v="2025-12-22T00:00:00"/>
        <d v="2025-12-26T00:00:00"/>
        <d v="2025-12-25T00:00:00"/>
        <d v="2025-12-27T00:00:00"/>
        <d v="2025-12-29T00:00:00"/>
        <d v="2026-01-02T00:00:00"/>
        <d v="2026-01-03T00:00:00"/>
        <d v="2026-01-06T00:00:00"/>
        <d v="2026-01-07T00:00:00"/>
        <d v="2026-01-09T00:00:00"/>
        <d v="2026-01-12T00:00:00"/>
        <d v="2026-01-16T00:00:00"/>
        <d v="2026-01-22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91250"/>
    </cacheField>
    <cacheField name="Party" numFmtId="0">
      <sharedItems containsBlank="1" count="9">
        <s v="Unicolour"/>
        <s v="madina dyes"/>
        <s v="General Dyes"/>
        <s v="Shafi Dyes"/>
        <s v="usman shafiq Dyes"/>
        <s v="Dyes"/>
        <m u="1"/>
        <s v="Al madina" u="1"/>
        <s v="-" u="1"/>
      </sharedItems>
    </cacheField>
    <cacheField name="Paid" numFmtId="0">
      <sharedItems containsSemiMixedTypes="0" containsString="0" containsNumber="1" containsInteger="1" minValue="0" maxValue="291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37754050929" createdVersion="8" refreshedVersion="8" minRefreshableVersion="3" recordCount="231" xr:uid="{3E5C2981-ACF5-44A9-8567-B1D65DB3A8D2}">
  <cacheSource type="worksheet">
    <worksheetSource name="Table3"/>
  </cacheSource>
  <cacheFields count="9">
    <cacheField name="Date" numFmtId="14">
      <sharedItems containsNonDate="0" containsDate="1" containsString="0" containsBlank="1" minDate="2025-12-17T00:00:00" maxDate="2026-01-20T00:00:00"/>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2223" maxValue="9662"/>
    </cacheField>
    <cacheField name="Weight" numFmtId="164">
      <sharedItems containsString="0" containsBlank="1" containsNumber="1" containsInteger="1" minValue="20" maxValue="522"/>
    </cacheField>
    <cacheField name="Rate" numFmtId="164">
      <sharedItems containsString="0" containsBlank="1" containsNumber="1" containsInteger="1" minValue="580" maxValue="850"/>
    </cacheField>
    <cacheField name="Rent" numFmtId="164">
      <sharedItems containsString="0" containsBlank="1" containsNumber="1" containsInteger="1" minValue="31500" maxValue="95200"/>
    </cacheField>
    <cacheField name="Total" numFmtId="164">
      <sharedItems containsString="0" containsBlank="1" containsNumber="1" containsInteger="1" minValue="0" maxValue="44370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37754629629" createdVersion="8" refreshedVersion="8" minRefreshableVersion="3" recordCount="16" xr:uid="{376A650C-1F79-4049-BC45-E34989F046B2}">
  <cacheSource type="worksheet">
    <worksheetSource name="Table2"/>
  </cacheSource>
  <cacheFields count="8">
    <cacheField name="Date" numFmtId="14">
      <sharedItems containsNonDate="0" containsDate="1" containsString="0" containsBlank="1" minDate="2025-12-17T00:00:00" maxDate="2026-01-21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tring="0" containsBlank="1" containsNumber="1" containsInteger="1" minValue="0" maxValue="351000"/>
    </cacheField>
    <cacheField name="Paid" numFmtId="0">
      <sharedItems containsString="0" containsBlank="1" containsNumber="1" containsInteger="1" minValue="0" maxValue="351000"/>
    </cacheField>
    <cacheField name="Balance" numFmtId="0">
      <sharedItems containsString="0" containsBlank="1" containsNumber="1" containsInteger="1" minValue="-351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5.037754976853" createdVersion="8" refreshedVersion="8" minRefreshableVersion="3" recordCount="200" xr:uid="{46CBB50D-3613-4E5B-8212-DD0313DCD05A}">
  <cacheSource type="worksheet">
    <worksheetSource name="Table1"/>
  </cacheSource>
  <cacheFields count="14">
    <cacheField name="Date" numFmtId="0">
      <sharedItems containsNonDate="0" containsDate="1" containsString="0" containsBlank="1" minDate="2025-11-18T00:00:00" maxDate="2026-01-21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Blank="1" containsMixedTypes="1" containsNumber="1" containsInteger="1" minValue="1256" maxValue="1374"/>
    </cacheField>
    <cacheField name="Quality" numFmtId="0">
      <sharedItems containsBlank="1"/>
    </cacheField>
    <cacheField name="Shipment Number" numFmtId="164">
      <sharedItems containsBlank="1" containsMixedTypes="1" containsNumber="1" containsInteger="1" minValue="1558" maxValue="17000" count="396">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s v="2017-a"/>
        <n v="2018"/>
        <n v="2030"/>
        <n v="2037"/>
        <n v="2026"/>
        <n v="2016"/>
        <n v="2012"/>
        <n v="2014"/>
        <n v="2013"/>
        <n v="2031"/>
        <n v="2019"/>
        <s v="2017-b"/>
        <n v="2039"/>
        <n v="2023"/>
        <n v="2024" u="1"/>
        <n v="2025" u="1"/>
        <n v="2041" u="1"/>
        <n v="2035" u="1"/>
        <n v="2040" u="1"/>
        <n v="2020" u="1"/>
        <n v="2034" u="1"/>
        <n v="2046" u="1"/>
        <n v="2033"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Blank="1" containsMixedTypes="1" containsNumber="1" minValue="-1.2821711996982401" maxValue="75.735069703407845"/>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8">
  <r>
    <d v="2025-12-17T00:00:00"/>
    <x v="0"/>
    <m/>
    <n v="737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6-12-30T00:00:00"/>
    <x v="1"/>
    <m/>
    <n v="286158"/>
    <s v="Nov salary"/>
    <s v="Bank"/>
    <m/>
  </r>
  <r>
    <d v="2026-12-30T00:00:00"/>
    <x v="6"/>
    <n v="286158"/>
    <m/>
    <s v="Nov salary//omer"/>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s v="Bank"/>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6"/>
    <n v="253000"/>
    <m/>
    <s v="hafiz qureshi 253"/>
    <s v="Bank"/>
    <m/>
  </r>
  <r>
    <d v="2026-01-10T00:00:00"/>
    <x v="8"/>
    <m/>
    <n v="253000"/>
    <s v="BSC"/>
    <s v="Bank"/>
    <m/>
  </r>
  <r>
    <d v="2026-01-10T00:00:00"/>
    <x v="6"/>
    <m/>
    <n v="118000"/>
    <s v="Faysal Akraam"/>
    <s v="Bank"/>
    <m/>
  </r>
  <r>
    <d v="2026-01-10T00:00:00"/>
    <x v="24"/>
    <n v="118000"/>
    <m/>
    <s v="Bill Nill"/>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3T00:00:00"/>
    <x v="4"/>
    <n v="40000"/>
    <m/>
    <s v="master Tanveer"/>
    <s v="Bank"/>
    <m/>
  </r>
  <r>
    <d v="2026-01-13T00:00:00"/>
    <x v="2"/>
    <n v="2200"/>
    <m/>
    <s v="mazdoor"/>
    <s v="Bank"/>
    <m/>
  </r>
  <r>
    <d v="2026-01-13T00:00:00"/>
    <x v="32"/>
    <m/>
    <n v="100000"/>
    <m/>
    <s v="Bank"/>
    <m/>
  </r>
  <r>
    <d v="2026-01-13T00:00:00"/>
    <x v="15"/>
    <n v="20000"/>
    <m/>
    <s v="Nasir opt"/>
    <s v="Bank"/>
    <m/>
  </r>
  <r>
    <d v="2026-01-13T00:00:00"/>
    <x v="15"/>
    <n v="1000"/>
    <m/>
    <s v="ali hasnain helper stenter"/>
    <s v="Bank"/>
    <m/>
  </r>
  <r>
    <d v="2026-01-13T00:00:00"/>
    <x v="1"/>
    <n v="2300"/>
    <m/>
    <m/>
    <s v="Bank"/>
    <m/>
  </r>
  <r>
    <d v="2026-01-13T00:00:00"/>
    <x v="2"/>
    <n v="1000"/>
    <m/>
    <s v="ghar"/>
    <s v="Bank"/>
    <m/>
  </r>
  <r>
    <d v="2026-01-13T00:00:00"/>
    <x v="2"/>
    <n v="300"/>
    <m/>
    <s v="medicine"/>
    <s v="Bank"/>
    <m/>
  </r>
  <r>
    <d v="2026-01-13T00:00:00"/>
    <x v="4"/>
    <n v="22000"/>
    <m/>
    <s v="shoaib"/>
    <s v="Bank"/>
    <m/>
  </r>
  <r>
    <d v="2026-01-13T00:00:00"/>
    <x v="4"/>
    <n v="17000"/>
    <m/>
    <s v="Ashraf Guard"/>
    <s v="Bank"/>
    <m/>
  </r>
  <r>
    <d v="2026-01-13T00:00:00"/>
    <x v="4"/>
    <n v="329640"/>
    <m/>
    <s v="general"/>
    <s v="Bank"/>
    <m/>
  </r>
  <r>
    <d v="2026-01-13T00:00:00"/>
    <x v="17"/>
    <n v="5000"/>
    <m/>
    <s v="petrol cash"/>
    <s v="Bank"/>
    <m/>
  </r>
  <r>
    <d v="2026-01-13T00:00:00"/>
    <x v="6"/>
    <m/>
    <n v="300000"/>
    <s v="100x3"/>
    <s v="Bank"/>
    <m/>
  </r>
  <r>
    <d v="2026-01-13T00:00:00"/>
    <x v="34"/>
    <n v="100704"/>
    <m/>
    <s v="TID:469135"/>
    <s v="Bank"/>
    <m/>
  </r>
  <r>
    <d v="2026-01-13T00:00:00"/>
    <x v="6"/>
    <m/>
    <n v="50000"/>
    <s v="TID:956033"/>
    <s v="Bank"/>
    <m/>
  </r>
  <r>
    <d v="2026-01-13T00:00:00"/>
    <x v="9"/>
    <n v="15513"/>
    <m/>
    <s v="diesel"/>
    <s v="Bank"/>
    <m/>
  </r>
  <r>
    <d v="2026-01-13T00:00:00"/>
    <x v="28"/>
    <m/>
    <n v="190000"/>
    <s v="TID:127303"/>
    <s v="Bank"/>
    <m/>
  </r>
  <r>
    <d v="2026-01-13T00:00:00"/>
    <x v="2"/>
    <n v="4500"/>
    <m/>
    <s v="optix"/>
    <s v="Bank"/>
    <m/>
  </r>
  <r>
    <d v="2026-01-13T00:00:00"/>
    <x v="1"/>
    <n v="400"/>
    <m/>
    <m/>
    <s v="Bank"/>
    <m/>
  </r>
  <r>
    <d v="2026-01-13T00:00:00"/>
    <x v="17"/>
    <n v="350"/>
    <m/>
    <s v="starch karaya"/>
    <s v="Bank"/>
    <m/>
  </r>
  <r>
    <d v="2026-01-14T00:00:00"/>
    <x v="28"/>
    <m/>
    <n v="100000"/>
    <s v="TID:532307"/>
    <s v="Bank"/>
    <m/>
  </r>
  <r>
    <d v="2026-01-14T00:00:00"/>
    <x v="28"/>
    <m/>
    <n v="160000"/>
    <s v="Cash BSC"/>
    <s v="Bank"/>
    <m/>
  </r>
  <r>
    <d v="2026-01-14T00:00:00"/>
    <x v="6"/>
    <n v="160000"/>
    <m/>
    <s v="ejaz sahab"/>
    <s v="Bank"/>
    <m/>
  </r>
  <r>
    <d v="2026-01-14T00:00:00"/>
    <x v="19"/>
    <m/>
    <n v="200000"/>
    <s v="TID:366911"/>
    <s v="Bank"/>
    <m/>
  </r>
  <r>
    <d v="2026-01-14T00:00:00"/>
    <x v="6"/>
    <m/>
    <n v="5100"/>
    <s v="parts"/>
    <s v="Bank"/>
    <m/>
  </r>
  <r>
    <d v="2026-01-14T00:00:00"/>
    <x v="9"/>
    <n v="5100"/>
    <m/>
    <s v="oarts"/>
    <s v="Bank"/>
    <m/>
  </r>
  <r>
    <d v="2026-01-14T00:00:00"/>
    <x v="9"/>
    <n v="3000"/>
    <m/>
    <s v="parts"/>
    <s v="Bank"/>
    <m/>
  </r>
  <r>
    <d v="2026-01-14T00:00:00"/>
    <x v="10"/>
    <n v="150062"/>
    <m/>
    <s v="TID:854707"/>
    <s v="Bank"/>
    <m/>
  </r>
  <r>
    <d v="2026-01-14T00:00:00"/>
    <x v="34"/>
    <n v="31500"/>
    <m/>
    <s v="freight"/>
    <s v="Bank"/>
    <m/>
  </r>
  <r>
    <d v="2026-01-14T00:00:00"/>
    <x v="9"/>
    <n v="1300"/>
    <m/>
    <s v="belts 16inch"/>
    <s v="Bank"/>
    <m/>
  </r>
  <r>
    <d v="2026-01-14T00:00:00"/>
    <x v="13"/>
    <n v="70000"/>
    <m/>
    <s v="freight"/>
    <s v="Bank"/>
    <m/>
  </r>
  <r>
    <d v="2026-01-14T00:00:00"/>
    <x v="13"/>
    <n v="5000"/>
    <m/>
    <s v="freight"/>
    <s v="Bank"/>
    <m/>
  </r>
  <r>
    <d v="2026-01-14T00:00:00"/>
    <x v="5"/>
    <n v="200460"/>
    <m/>
    <s v="TID:341685"/>
    <s v="Bank"/>
    <m/>
  </r>
  <r>
    <d v="2026-01-14T00:00:00"/>
    <x v="9"/>
    <n v="1800"/>
    <m/>
    <m/>
    <s v="Bank"/>
    <m/>
  </r>
  <r>
    <d v="2026-01-14T00:00:00"/>
    <x v="9"/>
    <n v="1000"/>
    <m/>
    <m/>
    <s v="Bank"/>
    <m/>
  </r>
  <r>
    <d v="2026-01-14T00:00:00"/>
    <x v="9"/>
    <n v="2530"/>
    <m/>
    <m/>
    <s v="Bank"/>
    <m/>
  </r>
  <r>
    <d v="2026-01-14T00:00:00"/>
    <x v="37"/>
    <n v="38750"/>
    <m/>
    <s v="starch"/>
    <s v="Bank"/>
    <m/>
  </r>
  <r>
    <d v="2026-01-14T00:00:00"/>
    <x v="9"/>
    <n v="2900"/>
    <m/>
    <s v="nut bolts"/>
    <s v="Bank"/>
    <m/>
  </r>
  <r>
    <d v="2026-01-14T00:00:00"/>
    <x v="9"/>
    <n v="4850"/>
    <m/>
    <m/>
    <s v="Bank"/>
    <m/>
  </r>
  <r>
    <d v="2026-01-14T00:00:00"/>
    <x v="9"/>
    <n v="1630"/>
    <m/>
    <m/>
    <s v="Bank"/>
    <m/>
  </r>
  <r>
    <d v="2026-01-14T00:00:00"/>
    <x v="10"/>
    <n v="48000"/>
    <m/>
    <s v="TID:822769"/>
    <s v="Bank"/>
    <m/>
  </r>
  <r>
    <d v="2026-01-14T00:00:00"/>
    <x v="6"/>
    <m/>
    <n v="126962"/>
    <s v="Kora sale 2189/58"/>
    <s v="Bank"/>
    <m/>
  </r>
  <r>
    <d v="2026-01-14T00:00:00"/>
    <x v="4"/>
    <n v="46400"/>
    <m/>
    <s v="imran jet"/>
    <s v="Bank"/>
    <m/>
  </r>
  <r>
    <d v="2026-01-14T00:00:00"/>
    <x v="17"/>
    <n v="1000"/>
    <m/>
    <s v="kora karaya"/>
    <s v="Bank"/>
    <m/>
  </r>
  <r>
    <d v="2026-01-14T00:00:00"/>
    <x v="17"/>
    <n v="600"/>
    <m/>
    <s v="starch"/>
    <s v="Bank"/>
    <m/>
  </r>
  <r>
    <d v="2026-01-15T00:00:00"/>
    <x v="9"/>
    <n v="1300"/>
    <m/>
    <s v="belts 16inch"/>
    <s v="Bank"/>
    <m/>
  </r>
  <r>
    <d v="2026-01-15T00:00:00"/>
    <x v="9"/>
    <n v="1000"/>
    <m/>
    <s v="welder"/>
    <s v="Bank"/>
    <m/>
  </r>
  <r>
    <d v="2026-01-15T00:00:00"/>
    <x v="2"/>
    <n v="1000"/>
    <m/>
    <s v="taha"/>
    <s v="Bank"/>
    <m/>
  </r>
  <r>
    <d v="2026-01-15T00:00:00"/>
    <x v="9"/>
    <n v="500"/>
    <m/>
    <s v="pin nuts"/>
    <s v="Bank"/>
    <m/>
  </r>
  <r>
    <d v="2026-01-15T00:00:00"/>
    <x v="9"/>
    <n v="6450"/>
    <m/>
    <s v="nuts"/>
    <s v="Bank"/>
    <m/>
  </r>
  <r>
    <d v="2026-01-15T00:00:00"/>
    <x v="11"/>
    <n v="50000"/>
    <m/>
    <s v="TID:090184"/>
    <s v="Bank"/>
    <m/>
  </r>
  <r>
    <d v="2026-01-15T00:00:00"/>
    <x v="6"/>
    <m/>
    <n v="160000"/>
    <s v="ejaz sahab"/>
    <s v="Bank"/>
    <m/>
  </r>
  <r>
    <d v="2026-01-15T00:00:00"/>
    <x v="5"/>
    <n v="95200"/>
    <m/>
    <s v="freight"/>
    <s v="Bank"/>
    <m/>
  </r>
  <r>
    <d v="2026-01-15T00:00:00"/>
    <x v="28"/>
    <m/>
    <n v="129357"/>
    <s v="TID:879536"/>
    <s v="Bank"/>
    <m/>
  </r>
  <r>
    <d v="2026-01-15T00:00:00"/>
    <x v="4"/>
    <n v="165000"/>
    <m/>
    <s v="Ashfaq Sahab theka"/>
    <s v="Bank"/>
    <m/>
  </r>
  <r>
    <d v="2026-01-15T00:00:00"/>
    <x v="34"/>
    <n v="100000"/>
    <m/>
    <s v="TID:293867"/>
    <s v="Bank"/>
    <m/>
  </r>
  <r>
    <d v="2026-01-15T00:00:00"/>
    <x v="10"/>
    <n v="140000"/>
    <m/>
    <s v="TID:812711"/>
    <s v="Bank"/>
    <m/>
  </r>
  <r>
    <d v="2026-01-15T00:00:00"/>
    <x v="36"/>
    <m/>
    <n v="285800"/>
    <m/>
    <s v="Bank"/>
    <m/>
  </r>
  <r>
    <d v="2026-01-15T00:00:00"/>
    <x v="9"/>
    <n v="2750"/>
    <m/>
    <s v="garari"/>
    <s v="Bank"/>
    <m/>
  </r>
  <r>
    <d v="2026-01-15T00:00:00"/>
    <x v="2"/>
    <n v="6300"/>
    <m/>
    <s v="accord fuel pump"/>
    <s v="Bank"/>
    <m/>
  </r>
  <r>
    <d v="2026-01-15T00:00:00"/>
    <x v="10"/>
    <n v="30000"/>
    <m/>
    <s v="TID:971130"/>
    <s v="Bank"/>
    <m/>
  </r>
  <r>
    <d v="2026-01-15T00:00:00"/>
    <x v="1"/>
    <n v="710"/>
    <m/>
    <m/>
    <s v="Bank"/>
    <m/>
  </r>
  <r>
    <d v="2026-01-15T00:00:00"/>
    <x v="2"/>
    <n v="250"/>
    <m/>
    <s v="coke ahmad"/>
    <s v="Bank"/>
    <m/>
  </r>
  <r>
    <d v="2026-01-16T00:00:00"/>
    <x v="15"/>
    <n v="20000"/>
    <m/>
    <s v="iqbal Fitter"/>
    <s v="Bank"/>
    <m/>
  </r>
  <r>
    <d v="2026-01-16T00:00:00"/>
    <x v="6"/>
    <m/>
    <n v="20000"/>
    <s v="iqbal Fitter"/>
    <s v="Bank"/>
    <m/>
  </r>
  <r>
    <d v="2026-01-16T00:00:00"/>
    <x v="9"/>
    <n v="15513"/>
    <m/>
    <s v="diesel"/>
    <s v="Bank"/>
    <m/>
  </r>
  <r>
    <d v="2026-01-16T00:00:00"/>
    <x v="6"/>
    <m/>
    <n v="15513"/>
    <s v="diesel"/>
    <s v="Bank"/>
    <m/>
  </r>
  <r>
    <d v="2026-01-16T00:00:00"/>
    <x v="9"/>
    <n v="1000"/>
    <m/>
    <s v="welder"/>
    <s v="Bank"/>
    <m/>
  </r>
  <r>
    <d v="2026-01-16T00:00:00"/>
    <x v="16"/>
    <n v="900"/>
    <m/>
    <s v="farman package"/>
    <s v="Bank"/>
    <m/>
  </r>
  <r>
    <d v="2026-01-16T00:00:00"/>
    <x v="6"/>
    <m/>
    <n v="50000"/>
    <s v="TID:908762"/>
    <s v="Bank"/>
    <m/>
  </r>
  <r>
    <d v="2026-01-16T00:00:00"/>
    <x v="9"/>
    <n v="15513"/>
    <m/>
    <s v="diesel"/>
    <s v="Bank"/>
    <m/>
  </r>
  <r>
    <d v="2026-01-16T00:00:00"/>
    <x v="9"/>
    <n v="1030"/>
    <m/>
    <s v="Valve"/>
    <s v="Bank"/>
    <m/>
  </r>
  <r>
    <d v="2026-01-16T00:00:00"/>
    <x v="17"/>
    <n v="5000"/>
    <m/>
    <s v="loader petrol"/>
    <s v="Bank"/>
    <m/>
  </r>
  <r>
    <d v="2026-01-16T00:00:00"/>
    <x v="17"/>
    <n v="5000"/>
    <m/>
    <s v="car"/>
    <s v="Bank"/>
    <m/>
  </r>
  <r>
    <d v="2026-01-16T00:00:00"/>
    <x v="9"/>
    <n v="1000"/>
    <m/>
    <s v="guage"/>
    <s v="Bank"/>
    <m/>
  </r>
  <r>
    <d v="2026-01-16T00:00:00"/>
    <x v="9"/>
    <n v="1100"/>
    <m/>
    <s v="belts 16inch"/>
    <s v="Bank"/>
    <m/>
  </r>
  <r>
    <d v="2026-01-16T00:00:00"/>
    <x v="9"/>
    <n v="1400"/>
    <m/>
    <s v="holder"/>
    <s v="Bank"/>
    <m/>
  </r>
  <r>
    <d v="2026-01-16T00:00:00"/>
    <x v="9"/>
    <n v="1220"/>
    <m/>
    <s v="elect"/>
    <s v="Bank"/>
    <m/>
  </r>
  <r>
    <d v="2026-01-16T00:00:00"/>
    <x v="9"/>
    <n v="3200"/>
    <m/>
    <s v="zodium 10number"/>
    <s v="Bank"/>
    <m/>
  </r>
  <r>
    <d v="2026-01-16T00:00:00"/>
    <x v="35"/>
    <n v="291250"/>
    <m/>
    <s v="Dyes"/>
    <s v="Bank"/>
    <m/>
  </r>
  <r>
    <d v="2026-01-16T00:00:00"/>
    <x v="39"/>
    <m/>
    <n v="300000"/>
    <s v="TID:553385"/>
    <s v="Bank"/>
    <m/>
  </r>
  <r>
    <d v="2026-01-16T00:00:00"/>
    <x v="6"/>
    <n v="300000"/>
    <m/>
    <s v="Ubaidullah"/>
    <s v="Bank"/>
    <m/>
  </r>
  <r>
    <d v="2026-01-16T00:00:00"/>
    <x v="6"/>
    <m/>
    <n v="291250"/>
    <s v="DYes"/>
    <s v="Bank"/>
    <m/>
  </r>
  <r>
    <d v="2026-01-16T00:00:00"/>
    <x v="6"/>
    <m/>
    <n v="100000"/>
    <s v="TID:335170"/>
    <s v="Bank"/>
    <m/>
  </r>
  <r>
    <d v="2026-01-16T00:00:00"/>
    <x v="4"/>
    <m/>
    <m/>
    <s v="Master Tanveer"/>
    <s v="Bank"/>
    <m/>
  </r>
  <r>
    <d v="2026-01-16T00:00:00"/>
    <x v="34"/>
    <n v="50000"/>
    <m/>
    <s v="TID:690942"/>
    <s v="Bank"/>
    <m/>
  </r>
  <r>
    <d v="2026-01-16T00:00:00"/>
    <x v="17"/>
    <n v="2500"/>
    <m/>
    <s v="raksha karaya"/>
    <s v="Bank"/>
    <m/>
  </r>
  <r>
    <d v="2026-01-16T00:00:00"/>
    <x v="25"/>
    <m/>
    <n v="300000"/>
    <m/>
    <s v="Bank"/>
    <m/>
  </r>
  <r>
    <d v="2026-01-16T00:00:00"/>
    <x v="10"/>
    <n v="100000"/>
    <m/>
    <s v="TID:205742"/>
    <s v="Bank"/>
    <m/>
  </r>
  <r>
    <d v="2026-01-16T00:00:00"/>
    <x v="13"/>
    <n v="125000"/>
    <m/>
    <s v="TID:625274"/>
    <s v="Bank"/>
    <m/>
  </r>
  <r>
    <d v="2026-01-16T00:00:00"/>
    <x v="16"/>
    <n v="1000"/>
    <m/>
    <s v="munawar"/>
    <s v="Bank"/>
    <m/>
  </r>
  <r>
    <d v="2026-01-16T00:00:00"/>
    <x v="1"/>
    <n v="1460"/>
    <m/>
    <m/>
    <s v="Bank"/>
    <m/>
  </r>
  <r>
    <d v="2026-01-17T00:00:00"/>
    <x v="37"/>
    <n v="38750"/>
    <m/>
    <s v="starch"/>
    <s v="Bank"/>
    <m/>
  </r>
  <r>
    <d v="2026-01-17T00:00:00"/>
    <x v="4"/>
    <n v="11500"/>
    <m/>
    <s v="ali raza"/>
    <s v="Bank"/>
    <m/>
  </r>
  <r>
    <d v="2026-01-17T00:00:00"/>
    <x v="17"/>
    <n v="1700"/>
    <m/>
    <s v="punture"/>
    <s v="Bank"/>
    <m/>
  </r>
  <r>
    <d v="2026-01-17T00:00:00"/>
    <x v="15"/>
    <n v="20000"/>
    <m/>
    <s v="shoaib folding"/>
    <s v="Bank"/>
    <m/>
  </r>
  <r>
    <d v="2026-01-17T00:00:00"/>
    <x v="15"/>
    <n v="50000"/>
    <m/>
    <s v="khubaib"/>
    <s v="Bank"/>
    <m/>
  </r>
  <r>
    <d v="2026-01-17T00:00:00"/>
    <x v="6"/>
    <m/>
    <n v="50000"/>
    <s v="khubaib"/>
    <s v="Bank"/>
    <m/>
  </r>
  <r>
    <d v="2026-01-17T00:00:00"/>
    <x v="15"/>
    <n v="3000"/>
    <m/>
    <s v="Nasir opt"/>
    <s v="Bank"/>
    <m/>
  </r>
  <r>
    <d v="2026-01-17T00:00:00"/>
    <x v="17"/>
    <n v="1000"/>
    <m/>
    <s v="bike"/>
    <s v="Bank"/>
    <m/>
  </r>
  <r>
    <d v="2026-01-17T00:00:00"/>
    <x v="6"/>
    <m/>
    <n v="50000"/>
    <s v="TID:410921"/>
    <s v="Bank"/>
    <m/>
  </r>
  <r>
    <d v="2026-01-17T00:00:00"/>
    <x v="6"/>
    <n v="5000"/>
    <m/>
    <s v="Altaf Stenter"/>
    <s v="Bank"/>
    <m/>
  </r>
  <r>
    <d v="2026-01-17T00:00:00"/>
    <x v="17"/>
    <n v="2000"/>
    <m/>
    <s v="loader petrol"/>
    <s v="Bank"/>
    <m/>
  </r>
  <r>
    <d v="2026-01-17T00:00:00"/>
    <x v="15"/>
    <n v="10000"/>
    <m/>
    <s v="Naeem Electric"/>
    <s v="Bank"/>
    <m/>
  </r>
  <r>
    <d v="2026-01-17T00:00:00"/>
    <x v="25"/>
    <m/>
    <n v="350000"/>
    <s v="ABL"/>
    <s v="Bank"/>
    <m/>
  </r>
  <r>
    <d v="2026-01-18T00:00:00"/>
    <x v="10"/>
    <n v="100000"/>
    <m/>
    <s v="TID:783321"/>
    <s v="Bank"/>
    <m/>
  </r>
  <r>
    <d v="2026-01-18T00:00:00"/>
    <x v="6"/>
    <m/>
    <n v="100000"/>
    <s v="irfan punjabi"/>
    <s v="Bank"/>
    <m/>
  </r>
  <r>
    <d v="2026-01-18T00:00:00"/>
    <x v="34"/>
    <n v="100200"/>
    <m/>
    <s v="TID:484646"/>
    <s v="Bank"/>
    <m/>
  </r>
  <r>
    <d v="2026-01-18T00:00:00"/>
    <x v="1"/>
    <n v="4000"/>
    <m/>
    <s v="Padel"/>
    <s v="Bank"/>
    <m/>
  </r>
  <r>
    <d v="2026-01-18T00:00:00"/>
    <x v="1"/>
    <n v="2370"/>
    <m/>
    <s v="food"/>
    <s v="Bank"/>
    <m/>
  </r>
  <r>
    <d v="2026-01-18T00:00:00"/>
    <x v="1"/>
    <n v="760"/>
    <m/>
    <m/>
    <s v="Bank"/>
    <m/>
  </r>
  <r>
    <d v="2026-01-18T00:00:00"/>
    <x v="1"/>
    <n v="580"/>
    <m/>
    <s v="package"/>
    <s v="Bank"/>
    <m/>
  </r>
  <r>
    <d v="2026-01-18T00:00:00"/>
    <x v="16"/>
    <n v="426"/>
    <m/>
    <s v="crayons"/>
    <s v="Bank"/>
    <m/>
  </r>
  <r>
    <d v="2026-01-18T00:00:00"/>
    <x v="1"/>
    <m/>
    <m/>
    <m/>
    <s v="Bank"/>
    <m/>
  </r>
  <r>
    <d v="2026-01-17T00:00:00"/>
    <x v="15"/>
    <n v="500"/>
    <m/>
    <s v="Nadeem silai"/>
    <s v="Bank"/>
    <m/>
  </r>
  <r>
    <d v="2026-01-17T00:00:00"/>
    <x v="17"/>
    <n v="600"/>
    <m/>
    <s v="starch"/>
    <s v="Bank"/>
    <m/>
  </r>
  <r>
    <d v="2026-01-16T00:00:00"/>
    <x v="21"/>
    <m/>
    <n v="100000"/>
    <m/>
    <s v="Bank"/>
    <m/>
  </r>
  <r>
    <d v="2026-01-16T00:00:00"/>
    <x v="6"/>
    <n v="100000"/>
    <m/>
    <s v="Shahid qasai"/>
    <s v="Bank"/>
    <m/>
  </r>
  <r>
    <d v="2026-01-17T00:00:00"/>
    <x v="21"/>
    <m/>
    <n v="100000"/>
    <m/>
    <s v="Bank"/>
    <m/>
  </r>
  <r>
    <d v="2026-01-17T00:00:00"/>
    <x v="6"/>
    <n v="100000"/>
    <m/>
    <s v="Shahid qasai"/>
    <s v="Bank"/>
    <m/>
  </r>
  <r>
    <d v="2026-01-19T00:00:00"/>
    <x v="6"/>
    <m/>
    <n v="30000"/>
    <s v="5k*6"/>
    <s v="Bank"/>
    <m/>
  </r>
  <r>
    <d v="2026-01-19T00:00:00"/>
    <x v="4"/>
    <n v="5000"/>
    <m/>
    <s v="chakki"/>
    <s v="Bank"/>
    <m/>
  </r>
  <r>
    <d v="2026-01-19T00:00:00"/>
    <x v="4"/>
    <n v="3330"/>
    <m/>
    <s v="akhtar khan"/>
    <s v="Bank"/>
    <m/>
  </r>
  <r>
    <d v="2026-01-19T00:00:00"/>
    <x v="2"/>
    <n v="10000"/>
    <m/>
    <s v="mazdoor"/>
    <s v="Bank"/>
    <m/>
  </r>
  <r>
    <d v="2026-01-19T00:00:00"/>
    <x v="17"/>
    <n v="2400"/>
    <m/>
    <s v="puncture"/>
    <s v="Bank"/>
    <m/>
  </r>
  <r>
    <d v="2026-01-19T00:00:00"/>
    <x v="10"/>
    <n v="5000"/>
    <m/>
    <s v="unloading"/>
    <s v="Bank"/>
    <m/>
  </r>
  <r>
    <d v="2026-01-19T00:00:00"/>
    <x v="13"/>
    <n v="1000"/>
    <m/>
    <s v="unloading"/>
    <s v="Bank"/>
    <m/>
  </r>
  <r>
    <d v="2026-01-19T00:00:00"/>
    <x v="5"/>
    <n v="1000"/>
    <m/>
    <s v="unloading"/>
    <s v="Bank"/>
    <m/>
  </r>
  <r>
    <d v="2026-01-19T00:00:00"/>
    <x v="34"/>
    <n v="1000"/>
    <m/>
    <s v="unloading"/>
    <s v="Bank"/>
    <m/>
  </r>
  <r>
    <d v="2026-01-19T00:00:00"/>
    <x v="4"/>
    <n v="2000"/>
    <m/>
    <s v="ali hasnain helper stenter"/>
    <s v="Bank"/>
    <m/>
  </r>
  <r>
    <d v="2026-01-19T00:00:00"/>
    <x v="9"/>
    <n v="4000"/>
    <m/>
    <s v="welding plant"/>
    <s v="Bank"/>
    <m/>
  </r>
  <r>
    <d v="2026-01-19T00:00:00"/>
    <x v="9"/>
    <n v="140000"/>
    <m/>
    <s v="High Temp oil Boiler"/>
    <s v="Bank"/>
    <m/>
  </r>
  <r>
    <d v="2026-01-19T00:00:00"/>
    <x v="15"/>
    <n v="15000"/>
    <m/>
    <s v="Waqas ADM"/>
    <s v="Bank"/>
    <m/>
  </r>
  <r>
    <d v="2026-01-19T00:00:00"/>
    <x v="17"/>
    <n v="5000"/>
    <m/>
    <s v="kora karaya"/>
    <s v="Bank"/>
    <m/>
  </r>
  <r>
    <d v="2026-01-19T00:00:00"/>
    <x v="15"/>
    <n v="10000"/>
    <m/>
    <s v="master waheed"/>
    <s v="Bank"/>
    <m/>
  </r>
  <r>
    <d v="2026-01-19T00:00:00"/>
    <x v="10"/>
    <n v="100999"/>
    <m/>
    <s v="TID:823354"/>
    <s v="Bank"/>
    <m/>
  </r>
  <r>
    <d v="2026-01-19T00:00:00"/>
    <x v="1"/>
    <n v="2000"/>
    <m/>
    <m/>
    <s v="Bank"/>
    <m/>
  </r>
  <r>
    <d v="2026-01-20T00:00:00"/>
    <x v="1"/>
    <m/>
    <n v="9800"/>
    <m/>
    <s v="Bank"/>
    <m/>
  </r>
  <r>
    <d v="2026-01-20T00:00:00"/>
    <x v="9"/>
    <n v="9800"/>
    <m/>
    <s v="coil + flexible pipe"/>
    <s v="Bank"/>
    <m/>
  </r>
  <r>
    <d v="2026-01-20T00:00:00"/>
    <x v="39"/>
    <m/>
    <n v="350000"/>
    <s v="150K+200K"/>
    <s v="Bank"/>
    <m/>
  </r>
  <r>
    <d v="2026-01-20T00:00:00"/>
    <x v="6"/>
    <m/>
    <n v="650000"/>
    <m/>
    <s v="Bank"/>
    <m/>
  </r>
  <r>
    <d v="2026-01-20T00:00:00"/>
    <x v="6"/>
    <m/>
    <n v="200000"/>
    <m/>
    <s v="Bank"/>
    <m/>
  </r>
  <r>
    <d v="2026-01-20T00:00:00"/>
    <x v="6"/>
    <m/>
    <n v="249000"/>
    <m/>
    <s v="Bank"/>
    <m/>
  </r>
  <r>
    <d v="2026-01-20T00:00:00"/>
    <x v="6"/>
    <m/>
    <n v="360000"/>
    <s v="Bank Deposit"/>
    <s v="Bank"/>
    <m/>
  </r>
  <r>
    <d v="2026-01-20T00:00:00"/>
    <x v="39"/>
    <m/>
    <n v="100000"/>
    <s v="TID:417059"/>
    <s v="Bank"/>
    <m/>
  </r>
  <r>
    <d v="2026-01-20T00:00:00"/>
    <x v="7"/>
    <n v="12300"/>
    <m/>
    <s v="BP26"/>
    <s v="Bank"/>
    <m/>
  </r>
  <r>
    <d v="2026-01-20T00:00:00"/>
    <x v="6"/>
    <m/>
    <n v="190000"/>
    <s v="TID:804281"/>
    <s v="Bank"/>
    <m/>
  </r>
  <r>
    <d v="2026-01-20T00:00:00"/>
    <x v="6"/>
    <m/>
    <n v="60000"/>
    <s v="TID:853603"/>
    <s v="Bank"/>
    <m/>
  </r>
  <r>
    <d v="2026-01-20T00:00:00"/>
    <x v="19"/>
    <m/>
    <n v="100000"/>
    <s v="UBL"/>
    <s v="Bank"/>
    <m/>
  </r>
  <r>
    <d v="2026-01-20T00:00:00"/>
    <x v="21"/>
    <m/>
    <n v="100000"/>
    <m/>
    <s v="Bank"/>
    <m/>
  </r>
  <r>
    <d v="2026-01-20T00:00:00"/>
    <x v="6"/>
    <n v="100000"/>
    <m/>
    <s v="Shahid qasai"/>
    <s v="Bank"/>
    <m/>
  </r>
  <r>
    <d v="2026-01-20T00:00:00"/>
    <x v="18"/>
    <n v="2185118"/>
    <m/>
    <s v="LESCO"/>
    <s v="Bank"/>
    <m/>
  </r>
  <r>
    <d v="2026-01-20T00:00:00"/>
    <x v="16"/>
    <n v="8000"/>
    <m/>
    <s v="fire extinguishers x3"/>
    <s v="Bank"/>
    <m/>
  </r>
  <r>
    <d v="2026-01-20T00:00:00"/>
    <x v="16"/>
    <n v="2000"/>
    <m/>
    <s v="medicine"/>
    <s v="Bank"/>
    <m/>
  </r>
  <r>
    <d v="2026-01-20T00:00:00"/>
    <x v="9"/>
    <n v="1650"/>
    <m/>
    <m/>
    <s v="Bank"/>
    <m/>
  </r>
  <r>
    <d v="2026-01-20T00:00:00"/>
    <x v="9"/>
    <n v="2100"/>
    <m/>
    <m/>
    <s v="Bank"/>
    <m/>
  </r>
  <r>
    <d v="2026-01-20T00:00:00"/>
    <x v="9"/>
    <n v="1430"/>
    <m/>
    <m/>
    <s v="Bank"/>
    <m/>
  </r>
  <r>
    <d v="2026-01-20T00:00:00"/>
    <x v="9"/>
    <n v="1500"/>
    <m/>
    <m/>
    <s v="Bank"/>
    <m/>
  </r>
  <r>
    <d v="2026-01-20T00:00:00"/>
    <x v="17"/>
    <n v="5000"/>
    <m/>
    <s v="petrol"/>
    <s v="Bank"/>
    <m/>
  </r>
  <r>
    <d v="2026-01-26T00:00:00"/>
    <x v="4"/>
    <n v="37324"/>
    <m/>
    <s v="ali ahmad"/>
    <s v="Bank"/>
    <m/>
  </r>
  <r>
    <d v="2026-01-29T00:00:00"/>
    <x v="1"/>
    <n v="562846"/>
    <m/>
    <m/>
    <s v="Bank"/>
    <m/>
  </r>
  <r>
    <d v="2026-01-29T00:00:00"/>
    <x v="6"/>
    <m/>
    <n v="3036240"/>
    <m/>
    <s v="Bank"/>
    <m/>
  </r>
  <r>
    <d v="2026-01-29T00:00:00"/>
    <x v="2"/>
    <m/>
    <n v="734060"/>
    <m/>
    <s v="Bank"/>
    <m/>
  </r>
  <r>
    <d v="2026-01-29T00:00:00"/>
    <x v="4"/>
    <n v="879780"/>
    <m/>
    <s v="General"/>
    <s v="Bank"/>
    <m/>
  </r>
  <r>
    <d v="2026-01-29T00:00:00"/>
    <x v="4"/>
    <n v="65000"/>
    <m/>
    <s v="Master Tanveer"/>
    <s v="Bank"/>
    <m/>
  </r>
  <r>
    <d v="2026-01-29T00:00:00"/>
    <x v="4"/>
    <n v="9000"/>
    <m/>
    <s v="Master Tanveer"/>
    <s v="Bank"/>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r>
    <m/>
    <x v="40"/>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30023.66715435265"/>
    <n v="10"/>
    <n v="5066883.6869056337"/>
  </r>
  <r>
    <x v="1"/>
    <n v="78653.072421360645"/>
    <n v="10"/>
    <n v="943836.86905632773"/>
  </r>
  <r>
    <x v="2"/>
    <n v="152184.52816386247"/>
    <n v="10"/>
    <n v="1619019.7512801758"/>
  </r>
  <r>
    <x v="3"/>
    <n v="8092.5384052670088"/>
    <n v="10.5"/>
    <n v="84971.653255303594"/>
  </r>
  <r>
    <x v="4"/>
    <n v="23995.976591075349"/>
    <n v="10"/>
    <n v="0"/>
  </r>
  <r>
    <x v="5"/>
    <n v="51876.371616678865"/>
    <n v="10"/>
    <n v="518763.71616678865"/>
  </r>
  <r>
    <x v="6"/>
    <n v="23250.731528895394"/>
    <n v="10"/>
    <n v="232507.31528895395"/>
  </r>
  <r>
    <x v="7"/>
    <n v="166267.37381126557"/>
    <n v="10"/>
    <n v="1805528.5296269204"/>
  </r>
  <r>
    <x v="8"/>
    <n v="54497.073884418438"/>
    <n v="10"/>
    <n v="653964.88661302126"/>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r>
    <x v="12"/>
    <s v="Dyes"/>
    <m/>
    <m/>
    <m/>
    <x v="1"/>
    <n v="43500"/>
    <n v="-43500"/>
    <m/>
  </r>
  <r>
    <x v="13"/>
    <s v="Dyes"/>
    <m/>
    <m/>
    <n v="291250"/>
    <x v="5"/>
    <n v="29125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d v="2025-12-17T00:00:00"/>
    <x v="0"/>
    <s v="Closing Balance CF"/>
    <m/>
    <m/>
    <m/>
    <n v="0"/>
    <m/>
    <n v="1546255"/>
  </r>
  <r>
    <d v="2025-12-17T00:00:00"/>
    <x v="1"/>
    <s v="Closing Balance CF"/>
    <m/>
    <m/>
    <m/>
    <n v="0"/>
    <n v="0"/>
    <n v="0"/>
  </r>
  <r>
    <d v="2025-12-17T00:00:00"/>
    <x v="2"/>
    <s v="Closing Balance CF"/>
    <m/>
    <m/>
    <m/>
    <n v="0"/>
    <n v="0"/>
    <n v="136060"/>
  </r>
  <r>
    <d v="2025-12-17T00:00:00"/>
    <x v="3"/>
    <s v="Closing Balance CF"/>
    <m/>
    <m/>
    <m/>
    <n v="0"/>
    <m/>
    <n v="650823"/>
  </r>
  <r>
    <d v="2025-12-17T00:00:00"/>
    <x v="4"/>
    <s v="Closing Balance CF"/>
    <m/>
    <m/>
    <m/>
    <n v="0"/>
    <m/>
    <n v="97520"/>
  </r>
  <r>
    <d v="2025-12-17T00:00:00"/>
    <x v="5"/>
    <s v="Closing Balance CF"/>
    <m/>
    <m/>
    <m/>
    <n v="0"/>
    <m/>
    <n v="326400"/>
  </r>
  <r>
    <d v="2025-12-17T00:00:00"/>
    <x v="6"/>
    <s v="Closing Balance CF"/>
    <m/>
    <m/>
    <m/>
    <n v="0"/>
    <m/>
    <n v="457410"/>
  </r>
  <r>
    <d v="2025-12-17T00:00:00"/>
    <x v="7"/>
    <s v="Closing Balance CF"/>
    <m/>
    <m/>
    <m/>
    <n v="0"/>
    <m/>
    <n v="106960"/>
  </r>
  <r>
    <d v="2025-12-18T00:00:00"/>
    <x v="0"/>
    <s v="TKL 364"/>
    <n v="250"/>
    <n v="810"/>
    <n v="53250"/>
    <n v="202500"/>
    <m/>
    <n v="202500"/>
  </r>
  <r>
    <d v="2025-12-17T00:00:00"/>
    <x v="3"/>
    <n v="9662"/>
    <n v="140"/>
    <n v="775"/>
    <m/>
    <n v="108500"/>
    <m/>
    <n v="108500"/>
  </r>
  <r>
    <d v="2025-12-18T00:00:00"/>
    <x v="3"/>
    <n v="9662"/>
    <n v="102"/>
    <n v="775"/>
    <m/>
    <n v="79050"/>
    <m/>
    <n v="79050"/>
  </r>
  <r>
    <d v="2025-12-18T00:00:00"/>
    <x v="3"/>
    <n v="9662"/>
    <n v="33"/>
    <n v="580"/>
    <m/>
    <n v="19140"/>
    <m/>
    <n v="19140"/>
  </r>
  <r>
    <d v="2025-12-19T00:00:00"/>
    <x v="6"/>
    <s v="LES 9718"/>
    <n v="173"/>
    <n v="810"/>
    <m/>
    <n v="140130"/>
    <m/>
    <n v="140130"/>
  </r>
  <r>
    <d v="2025-12-19T00:00:00"/>
    <x v="8"/>
    <s v="APL"/>
    <n v="55"/>
    <n v="720"/>
    <m/>
    <n v="39600"/>
    <m/>
    <n v="39600"/>
  </r>
  <r>
    <d v="2025-12-19T00:00:00"/>
    <x v="8"/>
    <s v="APL"/>
    <n v="47"/>
    <n v="580"/>
    <m/>
    <n v="27260"/>
    <m/>
    <n v="27260"/>
  </r>
  <r>
    <d v="2025-12-19T00:00:00"/>
    <x v="0"/>
    <m/>
    <m/>
    <m/>
    <m/>
    <n v="0"/>
    <m/>
    <n v="0"/>
  </r>
  <r>
    <d v="2025-12-19T00:00:00"/>
    <x v="3"/>
    <m/>
    <m/>
    <m/>
    <m/>
    <n v="0"/>
    <m/>
    <n v="0"/>
  </r>
  <r>
    <d v="2025-12-19T00:00:00"/>
    <x v="7"/>
    <m/>
    <m/>
    <m/>
    <m/>
    <n v="0"/>
    <m/>
    <n v="0"/>
  </r>
  <r>
    <d v="2025-12-19T00:00:00"/>
    <x v="2"/>
    <m/>
    <m/>
    <m/>
    <m/>
    <n v="0"/>
    <m/>
    <n v="0"/>
  </r>
  <r>
    <d v="2025-12-20T00:00:00"/>
    <x v="6"/>
    <n v="2223"/>
    <n v="174"/>
    <n v="810"/>
    <m/>
    <n v="140940"/>
    <m/>
    <n v="140940"/>
  </r>
  <r>
    <d v="2025-12-20T00:00:00"/>
    <x v="3"/>
    <n v="9662"/>
    <n v="100"/>
    <n v="775"/>
    <m/>
    <n v="77500"/>
    <m/>
    <n v="77500"/>
  </r>
  <r>
    <d v="2025-12-20T00:00:00"/>
    <x v="3"/>
    <n v="9662"/>
    <n v="42"/>
    <n v="580"/>
    <m/>
    <n v="24360"/>
    <m/>
    <n v="24360"/>
  </r>
  <r>
    <d v="2025-12-22T00:00:00"/>
    <x v="8"/>
    <m/>
    <m/>
    <m/>
    <m/>
    <n v="0"/>
    <m/>
    <n v="0"/>
  </r>
  <r>
    <d v="2025-12-21T00:00:00"/>
    <x v="6"/>
    <m/>
    <m/>
    <m/>
    <m/>
    <n v="0"/>
    <m/>
    <n v="0"/>
  </r>
  <r>
    <d v="2025-12-21T00:00:00"/>
    <x v="3"/>
    <n v="9662"/>
    <n v="144"/>
    <n v="580"/>
    <m/>
    <n v="83520"/>
    <m/>
    <n v="83520"/>
  </r>
  <r>
    <d v="2025-12-22T00:00:00"/>
    <x v="3"/>
    <m/>
    <m/>
    <m/>
    <m/>
    <n v="0"/>
    <m/>
    <n v="0"/>
  </r>
  <r>
    <d v="2025-12-23T00:00:00"/>
    <x v="3"/>
    <n v="9662"/>
    <n v="109"/>
    <n v="775"/>
    <m/>
    <n v="84475"/>
    <m/>
    <n v="84475"/>
  </r>
  <r>
    <d v="2025-12-23T00:00:00"/>
    <x v="3"/>
    <n v="9662"/>
    <n v="25"/>
    <n v="580"/>
    <m/>
    <n v="14500"/>
    <m/>
    <n v="14500"/>
  </r>
  <r>
    <d v="2025-12-23T00:00:00"/>
    <x v="3"/>
    <n v="9662"/>
    <n v="119"/>
    <n v="775"/>
    <m/>
    <n v="92225"/>
    <m/>
    <n v="92225"/>
  </r>
  <r>
    <d v="2025-12-23T00:00:00"/>
    <x v="6"/>
    <m/>
    <m/>
    <m/>
    <m/>
    <n v="0"/>
    <m/>
    <n v="0"/>
  </r>
  <r>
    <d v="2025-12-24T00:00:00"/>
    <x v="6"/>
    <s v="LEI 2223"/>
    <n v="212"/>
    <n v="810"/>
    <m/>
    <n v="171720"/>
    <m/>
    <n v="171720"/>
  </r>
  <r>
    <d v="2025-12-24T00:00:00"/>
    <x v="3"/>
    <n v="9662"/>
    <n v="120"/>
    <n v="775"/>
    <m/>
    <n v="93000"/>
    <m/>
    <n v="93000"/>
  </r>
  <r>
    <d v="2025-12-24T00:00:00"/>
    <x v="3"/>
    <n v="9662"/>
    <n v="115"/>
    <n v="775"/>
    <m/>
    <n v="89125"/>
    <m/>
    <n v="89125"/>
  </r>
  <r>
    <d v="2025-12-25T00:00:00"/>
    <x v="3"/>
    <n v="9662"/>
    <n v="117"/>
    <n v="775"/>
    <m/>
    <n v="90675"/>
    <m/>
    <n v="90675"/>
  </r>
  <r>
    <d v="2025-12-25T00:00:00"/>
    <x v="3"/>
    <n v="9662"/>
    <n v="28"/>
    <n v="580"/>
    <m/>
    <n v="16240"/>
    <m/>
    <n v="16240"/>
  </r>
  <r>
    <d v="2025-12-25T00:00:00"/>
    <x v="6"/>
    <s v="-"/>
    <n v="161"/>
    <n v="810"/>
    <m/>
    <n v="130410"/>
    <m/>
    <n v="130410"/>
  </r>
  <r>
    <m/>
    <x v="9"/>
    <m/>
    <m/>
    <m/>
    <m/>
    <n v="0"/>
    <m/>
    <n v="0"/>
  </r>
  <r>
    <d v="2025-12-26T00:00:00"/>
    <x v="3"/>
    <m/>
    <m/>
    <m/>
    <m/>
    <n v="0"/>
    <m/>
    <n v="0"/>
  </r>
  <r>
    <d v="2025-12-26T00:00:00"/>
    <x v="0"/>
    <m/>
    <m/>
    <m/>
    <m/>
    <n v="0"/>
    <m/>
    <n v="0"/>
  </r>
  <r>
    <d v="2025-12-26T00:00:00"/>
    <x v="6"/>
    <m/>
    <m/>
    <m/>
    <m/>
    <n v="0"/>
    <m/>
    <n v="0"/>
  </r>
  <r>
    <d v="2025-12-27T00:00:00"/>
    <x v="6"/>
    <m/>
    <n v="252"/>
    <n v="820"/>
    <m/>
    <n v="206640"/>
    <m/>
    <n v="206640"/>
  </r>
  <r>
    <d v="2025-12-27T00:00:00"/>
    <x v="6"/>
    <m/>
    <n v="244"/>
    <n v="850"/>
    <m/>
    <n v="207400"/>
    <m/>
    <n v="207400"/>
  </r>
  <r>
    <d v="2025-12-27T00:00:00"/>
    <x v="3"/>
    <s v="LEJ 9662"/>
    <m/>
    <m/>
    <m/>
    <n v="0"/>
    <m/>
    <n v="0"/>
  </r>
  <r>
    <d v="2025-12-27T00:00:00"/>
    <x v="6"/>
    <s v="LEI 2223"/>
    <n v="201"/>
    <n v="820"/>
    <m/>
    <n v="164820"/>
    <m/>
    <n v="164820"/>
  </r>
  <r>
    <d v="2025-12-27T00:00:00"/>
    <x v="8"/>
    <m/>
    <m/>
    <m/>
    <m/>
    <n v="0"/>
    <m/>
    <n v="0"/>
  </r>
  <r>
    <d v="2025-12-27T00:00:00"/>
    <x v="7"/>
    <m/>
    <m/>
    <m/>
    <m/>
    <n v="0"/>
    <m/>
    <n v="0"/>
  </r>
  <r>
    <d v="2025-12-27T00:00:00"/>
    <x v="3"/>
    <m/>
    <n v="45"/>
    <n v="580"/>
    <m/>
    <n v="26100"/>
    <m/>
    <n v="26100"/>
  </r>
  <r>
    <d v="2025-12-27T00:00:00"/>
    <x v="3"/>
    <m/>
    <n v="90"/>
    <n v="775"/>
    <m/>
    <n v="69750"/>
    <m/>
    <n v="69750"/>
  </r>
  <r>
    <d v="2025-12-27T00:00:00"/>
    <x v="3"/>
    <s v="LEJ 9662"/>
    <n v="20"/>
    <n v="580"/>
    <m/>
    <n v="11600"/>
    <m/>
    <n v="11600"/>
  </r>
  <r>
    <d v="2025-12-27T00:00:00"/>
    <x v="3"/>
    <s v="LEJ 9662"/>
    <n v="108"/>
    <n v="775"/>
    <m/>
    <n v="83700"/>
    <m/>
    <n v="83700"/>
  </r>
  <r>
    <d v="2025-12-29T00:00:00"/>
    <x v="3"/>
    <m/>
    <m/>
    <m/>
    <m/>
    <n v="0"/>
    <m/>
    <n v="0"/>
  </r>
  <r>
    <d v="2025-12-28T00:00:00"/>
    <x v="6"/>
    <m/>
    <m/>
    <m/>
    <m/>
    <n v="0"/>
    <m/>
    <n v="0"/>
  </r>
  <r>
    <d v="2025-12-28T00:00:00"/>
    <x v="3"/>
    <m/>
    <n v="116"/>
    <n v="775"/>
    <m/>
    <n v="89900"/>
    <m/>
    <n v="89900"/>
  </r>
  <r>
    <d v="2025-12-28T00:00:00"/>
    <x v="3"/>
    <m/>
    <n v="20"/>
    <n v="580"/>
    <m/>
    <n v="11600"/>
    <m/>
    <n v="11600"/>
  </r>
  <r>
    <d v="2025-12-29T00:00:00"/>
    <x v="3"/>
    <m/>
    <n v="90"/>
    <n v="775"/>
    <m/>
    <n v="69750"/>
    <m/>
    <n v="69750"/>
  </r>
  <r>
    <d v="2025-12-29T00:00:00"/>
    <x v="3"/>
    <m/>
    <n v="58"/>
    <n v="580"/>
    <m/>
    <n v="33640"/>
    <m/>
    <n v="33640"/>
  </r>
  <r>
    <d v="2025-12-30T00:00:00"/>
    <x v="3"/>
    <m/>
    <m/>
    <m/>
    <m/>
    <n v="0"/>
    <m/>
    <n v="0"/>
  </r>
  <r>
    <d v="2025-12-30T00:00:00"/>
    <x v="6"/>
    <m/>
    <m/>
    <m/>
    <m/>
    <n v="0"/>
    <m/>
    <n v="0"/>
  </r>
  <r>
    <d v="2025-12-30T00:00:00"/>
    <x v="8"/>
    <m/>
    <m/>
    <m/>
    <m/>
    <n v="0"/>
    <m/>
    <n v="0"/>
  </r>
  <r>
    <d v="2025-12-30T00:00:00"/>
    <x v="7"/>
    <m/>
    <m/>
    <m/>
    <m/>
    <n v="0"/>
    <m/>
    <n v="0"/>
  </r>
  <r>
    <d v="2025-12-30T00:00:00"/>
    <x v="0"/>
    <m/>
    <m/>
    <m/>
    <m/>
    <n v="0"/>
    <m/>
    <n v="0"/>
  </r>
  <r>
    <d v="2025-12-31T00:00:00"/>
    <x v="6"/>
    <m/>
    <n v="193"/>
    <n v="820"/>
    <m/>
    <n v="158260"/>
    <m/>
    <n v="158260"/>
  </r>
  <r>
    <d v="2025-12-31T00:00:00"/>
    <x v="6"/>
    <m/>
    <n v="185"/>
    <n v="820"/>
    <m/>
    <n v="151700"/>
    <m/>
    <n v="151700"/>
  </r>
  <r>
    <d v="2026-01-01T00:00:00"/>
    <x v="6"/>
    <m/>
    <n v="202"/>
    <n v="820"/>
    <m/>
    <n v="165640"/>
    <m/>
    <n v="165640"/>
  </r>
  <r>
    <d v="2026-01-01T00:00:00"/>
    <x v="6"/>
    <m/>
    <n v="228"/>
    <n v="820"/>
    <m/>
    <n v="186960"/>
    <m/>
    <n v="186960"/>
  </r>
  <r>
    <d v="2026-01-02T00:00:00"/>
    <x v="6"/>
    <m/>
    <n v="229"/>
    <n v="850"/>
    <m/>
    <n v="194650"/>
    <m/>
    <n v="194650"/>
  </r>
  <r>
    <d v="2026-01-02T00:00:00"/>
    <x v="6"/>
    <m/>
    <n v="244"/>
    <n v="850"/>
    <m/>
    <n v="207400"/>
    <m/>
    <n v="207400"/>
  </r>
  <r>
    <d v="2026-01-03T00:00:00"/>
    <x v="6"/>
    <m/>
    <m/>
    <m/>
    <m/>
    <n v="0"/>
    <m/>
    <n v="0"/>
  </r>
  <r>
    <d v="2026-01-05T00:00:00"/>
    <x v="6"/>
    <m/>
    <m/>
    <m/>
    <m/>
    <n v="0"/>
    <m/>
    <n v="0"/>
  </r>
  <r>
    <d v="2026-01-04T00:00:00"/>
    <x v="7"/>
    <m/>
    <n v="125"/>
    <n v="800"/>
    <m/>
    <n v="100000"/>
    <m/>
    <n v="100000"/>
  </r>
  <r>
    <d v="2025-12-31T00:00:00"/>
    <x v="0"/>
    <m/>
    <m/>
    <m/>
    <m/>
    <n v="0"/>
    <m/>
    <n v="0"/>
  </r>
  <r>
    <d v="2025-12-31T00:00:00"/>
    <x v="3"/>
    <m/>
    <n v="260"/>
    <n v="775"/>
    <m/>
    <n v="201500"/>
    <m/>
    <n v="201500"/>
  </r>
  <r>
    <d v="2025-12-31T00:00:00"/>
    <x v="3"/>
    <m/>
    <n v="135"/>
    <n v="580"/>
    <m/>
    <n v="78300"/>
    <m/>
    <n v="78300"/>
  </r>
  <r>
    <d v="2026-01-01T00:00:00"/>
    <x v="3"/>
    <m/>
    <n v="228"/>
    <n v="830"/>
    <m/>
    <n v="189240"/>
    <m/>
    <n v="189240"/>
  </r>
  <r>
    <d v="2026-01-03T00:00:00"/>
    <x v="3"/>
    <m/>
    <n v="30"/>
    <n v="580"/>
    <m/>
    <n v="17400"/>
    <m/>
    <n v="17400"/>
  </r>
  <r>
    <d v="2026-01-03T00:00:00"/>
    <x v="3"/>
    <m/>
    <n v="106"/>
    <n v="775"/>
    <m/>
    <n v="82150"/>
    <m/>
    <n v="82150"/>
  </r>
  <r>
    <d v="2026-01-04T00:00:00"/>
    <x v="3"/>
    <m/>
    <n v="190"/>
    <n v="775"/>
    <m/>
    <n v="147250"/>
    <m/>
    <n v="147250"/>
  </r>
  <r>
    <d v="2026-01-04T00:00:00"/>
    <x v="3"/>
    <m/>
    <n v="35"/>
    <n v="580"/>
    <m/>
    <n v="20300"/>
    <m/>
    <n v="20300"/>
  </r>
  <r>
    <d v="2026-01-05T00:00:00"/>
    <x v="3"/>
    <m/>
    <m/>
    <m/>
    <m/>
    <n v="0"/>
    <m/>
    <n v="0"/>
  </r>
  <r>
    <d v="2026-01-03T00:00:00"/>
    <x v="0"/>
    <s v="C 8947"/>
    <n v="319"/>
    <n v="850"/>
    <n v="60400"/>
    <n v="271150"/>
    <m/>
    <n v="271150"/>
  </r>
  <r>
    <d v="2026-01-05T00:00:00"/>
    <x v="2"/>
    <m/>
    <m/>
    <m/>
    <m/>
    <n v="0"/>
    <m/>
    <n v="0"/>
  </r>
  <r>
    <d v="2026-01-06T00:00:00"/>
    <x v="6"/>
    <m/>
    <n v="182"/>
    <n v="820"/>
    <m/>
    <n v="149240"/>
    <m/>
    <n v="149240"/>
  </r>
  <r>
    <d v="2026-01-06T00:00:00"/>
    <x v="10"/>
    <m/>
    <n v="234"/>
    <n v="820"/>
    <m/>
    <n v="191880"/>
    <m/>
    <n v="191880"/>
  </r>
  <r>
    <d v="2026-01-07T00:00:00"/>
    <x v="10"/>
    <m/>
    <n v="216"/>
    <n v="820"/>
    <m/>
    <n v="177120"/>
    <m/>
    <n v="177120"/>
  </r>
  <r>
    <d v="2026-01-07T00:00:00"/>
    <x v="6"/>
    <m/>
    <m/>
    <m/>
    <m/>
    <n v="0"/>
    <m/>
    <n v="0"/>
  </r>
  <r>
    <d v="2026-01-08T00:00:00"/>
    <x v="10"/>
    <m/>
    <m/>
    <m/>
    <m/>
    <n v="0"/>
    <m/>
    <n v="0"/>
  </r>
  <r>
    <d v="2026-01-08T00:00:00"/>
    <x v="6"/>
    <m/>
    <n v="242"/>
    <n v="820"/>
    <m/>
    <n v="198440"/>
    <m/>
    <n v="198440"/>
  </r>
  <r>
    <d v="2026-01-08T00:00:00"/>
    <x v="10"/>
    <m/>
    <m/>
    <m/>
    <m/>
    <n v="0"/>
    <m/>
    <n v="0"/>
  </r>
  <r>
    <d v="2026-01-08T00:00:00"/>
    <x v="3"/>
    <m/>
    <m/>
    <m/>
    <m/>
    <n v="0"/>
    <m/>
    <n v="0"/>
  </r>
  <r>
    <d v="2026-01-09T00:00:00"/>
    <x v="6"/>
    <m/>
    <n v="205"/>
    <n v="820"/>
    <m/>
    <n v="168100"/>
    <m/>
    <n v="168100"/>
  </r>
  <r>
    <d v="2026-01-09T00:00:00"/>
    <x v="6"/>
    <m/>
    <n v="260"/>
    <n v="850"/>
    <m/>
    <n v="221000"/>
    <m/>
    <n v="221000"/>
  </r>
  <r>
    <d v="2026-01-09T00:00:00"/>
    <x v="7"/>
    <m/>
    <n v="133"/>
    <n v="800"/>
    <m/>
    <n v="106400"/>
    <m/>
    <n v="106400"/>
  </r>
  <r>
    <d v="2026-01-10T00:00:00"/>
    <x v="0"/>
    <m/>
    <m/>
    <m/>
    <m/>
    <n v="0"/>
    <m/>
    <n v="0"/>
  </r>
  <r>
    <d v="2026-01-10T00:00:00"/>
    <x v="6"/>
    <m/>
    <m/>
    <m/>
    <m/>
    <n v="0"/>
    <m/>
    <n v="0"/>
  </r>
  <r>
    <d v="2026-01-12T00:00:00"/>
    <x v="6"/>
    <s v="IDS 2165"/>
    <n v="268"/>
    <n v="850"/>
    <n v="57000"/>
    <n v="227800"/>
    <m/>
    <n v="227800"/>
  </r>
  <r>
    <d v="2026-01-12T00:00:00"/>
    <x v="3"/>
    <m/>
    <m/>
    <m/>
    <m/>
    <n v="0"/>
    <m/>
    <n v="0"/>
  </r>
  <r>
    <d v="2026-01-12T00:00:00"/>
    <x v="7"/>
    <m/>
    <m/>
    <m/>
    <m/>
    <n v="0"/>
    <m/>
    <n v="0"/>
  </r>
  <r>
    <d v="2026-01-11T00:00:00"/>
    <x v="10"/>
    <m/>
    <n v="226"/>
    <n v="820"/>
    <m/>
    <n v="185320"/>
    <m/>
    <n v="185320"/>
  </r>
  <r>
    <d v="2026-01-10T00:00:00"/>
    <x v="3"/>
    <m/>
    <n v="247"/>
    <n v="580"/>
    <m/>
    <n v="143260"/>
    <m/>
    <n v="143260"/>
  </r>
  <r>
    <d v="2026-01-12T00:00:00"/>
    <x v="3"/>
    <m/>
    <n v="138"/>
    <n v="580"/>
    <m/>
    <n v="80040"/>
    <m/>
    <n v="80040"/>
  </r>
  <r>
    <d v="2026-01-13T00:00:00"/>
    <x v="10"/>
    <m/>
    <n v="194"/>
    <n v="820"/>
    <n v="31500"/>
    <n v="159080"/>
    <m/>
    <n v="159080"/>
  </r>
  <r>
    <d v="2026-01-14T00:00:00"/>
    <x v="3"/>
    <m/>
    <n v="262"/>
    <n v="825"/>
    <n v="75000"/>
    <n v="216150"/>
    <m/>
    <n v="216150"/>
  </r>
  <r>
    <d v="2026-01-14T00:00:00"/>
    <x v="6"/>
    <m/>
    <n v="209"/>
    <n v="850"/>
    <n v="48000"/>
    <n v="177650"/>
    <m/>
    <n v="177650"/>
  </r>
  <r>
    <d v="2026-01-14T00:00:00"/>
    <x v="0"/>
    <m/>
    <m/>
    <m/>
    <m/>
    <n v="0"/>
    <m/>
    <n v="0"/>
  </r>
  <r>
    <d v="2026-01-14T00:00:00"/>
    <x v="3"/>
    <m/>
    <n v="80"/>
    <n v="580"/>
    <m/>
    <n v="46400"/>
    <m/>
    <n v="46400"/>
  </r>
  <r>
    <d v="2026-01-14T00:00:00"/>
    <x v="10"/>
    <m/>
    <m/>
    <m/>
    <m/>
    <n v="0"/>
    <m/>
    <n v="0"/>
  </r>
  <r>
    <d v="2026-01-15T00:00:00"/>
    <x v="0"/>
    <s v="TLH 569"/>
    <n v="522"/>
    <n v="850"/>
    <n v="95200"/>
    <n v="443700"/>
    <m/>
    <n v="443700"/>
  </r>
  <r>
    <d v="2026-01-15T00:00:00"/>
    <x v="6"/>
    <m/>
    <n v="213"/>
    <n v="820"/>
    <m/>
    <n v="174660"/>
    <m/>
    <n v="174660"/>
  </r>
  <r>
    <d v="2026-01-15T00:00:00"/>
    <x v="10"/>
    <m/>
    <n v="220"/>
    <n v="820"/>
    <m/>
    <n v="180400"/>
    <m/>
    <n v="180400"/>
  </r>
  <r>
    <d v="2026-01-16T00:00:00"/>
    <x v="6"/>
    <m/>
    <m/>
    <m/>
    <m/>
    <n v="0"/>
    <m/>
    <n v="0"/>
  </r>
  <r>
    <d v="2026-01-16T00:00:00"/>
    <x v="3"/>
    <m/>
    <m/>
    <m/>
    <m/>
    <n v="0"/>
    <m/>
    <n v="0"/>
  </r>
  <r>
    <d v="2026-01-16T00:00:00"/>
    <x v="10"/>
    <m/>
    <n v="216"/>
    <n v="820"/>
    <m/>
    <n v="177120"/>
    <m/>
    <n v="177120"/>
  </r>
  <r>
    <d v="2026-01-18T00:00:00"/>
    <x v="10"/>
    <m/>
    <n v="214"/>
    <n v="820"/>
    <m/>
    <n v="175480"/>
    <m/>
    <n v="175480"/>
  </r>
  <r>
    <d v="2026-01-18T00:00:00"/>
    <x v="3"/>
    <m/>
    <n v="141"/>
    <n v="580"/>
    <m/>
    <n v="81780"/>
    <m/>
    <n v="81780"/>
  </r>
  <r>
    <d v="2026-01-19T00:00:00"/>
    <x v="6"/>
    <m/>
    <n v="220"/>
    <n v="850"/>
    <n v="66300"/>
    <n v="187000"/>
    <m/>
    <n v="187000"/>
  </r>
  <r>
    <d v="2025-12-18T00:00:00"/>
    <x v="0"/>
    <m/>
    <m/>
    <m/>
    <m/>
    <m/>
    <n v="53250"/>
    <n v="-53250"/>
  </r>
  <r>
    <d v="2025-12-19T00:00:00"/>
    <x v="0"/>
    <m/>
    <m/>
    <m/>
    <m/>
    <m/>
    <n v="200009"/>
    <n v="-200009"/>
  </r>
  <r>
    <d v="2025-12-26T00:00:00"/>
    <x v="0"/>
    <m/>
    <m/>
    <m/>
    <m/>
    <m/>
    <n v="200566"/>
    <n v="-200566"/>
  </r>
  <r>
    <d v="2025-12-30T00:00:00"/>
    <x v="0"/>
    <m/>
    <m/>
    <m/>
    <m/>
    <m/>
    <n v="1000"/>
    <n v="-1000"/>
  </r>
  <r>
    <d v="2025-12-31T00:00:00"/>
    <x v="0"/>
    <m/>
    <m/>
    <m/>
    <m/>
    <m/>
    <n v="200010"/>
    <n v="-200010"/>
  </r>
  <r>
    <d v="2026-01-03T00:00:00"/>
    <x v="0"/>
    <m/>
    <m/>
    <m/>
    <m/>
    <m/>
    <n v="60400"/>
    <n v="-60400"/>
  </r>
  <r>
    <d v="2026-01-06T00:00:00"/>
    <x v="0"/>
    <m/>
    <m/>
    <m/>
    <m/>
    <m/>
    <n v="201220"/>
    <n v="-201220"/>
  </r>
  <r>
    <d v="2026-01-06T00:00:00"/>
    <x v="0"/>
    <m/>
    <m/>
    <m/>
    <m/>
    <m/>
    <m/>
    <n v="0"/>
  </r>
  <r>
    <d v="2026-01-10T00:00:00"/>
    <x v="0"/>
    <m/>
    <m/>
    <m/>
    <m/>
    <m/>
    <n v="202000"/>
    <n v="-202000"/>
  </r>
  <r>
    <d v="2026-01-14T00:00:00"/>
    <x v="0"/>
    <m/>
    <m/>
    <m/>
    <m/>
    <n v="0"/>
    <n v="200460"/>
    <n v="-200460"/>
  </r>
  <r>
    <d v="2026-01-15T00:00:00"/>
    <x v="0"/>
    <m/>
    <m/>
    <m/>
    <m/>
    <n v="0"/>
    <n v="95200"/>
    <n v="-95200"/>
  </r>
  <r>
    <d v="2026-01-19T00:00:00"/>
    <x v="0"/>
    <m/>
    <m/>
    <m/>
    <m/>
    <n v="0"/>
    <n v="1000"/>
    <n v="-1000"/>
  </r>
  <r>
    <d v="2025-12-19T00:00:00"/>
    <x v="7"/>
    <m/>
    <m/>
    <m/>
    <m/>
    <n v="0"/>
    <n v="40000"/>
    <n v="-40000"/>
  </r>
  <r>
    <d v="2025-12-27T00:00:00"/>
    <x v="7"/>
    <m/>
    <m/>
    <m/>
    <m/>
    <n v="0"/>
    <n v="40000"/>
    <n v="-40000"/>
  </r>
  <r>
    <d v="2025-12-30T00:00:00"/>
    <x v="7"/>
    <m/>
    <m/>
    <m/>
    <m/>
    <n v="0"/>
    <n v="27000"/>
    <n v="-27000"/>
  </r>
  <r>
    <d v="2026-01-04T00:00:00"/>
    <x v="7"/>
    <m/>
    <m/>
    <m/>
    <m/>
    <n v="0"/>
    <n v="20000"/>
    <n v="-20000"/>
  </r>
  <r>
    <d v="2026-01-09T00:00:00"/>
    <x v="7"/>
    <m/>
    <m/>
    <m/>
    <m/>
    <n v="0"/>
    <n v="15000"/>
    <n v="-15000"/>
  </r>
  <r>
    <d v="2026-01-12T00:00:00"/>
    <x v="7"/>
    <m/>
    <m/>
    <m/>
    <m/>
    <n v="0"/>
    <n v="40000"/>
    <n v="-40000"/>
  </r>
  <r>
    <d v="2026-01-15T00:00:00"/>
    <x v="7"/>
    <m/>
    <m/>
    <m/>
    <m/>
    <n v="0"/>
    <n v="50000"/>
    <n v="-50000"/>
  </r>
  <r>
    <d v="2026-01-06T00:00:00"/>
    <x v="10"/>
    <m/>
    <m/>
    <m/>
    <m/>
    <n v="0"/>
    <n v="36000"/>
    <n v="-36000"/>
  </r>
  <r>
    <d v="2026-01-07T00:00:00"/>
    <x v="10"/>
    <m/>
    <m/>
    <m/>
    <m/>
    <n v="0"/>
    <n v="100100"/>
    <n v="-100100"/>
  </r>
  <r>
    <d v="2026-01-08T00:00:00"/>
    <x v="10"/>
    <m/>
    <m/>
    <m/>
    <m/>
    <n v="0"/>
    <n v="55780"/>
    <n v="-55780"/>
  </r>
  <r>
    <d v="2026-01-10T00:00:00"/>
    <x v="10"/>
    <m/>
    <m/>
    <m/>
    <m/>
    <n v="0"/>
    <n v="70000"/>
    <n v="-70000"/>
  </r>
  <r>
    <d v="2026-01-11T00:00:00"/>
    <x v="10"/>
    <m/>
    <m/>
    <m/>
    <m/>
    <n v="0"/>
    <n v="50000"/>
    <n v="-50000"/>
  </r>
  <r>
    <d v="2026-01-13T00:00:00"/>
    <x v="10"/>
    <m/>
    <m/>
    <m/>
    <m/>
    <n v="0"/>
    <n v="100704"/>
    <n v="-100704"/>
  </r>
  <r>
    <d v="2026-01-14T00:00:00"/>
    <x v="10"/>
    <m/>
    <m/>
    <m/>
    <m/>
    <n v="0"/>
    <n v="31500"/>
    <n v="-31500"/>
  </r>
  <r>
    <d v="2026-01-15T00:00:00"/>
    <x v="10"/>
    <m/>
    <m/>
    <m/>
    <m/>
    <n v="0"/>
    <n v="100000"/>
    <n v="-100000"/>
  </r>
  <r>
    <d v="2026-01-16T00:00:00"/>
    <x v="10"/>
    <m/>
    <m/>
    <m/>
    <m/>
    <n v="0"/>
    <n v="50000"/>
    <n v="-50000"/>
  </r>
  <r>
    <d v="2026-01-18T00:00:00"/>
    <x v="10"/>
    <m/>
    <m/>
    <m/>
    <m/>
    <n v="0"/>
    <n v="100200"/>
    <n v="-100200"/>
  </r>
  <r>
    <d v="2026-01-19T00:00:00"/>
    <x v="10"/>
    <m/>
    <m/>
    <m/>
    <m/>
    <n v="0"/>
    <n v="1000"/>
    <n v="-1000"/>
  </r>
  <r>
    <d v="2025-12-19T00:00:00"/>
    <x v="6"/>
    <m/>
    <m/>
    <m/>
    <m/>
    <n v="0"/>
    <n v="200025"/>
    <n v="-200025"/>
  </r>
  <r>
    <d v="2025-12-21T00:00:00"/>
    <x v="6"/>
    <m/>
    <m/>
    <m/>
    <m/>
    <n v="0"/>
    <n v="50000"/>
    <n v="-50000"/>
  </r>
  <r>
    <d v="2025-12-23T00:00:00"/>
    <x v="6"/>
    <m/>
    <m/>
    <m/>
    <m/>
    <n v="0"/>
    <n v="150000"/>
    <n v="-150000"/>
  </r>
  <r>
    <m/>
    <x v="6"/>
    <m/>
    <m/>
    <m/>
    <m/>
    <n v="0"/>
    <n v="0"/>
    <n v="0"/>
  </r>
  <r>
    <d v="2025-12-24T00:00:00"/>
    <x v="6"/>
    <m/>
    <m/>
    <m/>
    <m/>
    <n v="0"/>
    <n v="146000"/>
    <n v="-146000"/>
  </r>
  <r>
    <d v="2025-12-25T00:00:00"/>
    <x v="6"/>
    <m/>
    <m/>
    <m/>
    <m/>
    <n v="0"/>
    <n v="50000"/>
    <n v="-50000"/>
  </r>
  <r>
    <d v="2025-12-26T00:00:00"/>
    <x v="6"/>
    <m/>
    <m/>
    <m/>
    <m/>
    <n v="0"/>
    <n v="201000"/>
    <n v="-201000"/>
  </r>
  <r>
    <d v="2025-12-27T00:00:00"/>
    <x v="6"/>
    <m/>
    <m/>
    <m/>
    <m/>
    <n v="0"/>
    <n v="100000"/>
    <n v="-100000"/>
  </r>
  <r>
    <d v="2025-12-30T00:00:00"/>
    <x v="6"/>
    <m/>
    <m/>
    <m/>
    <m/>
    <n v="0"/>
    <n v="205401"/>
    <n v="-205401"/>
  </r>
  <r>
    <m/>
    <x v="6"/>
    <m/>
    <m/>
    <m/>
    <m/>
    <n v="0"/>
    <n v="0"/>
    <n v="0"/>
  </r>
  <r>
    <d v="2025-12-31T00:00:00"/>
    <x v="6"/>
    <m/>
    <m/>
    <m/>
    <m/>
    <n v="0"/>
    <n v="50000"/>
    <n v="-50000"/>
  </r>
  <r>
    <d v="2026-01-01T00:00:00"/>
    <x v="6"/>
    <m/>
    <m/>
    <m/>
    <m/>
    <n v="0"/>
    <n v="100111"/>
    <n v="-100111"/>
  </r>
  <r>
    <d v="2026-01-02T00:00:00"/>
    <x v="6"/>
    <m/>
    <m/>
    <m/>
    <m/>
    <n v="0"/>
    <n v="200154"/>
    <n v="-200154"/>
  </r>
  <r>
    <d v="2026-01-03T00:00:00"/>
    <x v="6"/>
    <m/>
    <m/>
    <m/>
    <m/>
    <n v="0"/>
    <n v="200100"/>
    <n v="-200100"/>
  </r>
  <r>
    <d v="2026-01-05T00:00:00"/>
    <x v="6"/>
    <m/>
    <m/>
    <m/>
    <m/>
    <n v="0"/>
    <n v="204200"/>
    <n v="-204200"/>
  </r>
  <r>
    <m/>
    <x v="6"/>
    <m/>
    <m/>
    <m/>
    <m/>
    <n v="0"/>
    <n v="0"/>
    <n v="0"/>
  </r>
  <r>
    <d v="2026-01-06T00:00:00"/>
    <x v="6"/>
    <m/>
    <m/>
    <m/>
    <m/>
    <n v="0"/>
    <n v="106500"/>
    <n v="-106500"/>
  </r>
  <r>
    <m/>
    <x v="6"/>
    <m/>
    <m/>
    <m/>
    <m/>
    <n v="0"/>
    <n v="0"/>
    <n v="0"/>
  </r>
  <r>
    <d v="2026-01-07T00:00:00"/>
    <x v="6"/>
    <m/>
    <m/>
    <m/>
    <m/>
    <n v="0"/>
    <n v="100514"/>
    <n v="-100514"/>
  </r>
  <r>
    <d v="2026-01-08T00:00:00"/>
    <x v="6"/>
    <m/>
    <m/>
    <m/>
    <m/>
    <n v="0"/>
    <n v="150200"/>
    <n v="-150200"/>
  </r>
  <r>
    <d v="2026-01-10T00:00:00"/>
    <x v="6"/>
    <m/>
    <m/>
    <m/>
    <m/>
    <n v="0"/>
    <n v="150000"/>
    <n v="-150000"/>
  </r>
  <r>
    <d v="2026-01-12T00:00:00"/>
    <x v="6"/>
    <m/>
    <m/>
    <m/>
    <m/>
    <n v="0"/>
    <n v="232000"/>
    <n v="-232000"/>
  </r>
  <r>
    <m/>
    <x v="6"/>
    <m/>
    <m/>
    <m/>
    <m/>
    <n v="0"/>
    <n v="0"/>
    <n v="0"/>
  </r>
  <r>
    <d v="2026-01-14T00:00:00"/>
    <x v="6"/>
    <m/>
    <m/>
    <m/>
    <m/>
    <n v="0"/>
    <n v="198062"/>
    <n v="-198062"/>
  </r>
  <r>
    <m/>
    <x v="6"/>
    <m/>
    <m/>
    <m/>
    <m/>
    <n v="0"/>
    <n v="0"/>
    <n v="0"/>
  </r>
  <r>
    <d v="2026-01-15T00:00:00"/>
    <x v="6"/>
    <m/>
    <m/>
    <m/>
    <m/>
    <n v="0"/>
    <n v="170000"/>
    <n v="-170000"/>
  </r>
  <r>
    <m/>
    <x v="6"/>
    <m/>
    <m/>
    <m/>
    <m/>
    <n v="0"/>
    <n v="0"/>
    <n v="0"/>
  </r>
  <r>
    <d v="2026-01-16T00:00:00"/>
    <x v="6"/>
    <m/>
    <m/>
    <m/>
    <m/>
    <n v="0"/>
    <n v="100000"/>
    <n v="-100000"/>
  </r>
  <r>
    <d v="2026-01-18T00:00:00"/>
    <x v="6"/>
    <m/>
    <m/>
    <m/>
    <m/>
    <n v="0"/>
    <n v="100000"/>
    <n v="-100000"/>
  </r>
  <r>
    <d v="2026-01-19T00:00:00"/>
    <x v="6"/>
    <m/>
    <m/>
    <m/>
    <m/>
    <n v="0"/>
    <n v="105999"/>
    <n v="-105999"/>
  </r>
  <r>
    <d v="2025-12-19T00:00:00"/>
    <x v="3"/>
    <m/>
    <m/>
    <m/>
    <m/>
    <n v="0"/>
    <n v="115000"/>
    <n v="-115000"/>
  </r>
  <r>
    <d v="2025-12-22T00:00:00"/>
    <x v="3"/>
    <m/>
    <m/>
    <m/>
    <m/>
    <n v="0"/>
    <n v="100500"/>
    <n v="-100500"/>
  </r>
  <r>
    <d v="2025-12-24T00:00:00"/>
    <x v="3"/>
    <m/>
    <m/>
    <m/>
    <m/>
    <n v="0"/>
    <n v="150000"/>
    <n v="-150000"/>
  </r>
  <r>
    <d v="2025-12-26T00:00:00"/>
    <x v="3"/>
    <m/>
    <m/>
    <m/>
    <m/>
    <n v="0"/>
    <n v="200300"/>
    <n v="-200300"/>
  </r>
  <r>
    <d v="2025-12-29T00:00:00"/>
    <x v="3"/>
    <m/>
    <m/>
    <m/>
    <m/>
    <n v="0"/>
    <n v="100000"/>
    <n v="-100000"/>
  </r>
  <r>
    <d v="2025-12-30T00:00:00"/>
    <x v="3"/>
    <m/>
    <m/>
    <m/>
    <m/>
    <n v="0"/>
    <n v="250000"/>
    <n v="-250000"/>
  </r>
  <r>
    <d v="2026-01-01T00:00:00"/>
    <x v="3"/>
    <m/>
    <m/>
    <m/>
    <m/>
    <n v="0"/>
    <n v="175000"/>
    <n v="-175000"/>
  </r>
  <r>
    <d v="2026-01-05T00:00:00"/>
    <x v="3"/>
    <m/>
    <m/>
    <m/>
    <m/>
    <n v="0"/>
    <n v="250000"/>
    <n v="-250000"/>
  </r>
  <r>
    <m/>
    <x v="3"/>
    <m/>
    <m/>
    <m/>
    <m/>
    <n v="0"/>
    <n v="0"/>
    <n v="0"/>
  </r>
  <r>
    <d v="2026-01-06T00:00:00"/>
    <x v="3"/>
    <m/>
    <m/>
    <m/>
    <m/>
    <n v="0"/>
    <n v="151500"/>
    <n v="-151500"/>
  </r>
  <r>
    <d v="2026-01-08T00:00:00"/>
    <x v="3"/>
    <m/>
    <m/>
    <m/>
    <m/>
    <n v="0"/>
    <n v="200250"/>
    <n v="-200250"/>
  </r>
  <r>
    <d v="2026-01-12T00:00:00"/>
    <x v="3"/>
    <m/>
    <m/>
    <m/>
    <m/>
    <n v="0"/>
    <n v="202045"/>
    <n v="-202045"/>
  </r>
  <r>
    <d v="2026-01-14T00:00:00"/>
    <x v="3"/>
    <m/>
    <m/>
    <m/>
    <m/>
    <n v="0"/>
    <n v="75000"/>
    <n v="-75000"/>
  </r>
  <r>
    <m/>
    <x v="3"/>
    <m/>
    <m/>
    <m/>
    <m/>
    <n v="0"/>
    <n v="0"/>
    <n v="0"/>
  </r>
  <r>
    <d v="2026-01-16T00:00:00"/>
    <x v="3"/>
    <m/>
    <m/>
    <m/>
    <m/>
    <n v="0"/>
    <n v="125000"/>
    <n v="-125000"/>
  </r>
  <r>
    <d v="2026-01-19T00:00:00"/>
    <x v="3"/>
    <m/>
    <m/>
    <m/>
    <m/>
    <n v="0"/>
    <n v="1000"/>
    <n v="-1000"/>
  </r>
  <r>
    <d v="2025-12-22T00:00:00"/>
    <x v="8"/>
    <m/>
    <m/>
    <m/>
    <m/>
    <n v="0"/>
    <n v="10000"/>
    <n v="-10000"/>
  </r>
  <r>
    <d v="2025-12-27T00:00:00"/>
    <x v="8"/>
    <m/>
    <m/>
    <m/>
    <m/>
    <n v="0"/>
    <n v="45000"/>
    <n v="-45000"/>
  </r>
  <r>
    <d v="2025-12-30T00:00:00"/>
    <x v="8"/>
    <m/>
    <m/>
    <m/>
    <m/>
    <n v="0"/>
    <n v="11850"/>
    <n v="-11850"/>
  </r>
  <r>
    <d v="2025-12-19T00:00:00"/>
    <x v="2"/>
    <m/>
    <m/>
    <m/>
    <m/>
    <n v="0"/>
    <n v="50000"/>
    <n v="-50000"/>
  </r>
  <r>
    <d v="2026-01-05T00:00:00"/>
    <x v="2"/>
    <m/>
    <m/>
    <m/>
    <m/>
    <n v="0"/>
    <n v="30000"/>
    <n v="-3000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n v="0"/>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r>
    <m/>
    <x v="9"/>
    <m/>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3"/>
    <s v="Starch"/>
    <n v="45"/>
    <m/>
    <n v="351000"/>
    <n v="0"/>
    <n v="351000"/>
  </r>
  <r>
    <d v="2025-12-23T00:00:00"/>
    <x v="1"/>
    <s v="PVA"/>
    <m/>
    <m/>
    <n v="0"/>
    <n v="150000"/>
    <n v="-150000"/>
  </r>
  <r>
    <d v="2026-01-10T00:00:00"/>
    <x v="1"/>
    <s v="Bill Nill"/>
    <m/>
    <m/>
    <n v="0"/>
    <n v="118000"/>
    <n v="-118000"/>
  </r>
  <r>
    <d v="2026-01-12T00:00:00"/>
    <x v="3"/>
    <s v="Starch"/>
    <m/>
    <m/>
    <n v="0"/>
    <n v="351000"/>
    <n v="-351000"/>
  </r>
  <r>
    <d v="2026-01-14T00:00:00"/>
    <x v="0"/>
    <s v="Starch"/>
    <m/>
    <m/>
    <n v="38750"/>
    <n v="38750"/>
    <n v="0"/>
  </r>
  <r>
    <d v="2026-01-17T00:00:00"/>
    <x v="0"/>
    <s v="Starch"/>
    <m/>
    <m/>
    <n v="38750"/>
    <n v="38750"/>
    <n v="0"/>
  </r>
  <r>
    <d v="2026-01-20T00:00:00"/>
    <x v="4"/>
    <s v="BP26"/>
    <m/>
    <m/>
    <n v="12300"/>
    <n v="12300"/>
    <n v="0"/>
  </r>
  <r>
    <m/>
    <x v="5"/>
    <m/>
    <m/>
    <m/>
    <m/>
    <m/>
    <m/>
  </r>
  <r>
    <m/>
    <x v="5"/>
    <m/>
    <m/>
    <m/>
    <m/>
    <m/>
    <m/>
  </r>
  <r>
    <m/>
    <x v="5"/>
    <m/>
    <m/>
    <m/>
    <m/>
    <m/>
    <m/>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32.235875074135606"/>
    <n v="12149.780541331384"/>
    <n v="121497.80541331384"/>
    <m/>
  </r>
  <r>
    <d v="2026-01-03T00:00:00"/>
    <x v="0"/>
    <n v="1319"/>
    <s v="Chamki"/>
    <x v="29"/>
    <n v="44261"/>
    <n v="652"/>
    <n v="3.5014370020011683"/>
    <n v="596.19604974396498"/>
    <n v="5961.9604974396498"/>
    <m/>
  </r>
  <r>
    <d v="2026-01-03T00:00:00"/>
    <x v="0"/>
    <n v="1320"/>
    <s v="Chamki"/>
    <x v="38"/>
    <n v="51307"/>
    <n v="24735"/>
    <n v="32.235875074135606"/>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n v="25903.438185808343"/>
    <n v="336744.69641550846"/>
    <m/>
  </r>
  <r>
    <d v="2026-01-10T00:00:00"/>
    <x v="19"/>
    <n v="1339"/>
    <s v="Kataan"/>
    <x v="46"/>
    <n v="30098"/>
    <n v="31138"/>
    <n v="5.3992510104640843"/>
    <n v="28472.933430870522"/>
    <n v="284729.33430870523"/>
    <m/>
  </r>
  <r>
    <d v="2026-01-10T00:00:00"/>
    <x v="19"/>
    <n v="1340"/>
    <s v="Kataan"/>
    <x v="47"/>
    <n v="32275"/>
    <n v="16568"/>
    <n v="4.2921083841370802"/>
    <n v="15149.963423555231"/>
    <n v="151499.63423555231"/>
    <m/>
  </r>
  <r>
    <d v="2026-01-10T00:00:00"/>
    <x v="1"/>
    <n v="1341"/>
    <s v="Silky"/>
    <x v="45"/>
    <n v="45911"/>
    <n v="17676"/>
    <n v="2.924358102156134"/>
    <n v="16163.130943672277"/>
    <n v="210120.7022677396"/>
    <m/>
  </r>
  <r>
    <d v="2026-01-10T00:00:00"/>
    <x v="19"/>
    <n v="1342"/>
    <s v="Kataan"/>
    <x v="47"/>
    <n v="32275"/>
    <n v="12698"/>
    <n v="4.2921083841370802"/>
    <n v="11611.192392099489"/>
    <n v="116111.92392099489"/>
    <m/>
  </r>
  <r>
    <d v="2026-01-12T00:00:00"/>
    <x v="0"/>
    <n v="1343"/>
    <s v="Chamki"/>
    <x v="48"/>
    <n v="44988"/>
    <n v="19339"/>
    <n v="4.1502508447509854"/>
    <n v="17683.796634967082"/>
    <n v="176837.96634967084"/>
    <m/>
  </r>
  <r>
    <d v="2026-01-12T00:00:00"/>
    <x v="0"/>
    <s v="1344-a"/>
    <s v="Chamki"/>
    <x v="49"/>
    <n v="11450"/>
    <n v="300"/>
    <n v="1.3394326019109144"/>
    <n v="274.32333577176303"/>
    <n v="2743.2333577176305"/>
    <m/>
  </r>
  <r>
    <d v="2026-01-12T00:00:00"/>
    <x v="0"/>
    <s v="1344-b"/>
    <s v="Chamki"/>
    <x v="50"/>
    <n v="6629"/>
    <n v="930"/>
    <n v="5.1103622077760491"/>
    <n v="850.4023408924653"/>
    <n v="8504.0234089246533"/>
    <m/>
  </r>
  <r>
    <d v="2026-01-12T00:00:00"/>
    <x v="0"/>
    <s v="1344-c"/>
    <s v="Chamki"/>
    <x v="51"/>
    <n v="12001"/>
    <n v="928"/>
    <n v="1.7775707181680218"/>
    <n v="848.57351865398687"/>
    <n v="8485.7351865398687"/>
    <m/>
  </r>
  <r>
    <d v="2026-01-12T00:00:00"/>
    <x v="26"/>
    <n v="1345"/>
    <s v="Chamki"/>
    <x v="52"/>
    <n v="51307"/>
    <n v="29817"/>
    <n v="1.7543162764117"/>
    <n v="27264.996342355524"/>
    <n v="272649.96342355525"/>
    <m/>
  </r>
  <r>
    <d v="2026-01-12T00:00:00"/>
    <x v="0"/>
    <n v="1346"/>
    <s v="Chamki"/>
    <x v="49"/>
    <n v="11450"/>
    <n v="12054"/>
    <n v="1.3394326019109144"/>
    <n v="11022.311631309438"/>
    <n v="110223.11631309438"/>
    <m/>
  </r>
  <r>
    <d v="2026-01-12T00:00:00"/>
    <x v="0"/>
    <n v="1347"/>
    <s v="Chamki"/>
    <x v="48"/>
    <n v="44988"/>
    <n v="20583"/>
    <n v="4.1502508447509854"/>
    <n v="18821.324067300658"/>
    <n v="188213.24067300657"/>
    <m/>
  </r>
  <r>
    <d v="2026-01-12T00:00:00"/>
    <x v="0"/>
    <n v="1348"/>
    <s v="Chamki"/>
    <x v="53"/>
    <n v="28441"/>
    <n v="30546"/>
    <n v="1.7910690612815756"/>
    <n v="27931.602048280911"/>
    <n v="279316.02048280911"/>
    <m/>
  </r>
  <r>
    <d v="2026-01-12T00:00:00"/>
    <x v="0"/>
    <n v="1349"/>
    <s v="Chamki"/>
    <x v="51"/>
    <n v="12001"/>
    <n v="11963"/>
    <n v="1.7775707181680218"/>
    <n v="10939.100219458669"/>
    <n v="109391.00219458669"/>
    <m/>
  </r>
  <r>
    <d v="2026-01-12T00:00:00"/>
    <x v="0"/>
    <n v="1350"/>
    <s v="Chamki"/>
    <x v="50"/>
    <n v="6629"/>
    <n v="5949"/>
    <n v="5.1103622077760491"/>
    <n v="5439.8317483540604"/>
    <n v="54398.317483540603"/>
    <m/>
  </r>
  <r>
    <d v="2026-01-12T00:00:00"/>
    <x v="0"/>
    <n v="1351"/>
    <s v="Chamki"/>
    <x v="48"/>
    <n v="44988"/>
    <n v="7235"/>
    <n v="4.1502508447509854"/>
    <n v="6615.7644476956848"/>
    <n v="66157.644476956848"/>
    <m/>
  </r>
  <r>
    <d v="2026-01-13T00:00:00"/>
    <x v="26"/>
    <n v="1352"/>
    <s v="Chamki"/>
    <x v="52"/>
    <n v="51307"/>
    <n v="25308"/>
    <n v="1.7543162764117"/>
    <n v="23141.916605705926"/>
    <n v="231419.16605705925"/>
    <m/>
  </r>
  <r>
    <d v="2026-01-13T00:00:00"/>
    <x v="20"/>
    <n v="1353"/>
    <s v="Chamki"/>
    <x v="54"/>
    <n v="48184"/>
    <n v="23397"/>
    <n v="1.9053819660576892"/>
    <n v="21394.476956839797"/>
    <n v="213944.76956839795"/>
    <m/>
  </r>
  <r>
    <d v="2026-01-14T00:00:00"/>
    <x v="8"/>
    <n v="1354"/>
    <s v="Silky"/>
    <x v="55"/>
    <n v="24735"/>
    <n v="26408"/>
    <n v="2.3740900065936614"/>
    <n v="24147.768836869058"/>
    <n v="313920.99487929774"/>
    <m/>
  </r>
  <r>
    <d v="2026-01-14T00:00:00"/>
    <x v="8"/>
    <n v="1355"/>
    <s v="Silky"/>
    <x v="56"/>
    <n v="14961"/>
    <n v="14290"/>
    <n v="12.6600167506964"/>
    <n v="13066.934893928312"/>
    <n v="169870.15362106805"/>
    <m/>
  </r>
  <r>
    <d v="2026-01-14T00:00:00"/>
    <x v="20"/>
    <n v="1356"/>
    <s v="Chamki"/>
    <x v="54"/>
    <n v="23397"/>
    <n v="6055"/>
    <n v="1.9053819660576892"/>
    <n v="5536.7593269934168"/>
    <n v="55367.593269934165"/>
    <m/>
  </r>
  <r>
    <d v="2026-01-15T00:00:00"/>
    <x v="7"/>
    <n v="1357"/>
    <s v="Silky"/>
    <x v="57"/>
    <n v="70035"/>
    <n v="48955"/>
    <n v="12.373993795243663"/>
    <n v="44764.996342355524"/>
    <n v="581944.95245062176"/>
    <m/>
  </r>
  <r>
    <d v="2026-01-16T00:00:00"/>
    <x v="19"/>
    <n v="1358"/>
    <s v="Kataan"/>
    <x v="58"/>
    <n v="29033"/>
    <n v="26454"/>
    <n v="2.703860105611966"/>
    <n v="24189.831748354063"/>
    <n v="241898.31748354062"/>
    <m/>
  </r>
  <r>
    <d v="2026-01-16T00:00:00"/>
    <x v="19"/>
    <n v="1359"/>
    <s v="Kataan"/>
    <x v="59"/>
    <n v="28546"/>
    <n v="2148"/>
    <n v="51.639933205512669"/>
    <n v="1964.1550841258231"/>
    <n v="19641.550841258231"/>
    <m/>
  </r>
  <r>
    <d v="2026-01-16T00:00:00"/>
    <x v="7"/>
    <n v="1360"/>
    <s v="Silky"/>
    <x v="57"/>
    <n v="70035"/>
    <n v="18158"/>
    <n v="12.373993795243663"/>
    <n v="16603.877103145576"/>
    <n v="215850.4023408925"/>
    <m/>
  </r>
  <r>
    <d v="2026-01-17T00:00:00"/>
    <x v="19"/>
    <n v="1361"/>
    <s v="Kataan"/>
    <x v="60"/>
    <n v="28559"/>
    <n v="29748"/>
    <n v="4.751910167974998"/>
    <n v="27201.901975128021"/>
    <n v="272019.0197512802"/>
    <m/>
  </r>
  <r>
    <d v="2026-01-17T00:00:00"/>
    <x v="19"/>
    <n v="1362"/>
    <s v="Kataan"/>
    <x v="58"/>
    <n v="29033"/>
    <n v="4438"/>
    <n v="2.703860105611966"/>
    <n v="4058.1565471836143"/>
    <n v="40581.56547183614"/>
    <m/>
  </r>
  <r>
    <d v="2026-01-17T00:00:00"/>
    <x v="19"/>
    <n v="1363"/>
    <s v="Kataan"/>
    <x v="47"/>
    <n v="32275"/>
    <n v="4515"/>
    <n v="4.2921083841370802"/>
    <n v="4128.5662033650333"/>
    <n v="41285.662033650333"/>
    <m/>
  </r>
  <r>
    <d v="2026-01-17T00:00:00"/>
    <x v="19"/>
    <n v="1364"/>
    <s v="Kataan"/>
    <x v="61"/>
    <n v="26975"/>
    <n v="11059"/>
    <n v="3.8029333020563456"/>
    <n v="10112.472567666424"/>
    <n v="101124.72567666424"/>
    <m/>
  </r>
  <r>
    <d v="2026-01-17T00:00:00"/>
    <x v="19"/>
    <n v="1365"/>
    <s v="Kataan"/>
    <x v="61"/>
    <n v="26975"/>
    <n v="17319"/>
    <n v="3.8029333020563456"/>
    <n v="15836.686174103879"/>
    <n v="158366.8617410388"/>
    <m/>
  </r>
  <r>
    <d v="2026-01-17T00:00:00"/>
    <x v="19"/>
    <n v="1366"/>
    <s v="Kataan"/>
    <x v="59"/>
    <n v="28546"/>
    <n v="12949"/>
    <n v="51.639933205512669"/>
    <n v="11840.709583028531"/>
    <n v="118407.09583028531"/>
    <m/>
  </r>
  <r>
    <d v="2026-01-17T00:00:00"/>
    <x v="18"/>
    <n v="1367"/>
    <s v="Chamki"/>
    <x v="62"/>
    <n v="36016"/>
    <n v="17259"/>
    <n v="1.7470127070241261"/>
    <n v="15781.821506949525"/>
    <n v="157818.21506949526"/>
    <m/>
  </r>
  <r>
    <d v="2026-01-19T00:00:00"/>
    <x v="18"/>
    <n v="1368"/>
    <s v="Chamki"/>
    <x v="62"/>
    <n v="36016"/>
    <n v="21440"/>
    <n v="1.7470127070241261"/>
    <n v="19604.974396488662"/>
    <n v="196049.74396488661"/>
    <m/>
  </r>
  <r>
    <d v="2026-01-19T00:00:00"/>
    <x v="5"/>
    <n v="1369"/>
    <s v="Chamki"/>
    <x v="63"/>
    <n v="52178"/>
    <n v="24313"/>
    <n v="0.57807578542899307"/>
    <n v="22232.077542062914"/>
    <n v="222320.77542062913"/>
    <m/>
  </r>
  <r>
    <d v="2026-01-20T00:00:00"/>
    <x v="5"/>
    <n v="1370"/>
    <s v="Chamki"/>
    <x v="63"/>
    <n v="52178"/>
    <n v="32419"/>
    <n v="0.57807578542899307"/>
    <n v="29644.294074615951"/>
    <n v="296442.94074615953"/>
    <m/>
  </r>
  <r>
    <d v="2026-01-20T00:00:00"/>
    <x v="0"/>
    <n v="1371"/>
    <s v="Chamki"/>
    <x v="64"/>
    <n v="57352"/>
    <n v="15219"/>
    <n v="75.735069703407845"/>
    <n v="13916.422823701538"/>
    <n v="139164.22823701537"/>
    <m/>
  </r>
  <r>
    <d v="2026-01-20T00:00:00"/>
    <x v="20"/>
    <n v="1372"/>
    <s v="Chamki"/>
    <x v="54"/>
    <n v="23397"/>
    <n v="22238"/>
    <n v="1.9053819660576892"/>
    <n v="20334.674469641552"/>
    <n v="203346.74469641552"/>
    <m/>
  </r>
  <r>
    <d v="2026-01-20T00:00:00"/>
    <x v="8"/>
    <n v="1373"/>
    <s v="Silky"/>
    <x v="65"/>
    <n v="31746"/>
    <n v="18900"/>
    <n v="45.560479576573208"/>
    <n v="17282.370153621068"/>
    <n v="224670.81199707388"/>
    <m/>
  </r>
  <r>
    <d v="2026-01-20T00:00:00"/>
    <x v="7"/>
    <n v="1374"/>
    <s v="Silky"/>
    <x v="66"/>
    <n v="20503"/>
    <n v="11000"/>
    <n v="50.941216838358734"/>
    <n v="10058.52231163131"/>
    <n v="130760.79005120703"/>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r>
    <m/>
    <x v="27"/>
    <m/>
    <m/>
    <x v="0"/>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O20" firstHeaderRow="0" firstDataRow="1" firstDataCol="1"/>
  <pivotFields count="9">
    <pivotField numFmtId="14" showAll="0"/>
    <pivotField axis="axisRow" showAll="0">
      <items count="14">
        <item x="1"/>
        <item x="0"/>
        <item x="9"/>
        <item m="1" x="12"/>
        <item x="2"/>
        <item x="3"/>
        <item x="4"/>
        <item m="1" x="11"/>
        <item x="5"/>
        <item x="6"/>
        <item x="7"/>
        <item x="8"/>
        <item x="10"/>
        <item t="default"/>
      </items>
    </pivotField>
    <pivotField showAll="0"/>
    <pivotField numFmtId="164" showAll="0"/>
    <pivotField numFmtId="164" showAll="0"/>
    <pivotField numFmtId="164" showAll="0"/>
    <pivotField dataField="1" numFmtId="164" showAll="0"/>
    <pivotField dataField="1" numFmtId="164" showAll="0"/>
    <pivotField dataField="1" numFmtId="164" showAll="0"/>
  </pivotFields>
  <rowFields count="1">
    <field x="1"/>
  </rowFields>
  <rowItems count="12">
    <i>
      <x/>
    </i>
    <i>
      <x v="1"/>
    </i>
    <i>
      <x v="2"/>
    </i>
    <i>
      <x v="4"/>
    </i>
    <i>
      <x v="5"/>
    </i>
    <i>
      <x v="6"/>
    </i>
    <i>
      <x v="8"/>
    </i>
    <i>
      <x v="9"/>
    </i>
    <i>
      <x v="10"/>
    </i>
    <i>
      <x v="11"/>
    </i>
    <i>
      <x v="12"/>
    </i>
    <i t="grand">
      <x/>
    </i>
  </rowItems>
  <colFields count="1">
    <field x="-2"/>
  </colFields>
  <colItems count="3">
    <i>
      <x/>
    </i>
    <i i="1">
      <x v="1"/>
    </i>
    <i i="2">
      <x v="2"/>
    </i>
  </colItems>
  <dataFields count="3">
    <dataField name="Sum of total" fld="6" baseField="0" baseItem="0" numFmtId="164"/>
    <dataField name="Sum of Paid" fld="7" baseField="0" baseItem="0" numFmtId="164"/>
    <dataField name="Sum of balance" fld="8" baseField="0" baseItem="0" numFmtId="164"/>
  </dataFields>
  <formats count="2">
    <format dxfId="134">
      <pivotArea dataOnly="0" labelOnly="1" outline="0" fieldPosition="0">
        <references count="1">
          <reference field="1" count="1">
            <x v="1"/>
          </reference>
        </references>
      </pivotArea>
    </format>
    <format dxfId="13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81">
        <item x="15"/>
        <item x="19"/>
        <item m="1" x="43"/>
        <item m="1" x="66"/>
        <item m="1" x="70"/>
        <item x="37"/>
        <item x="5"/>
        <item x="16"/>
        <item x="9"/>
        <item x="26"/>
        <item x="4"/>
        <item m="1" x="78"/>
        <item x="29"/>
        <item x="17"/>
        <item x="24"/>
        <item m="1" x="76"/>
        <item x="2"/>
        <item x="31"/>
        <item x="1"/>
        <item x="28"/>
        <item x="40"/>
        <item x="22"/>
        <item m="1" x="79"/>
        <item x="30"/>
        <item x="8"/>
        <item m="1" x="77"/>
        <item m="1" x="69"/>
        <item m="1" x="50"/>
        <item m="1" x="71"/>
        <item m="1" x="72"/>
        <item m="1" x="73"/>
        <item m="1" x="74"/>
        <item x="39"/>
        <item m="1" x="75"/>
        <item x="32"/>
        <item x="12"/>
        <item x="35"/>
        <item x="14"/>
        <item m="1" x="65"/>
        <item m="1" x="61"/>
        <item x="23"/>
        <item x="13"/>
        <item m="1" x="49"/>
        <item m="1" x="67"/>
        <item x="6"/>
        <item m="1" x="68"/>
        <item m="1" x="56"/>
        <item m="1" x="47"/>
        <item x="7"/>
        <item m="1" x="57"/>
        <item m="1" x="58"/>
        <item m="1" x="59"/>
        <item m="1" x="60"/>
        <item m="1" x="62"/>
        <item x="33"/>
        <item m="1" x="44"/>
        <item m="1" x="63"/>
        <item m="1" x="64"/>
        <item m="1" x="42"/>
        <item m="1" x="46"/>
        <item m="1" x="41"/>
        <item x="18"/>
        <item m="1" x="45"/>
        <item x="38"/>
        <item m="1" x="55"/>
        <item x="3"/>
        <item m="1" x="51"/>
        <item m="1" x="52"/>
        <item x="21"/>
        <item m="1" x="48"/>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2"/>
    </i>
    <i>
      <x v="13"/>
    </i>
    <i>
      <x v="14"/>
    </i>
    <i>
      <x v="16"/>
    </i>
    <i>
      <x v="17"/>
    </i>
    <i>
      <x v="18"/>
    </i>
    <i>
      <x v="19"/>
    </i>
    <i>
      <x v="20"/>
    </i>
    <i>
      <x v="21"/>
    </i>
    <i>
      <x v="23"/>
    </i>
    <i>
      <x v="24"/>
    </i>
    <i>
      <x v="32"/>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4" firstHeaderRow="0" firstDataRow="1" firstDataCol="1" rowPageCount="1" colPageCount="1"/>
  <pivotFields count="9">
    <pivotField axis="axisRow" showAll="0">
      <items count="66">
        <item m="1" x="60"/>
        <item m="1" x="61"/>
        <item m="1" x="62"/>
        <item m="1" x="63"/>
        <item m="1" x="64"/>
        <item m="1" x="59"/>
        <item m="1" x="47"/>
        <item m="1" x="48"/>
        <item m="1" x="52"/>
        <item m="1" x="53"/>
        <item m="1" x="49"/>
        <item m="1" x="54"/>
        <item m="1" x="55"/>
        <item m="1" x="56"/>
        <item m="1" x="57"/>
        <item m="1" x="58"/>
        <item m="1" x="46"/>
        <item m="1" x="50"/>
        <item m="1" x="51"/>
        <item m="1" x="39"/>
        <item m="1" x="40"/>
        <item m="1" x="41"/>
        <item m="1" x="42"/>
        <item m="1" x="43"/>
        <item m="1" x="44"/>
        <item m="1" x="45"/>
        <item m="1" x="15"/>
        <item m="1" x="31"/>
        <item m="1" x="32"/>
        <item m="1" x="33"/>
        <item m="1" x="34"/>
        <item m="1" x="35"/>
        <item m="1" x="36"/>
        <item m="1" x="37"/>
        <item m="1" x="38"/>
        <item m="1" x="16"/>
        <item m="1" x="17"/>
        <item m="1" x="18"/>
        <item m="1" x="19"/>
        <item m="1" x="20"/>
        <item m="1" x="21"/>
        <item m="1" x="22"/>
        <item m="1" x="24"/>
        <item m="1" x="25"/>
        <item m="1" x="23"/>
        <item m="1" x="26"/>
        <item m="1" x="27"/>
        <item m="1" x="28"/>
        <item m="1" x="29"/>
        <item m="1" x="30"/>
        <item x="0"/>
        <item x="1"/>
        <item x="2"/>
        <item x="3"/>
        <item x="4"/>
        <item x="5"/>
        <item x="6"/>
        <item x="7"/>
        <item x="8"/>
        <item x="9"/>
        <item x="10"/>
        <item x="11"/>
        <item x="12"/>
        <item x="13"/>
        <item m="1" x="14"/>
        <item t="default"/>
      </items>
    </pivotField>
    <pivotField showAll="0"/>
    <pivotField showAll="0"/>
    <pivotField showAll="0"/>
    <pivotField dataField="1" showAll="0"/>
    <pivotField axis="axisPage" showAll="0">
      <items count="10">
        <item x="0"/>
        <item m="1" x="6"/>
        <item m="1" x="8"/>
        <item m="1" x="7"/>
        <item x="1"/>
        <item x="2"/>
        <item x="3"/>
        <item x="4"/>
        <item x="5"/>
        <item t="default"/>
      </items>
    </pivotField>
    <pivotField showAll="0"/>
    <pivotField dataField="1" showAll="0"/>
    <pivotField showAll="0"/>
  </pivotFields>
  <rowFields count="1">
    <field x="0"/>
  </rowFields>
  <rowItems count="15">
    <i>
      <x v="50"/>
    </i>
    <i>
      <x v="51"/>
    </i>
    <i>
      <x v="52"/>
    </i>
    <i>
      <x v="53"/>
    </i>
    <i>
      <x v="54"/>
    </i>
    <i>
      <x v="55"/>
    </i>
    <i>
      <x v="56"/>
    </i>
    <i>
      <x v="57"/>
    </i>
    <i>
      <x v="58"/>
    </i>
    <i>
      <x v="59"/>
    </i>
    <i>
      <x v="60"/>
    </i>
    <i>
      <x v="61"/>
    </i>
    <i>
      <x v="62"/>
    </i>
    <i>
      <x v="63"/>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1"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97">
        <item m="1" x="379"/>
        <item m="1" x="380"/>
        <item m="1" x="378"/>
        <item m="1" x="377"/>
        <item m="1" x="381"/>
        <item m="1" x="383"/>
        <item m="1" x="382"/>
        <item m="1" x="384"/>
        <item m="1" x="385"/>
        <item m="1" x="386"/>
        <item m="1" x="387"/>
        <item m="1" x="388"/>
        <item m="1" x="389"/>
        <item m="1" x="390"/>
        <item m="1" x="315"/>
        <item m="1" x="337"/>
        <item m="1" x="391"/>
        <item m="1" x="392"/>
        <item m="1" x="393"/>
        <item m="1" x="345"/>
        <item m="1" x="344"/>
        <item m="1" x="394"/>
        <item m="1" x="395"/>
        <item m="1" x="354"/>
        <item m="1" x="346"/>
        <item m="1" x="347"/>
        <item m="1" x="348"/>
        <item m="1" x="349"/>
        <item m="1" x="350"/>
        <item m="1" x="351"/>
        <item m="1" x="352"/>
        <item m="1" x="353"/>
        <item m="1" x="355"/>
        <item m="1" x="375"/>
        <item m="1" x="356"/>
        <item m="1" x="376"/>
        <item m="1" x="357"/>
        <item m="1" x="358"/>
        <item m="1" x="359"/>
        <item m="1" x="360"/>
        <item m="1" x="361"/>
        <item m="1" x="292"/>
        <item m="1" x="362"/>
        <item m="1" x="363"/>
        <item m="1" x="364"/>
        <item m="1" x="365"/>
        <item m="1" x="366"/>
        <item m="1" x="367"/>
        <item m="1" x="368"/>
        <item m="1" x="369"/>
        <item m="1" x="370"/>
        <item m="1" x="371"/>
        <item m="1" x="372"/>
        <item m="1" x="373"/>
        <item m="1" x="374"/>
        <item x="0"/>
        <item m="1" x="291"/>
        <item m="1" x="293"/>
        <item m="1" x="294"/>
        <item m="1" x="295"/>
        <item m="1" x="296"/>
        <item m="1" x="297"/>
        <item m="1" x="298"/>
        <item m="1" x="299"/>
        <item m="1" x="300"/>
        <item m="1" x="301"/>
        <item m="1" x="302"/>
        <item m="1" x="303"/>
        <item m="1" x="304"/>
        <item m="1" x="305"/>
        <item x="6"/>
        <item m="1" x="306"/>
        <item m="1" x="307"/>
        <item m="1" x="308"/>
        <item m="1" x="309"/>
        <item m="1" x="310"/>
        <item m="1" x="311"/>
        <item m="1" x="312"/>
        <item m="1" x="313"/>
        <item m="1" x="314"/>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8"/>
        <item m="1" x="339"/>
        <item m="1" x="340"/>
        <item m="1" x="341"/>
        <item m="1" x="342"/>
        <item m="1" x="343"/>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x="24"/>
        <item m="1" x="260"/>
        <item m="1" x="261"/>
        <item m="1" x="262"/>
        <item m="1" x="263"/>
        <item m="1" x="264"/>
        <item m="1" x="265"/>
        <item m="1" x="266"/>
        <item m="1" x="267"/>
        <item m="1" x="268"/>
        <item m="1" x="269"/>
        <item m="1" x="270"/>
        <item m="1" x="290"/>
        <item m="1" x="271"/>
        <item m="1" x="272"/>
        <item m="1" x="273"/>
        <item m="1" x="274"/>
        <item m="1" x="275"/>
        <item m="1" x="276"/>
        <item m="1" x="277"/>
        <item m="1" x="278"/>
        <item m="1" x="279"/>
        <item m="1" x="280"/>
        <item m="1" x="281"/>
        <item m="1" x="282"/>
        <item m="1" x="283"/>
        <item m="1" x="284"/>
        <item m="1" x="285"/>
        <item m="1" x="286"/>
        <item m="1" x="287"/>
        <item m="1" x="288"/>
        <item m="1" x="289"/>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86"/>
        <item m="1" x="209"/>
        <item m="1" x="77"/>
        <item m="1" x="78"/>
        <item m="1" x="79"/>
        <item m="1" x="80"/>
        <item m="1" x="81"/>
        <item m="1" x="82"/>
        <item m="1" x="83"/>
        <item m="1" x="84"/>
        <item m="1" x="85"/>
        <item m="1" x="87"/>
        <item m="1" x="88"/>
        <item m="1" x="89"/>
        <item m="1" x="90"/>
        <item m="1" x="91"/>
        <item m="1" x="92"/>
        <item m="1" x="93"/>
        <item m="1" x="94"/>
        <item m="1" x="95"/>
        <item m="1" x="96"/>
        <item m="1" x="97"/>
        <item m="1" x="98"/>
        <item m="1" x="99"/>
        <item m="1" x="100"/>
        <item x="3"/>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x="7"/>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x="4"/>
        <item m="1" x="152"/>
        <item m="1" x="153"/>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m="1" x="76"/>
        <item x="52"/>
        <item x="54"/>
        <item x="55"/>
        <item x="56"/>
        <item x="57"/>
        <item x="58"/>
        <item x="59"/>
        <item x="60"/>
        <item x="61"/>
        <item x="62"/>
        <item x="63"/>
        <item x="65"/>
        <item x="66"/>
        <item x="53"/>
        <item x="64"/>
        <item m="1" x="67"/>
        <item m="1" x="68"/>
        <item m="1" x="69"/>
        <item m="1" x="70"/>
        <item m="1" x="71"/>
        <item m="1" x="72"/>
        <item m="1" x="73"/>
        <item m="1" x="74"/>
        <item m="1" x="7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8">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2"/>
    </i>
    <i>
      <x v="373"/>
    </i>
    <i>
      <x v="374"/>
    </i>
    <i>
      <x v="375"/>
    </i>
    <i>
      <x v="376"/>
    </i>
    <i>
      <x v="377"/>
    </i>
    <i>
      <x v="378"/>
    </i>
    <i>
      <x v="379"/>
    </i>
    <i>
      <x v="380"/>
    </i>
    <i>
      <x v="381"/>
    </i>
    <i>
      <x v="382"/>
    </i>
    <i>
      <x v="383"/>
    </i>
    <i>
      <x v="384"/>
    </i>
    <i>
      <x v="385"/>
    </i>
    <i>
      <x v="38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1">
      <pivotArea type="all" dataOnly="0" outline="0" fieldPosition="0"/>
    </format>
    <format dxfId="20">
      <pivotArea outline="0" collapsedLevelsAreSubtotals="1" fieldPosition="0"/>
    </format>
    <format dxfId="19">
      <pivotArea field="4" type="button" dataOnly="0" labelOnly="1" outline="0" axis="axisRow" fieldPosition="0"/>
    </format>
    <format dxfId="18">
      <pivotArea dataOnly="0" labelOnly="1" fieldPosition="0">
        <references count="1">
          <reference field="4" count="0"/>
        </references>
      </pivotArea>
    </format>
    <format dxfId="17">
      <pivotArea dataOnly="0" labelOnly="1" grandRow="1" outline="0" fieldPosition="0"/>
    </format>
    <format dxfId="16">
      <pivotArea dataOnly="0" labelOnly="1" outline="0" fieldPosition="0">
        <references count="1">
          <reference field="4294967294" count="2">
            <x v="0"/>
            <x v="1"/>
          </reference>
        </references>
      </pivotArea>
    </format>
    <format dxfId="15">
      <pivotArea grandRow="1" outline="0" collapsedLevelsAreSubtotals="1" fieldPosition="0"/>
    </format>
    <format dxfId="14">
      <pivotArea field="4" type="button" dataOnly="0" labelOnly="1" outline="0" axis="axisRow" fieldPosition="0"/>
    </format>
    <format dxfId="1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96">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9" s="1"/>
        <i x="61" s="1"/>
        <i x="60" s="1"/>
        <i x="58" s="1"/>
        <i x="54" s="1"/>
        <i x="63" s="1"/>
        <i x="48" s="1"/>
        <i x="66" s="1"/>
        <i x="57" s="1"/>
        <i x="49" s="1"/>
        <i x="50" s="1"/>
        <i x="51" s="1"/>
        <i x="55" s="1"/>
        <i x="62" s="1"/>
        <i x="56" s="1"/>
        <i x="65" s="1"/>
        <i x="31" s="1"/>
        <i x="20" s="1"/>
        <i x="52" s="1"/>
        <i x="53" s="1"/>
        <i x="64" s="1"/>
        <i x="350" s="1" nd="1"/>
        <i x="379" s="1" nd="1"/>
        <i x="380" s="1" nd="1"/>
        <i x="388" s="1" nd="1"/>
        <i x="378" s="1" nd="1"/>
        <i x="377" s="1" nd="1"/>
        <i x="381" s="1" nd="1"/>
        <i x="392" s="1" nd="1"/>
        <i x="384" s="1" nd="1"/>
        <i x="385" s="1" nd="1"/>
        <i x="382" s="1" nd="1"/>
        <i x="383" s="1" nd="1"/>
        <i x="393" s="1" nd="1"/>
        <i x="386" s="1" nd="1"/>
        <i x="387" s="1" nd="1"/>
        <i x="390" s="1" nd="1"/>
        <i x="391" s="1" nd="1"/>
        <i x="389" s="1" nd="1"/>
        <i x="345" s="1" nd="1"/>
        <i x="395" s="1" nd="1"/>
        <i x="344" s="1" nd="1"/>
        <i x="394" s="1" nd="1"/>
        <i x="347" s="1" nd="1"/>
        <i x="308" s="1" nd="1"/>
        <i x="346" s="1" nd="1"/>
        <i x="348" s="1" nd="1"/>
        <i x="354" s="1" nd="1"/>
        <i x="349" s="1" nd="1"/>
        <i x="351" s="1" nd="1"/>
        <i x="367" s="1" nd="1"/>
        <i x="291" s="1" nd="1"/>
        <i x="355" s="1" nd="1"/>
        <i x="296" s="1" nd="1"/>
        <i x="361" s="1" nd="1"/>
        <i x="356" s="1" nd="1"/>
        <i x="359" s="1" nd="1"/>
        <i x="364" s="1" nd="1"/>
        <i x="375" s="1" nd="1"/>
        <i x="357" s="1" nd="1"/>
        <i x="369" s="1" nd="1"/>
        <i x="372" s="1" nd="1"/>
        <i x="363" s="1" nd="1"/>
        <i x="352" s="1" nd="1"/>
        <i x="360" s="1" nd="1"/>
        <i x="353" s="1" nd="1"/>
        <i x="358" s="1" nd="1"/>
        <i x="292" s="1" nd="1"/>
        <i x="362" s="1" nd="1"/>
        <i x="368" s="1" nd="1"/>
        <i x="365" s="1" nd="1"/>
        <i x="370" s="1" nd="1"/>
        <i x="366" s="1" nd="1"/>
        <i x="332" s="1" nd="1"/>
        <i x="371" s="1" nd="1"/>
        <i x="373" s="1" nd="1"/>
        <i x="294" s="1" nd="1"/>
        <i x="301" s="1" nd="1"/>
        <i x="374" s="1" nd="1"/>
        <i x="298" s="1" nd="1"/>
        <i x="299" s="1" nd="1"/>
        <i x="293" s="1" nd="1"/>
        <i x="297" s="1" nd="1"/>
        <i x="185" s="1" nd="1"/>
        <i x="295" s="1" nd="1"/>
        <i x="304" s="1" nd="1"/>
        <i x="300" s="1" nd="1"/>
        <i x="302" s="1" nd="1"/>
        <i x="305" s="1" nd="1"/>
        <i x="312" s="1" nd="1"/>
        <i x="303" s="1" nd="1"/>
        <i x="311" s="1" nd="1"/>
        <i x="316" s="1" nd="1"/>
        <i x="310" s="1" nd="1"/>
        <i x="313" s="1" nd="1"/>
        <i x="323" s="1" nd="1"/>
        <i x="309" s="1" nd="1"/>
        <i x="306" s="1" nd="1"/>
        <i x="307" s="1" nd="1"/>
        <i x="322" s="1" nd="1"/>
        <i x="181" s="1" nd="1"/>
        <i x="315" s="1" nd="1"/>
        <i x="326" s="1" nd="1"/>
        <i x="321" s="1" nd="1"/>
        <i x="314" s="1" nd="1"/>
        <i x="338" s="1" nd="1"/>
        <i x="319" s="1" nd="1"/>
        <i x="329" s="1" nd="1"/>
        <i x="327" s="1" nd="1"/>
        <i x="317" s="1" nd="1"/>
        <i x="325" s="1" nd="1"/>
        <i x="324" s="1" nd="1"/>
        <i x="320" s="1" nd="1"/>
        <i x="330" s="1" nd="1"/>
        <i x="328" s="1" nd="1"/>
        <i x="331" s="1" nd="1"/>
        <i x="318" s="1" nd="1"/>
        <i x="260" s="1" nd="1"/>
        <i x="333" s="1" nd="1"/>
        <i x="334" s="1" nd="1"/>
        <i x="219" s="1" nd="1"/>
        <i x="221" s="1" nd="1"/>
        <i x="341" s="1" nd="1"/>
        <i x="215" s="1" nd="1"/>
        <i x="261" s="1" nd="1"/>
        <i x="335" s="1" nd="1"/>
        <i x="336" s="1" nd="1"/>
        <i x="218" s="1" nd="1"/>
        <i x="343" s="1" nd="1"/>
        <i x="217" s="1" nd="1"/>
        <i x="232" s="1" nd="1"/>
        <i x="342" s="1" nd="1"/>
        <i x="337" s="1" nd="1"/>
        <i x="236" s="1" nd="1"/>
        <i x="340" s="1" nd="1"/>
        <i x="339" s="1" nd="1"/>
        <i x="257" s="1" nd="1"/>
        <i x="210" s="1" nd="1"/>
        <i x="222" s="1" nd="1"/>
        <i x="258" s="1" nd="1"/>
        <i x="256" s="1" nd="1"/>
        <i x="214" s="1" nd="1"/>
        <i x="216" s="1" nd="1"/>
        <i x="220" s="1" nd="1"/>
        <i x="211" s="1" nd="1"/>
        <i x="246" s="1" nd="1"/>
        <i x="251" s="1" nd="1"/>
        <i x="212" s="1" nd="1"/>
        <i x="213" s="1" nd="1"/>
        <i x="223" s="1" nd="1"/>
        <i x="226" s="1" nd="1"/>
        <i x="233" s="1" nd="1"/>
        <i x="225" s="1" nd="1"/>
        <i x="228" s="1" nd="1"/>
        <i x="227" s="1" nd="1"/>
        <i x="269" s="1" nd="1"/>
        <i x="224" s="1" nd="1"/>
        <i x="249" s="1" nd="1"/>
        <i x="264" s="1" nd="1"/>
        <i x="229" s="1" nd="1"/>
        <i x="254" s="1" nd="1"/>
        <i x="266" s="1" nd="1"/>
        <i x="238" s="1" nd="1"/>
        <i x="278" s="1" nd="1"/>
        <i x="237" s="1" nd="1"/>
        <i x="234" s="1" nd="1"/>
        <i x="230" s="1" nd="1"/>
        <i x="231" s="1" nd="1"/>
        <i x="250" s="1" nd="1"/>
        <i x="239" s="1" nd="1"/>
        <i x="162" s="1" nd="1"/>
        <i x="240" s="1" nd="1"/>
        <i x="235" s="1" nd="1"/>
        <i x="242" s="1" nd="1"/>
        <i x="243" s="1" nd="1"/>
        <i x="271" s="1" nd="1"/>
        <i x="241" s="1" nd="1"/>
        <i x="259" s="1" nd="1"/>
        <i x="247" s="1" nd="1"/>
        <i x="244" s="1" nd="1"/>
        <i x="248" s="1" nd="1"/>
        <i x="245" s="1" nd="1"/>
        <i x="252" s="1" nd="1"/>
        <i x="270" s="1" nd="1"/>
        <i x="265" s="1" nd="1"/>
        <i x="284" s="1" nd="1"/>
        <i x="253" s="1" nd="1"/>
        <i x="155" s="1" nd="1"/>
        <i x="263" s="1" nd="1"/>
        <i x="255" s="1" nd="1"/>
        <i x="279" s="1" nd="1"/>
        <i x="262" s="1" nd="1"/>
        <i x="277" s="1" nd="1"/>
        <i x="163" s="1" nd="1"/>
        <i x="268" s="1" nd="1"/>
        <i x="267" s="1" nd="1"/>
        <i x="283" s="1" nd="1"/>
        <i x="280" s="1" nd="1"/>
        <i x="174" s="1" nd="1"/>
        <i x="288" s="1" nd="1"/>
        <i x="272" s="1" nd="1"/>
        <i x="281" s="1" nd="1"/>
        <i x="286" s="1" nd="1"/>
        <i x="165" s="1" nd="1"/>
        <i x="191" s="1" nd="1"/>
        <i x="290" s="1" nd="1"/>
        <i x="287" s="1" nd="1"/>
        <i x="156" s="1" nd="1"/>
        <i x="176" s="1" nd="1"/>
        <i x="282" s="1" nd="1"/>
        <i x="158" s="1" nd="1"/>
        <i x="273" s="1" nd="1"/>
        <i x="276" s="1" nd="1"/>
        <i x="173" s="1" nd="1"/>
        <i x="285" s="1" nd="1"/>
        <i x="274" s="1" nd="1"/>
        <i x="275" s="1" nd="1"/>
        <i x="160" s="1" nd="1"/>
        <i x="178" s="1" nd="1"/>
        <i x="179" s="1" nd="1"/>
        <i x="192" s="1" nd="1"/>
        <i x="289" s="1" nd="1"/>
        <i x="154" s="1" nd="1"/>
        <i x="177" s="1" nd="1"/>
        <i x="170" s="1" nd="1"/>
        <i x="157" s="1" nd="1"/>
        <i x="161" s="1" nd="1"/>
        <i x="167" s="1" nd="1"/>
        <i x="159" s="1" nd="1"/>
        <i x="183" s="1" nd="1"/>
        <i x="187" s="1" nd="1"/>
        <i x="188" s="1" nd="1"/>
        <i x="180" s="1" nd="1"/>
        <i x="164" s="1" nd="1"/>
        <i x="166" s="1" nd="1"/>
        <i x="168" s="1" nd="1"/>
        <i x="171" s="1" nd="1"/>
        <i x="184" s="1" nd="1"/>
        <i x="169" s="1" nd="1"/>
        <i x="190" s="1" nd="1"/>
        <i x="122" s="1" nd="1"/>
        <i x="101" s="1" nd="1"/>
        <i x="205" s="1" nd="1"/>
        <i x="172" s="1" nd="1"/>
        <i x="193" s="1" nd="1"/>
        <i x="189" s="1" nd="1"/>
        <i x="175" s="1" nd="1"/>
        <i x="197" s="1" nd="1"/>
        <i x="133" s="1" nd="1"/>
        <i x="96" s="1" nd="1"/>
        <i x="182" s="1" nd="1"/>
        <i x="206" s="1" nd="1"/>
        <i x="186" s="1" nd="1"/>
        <i x="209" s="1" nd="1"/>
        <i x="196" s="1" nd="1"/>
        <i x="201" s="1" nd="1"/>
        <i x="78" s="1" nd="1"/>
        <i x="198" s="1" nd="1"/>
        <i x="200" s="1" nd="1"/>
        <i x="118" s="1" nd="1"/>
        <i x="86" s="1" nd="1"/>
        <i x="195" s="1" nd="1"/>
        <i x="83" s="1" nd="1"/>
        <i x="194" s="1" nd="1"/>
        <i x="95" s="1" nd="1"/>
        <i x="79" s="1" nd="1"/>
        <i x="77" s="1" nd="1"/>
        <i x="199" s="1" nd="1"/>
        <i x="93" s="1" nd="1"/>
        <i x="87" s="1" nd="1"/>
        <i x="98" s="1" nd="1"/>
        <i x="115" s="1" nd="1"/>
        <i x="92" s="1" nd="1"/>
        <i x="103" s="1" nd="1"/>
        <i x="97" s="1" nd="1"/>
        <i x="94" s="1" nd="1"/>
        <i x="207" s="1" nd="1"/>
        <i x="151" s="1" nd="1"/>
        <i x="105" s="1" nd="1"/>
        <i x="106" s="1" nd="1"/>
        <i x="203" s="1" nd="1"/>
        <i x="202" s="1" nd="1"/>
        <i x="80" s="1" nd="1"/>
        <i x="82" s="1" nd="1"/>
        <i x="113" s="1" nd="1"/>
        <i x="89" s="1" nd="1"/>
        <i x="208" s="1" nd="1"/>
        <i x="147" s="1" nd="1"/>
        <i x="138" s="1" nd="1"/>
        <i x="126" s="1" nd="1"/>
        <i x="100" s="1" nd="1"/>
        <i x="85" s="1" nd="1"/>
        <i x="116" s="1" nd="1"/>
        <i x="135" s="1" nd="1"/>
        <i x="127" s="1" nd="1"/>
        <i x="123" s="1" nd="1"/>
        <i x="91" s="1" nd="1"/>
        <i x="111" s="1" nd="1"/>
        <i x="110" s="1" nd="1"/>
        <i x="125" s="1" nd="1"/>
        <i x="112" s="1" nd="1"/>
        <i x="204" s="1" nd="1"/>
        <i x="88" s="1" nd="1"/>
        <i x="84" s="1" nd="1"/>
        <i x="114" s="1" nd="1"/>
        <i x="81" s="1" nd="1"/>
        <i x="119" s="1" nd="1"/>
        <i x="120" s="1" nd="1"/>
        <i x="124" s="1" nd="1"/>
        <i x="104" s="1" nd="1"/>
        <i x="99" s="1" nd="1"/>
        <i x="132" s="1" nd="1"/>
        <i x="131" s="1" nd="1"/>
        <i x="136" s="1" nd="1"/>
        <i x="90" s="1" nd="1"/>
        <i x="134" s="1" nd="1"/>
        <i x="121" s="1" nd="1"/>
        <i x="102" s="1" nd="1"/>
        <i x="107" s="1" nd="1"/>
        <i x="108" s="1" nd="1"/>
        <i x="117" s="1" nd="1"/>
        <i x="109" s="1" nd="1"/>
        <i x="128" s="1" nd="1"/>
        <i x="139" s="1" nd="1"/>
        <i x="129" s="1" nd="1"/>
        <i x="145" s="1" nd="1"/>
        <i x="142" s="1" nd="1"/>
        <i x="140" s="1" nd="1"/>
        <i x="152" s="1" nd="1"/>
        <i x="146" s="1" nd="1"/>
        <i x="153" s="1" nd="1"/>
        <i x="148" s="1" nd="1"/>
        <i x="149" s="1" nd="1"/>
        <i x="130" s="1" nd="1"/>
        <i x="143" s="1" nd="1"/>
        <i x="150" s="1" nd="1"/>
        <i x="141" s="1" nd="1"/>
        <i x="144" s="1" nd="1"/>
        <i x="137" s="1" nd="1"/>
        <i x="76" s="1" nd="1"/>
        <i x="72" s="1" nd="1"/>
        <i x="67" s="1" nd="1"/>
        <i x="68" s="1" nd="1"/>
        <i x="75" s="1" nd="1"/>
        <i x="73" s="1" nd="1"/>
        <i x="70" s="1" nd="1"/>
        <i x="71" s="1" nd="1"/>
        <i x="69" s="1" nd="1"/>
        <i x="74" s="1" nd="1"/>
        <i x="37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101" dataCellStyle="Comma">
      <totalsRowFormula>SUM(Table12[Amount])</totalsRowFormula>
    </tableColumn>
    <tableColumn id="3" xr3:uid="{12F975D1-A51D-47BD-82DF-F0C35A709016}" name="Description"/>
    <tableColumn id="4" xr3:uid="{96712812-B120-49C2-B905-59FC86A743E8}" name="cost per meter" totalsRowFunction="custom" dataDxfId="100" totalsRowDxfId="9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8" dataDxfId="97" headerRowCellStyle="Comma" dataCellStyle="Comma">
  <autoFilter ref="B2:C5" xr:uid="{136E8F7F-D03F-4198-8335-91A003EA9E45}"/>
  <tableColumns count="2">
    <tableColumn id="1" xr3:uid="{279FA697-9952-479A-AC05-0D4992B41374}" name="Column1" dataDxfId="96" dataCellStyle="Comma"/>
    <tableColumn id="2" xr3:uid="{8A64998B-65EF-41CD-BCB0-3DDB7B359C54}" name="Column2" dataDxfId="9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4"/>
    <tableColumn id="2" xr3:uid="{51D27FA2-8DDF-4369-BAF7-7D1FE90E16A0}" name="Column2" dataDxfId="9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2" totalsRowDxfId="9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02" totalsRowCount="1" headerRowDxfId="89" dataDxfId="88" headerRowCellStyle="Comma" dataCellStyle="Comma">
  <autoFilter ref="A1:K201" xr:uid="{11DACEC6-751B-4B1D-817F-5C5BCD38EF6D}"/>
  <tableColumns count="11">
    <tableColumn id="1" xr3:uid="{2FCE3FA8-A48C-4685-8919-AE44C6C71FD9}" name="Date" dataDxfId="87" dataCellStyle="Comma"/>
    <tableColumn id="2" xr3:uid="{5780FD5F-0890-44E6-B59C-8E37A559FE36}" name="Party Name" dataDxfId="86" dataCellStyle="Comma"/>
    <tableColumn id="3" xr3:uid="{5B3ECD85-9174-40AC-BFBD-49CAC97A83D3}" name="Bill Number" dataDxfId="85" dataCellStyle="Comma"/>
    <tableColumn id="4" xr3:uid="{11B50761-04B6-4262-AD4D-7182450037D1}" name="Quality" dataDxfId="84" dataCellStyle="Comma"/>
    <tableColumn id="5" xr3:uid="{2C556969-B713-4967-BD24-466AACCBE5F5}" name="Shipment Number" dataDxfId="83" totalsRowDxfId="82" dataCellStyle="Comma"/>
    <tableColumn id="6" xr3:uid="{F4E1FD2B-9017-4DEB-B772-BF447ECE56F7}" name="Kora/metre" dataDxfId="81" totalsRowDxfId="80" dataCellStyle="Comma"/>
    <tableColumn id="7" xr3:uid="{52ACC1DA-7A76-4A90-B809-3A1AE728E7EA}" name="Tiyaar/gaz" dataDxfId="79" totalsRowDxfId="78" dataCellStyle="Comma"/>
    <tableColumn id="8" xr3:uid="{31A0FF5E-56F0-44D1-9865-73256B964660}" name="shortage %" dataDxfId="77" totalsRowDxfId="76" dataCellStyle="Comma">
      <calculatedColumnFormula>_xlfn.XLOOKUP(Table1[[#This Row],[Shipment Number]], 'pivot '!A:A,'pivot '!G:G, "NF")</calculatedColumnFormula>
    </tableColumn>
    <tableColumn id="9" xr3:uid="{F99075E0-AC8E-094D-BB85-272AD2C6C568}" name="tiyar/meters" totalsRowFunction="custom" dataDxfId="75" totalsRowDxfId="74"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73" totalsRowDxfId="72"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71" totalsRowDxfId="70"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33" totalsRowCount="1" headerRowDxfId="132" headerRowBorderDxfId="131" tableBorderDxfId="130">
  <autoFilter ref="A1:I232" xr:uid="{F8E8C957-ABE7-4E4F-8D4E-7D44E26B334F}"/>
  <tableColumns count="9">
    <tableColumn id="1" xr3:uid="{C2E817D6-AB98-4DDD-8890-736B27F261CD}" name="Date" dataDxfId="129" totalsRowDxfId="128"/>
    <tableColumn id="2" xr3:uid="{CFB51890-CCDC-463C-81C9-3F8BD7469CB9}" name="Party Name"/>
    <tableColumn id="3" xr3:uid="{A113D971-1C9D-4733-99C4-BD0CC4333209}" name="Vehicle Number"/>
    <tableColumn id="4" xr3:uid="{49780304-3DD1-4AE9-98EE-2BC7EB8F3B57}" name="Weight" dataDxfId="127" totalsRowDxfId="126" dataCellStyle="Comma"/>
    <tableColumn id="5" xr3:uid="{FCAF1BC6-1D8C-42AD-8BBC-F924BF2DC7FE}" name="Rate" dataDxfId="125" totalsRowDxfId="124" dataCellStyle="Comma"/>
    <tableColumn id="6" xr3:uid="{8C70A624-4134-410C-9C45-9FDEB51D51BF}" name="Rent" dataDxfId="123" totalsRowDxfId="122" dataCellStyle="Comma"/>
    <tableColumn id="7" xr3:uid="{EBCE10AE-9634-4982-9C95-37ABC8A7078C}" name="Total" totalsRowFunction="sum" dataDxfId="121" totalsRowDxfId="120" dataCellStyle="Comma">
      <calculatedColumnFormula>D2*E2</calculatedColumnFormula>
    </tableColumn>
    <tableColumn id="9" xr3:uid="{D4788559-C94A-44D9-B9AE-E72B214355AC}" name="Paid" totalsRowFunction="sum" dataDxfId="119" totalsRowDxfId="118" dataCellStyle="Comma"/>
    <tableColumn id="8" xr3:uid="{E26F5BF0-1875-4FC6-994D-49F202ED562B}" name="balance" totalsRowFunction="sum" dataDxfId="117" totalsRowDxfId="116"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30" totalsRowCount="1">
  <autoFilter ref="A1:G629" xr:uid="{CB032221-B416-47A8-9A76-693DE76CFD04}">
    <filterColumn colId="1">
      <filters>
        <filter val="Rafaqat"/>
      </filters>
    </filterColumn>
  </autoFilter>
  <tableColumns count="7">
    <tableColumn id="1" xr3:uid="{554B1EED-65B6-4E9A-B646-82727FAC40DE}" name="Date" dataDxfId="68" totalsRowDxfId="67"/>
    <tableColumn id="2" xr3:uid="{32259059-42CF-4947-83DE-115AA430BE2B}" name="Party"/>
    <tableColumn id="3" xr3:uid="{A1320223-D55D-483C-91C3-AB19B95CC9D8}" name="Debit" totalsRowFunction="sum" dataDxfId="66" totalsRowDxfId="65" dataCellStyle="Comma"/>
    <tableColumn id="4" xr3:uid="{E9745767-9FF0-4B1C-9052-FF335D1D7588}" name="Credit" totalsRowFunction="sum" dataDxfId="64" totalsRowDxfId="63" dataCellStyle="Comma"/>
    <tableColumn id="5" xr3:uid="{5C88A48E-2467-4E6D-B626-2442B7FD0BE4}" name="Description"/>
    <tableColumn id="6" xr3:uid="{63CA4666-144E-4BE6-8B7C-7CB992BD3041}" name="Mode" totalsRowFunction="custom" dataDxfId="62" totalsRowDxfId="6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0" tableBorderDxfId="59" totalsRowBorderDxfId="58">
  <autoFilter ref="J3:K6" xr:uid="{DCE01694-23ED-48BF-8B92-4186B9ED10A8}"/>
  <tableColumns count="2">
    <tableColumn id="1" xr3:uid="{C8484DAF-2989-4C2F-9AEC-A6917E1C57F6}" name="Type" dataDxfId="57"/>
    <tableColumn id="2" xr3:uid="{B07B7A2A-4D4E-4654-BED6-FE2F0A7BEC34}" name="Amount" dataDxfId="5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5" headerRowBorderDxfId="54" tableBorderDxfId="53" totalsRowBorderDxfId="52">
  <autoFilter ref="M3:O6" xr:uid="{D166BDD1-ACD7-45D7-8AE9-7350373F8CEB}"/>
  <tableColumns count="3">
    <tableColumn id="1" xr3:uid="{64F0205E-DEA7-4571-BA86-E4374A5FEE28}" name="Type" totalsRowLabel="Total" dataDxfId="51" totalsRowDxfId="50"/>
    <tableColumn id="2" xr3:uid="{15FA05F9-789C-4459-9BE0-5C1EC84D3365}" name="amount" totalsRowFunction="custom" dataDxfId="49" totalsRowDxfId="48">
      <totalsRowFormula>SUM(N5:N6)</totalsRowFormula>
    </tableColumn>
    <tableColumn id="3" xr3:uid="{3681D409-90C6-44D0-BDE2-4B5943A516F0}" name="Actual" totalsRowFunction="custom" totalsRowDxfId="47">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6" totalsRowDxfId="45"/>
    <tableColumn id="2" xr3:uid="{5B9D0FEE-4304-4C5C-A05C-5B27CF7841D3}" name="Type"/>
    <tableColumn id="3" xr3:uid="{6A91CA0D-C802-4C6F-9F39-CA53687E8EDE}" name="Description"/>
    <tableColumn id="4" xr3:uid="{A251D40C-AB87-4BB4-85F8-444B20E32FDF}" name="Total" totalsRowFunction="custom" dataDxfId="44" totalsRowDxfId="43"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42" headerRowBorderDxfId="41">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0"/>
    <tableColumn id="4" xr3:uid="{1889A312-9B41-4EC4-BD8F-05252F27084A}" name="Price" totalsRowFunction="sum"/>
    <tableColumn id="6" xr3:uid="{8B974B20-F003-4E67-8660-024FA4F324A9}" name="Party"/>
    <tableColumn id="7" xr3:uid="{0A5A5C21-FD61-47DA-9F54-66A6479FA557}" name="Paid" dataDxfId="39">
      <calculatedColumnFormula>SUMIFS(Table14[Debit], Table14[Date], Table8[[#This Row],[Date]], Table14[Party], Table8[[#This Row],[Party]])</calculatedColumnFormula>
    </tableColumn>
    <tableColumn id="8" xr3:uid="{8DCB3B43-2161-4081-82EC-CDB0F4DE4E6F}" name="Balance" totalsRowFunction="sum" dataDxfId="38">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5:E62" totalsRowCount="1">
  <autoFilter ref="A35:E6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1" totalsRowCount="1" headerRowDxfId="37" headerRowBorderDxfId="36">
  <autoFilter ref="A4:H20" xr:uid="{A4C80688-A8BA-4BA7-90B4-791CD99446B4}"/>
  <sortState xmlns:xlrd2="http://schemas.microsoft.com/office/spreadsheetml/2017/richdata2" ref="A5:H6">
    <sortCondition ref="A4:A6"/>
  </sortState>
  <tableColumns count="8">
    <tableColumn id="1" xr3:uid="{4A818912-918E-4111-ACFC-BC93FEF7C1AD}" name="Date" dataDxfId="35" totalsRowDxfId="34"/>
    <tableColumn id="8" xr3:uid="{477ACFD5-62AF-4F69-974B-E9B974C11D7D}" name="Party Name" dataDxfId="33"/>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2">
      <calculatedColumnFormula>Table2[[#This Row],[Quantity]]*200*Table2[[#This Row],[Boxes]]</calculatedColumnFormula>
    </tableColumn>
    <tableColumn id="6" xr3:uid="{30432929-CBD4-4BA8-B63F-CD0F6CF6405F}" name="Paid" totalsRowFunction="sum" dataDxfId="31">
      <calculatedColumnFormula>SUMIFS(Table14[Debit], Table14[Date], Table2[[#This Row],[Date]], Table14[Party], Table2[[#This Row],[Party Name]])</calculatedColumnFormula>
    </tableColumn>
    <tableColumn id="7" xr3:uid="{BB689DF2-5D1E-436D-84C4-9745D88E8F3D}" name="Balance" totalsRowFunction="sum" dataDxfId="30">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9" totalsRowDxfId="28"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7" totalsRowDxfId="26"/>
    <tableColumn id="2" xr3:uid="{053BFC14-4828-417C-9F9F-95B6E232A945}" name="Amount" totalsRowFunction="custom" dataDxfId="25" totalsRowDxfId="24"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3" totalsRowDxfId="22"/>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2" totalsRowDxfId="11"/>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0" totalsRowDxfId="9"/>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8">
      <calculatedColumnFormula>Billing!Q5</calculatedColumnFormula>
    </tableColumn>
    <tableColumn id="2" xr3:uid="{7093A59E-B58F-487D-888A-9AA8156B5F9A}" name="Amount Paid" dataDxfId="7">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6"/>
    <tableColumn id="2" xr3:uid="{F72CFEEB-BA11-4A49-BD19-88592EB6A27C}" name="Credit" dataDxfId="5"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P1" zoomScale="109" zoomScaleNormal="80" workbookViewId="0">
      <selection activeCell="AA20" sqref="AA2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530023.66715435265</v>
      </c>
      <c r="D2">
        <v>10</v>
      </c>
      <c r="E2" s="14">
        <f>(SUMIFS(ledger!G:G, ledger!B:B, B2, ledger!E:E, "&lt;&gt;*RD*",ledger!D:D, "Silky") / 1.0936)*12 + (SUMIFS(ledger!G:G, ledger!B:B, B2, ledger!E:E, "&lt;&gt;*RD*",ledger!D:D, "Chamki") / 1.0936)*10</f>
        <v>5066883.6869056337</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179</v>
      </c>
      <c r="Y4" s="23" t="s">
        <v>180</v>
      </c>
      <c r="Z4" s="23" t="s">
        <v>203</v>
      </c>
      <c r="AA4" s="23" t="s">
        <v>204</v>
      </c>
      <c r="AB4" s="23" t="s">
        <v>209</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3114572.8824</v>
      </c>
      <c r="S5" s="22" cm="1">
        <f t="array" ref="S5">_xlfn.BYROW(B49, _xlfn.LAMBDA(_xlpm.party, SUMIFS(ledger!G:G, ledger!B:B, _xlpm.party, ledger!E:E, "&lt;&gt;*RD*") / 1.0936 ))+_xlfn.IFNA(D84,0)</f>
        <v>2848000.0753474766</v>
      </c>
      <c r="T5" s="22" cm="1">
        <f t="array" ref="T5">(_xlfn.BYROW(B49,_xlfn.LAMBDA(_xlpm.party,SUMIFS(ledger!G:G,ledger!B:B,_xlpm.party,ledger!E:E,"&lt;&gt;*RD*",ledger!D:D,"Chamki")+SUMIFS(ledger!G:G, ledger!B:B, _xlpm.party, ledger!E:E, "&lt;&gt;*RD*", ledger!D:D, "Crinkle")))/1.0936)+_xlfn.IFNA(E84,0)</f>
        <v>2468066.8273591809</v>
      </c>
      <c r="U5" s="69"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24680668.273591813</v>
      </c>
      <c r="W5" s="69" cm="1">
        <f t="array" ref="W5">_xlfn.BYROW(B49, _xlfn.LAMBDA(_xlpm.party,
   SUMIFS(ledger!J:J, ledger!B:B, _xlpm.party, ledger!E:E, "&lt;&gt;*RD*", ledger!D:D, "Silky", ledger!C:C, "&lt;&gt;November Closing CF")
)) + _xlfn.IFNA(H84, 0)</f>
        <v>4850776.335040235</v>
      </c>
      <c r="X5" s="69" cm="1">
        <f t="array" ref="X5">_xlfn.BYROW(B49, _xlfn.LAMBDA(_xlpm.party,
   SUMIFS(ledger!J:J, ledger!B:B, _xlpm.party, ledger!E:E, "&lt;&gt;*RD*", ledger!D:D, "Slub", ledger!C:C, "&lt;&gt;November Closing CF")
))+ _xlfn.IFNA(I84, 0)</f>
        <v>0</v>
      </c>
      <c r="Y5" s="69" cm="1">
        <f t="array" ref="Y5">_xlfn.BYROW(B49, _xlfn.LAMBDA(_xlpm.party,
   SUMIFS(ledger!J:J, ledger!B:B, _xlpm.party, ledger!E:E, "&lt;&gt;*RD*", ledger!D:D, "Satin", ledger!C:C, "&lt;&gt;November Closing CF")
))+ _xlfn.IFNA(J84, 0)</f>
        <v>0</v>
      </c>
      <c r="Z5" s="69" cm="1">
        <f t="array" ref="Z5">_xlfn.BYROW(B49, _xlfn.LAMBDA(_xlpm.party,
   SUMIFS(ledger!J:J, ledger!B:B, _xlpm.party, ledger!E:E, "&lt;&gt;*RD*", ledger!D:D, "Black-Chamki", ledger!C:C, "&lt;&gt;November Closing CF")
))+ _xlfn.IFNA(K84, 0)</f>
        <v>0</v>
      </c>
      <c r="AA5" s="69" cm="1">
        <f t="array" ref="AA5">_xlfn.BYROW(B49, _xlfn.LAMBDA(_xlpm.party,
   SUMIFS(ledger!J:J, ledger!B:B, _xlpm.party, ledger!E:E, "&lt;&gt;*RD*", ledger!D:D, "Kataan", ledger!C:C, "&lt;&gt;November Closing CF")
))+ _xlfn.IFNA(L84, 0)</f>
        <v>0</v>
      </c>
      <c r="AB5" s="69" cm="1">
        <f t="array" ref="AB5">_xlfn.BYROW(B49, _xlfn.LAMBDA(_xlpm.party,
   SUMIFS(ledger!J:J, ledger!B:B, _xlpm.party, ledger!E:E, "&lt;&gt;*RD*", ledger!D:D, "Munaar", ledger!C:C, "&lt;&gt;November Closing CF")
))+ _xlfn.IFNA(M84, 0)</f>
        <v>0</v>
      </c>
      <c r="AC5" s="39">
        <f>V5+W5+X5+Y5+Z5+AA5+AB5</f>
        <v>29531444.608632047</v>
      </c>
      <c r="AD5" s="22">
        <f>(SUMIF(Table14[Party],Q5,Table14[Credit]))+_xlfn.IFNA(O84,0)</f>
        <v>19750734</v>
      </c>
      <c r="AE5" s="33">
        <f>AC5-AD5</f>
        <v>9780710.6086320467</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69"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69" cm="1">
        <f t="array" ref="W6">_xlfn.BYROW(B50, _xlfn.LAMBDA(_xlpm.party,
   SUMIFS(ledger!J:J, ledger!B:B, _xlpm.party, ledger!E:E, "&lt;&gt;*RD*", ledger!D:D, "Silky", ledger!C:C, "&lt;&gt;November Closing CF")
)) + _xlfn.IFNA(H85, 0)</f>
        <v>3713863.386978786</v>
      </c>
      <c r="X6" s="69" cm="1">
        <f t="array" ref="X6">_xlfn.BYROW(B50, _xlfn.LAMBDA(_xlpm.party,
   SUMIFS(ledger!J:J, ledger!B:B, _xlpm.party, ledger!E:E, "&lt;&gt;*RD*", ledger!D:D, "Slub", ledger!C:C, "&lt;&gt;November Closing CF")
))+ _xlfn.IFNA(I85, 0)</f>
        <v>0</v>
      </c>
      <c r="Y6" s="69" cm="1">
        <f t="array" ref="Y6">_xlfn.BYROW(B50, _xlfn.LAMBDA(_xlpm.party,
   SUMIFS(ledger!J:J, ledger!B:B, _xlpm.party, ledger!E:E, "&lt;&gt;*RD*", ledger!D:D, "Satin", ledger!C:C, "&lt;&gt;November Closing CF")
))+ _xlfn.IFNA(J85, 0)</f>
        <v>0</v>
      </c>
      <c r="Z6" s="69" cm="1">
        <f t="array" ref="Z6">_xlfn.BYROW(B50, _xlfn.LAMBDA(_xlpm.party,
   SUMIFS(ledger!J:J, ledger!B:B, _xlpm.party, ledger!E:E, "&lt;&gt;*RD*", ledger!D:D, "Black-Chamki", ledger!C:C, "&lt;&gt;November Closing CF")
))+ _xlfn.IFNA(K85, 0)</f>
        <v>0</v>
      </c>
      <c r="AA6" s="69" cm="1">
        <f t="array" ref="AA6">_xlfn.BYROW(B50, _xlfn.LAMBDA(_xlpm.party,
   SUMIFS(ledger!J:J, ledger!B:B, _xlpm.party, ledger!E:E, "&lt;&gt;*RD*", ledger!D:D, "Kataan", ledger!C:C, "&lt;&gt;November Closing CF")
))+ _xlfn.IFNA(L85, 0)</f>
        <v>0</v>
      </c>
      <c r="AB6" s="69"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5195319</v>
      </c>
      <c r="AE6" s="33">
        <f t="shared" ref="AE6:AE31" si="2">AC6-AD6</f>
        <v>0.12948061525821686</v>
      </c>
      <c r="AF6" s="21">
        <v>10</v>
      </c>
      <c r="AG6" s="21">
        <v>13</v>
      </c>
    </row>
    <row r="7" spans="2:33" x14ac:dyDescent="0.3">
      <c r="B7" t="str">
        <f t="shared" si="0"/>
        <v>Sajad Khan</v>
      </c>
      <c r="C7" s="18">
        <f>SUMIFS(ledger!G:G, ledger!B:B, B7, ledger!E:E, "&lt;&gt;*RD*") / 1.0936</f>
        <v>51876.371616678865</v>
      </c>
      <c r="D7">
        <v>10</v>
      </c>
      <c r="E7" s="14" cm="1">
        <f t="array" ref="E7">(SUMIFS(ledger!G:G, ledger!B:B, B7, ledger!E:E, "&lt;&gt;*RD*",ledger!D:D, "Silky") / 1.0936)*12 + (SUMIFS(ledger!G:G, ledger!B:B, B7, ledger!E:E, "&lt;&gt;*RD*",ledger!D:D, "Chamki") / 1.0936)*10 +(SUMIFS(ledger!G:G, ledger!B:B, party, ledger!E:E, "&lt;&gt;*RD*", ledger!D:D, "Crinkle")/ 1.0936)*10</f>
        <v>518763.71616678865</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69"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69" cm="1">
        <f t="array" ref="W7">_xlfn.BYROW(B51, _xlfn.LAMBDA(_xlpm.party,
   SUMIFS(ledger!J:J, ledger!B:B, _xlpm.party, ledger!E:E, "&lt;&gt;*RD*", ledger!D:D, "Silky", ledger!C:C, "&lt;&gt;November Closing CF")
)) + _xlfn.IFNA(H86, 0)</f>
        <v>1632304.3160204829</v>
      </c>
      <c r="X7" s="69" cm="1">
        <f t="array" ref="X7">_xlfn.BYROW(B51, _xlfn.LAMBDA(_xlpm.party,
   SUMIFS(ledger!J:J, ledger!B:B, _xlpm.party, ledger!E:E, "&lt;&gt;*RD*", ledger!D:D, "Slub", ledger!C:C, "&lt;&gt;November Closing CF")
))+ _xlfn.IFNA(I86, 0)</f>
        <v>0</v>
      </c>
      <c r="Y7" s="69" cm="1">
        <f t="array" ref="Y7">_xlfn.BYROW(B51, _xlfn.LAMBDA(_xlpm.party,
   SUMIFS(ledger!J:J, ledger!B:B, _xlpm.party, ledger!E:E, "&lt;&gt;*RD*", ledger!D:D, "Satin", ledger!C:C, "&lt;&gt;November Closing CF")
))+ _xlfn.IFNA(J86, 0)</f>
        <v>0</v>
      </c>
      <c r="Z7" s="69" cm="1">
        <f t="array" ref="Z7">_xlfn.BYROW(B51, _xlfn.LAMBDA(_xlpm.party,
   SUMIFS(ledger!J:J, ledger!B:B, _xlpm.party, ledger!E:E, "&lt;&gt;*RD*", ledger!D:D, "Black-Chamki", ledger!C:C, "&lt;&gt;November Closing CF")
))+ _xlfn.IFNA(K86, 0)</f>
        <v>0</v>
      </c>
      <c r="AA7" s="69" cm="1">
        <f t="array" ref="AA7">_xlfn.BYROW(B51, _xlfn.LAMBDA(_xlpm.party,
   SUMIFS(ledger!J:J, ledger!B:B, _xlpm.party, ledger!E:E, "&lt;&gt;*RD*", ledger!D:D, "Kataan", ledger!C:C, "&lt;&gt;November Closing CF")
))+ _xlfn.IFNA(L86, 0)</f>
        <v>0</v>
      </c>
      <c r="AB7" s="69"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7835501</v>
      </c>
      <c r="AE7" s="33">
        <f t="shared" si="2"/>
        <v>60684.076810535043</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69"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69" cm="1">
        <f t="array" ref="W8">_xlfn.BYROW(B52, _xlfn.LAMBDA(_xlpm.party,
   SUMIFS(ledger!J:J, ledger!B:B, _xlpm.party, ledger!E:E, "&lt;&gt;*RD*", ledger!D:D, "Silky", ledger!C:C, "&lt;&gt;November Closing CF")
)) + _xlfn.IFNA(H87, 0)</f>
        <v>0</v>
      </c>
      <c r="X8" s="69" cm="1">
        <f t="array" ref="X8">_xlfn.BYROW(B52, _xlfn.LAMBDA(_xlpm.party,
   SUMIFS(ledger!J:J, ledger!B:B, _xlpm.party, ledger!E:E, "&lt;&gt;*RD*", ledger!D:D, "Slub", ledger!C:C, "&lt;&gt;November Closing CF")
))+ _xlfn.IFNA(I87, 0)</f>
        <v>0</v>
      </c>
      <c r="Y8" s="69" cm="1">
        <f t="array" ref="Y8">_xlfn.BYROW(B52, _xlfn.LAMBDA(_xlpm.party,
   SUMIFS(ledger!J:J, ledger!B:B, _xlpm.party, ledger!E:E, "&lt;&gt;*RD*", ledger!D:D, "Satin", ledger!C:C, "&lt;&gt;November Closing CF")
))+ _xlfn.IFNA(J87, 0)</f>
        <v>0</v>
      </c>
      <c r="Z8" s="69" cm="1">
        <f t="array" ref="Z8">_xlfn.BYROW(B52, _xlfn.LAMBDA(_xlpm.party,
   SUMIFS(ledger!J:J, ledger!B:B, _xlpm.party, ledger!E:E, "&lt;&gt;*RD*", ledger!D:D, "Black-Chamki", ledger!C:C, "&lt;&gt;November Closing CF")
))+ _xlfn.IFNA(K87, 0)</f>
        <v>0</v>
      </c>
      <c r="AA8" s="69" cm="1">
        <f t="array" ref="AA8">_xlfn.BYROW(B52, _xlfn.LAMBDA(_xlpm.party,
   SUMIFS(ledger!J:J, ledger!B:B, _xlpm.party, ledger!E:E, "&lt;&gt;*RD*", ledger!D:D, "Kataan", ledger!C:C, "&lt;&gt;November Closing CF")
))+ _xlfn.IFNA(L87, 0)</f>
        <v>0</v>
      </c>
      <c r="AB8" s="69"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166267.37381126557</v>
      </c>
      <c r="D9">
        <v>10</v>
      </c>
      <c r="E9" s="14">
        <f>(SUMIFS(ledger!G:G, ledger!B:B, B9, ledger!E:E, "&lt;&gt;*RD*",ledger!D:D, "Silky") / 1.0936)*12 + (SUMIFS(ledger!G:G, ledger!B:B, B9, ledger!E:E, "&lt;&gt;*RD*",ledger!D:D, "Chamki") / 1.0936)*10</f>
        <v>1805528.5296269204</v>
      </c>
      <c r="I9" t="s">
        <v>151</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69"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69" cm="1">
        <f t="array" ref="W9">_xlfn.BYROW(B53, _xlfn.LAMBDA(_xlpm.party,
   SUMIFS(ledger!J:J, ledger!B:B, _xlpm.party, ledger!E:E, "&lt;&gt;*RD*", ledger!D:D, "Silky", ledger!C:C, "&lt;&gt;November Closing CF")
)) + _xlfn.IFNA(H88, 0)</f>
        <v>5829886.6130212145</v>
      </c>
      <c r="X9" s="69" cm="1">
        <f t="array" ref="X9">_xlfn.BYROW(B53, _xlfn.LAMBDA(_xlpm.party,
   SUMIFS(ledger!J:J, ledger!B:B, _xlpm.party, ledger!E:E, "&lt;&gt;*RD*", ledger!D:D, "Slub", ledger!C:C, "&lt;&gt;November Closing CF")
))+ _xlfn.IFNA(I88, 0)</f>
        <v>0</v>
      </c>
      <c r="Y9" s="69" cm="1">
        <f t="array" ref="Y9">_xlfn.BYROW(B53, _xlfn.LAMBDA(_xlpm.party,
   SUMIFS(ledger!J:J, ledger!B:B, _xlpm.party, ledger!E:E, "&lt;&gt;*RD*", ledger!D:D, "Satin", ledger!C:C, "&lt;&gt;November Closing CF")
))+ _xlfn.IFNA(J88, 0)</f>
        <v>239959.76591075349</v>
      </c>
      <c r="Z9" s="69" cm="1">
        <f t="array" ref="Z9">_xlfn.BYROW(B53, _xlfn.LAMBDA(_xlpm.party,
   SUMIFS(ledger!J:J, ledger!B:B, _xlpm.party, ledger!E:E, "&lt;&gt;*RD*", ledger!D:D, "Black-Chamki", ledger!C:C, "&lt;&gt;November Closing CF")
))+ _xlfn.IFNA(K88, 0)</f>
        <v>0</v>
      </c>
      <c r="AA9" s="69" cm="1">
        <f t="array" ref="AA9">_xlfn.BYROW(B53, _xlfn.LAMBDA(_xlpm.party,
   SUMIFS(ledger!J:J, ledger!B:B, _xlpm.party, ledger!E:E, "&lt;&gt;*RD*", ledger!D:D, "Kataan", ledger!C:C, "&lt;&gt;November Closing CF")
))+ _xlfn.IFNA(L88, 0)</f>
        <v>0</v>
      </c>
      <c r="AB9" s="69"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54497.073884418438</v>
      </c>
      <c r="D10">
        <v>10</v>
      </c>
      <c r="E10" s="14">
        <f>(SUMIFS(ledger!G:G, ledger!B:B, B10, ledger!E:E, "&lt;&gt;*RD*",ledger!D:D, "Silky") / 1.0936)*12 + (SUMIFS(ledger!G:G, ledger!B:B, B10, ledger!E:E, "&lt;&gt;*RD*",ledger!D:D, "Chamki") / 1.0936)*10</f>
        <v>653964.88661302126</v>
      </c>
      <c r="I10" t="s">
        <v>35</v>
      </c>
      <c r="Q10" s="24" t="str">
        <v>Sajad Khan</v>
      </c>
      <c r="R10" s="22" cm="1">
        <f t="array" ref="R10">_xlfn.BYROW(B54,_xlfn.LAMBDA(_xlpm.party,SUMIFS(ledger!G:G,ledger!B:B,_xlpm.party,ledger!E:E,"&lt;&gt;*RD*")))+_xlfn.IFNA(C89,0)</f>
        <v>922283</v>
      </c>
      <c r="S10" s="22" cm="1">
        <f t="array" ref="S10">_xlfn.BYROW(B54, _xlfn.LAMBDA(_xlpm.party, SUMIFS(ledger!G:G, ledger!B:B, _xlpm.party, ledger!E:E, "&lt;&gt;*RD*") / 1.0936 ))+_xlfn.IFNA(D89,0)</f>
        <v>843345.83028529643</v>
      </c>
      <c r="T10" s="22" cm="1">
        <f t="array" ref="T10">(_xlfn.BYROW(B54,_xlfn.LAMBDA(_xlpm.party,SUMIFS(ledger!G:G,ledger!B:B,_xlpm.party,ledger!E:E,"&lt;&gt;*RD*",ledger!D:D,"Chamki")+SUMIFS(ledger!G:G, ledger!B:B, _xlpm.party, ledger!E:E, "&lt;&gt;*RD*", ledger!D:D, "Crinkle")))/1.0936)+_xlfn.IFNA(E89,0)</f>
        <v>837856.62033650337</v>
      </c>
      <c r="U10" s="69"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8378566.2033650335</v>
      </c>
      <c r="W10" s="69" cm="1">
        <f t="array" ref="W10">_xlfn.BYROW(B54, _xlfn.LAMBDA(_xlpm.party,
   SUMIFS(ledger!J:J, ledger!B:B, _xlpm.party, ledger!E:E, "&lt;&gt;*RD*", ledger!D:D, "Silky", ledger!C:C, "&lt;&gt;November Closing CF")
)) + _xlfn.IFNA(H89, 0)</f>
        <v>0</v>
      </c>
      <c r="X10" s="69" cm="1">
        <f t="array" ref="X10">_xlfn.BYROW(B54, _xlfn.LAMBDA(_xlpm.party,
   SUMIFS(ledger!J:J, ledger!B:B, _xlpm.party, ledger!E:E, "&lt;&gt;*RD*", ledger!D:D, "Slub", ledger!C:C, "&lt;&gt;November Closing CF")
))+ _xlfn.IFNA(I89, 0)</f>
        <v>71359.729334308722</v>
      </c>
      <c r="Y10" s="69" cm="1">
        <f t="array" ref="Y10">_xlfn.BYROW(B54, _xlfn.LAMBDA(_xlpm.party,
   SUMIFS(ledger!J:J, ledger!B:B, _xlpm.party, ledger!E:E, "&lt;&gt;*RD*", ledger!D:D, "Satin", ledger!C:C, "&lt;&gt;November Closing CF")
))+ _xlfn.IFNA(J89, 0)</f>
        <v>0</v>
      </c>
      <c r="Z10" s="69" cm="1">
        <f t="array" ref="Z10">_xlfn.BYROW(B54, _xlfn.LAMBDA(_xlpm.party,
   SUMIFS(ledger!J:J, ledger!B:B, _xlpm.party, ledger!E:E, "&lt;&gt;*RD*", ledger!D:D, "Black-Chamki", ledger!C:C, "&lt;&gt;November Closing CF")
))+ _xlfn.IFNA(K89, 0)</f>
        <v>0</v>
      </c>
      <c r="AA10" s="69" cm="1">
        <f t="array" ref="AA10">_xlfn.BYROW(B54, _xlfn.LAMBDA(_xlpm.party,
   SUMIFS(ledger!J:J, ledger!B:B, _xlpm.party, ledger!E:E, "&lt;&gt;*RD*", ledger!D:D, "Kataan", ledger!C:C, "&lt;&gt;November Closing CF")
))+ _xlfn.IFNA(L89, 0)</f>
        <v>0</v>
      </c>
      <c r="AB10" s="69" cm="1">
        <f t="array" ref="AB10">_xlfn.BYROW(B54, _xlfn.LAMBDA(_xlpm.party,
   SUMIFS(ledger!J:J, ledger!B:B, _xlpm.party, ledger!E:E, "&lt;&gt;*RD*", ledger!D:D, "Munaar", ledger!C:C, "&lt;&gt;November Closing CF")
))+ _xlfn.IFNA(M89, 0)</f>
        <v>0</v>
      </c>
      <c r="AC10" s="39">
        <f t="shared" si="1"/>
        <v>8449925.9326993413</v>
      </c>
      <c r="AD10" s="22">
        <f>(SUMIF(Table14[Party],Q10,Table14[Credit]))+_xlfn.IFNA(O89,0)</f>
        <v>7997871</v>
      </c>
      <c r="AE10" s="33">
        <f t="shared" si="2"/>
        <v>452054.93269934133</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69"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69" cm="1">
        <f t="array" ref="W11">_xlfn.BYROW(B55, _xlfn.LAMBDA(_xlpm.party,
   SUMIFS(ledger!J:J, ledger!B:B, _xlpm.party, ledger!E:E, "&lt;&gt;*RD*", ledger!D:D, "Silky", ledger!C:C, "&lt;&gt;November Closing CF")
)) + _xlfn.IFNA(H90, 0)</f>
        <v>0</v>
      </c>
      <c r="X11" s="69" cm="1">
        <f t="array" ref="X11">_xlfn.BYROW(B55, _xlfn.LAMBDA(_xlpm.party,
   SUMIFS(ledger!J:J, ledger!B:B, _xlpm.party, ledger!E:E, "&lt;&gt;*RD*", ledger!D:D, "Slub", ledger!C:C, "&lt;&gt;November Closing CF")
))+ _xlfn.IFNA(I90, 0)</f>
        <v>0</v>
      </c>
      <c r="Y11" s="69" cm="1">
        <f t="array" ref="Y11">_xlfn.BYROW(B55, _xlfn.LAMBDA(_xlpm.party,
   SUMIFS(ledger!J:J, ledger!B:B, _xlpm.party, ledger!E:E, "&lt;&gt;*RD*", ledger!D:D, "Satin", ledger!C:C, "&lt;&gt;November Closing CF")
))+ _xlfn.IFNA(J90, 0)</f>
        <v>0</v>
      </c>
      <c r="Z11" s="69" cm="1">
        <f t="array" ref="Z11">_xlfn.BYROW(B55, _xlfn.LAMBDA(_xlpm.party,
   SUMIFS(ledger!J:J, ledger!B:B, _xlpm.party, ledger!E:E, "&lt;&gt;*RD*", ledger!D:D, "Black-Chamki", ledger!C:C, "&lt;&gt;November Closing CF")
))+ _xlfn.IFNA(K90, 0)</f>
        <v>0</v>
      </c>
      <c r="AA11" s="69" cm="1">
        <f t="array" ref="AA11">_xlfn.BYROW(B55, _xlfn.LAMBDA(_xlpm.party,
   SUMIFS(ledger!J:J, ledger!B:B, _xlpm.party, ledger!E:E, "&lt;&gt;*RD*", ledger!D:D, "Kataan", ledger!C:C, "&lt;&gt;November Closing CF")
))+ _xlfn.IFNA(L90, 0)</f>
        <v>0</v>
      </c>
      <c r="AB11" s="69"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543437</v>
      </c>
      <c r="S12" s="22" cm="1">
        <f t="array" ref="S12">_xlfn.BYROW(B56, _xlfn.LAMBDA(_xlpm.party, SUMIFS(ledger!G:G, ledger!B:B, _xlpm.party, ledger!E:E, "&lt;&gt;*RD*") / 1.0936 ))+_xlfn.IFNA(D91,0)</f>
        <v>496924.83540599863</v>
      </c>
      <c r="T12" s="22" cm="1">
        <f t="array" ref="T12">(_xlfn.BYROW(B56,_xlfn.LAMBDA(_xlpm.party,SUMIFS(ledger!G:G,ledger!B:B,_xlpm.party,ledger!E:E,"&lt;&gt;*RD*",ledger!D:D,"Chamki")+SUMIFS(ledger!G:G, ledger!B:B, _xlpm.party, ledger!E:E, "&lt;&gt;*RD*", ledger!D:D, "Crinkle")))/1.0936)+_xlfn.IFNA(E91,0)</f>
        <v>400309.07095830288</v>
      </c>
      <c r="U12" s="69" cm="1">
        <f t="array" ref="U12">(_xlfn.BYROW(B56,_xlfn.LAMBDA(_xlpm.party,SUMIFS(ledger!G:G,ledger!B:B,_xlpm.party,ledger!E:E,"&lt;&gt;*RD*",ledger!D:D,"Silky")))/1.0936)+_xlfn.IFNA(F91,0)</f>
        <v>96615.764447695692</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69" cm="1">
        <f t="array" ref="W12">_xlfn.BYROW(B56, _xlfn.LAMBDA(_xlpm.party,
   SUMIFS(ledger!J:J, ledger!B:B, _xlpm.party, ledger!E:E, "&lt;&gt;*RD*", ledger!D:D, "Silky", ledger!C:C, "&lt;&gt;November Closing CF")
)) + _xlfn.IFNA(H91, 0)</f>
        <v>1256004.9378200439</v>
      </c>
      <c r="X12" s="69" cm="1">
        <f t="array" ref="X12">_xlfn.BYROW(B56, _xlfn.LAMBDA(_xlpm.party,
   SUMIFS(ledger!J:J, ledger!B:B, _xlpm.party, ledger!E:E, "&lt;&gt;*RD*", ledger!D:D, "Slub", ledger!C:C, "&lt;&gt;November Closing CF")
))+ _xlfn.IFNA(I91, 0)</f>
        <v>0</v>
      </c>
      <c r="Y12" s="69" cm="1">
        <f t="array" ref="Y12">_xlfn.BYROW(B56, _xlfn.LAMBDA(_xlpm.party,
   SUMIFS(ledger!J:J, ledger!B:B, _xlpm.party, ledger!E:E, "&lt;&gt;*RD*", ledger!D:D, "Satin", ledger!C:C, "&lt;&gt;November Closing CF")
))+ _xlfn.IFNA(J91, 0)</f>
        <v>0</v>
      </c>
      <c r="Z12" s="69" cm="1">
        <f t="array" ref="Z12">_xlfn.BYROW(B56, _xlfn.LAMBDA(_xlpm.party,
   SUMIFS(ledger!J:J, ledger!B:B, _xlpm.party, ledger!E:E, "&lt;&gt;*RD*", ledger!D:D, "Black-Chamki", ledger!C:C, "&lt;&gt;November Closing CF")
))+ _xlfn.IFNA(K91, 0)</f>
        <v>0</v>
      </c>
      <c r="AA12" s="69" cm="1">
        <f t="array" ref="AA12">_xlfn.BYROW(B56, _xlfn.LAMBDA(_xlpm.party,
   SUMIFS(ledger!J:J, ledger!B:B, _xlpm.party, ledger!E:E, "&lt;&gt;*RD*", ledger!D:D, "Kataan", ledger!C:C, "&lt;&gt;November Closing CF")
))+ _xlfn.IFNA(L91, 0)</f>
        <v>0</v>
      </c>
      <c r="AB12" s="69" cm="1">
        <f t="array" ref="AB12">_xlfn.BYROW(B56, _xlfn.LAMBDA(_xlpm.party,
   SUMIFS(ledger!J:J, ledger!B:B, _xlpm.party, ledger!E:E, "&lt;&gt;*RD*", ledger!D:D, "Munaar", ledger!C:C, "&lt;&gt;November Closing CF")
))+ _xlfn.IFNA(M91, 0)</f>
        <v>0</v>
      </c>
      <c r="AC12" s="39">
        <f t="shared" si="1"/>
        <v>5259095.6474030726</v>
      </c>
      <c r="AD12" s="22">
        <f>(SUMIF(Table14[Party],Q12,Table14[Credit]))+_xlfn.IFNA(O91,0)</f>
        <v>4330540</v>
      </c>
      <c r="AE12" s="33">
        <f t="shared" si="2"/>
        <v>928555.64740307257</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165</v>
      </c>
      <c r="Q13" s="24" t="str">
        <v>Ubaidullah</v>
      </c>
      <c r="R13" s="22" cm="1">
        <f t="array" ref="R13">_xlfn.BYROW(B57,_xlfn.LAMBDA(_xlpm.party,SUMIFS(ledger!G:G,ledger!B:B,_xlpm.party,ledger!E:E,"&lt;&gt;*RD*")))+_xlfn.IFNA(C92,0)</f>
        <v>126448</v>
      </c>
      <c r="S13" s="22" cm="1">
        <f t="array" ref="S13">_xlfn.BYROW(B57, _xlfn.LAMBDA(_xlpm.party, SUMIFS(ledger!G:G, ledger!B:B, _xlpm.party, ledger!E:E, "&lt;&gt;*RD*") / 1.0936 ))+_xlfn.IFNA(D92,0)</f>
        <v>115625.45720555962</v>
      </c>
      <c r="T13" s="22" cm="1">
        <f t="array" ref="T13">(_xlfn.BYROW(B57,_xlfn.LAMBDA(_xlpm.party,SUMIFS(ledger!G:G,ledger!B:B,_xlpm.party,ledger!E:E,"&lt;&gt;*RD*",ledger!D:D,"Chamki")+SUMIFS(ledger!G:G, ledger!B:B, _xlpm.party, ledger!E:E, "&lt;&gt;*RD*", ledger!D:D, "Crinkle")))/1.0936)+_xlfn.IFNA(E92,0)</f>
        <v>46132.955376737387</v>
      </c>
      <c r="U13" s="69" cm="1">
        <f t="array" ref="U13">(_xlfn.BYROW(B57,_xlfn.LAMBDA(_xlpm.party,SUMIFS(ledger!G:G,ledger!B:B,_xlpm.party,ledger!E:E,"&lt;&gt;*RD*",ledger!D:D,"Silky")))/1.0936)+_xlfn.IFNA(F92,0)</f>
        <v>69492.501828822249</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69" cm="1">
        <f t="array" ref="W13">_xlfn.BYROW(B57, _xlfn.LAMBDA(_xlpm.party,
   SUMIFS(ledger!J:J, ledger!B:B, _xlpm.party, ledger!E:E, "&lt;&gt;*RD*", ledger!D:D, "Silky", ledger!C:C, "&lt;&gt;November Closing CF")
)) + _xlfn.IFNA(H92, 0)</f>
        <v>888407.09583028522</v>
      </c>
      <c r="X13" s="69" cm="1">
        <f t="array" ref="X13">_xlfn.BYROW(B57, _xlfn.LAMBDA(_xlpm.party,
   SUMIFS(ledger!J:J, ledger!B:B, _xlpm.party, ledger!E:E, "&lt;&gt;*RD*", ledger!D:D, "Slub", ledger!C:C, "&lt;&gt;November Closing CF")
))+ _xlfn.IFNA(I92, 0)</f>
        <v>0</v>
      </c>
      <c r="Y13" s="69" cm="1">
        <f t="array" ref="Y13">_xlfn.BYROW(B57, _xlfn.LAMBDA(_xlpm.party,
   SUMIFS(ledger!J:J, ledger!B:B, _xlpm.party, ledger!E:E, "&lt;&gt;*RD*", ledger!D:D, "Satin", ledger!C:C, "&lt;&gt;November Closing CF")
))+ _xlfn.IFNA(J92, 0)</f>
        <v>0</v>
      </c>
      <c r="Z13" s="69" cm="1">
        <f t="array" ref="Z13">_xlfn.BYROW(B57, _xlfn.LAMBDA(_xlpm.party,
   SUMIFS(ledger!J:J, ledger!B:B, _xlpm.party, ledger!E:E, "&lt;&gt;*RD*", ledger!D:D, "Black-Chamki", ledger!C:C, "&lt;&gt;November Closing CF")
))+ _xlfn.IFNA(K92, 0)</f>
        <v>0</v>
      </c>
      <c r="AA13" s="69" cm="1">
        <f t="array" ref="AA13">_xlfn.BYROW(B57, _xlfn.LAMBDA(_xlpm.party,
   SUMIFS(ledger!J:J, ledger!B:B, _xlpm.party, ledger!E:E, "&lt;&gt;*RD*", ledger!D:D, "Kataan", ledger!C:C, "&lt;&gt;November Closing CF")
))+ _xlfn.IFNA(L92, 0)</f>
        <v>0</v>
      </c>
      <c r="AB13" s="69" cm="1">
        <f t="array" ref="AB13">_xlfn.BYROW(B57, _xlfn.LAMBDA(_xlpm.party,
   SUMIFS(ledger!J:J, ledger!B:B, _xlpm.party, ledger!E:E, "&lt;&gt;*RD*", ledger!D:D, "Munaar", ledger!C:C, "&lt;&gt;November Closing CF")
))+ _xlfn.IFNA(M92, 0)</f>
        <v>0</v>
      </c>
      <c r="AC13" s="39">
        <f t="shared" si="1"/>
        <v>1349736.6495976592</v>
      </c>
      <c r="AD13" s="22">
        <f>(SUMIF(Table14[Party],Q13,Table14[Credit]))+_xlfn.IFNA(O92,0)</f>
        <v>1390190</v>
      </c>
      <c r="AE13" s="33">
        <f t="shared" si="2"/>
        <v>-40453.350402340759</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167</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69"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69" cm="1">
        <f t="array" ref="W14">_xlfn.BYROW(B58, _xlfn.LAMBDA(_xlpm.party,
   SUMIFS(ledger!J:J, ledger!B:B, _xlpm.party, ledger!E:E, "&lt;&gt;*RD*", ledger!D:D, "Silky", ledger!C:C, "&lt;&gt;November Closing CF")
)) + _xlfn.IFNA(H93, 0)</f>
        <v>0</v>
      </c>
      <c r="X14" s="69" cm="1">
        <f t="array" ref="X14">_xlfn.BYROW(B58, _xlfn.LAMBDA(_xlpm.party,
   SUMIFS(ledger!J:J, ledger!B:B, _xlpm.party, ledger!E:E, "&lt;&gt;*RD*", ledger!D:D, "Slub", ledger!C:C, "&lt;&gt;November Closing CF")
))+ _xlfn.IFNA(I93, 0)</f>
        <v>0</v>
      </c>
      <c r="Y14" s="69" cm="1">
        <f t="array" ref="Y14">_xlfn.BYROW(B58, _xlfn.LAMBDA(_xlpm.party,
   SUMIFS(ledger!J:J, ledger!B:B, _xlpm.party, ledger!E:E, "&lt;&gt;*RD*", ledger!D:D, "Satin", ledger!C:C, "&lt;&gt;November Closing CF")
))+ _xlfn.IFNA(J93, 0)</f>
        <v>0</v>
      </c>
      <c r="Z14" s="69" cm="1">
        <f t="array" ref="Z14">_xlfn.BYROW(B58, _xlfn.LAMBDA(_xlpm.party,
   SUMIFS(ledger!J:J, ledger!B:B, _xlpm.party, ledger!E:E, "&lt;&gt;*RD*", ledger!D:D, "Black-Chamki", ledger!C:C, "&lt;&gt;November Closing CF")
))+ _xlfn.IFNA(K93, 0)</f>
        <v>0</v>
      </c>
      <c r="AA14" s="69" cm="1">
        <f t="array" ref="AA14">_xlfn.BYROW(B58, _xlfn.LAMBDA(_xlpm.party,
   SUMIFS(ledger!J:J, ledger!B:B, _xlpm.party, ledger!E:E, "&lt;&gt;*RD*", ledger!D:D, "Kataan", ledger!C:C, "&lt;&gt;November Closing CF")
))+ _xlfn.IFNA(L93, 0)</f>
        <v>0</v>
      </c>
      <c r="AB14" s="69"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69"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69" cm="1">
        <f t="array" ref="W15">_xlfn.BYROW(B59, _xlfn.LAMBDA(_xlpm.party,
   SUMIFS(ledger!J:J, ledger!B:B, _xlpm.party, ledger!E:E, "&lt;&gt;*RD*", ledger!D:D, "Silky", ledger!C:C, "&lt;&gt;November Closing CF")
)) + _xlfn.IFNA(H94, 0)</f>
        <v>0</v>
      </c>
      <c r="X15" s="69" cm="1">
        <f t="array" ref="X15">_xlfn.BYROW(B59, _xlfn.LAMBDA(_xlpm.party,
   SUMIFS(ledger!J:J, ledger!B:B, _xlpm.party, ledger!E:E, "&lt;&gt;*RD*", ledger!D:D, "Slub", ledger!C:C, "&lt;&gt;November Closing CF")
))+ _xlfn.IFNA(I94, 0)</f>
        <v>0</v>
      </c>
      <c r="Y15" s="69" cm="1">
        <f t="array" ref="Y15">_xlfn.BYROW(B59, _xlfn.LAMBDA(_xlpm.party,
   SUMIFS(ledger!J:J, ledger!B:B, _xlpm.party, ledger!E:E, "&lt;&gt;*RD*", ledger!D:D, "Satin", ledger!C:C, "&lt;&gt;November Closing CF")
))+ _xlfn.IFNA(J94, 0)</f>
        <v>0</v>
      </c>
      <c r="Z15" s="69" cm="1">
        <f t="array" ref="Z15">_xlfn.BYROW(B59, _xlfn.LAMBDA(_xlpm.party,
   SUMIFS(ledger!J:J, ledger!B:B, _xlpm.party, ledger!E:E, "&lt;&gt;*RD*", ledger!D:D, "Black-Chamki", ledger!C:C, "&lt;&gt;November Closing CF")
))+ _xlfn.IFNA(K94, 0)</f>
        <v>0</v>
      </c>
      <c r="AA15" s="69" cm="1">
        <f t="array" ref="AA15">_xlfn.BYROW(B59, _xlfn.LAMBDA(_xlpm.party,
   SUMIFS(ledger!J:J, ledger!B:B, _xlpm.party, ledger!E:E, "&lt;&gt;*RD*", ledger!D:D, "Kataan", ledger!C:C, "&lt;&gt;November Closing CF")
))+ _xlfn.IFNA(L94, 0)</f>
        <v>0</v>
      </c>
      <c r="AB15" s="69"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69"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69" cm="1">
        <f t="array" ref="W16">_xlfn.BYROW(B60, _xlfn.LAMBDA(_xlpm.party,
   SUMIFS(ledger!J:J, ledger!B:B, _xlpm.party, ledger!E:E, "&lt;&gt;*RD*", ledger!D:D, "Silky", ledger!C:C, "&lt;&gt;November Closing CF")
)) + _xlfn.IFNA(H95, 0)</f>
        <v>1776019.5683979518</v>
      </c>
      <c r="X16" s="69" cm="1">
        <f t="array" ref="X16">_xlfn.BYROW(B60, _xlfn.LAMBDA(_xlpm.party,
   SUMIFS(ledger!J:J, ledger!B:B, _xlpm.party, ledger!E:E, "&lt;&gt;*RD*", ledger!D:D, "Slub", ledger!C:C, "&lt;&gt;November Closing CF")
))+ _xlfn.IFNA(I95, 0)</f>
        <v>0</v>
      </c>
      <c r="Y16" s="69" cm="1">
        <f t="array" ref="Y16">_xlfn.BYROW(B60, _xlfn.LAMBDA(_xlpm.party,
   SUMIFS(ledger!J:J, ledger!B:B, _xlpm.party, ledger!E:E, "&lt;&gt;*RD*", ledger!D:D, "Satin", ledger!C:C, "&lt;&gt;November Closing CF")
))+ _xlfn.IFNA(J95, 0)</f>
        <v>0</v>
      </c>
      <c r="Z16" s="69" cm="1">
        <f t="array" ref="Z16">_xlfn.BYROW(B60, _xlfn.LAMBDA(_xlpm.party,
   SUMIFS(ledger!J:J, ledger!B:B, _xlpm.party, ledger!E:E, "&lt;&gt;*RD*", ledger!D:D, "Black-Chamki", ledger!C:C, "&lt;&gt;November Closing CF")
))+ _xlfn.IFNA(K95, 0)</f>
        <v>0</v>
      </c>
      <c r="AA16" s="69" cm="1">
        <f t="array" ref="AA16">_xlfn.BYROW(B60, _xlfn.LAMBDA(_xlpm.party,
   SUMIFS(ledger!J:J, ledger!B:B, _xlpm.party, ledger!E:E, "&lt;&gt;*RD*", ledger!D:D, "Kataan", ledger!C:C, "&lt;&gt;November Closing CF")
))+ _xlfn.IFNA(L95, 0)</f>
        <v>0</v>
      </c>
      <c r="AB16" s="69"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69"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69" cm="1">
        <f t="array" ref="W17">_xlfn.BYROW(B61, _xlfn.LAMBDA(_xlpm.party,
   SUMIFS(ledger!J:J, ledger!B:B, _xlpm.party, ledger!E:E, "&lt;&gt;*RD*", ledger!D:D, "Silky", ledger!C:C, "&lt;&gt;November Closing CF")
)) + _xlfn.IFNA(H96, 0)</f>
        <v>0</v>
      </c>
      <c r="X17" s="69" cm="1">
        <f t="array" ref="X17">_xlfn.BYROW(B61, _xlfn.LAMBDA(_xlpm.party,
   SUMIFS(ledger!J:J, ledger!B:B, _xlpm.party, ledger!E:E, "&lt;&gt;*RD*", ledger!D:D, "Slub", ledger!C:C, "&lt;&gt;November Closing CF")
))+ _xlfn.IFNA(I96, 0)</f>
        <v>0</v>
      </c>
      <c r="Y17" s="69" cm="1">
        <f t="array" ref="Y17">_xlfn.BYROW(B61, _xlfn.LAMBDA(_xlpm.party,
   SUMIFS(ledger!J:J, ledger!B:B, _xlpm.party, ledger!E:E, "&lt;&gt;*RD*", ledger!D:D, "Satin", ledger!C:C, "&lt;&gt;November Closing CF")
))+ _xlfn.IFNA(J96, 0)</f>
        <v>0</v>
      </c>
      <c r="Z17" s="69" cm="1">
        <f t="array" ref="Z17">_xlfn.BYROW(B61, _xlfn.LAMBDA(_xlpm.party,
   SUMIFS(ledger!J:J, ledger!B:B, _xlpm.party, ledger!E:E, "&lt;&gt;*RD*", ledger!D:D, "Black-Chamki", ledger!C:C, "&lt;&gt;November Closing CF")
))+ _xlfn.IFNA(K96, 0)</f>
        <v>0</v>
      </c>
      <c r="AA17" s="69" cm="1">
        <f t="array" ref="AA17">_xlfn.BYROW(B61, _xlfn.LAMBDA(_xlpm.party,
   SUMIFS(ledger!J:J, ledger!B:B, _xlpm.party, ledger!E:E, "&lt;&gt;*RD*", ledger!D:D, "Kataan", ledger!C:C, "&lt;&gt;November Closing CF")
))+ _xlfn.IFNA(L96, 0)</f>
        <v>0</v>
      </c>
      <c r="AB17" s="69"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69"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69" cm="1">
        <f t="array" ref="W18">_xlfn.BYROW(B62, _xlfn.LAMBDA(_xlpm.party,
   SUMIFS(ledger!J:J, ledger!B:B, _xlpm.party, ledger!E:E, "&lt;&gt;*RD*", ledger!D:D, "Silky", ledger!C:C, "&lt;&gt;November Closing CF")
)) + _xlfn.IFNA(H97, 0)</f>
        <v>0</v>
      </c>
      <c r="X18" s="69" cm="1">
        <f t="array" ref="X18">_xlfn.BYROW(B62, _xlfn.LAMBDA(_xlpm.party,
   SUMIFS(ledger!J:J, ledger!B:B, _xlpm.party, ledger!E:E, "&lt;&gt;*RD*", ledger!D:D, "Slub", ledger!C:C, "&lt;&gt;November Closing CF")
))+ _xlfn.IFNA(I97, 0)</f>
        <v>0</v>
      </c>
      <c r="Y18" s="69" cm="1">
        <f t="array" ref="Y18">_xlfn.BYROW(B62, _xlfn.LAMBDA(_xlpm.party,
   SUMIFS(ledger!J:J, ledger!B:B, _xlpm.party, ledger!E:E, "&lt;&gt;*RD*", ledger!D:D, "Satin", ledger!C:C, "&lt;&gt;November Closing CF")
))+ _xlfn.IFNA(J97, 0)</f>
        <v>0</v>
      </c>
      <c r="Z18" s="69" cm="1">
        <f t="array" ref="Z18">_xlfn.BYROW(B62, _xlfn.LAMBDA(_xlpm.party,
   SUMIFS(ledger!J:J, ledger!B:B, _xlpm.party, ledger!E:E, "&lt;&gt;*RD*", ledger!D:D, "Black-Chamki", ledger!C:C, "&lt;&gt;November Closing CF")
))+ _xlfn.IFNA(K97, 0)</f>
        <v>0</v>
      </c>
      <c r="AA18" s="69" cm="1">
        <f t="array" ref="AA18">_xlfn.BYROW(B62, _xlfn.LAMBDA(_xlpm.party,
   SUMIFS(ledger!J:J, ledger!B:B, _xlpm.party, ledger!E:E, "&lt;&gt;*RD*", ledger!D:D, "Kataan", ledger!C:C, "&lt;&gt;November Closing CF")
))+ _xlfn.IFNA(L97, 0)</f>
        <v>0</v>
      </c>
      <c r="AB18" s="69"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7"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69"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69" cm="1">
        <f t="array" ref="W19">_xlfn.BYROW(B63, _xlfn.LAMBDA(_xlpm.party,
   SUMIFS(ledger!J:J, ledger!B:B, _xlpm.party, ledger!E:E, "&lt;&gt;*RD*", ledger!D:D, "Silky", ledger!C:C, "&lt;&gt;November Closing CF")
)) + _xlfn.IFNA(H98, 0)</f>
        <v>0</v>
      </c>
      <c r="X19" s="69" cm="1">
        <f t="array" ref="X19">_xlfn.BYROW(B63, _xlfn.LAMBDA(_xlpm.party,
   SUMIFS(ledger!J:J, ledger!B:B, _xlpm.party, ledger!E:E, "&lt;&gt;*RD*", ledger!D:D, "Slub", ledger!C:C, "&lt;&gt;November Closing CF")
))+ _xlfn.IFNA(I98, 0)</f>
        <v>0</v>
      </c>
      <c r="Y19" s="69" cm="1">
        <f t="array" ref="Y19">_xlfn.BYROW(B63, _xlfn.LAMBDA(_xlpm.party,
   SUMIFS(ledger!J:J, ledger!B:B, _xlpm.party, ledger!E:E, "&lt;&gt;*RD*", ledger!D:D, "Satin", ledger!C:C, "&lt;&gt;November Closing CF")
))+ _xlfn.IFNA(J98, 0)</f>
        <v>0</v>
      </c>
      <c r="Z19" s="69" cm="1">
        <f t="array" ref="Z19">_xlfn.BYROW(B63, _xlfn.LAMBDA(_xlpm.party,
   SUMIFS(ledger!J:J, ledger!B:B, _xlpm.party, ledger!E:E, "&lt;&gt;*RD*", ledger!D:D, "Black-Chamki", ledger!C:C, "&lt;&gt;November Closing CF")
))+ _xlfn.IFNA(K98, 0)</f>
        <v>0</v>
      </c>
      <c r="AA19" s="69" cm="1">
        <f t="array" ref="AA19">_xlfn.BYROW(B63, _xlfn.LAMBDA(_xlpm.party,
   SUMIFS(ledger!J:J, ledger!B:B, _xlpm.party, ledger!E:E, "&lt;&gt;*RD*", ledger!D:D, "Kataan", ledger!C:C, "&lt;&gt;November Closing CF")
))+ _xlfn.IFNA(L98, 0)</f>
        <v>0</v>
      </c>
      <c r="AB19" s="69"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7"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69"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69" cm="1">
        <f t="array" ref="W20">_xlfn.BYROW(B64, _xlfn.LAMBDA(_xlpm.party,
   SUMIFS(ledger!J:J, ledger!B:B, _xlpm.party, ledger!E:E, "&lt;&gt;*RD*", ledger!D:D, "Silky", ledger!C:C, "&lt;&gt;November Closing CF")
)) + _xlfn.IFNA(H99, 0)</f>
        <v>120026.51792245793</v>
      </c>
      <c r="X20" s="69" cm="1">
        <f t="array" ref="X20">_xlfn.BYROW(B64, _xlfn.LAMBDA(_xlpm.party,
   SUMIFS(ledger!J:J, ledger!B:B, _xlpm.party, ledger!E:E, "&lt;&gt;*RD*", ledger!D:D, "Slub", ledger!C:C, "&lt;&gt;November Closing CF")
))+ _xlfn.IFNA(I99, 0)</f>
        <v>0</v>
      </c>
      <c r="Y20" s="69" cm="1">
        <f t="array" ref="Y20">_xlfn.BYROW(B64, _xlfn.LAMBDA(_xlpm.party,
   SUMIFS(ledger!J:J, ledger!B:B, _xlpm.party, ledger!E:E, "&lt;&gt;*RD*", ledger!D:D, "Satin", ledger!C:C, "&lt;&gt;November Closing CF")
))+ _xlfn.IFNA(J99, 0)</f>
        <v>0</v>
      </c>
      <c r="Z20" s="69" cm="1">
        <f t="array" ref="Z20">_xlfn.BYROW(B64, _xlfn.LAMBDA(_xlpm.party,
   SUMIFS(ledger!J:J, ledger!B:B, _xlpm.party, ledger!E:E, "&lt;&gt;*RD*", ledger!D:D, "Black-Chamki", ledger!C:C, "&lt;&gt;November Closing CF")
))+ _xlfn.IFNA(K99, 0)</f>
        <v>0</v>
      </c>
      <c r="AA20" s="69" cm="1">
        <f t="array" ref="AA20">_xlfn.BYROW(B64, _xlfn.LAMBDA(_xlpm.party,
   SUMIFS(ledger!J:J, ledger!B:B, _xlpm.party, ledger!E:E, "&lt;&gt;*RD*", ledger!D:D, "Kataan", ledger!C:C, "&lt;&gt;November Closing CF")
))+ _xlfn.IFNA(L99, 0)</f>
        <v>0</v>
      </c>
      <c r="AB20" s="69"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18749463.07973665</v>
      </c>
      <c r="D21" t="s">
        <v>30</v>
      </c>
      <c r="I21" t="s">
        <v>183</v>
      </c>
      <c r="Q21" s="98"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69"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69" cm="1">
        <f t="array" ref="W21">_xlfn.BYROW(B65, _xlfn.LAMBDA(_xlpm.party,
   SUMIFS(ledger!J:J, ledger!B:B, _xlpm.party, ledger!E:E, "&lt;&gt;*RD*", ledger!D:D, "Silky", ledger!C:C, "&lt;&gt;November Closing CF")
)) + _xlfn.IFNA(H100, 0)</f>
        <v>5179636.9787856629</v>
      </c>
      <c r="X21" s="69" cm="1">
        <f t="array" ref="X21">_xlfn.BYROW(B65, _xlfn.LAMBDA(_xlpm.party,
   SUMIFS(ledger!J:J, ledger!B:B, _xlpm.party, ledger!E:E, "&lt;&gt;*RD*", ledger!D:D, "Slub", ledger!C:C, "&lt;&gt;November Closing CF")
))+ _xlfn.IFNA(I100, 0)</f>
        <v>44550.109729334312</v>
      </c>
      <c r="Y21" s="69" cm="1">
        <f t="array" ref="Y21">_xlfn.BYROW(B65, _xlfn.LAMBDA(_xlpm.party,
   SUMIFS(ledger!J:J, ledger!B:B, _xlpm.party, ledger!E:E, "&lt;&gt;*RD*", ledger!D:D, "Satin", ledger!C:C, "&lt;&gt;November Closing CF")
))+ _xlfn.IFNA(J100, 0)</f>
        <v>0</v>
      </c>
      <c r="Z21" s="69" cm="1">
        <f t="array" ref="Z21">_xlfn.BYROW(B65, _xlfn.LAMBDA(_xlpm.party,
   SUMIFS(ledger!J:J, ledger!B:B, _xlpm.party, ledger!E:E, "&lt;&gt;*RD*", ledger!D:D, "Black-Chamki", ledger!C:C, "&lt;&gt;November Closing CF")
))+ _xlfn.IFNA(K100, 0)</f>
        <v>0</v>
      </c>
      <c r="AA21" s="69" cm="1">
        <f t="array" ref="AA21">_xlfn.BYROW(B65, _xlfn.LAMBDA(_xlpm.party,
   SUMIFS(ledger!J:J, ledger!B:B, _xlpm.party, ledger!E:E, "&lt;&gt;*RD*", ledger!D:D, "Kataan", ledger!C:C, "&lt;&gt;November Closing CF")
))+ _xlfn.IFNA(L100, 0)</f>
        <v>0</v>
      </c>
      <c r="AB21" s="69"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192</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69"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69" cm="1">
        <f t="array" ref="W22">_xlfn.BYROW(B66, _xlfn.LAMBDA(_xlpm.party,
   SUMIFS(ledger!J:J, ledger!B:B, _xlpm.party, ledger!E:E, "&lt;&gt;*RD*", ledger!D:D, "Silky", ledger!C:C, "&lt;&gt;November Closing CF")
)) + _xlfn.IFNA(H101, 0)</f>
        <v>98355.888807607917</v>
      </c>
      <c r="X22" s="69" cm="1">
        <f t="array" ref="X22">_xlfn.BYROW(B66, _xlfn.LAMBDA(_xlpm.party,
   SUMIFS(ledger!J:J, ledger!B:B, _xlpm.party, ledger!E:E, "&lt;&gt;*RD*", ledger!D:D, "Slub", ledger!C:C, "&lt;&gt;November Closing CF")
))+ _xlfn.IFNA(I101, 0)</f>
        <v>0</v>
      </c>
      <c r="Y22" s="69" cm="1">
        <f t="array" ref="Y22">_xlfn.BYROW(B66, _xlfn.LAMBDA(_xlpm.party,
   SUMIFS(ledger!J:J, ledger!B:B, _xlpm.party, ledger!E:E, "&lt;&gt;*RD*", ledger!D:D, "Satin", ledger!C:C, "&lt;&gt;November Closing CF")
))+ _xlfn.IFNA(J101, 0)</f>
        <v>94656.181419166067</v>
      </c>
      <c r="Z22" s="69" cm="1">
        <f t="array" ref="Z22">_xlfn.BYROW(B66, _xlfn.LAMBDA(_xlpm.party,
   SUMIFS(ledger!J:J, ledger!B:B, _xlpm.party, ledger!E:E, "&lt;&gt;*RD*", ledger!D:D, "Black-Chamki", ledger!C:C, "&lt;&gt;November Closing CF")
))+ _xlfn.IFNA(K101, 0)</f>
        <v>0</v>
      </c>
      <c r="AA22" s="69" cm="1">
        <f t="array" ref="AA22">_xlfn.BYROW(B66, _xlfn.LAMBDA(_xlpm.party,
   SUMIFS(ledger!J:J, ledger!B:B, _xlpm.party, ledger!E:E, "&lt;&gt;*RD*", ledger!D:D, "Kataan", ledger!C:C, "&lt;&gt;November Closing CF")
))+ _xlfn.IFNA(L101, 0)</f>
        <v>0</v>
      </c>
      <c r="AB22" s="69"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18749463.07973665</v>
      </c>
      <c r="D23" t="s">
        <v>32</v>
      </c>
      <c r="I23" t="s">
        <v>195</v>
      </c>
      <c r="Q23" s="21" t="str">
        <v>Amjad sohail</v>
      </c>
      <c r="R23" s="22" cm="1">
        <f t="array" ref="R23">_xlfn.BYROW(B67,_xlfn.LAMBDA(_xlpm.party,SUMIFS(ledger!G:G,ledger!B:B,_xlpm.party,ledger!E:E,"&lt;&gt;*RD*")))+_xlfn.IFNA(C102,0)</f>
        <v>320608</v>
      </c>
      <c r="S23" s="22" cm="1">
        <f t="array" ref="S23">_xlfn.BYROW(B67, _xlfn.LAMBDA(_xlpm.party, SUMIFS(ledger!G:G, ledger!B:B, _xlpm.party, ledger!E:E, "&lt;&gt;*RD*") / 1.0936 ))+_xlfn.IFNA(D102,0)</f>
        <v>293167.52011704462</v>
      </c>
      <c r="T23" s="22" cm="1">
        <f t="array" ref="T23">(_xlfn.BYROW(B67,_xlfn.LAMBDA(_xlpm.party,SUMIFS(ledger!G:G,ledger!B:B,_xlpm.party,ledger!E:E,"&lt;&gt;*RD*",ledger!D:D,"Chamki")+SUMIFS(ledger!G:G, ledger!B:B, _xlpm.party, ledger!E:E, "&lt;&gt;*RD*", ledger!D:D, "Crinkle")))/1.0936)+_xlfn.IFNA(E102,0)</f>
        <v>249333.39429407462</v>
      </c>
      <c r="U23" s="69"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2493333.9429407464</v>
      </c>
      <c r="W23" s="69" cm="1">
        <f t="array" ref="W23">_xlfn.BYROW(B67, _xlfn.LAMBDA(_xlpm.party,
   SUMIFS(ledger!J:J, ledger!B:B, _xlpm.party, ledger!E:E, "&lt;&gt;*RD*", ledger!D:D, "Silky", ledger!C:C, "&lt;&gt;November Closing CF")
)) + _xlfn.IFNA(H102, 0)</f>
        <v>569843.63569861022</v>
      </c>
      <c r="X23" s="69" cm="1">
        <f t="array" ref="X23">_xlfn.BYROW(B67, _xlfn.LAMBDA(_xlpm.party,
   SUMIFS(ledger!J:J, ledger!B:B, _xlpm.party, ledger!E:E, "&lt;&gt;*RD*", ledger!D:D, "Slub", ledger!C:C, "&lt;&gt;November Closing CF")
))+ _xlfn.IFNA(I102, 0)</f>
        <v>0</v>
      </c>
      <c r="Y23" s="69" cm="1">
        <f t="array" ref="Y23">_xlfn.BYROW(B67, _xlfn.LAMBDA(_xlpm.party,
   SUMIFS(ledger!J:J, ledger!B:B, _xlpm.party, ledger!E:E, "&lt;&gt;*RD*", ledger!D:D, "Satin", ledger!C:C, "&lt;&gt;November Closing CF")
))+ _xlfn.IFNA(J102, 0)</f>
        <v>0</v>
      </c>
      <c r="Z23" s="69" cm="1">
        <f t="array" ref="Z23">_xlfn.BYROW(B67, _xlfn.LAMBDA(_xlpm.party,
   SUMIFS(ledger!J:J, ledger!B:B, _xlpm.party, ledger!E:E, "&lt;&gt;*RD*", ledger!D:D, "Black-Chamki", ledger!C:C, "&lt;&gt;November Closing CF")
))+ _xlfn.IFNA(K102, 0)</f>
        <v>0</v>
      </c>
      <c r="AA23" s="69" cm="1">
        <f t="array" ref="AA23">_xlfn.BYROW(B67, _xlfn.LAMBDA(_xlpm.party,
   SUMIFS(ledger!J:J, ledger!B:B, _xlpm.party, ledger!E:E, "&lt;&gt;*RD*", ledger!D:D, "Kataan", ledger!C:C, "&lt;&gt;November Closing CF")
))+ _xlfn.IFNA(L102, 0)</f>
        <v>0</v>
      </c>
      <c r="AB23" s="69" cm="1">
        <f t="array" ref="AB23">_xlfn.BYROW(B67, _xlfn.LAMBDA(_xlpm.party,
   SUMIFS(ledger!J:J, ledger!B:B, _xlpm.party, ledger!E:E, "&lt;&gt;*RD*", ledger!D:D, "Munaar", ledger!C:C, "&lt;&gt;November Closing CF")
))+ _xlfn.IFNA(M102, 0)</f>
        <v>0</v>
      </c>
      <c r="AC23" s="39">
        <f t="shared" si="1"/>
        <v>3063177.5786393564</v>
      </c>
      <c r="AD23" s="22">
        <f>(SUMIF(Table14[Party],Q23,Table14[Credit]))+_xlfn.IFNA(O102,0)</f>
        <v>2709310</v>
      </c>
      <c r="AE23" s="33">
        <f t="shared" si="2"/>
        <v>353867.57863935642</v>
      </c>
      <c r="AF23" s="21">
        <v>10</v>
      </c>
      <c r="AG23" s="21">
        <v>13</v>
      </c>
    </row>
    <row r="24" spans="2:33" x14ac:dyDescent="0.3">
      <c r="I24" t="s">
        <v>194</v>
      </c>
      <c r="Q24" t="str">
        <v>Salman Zaffar</v>
      </c>
      <c r="R24" s="22" cm="1">
        <f t="array" ref="R24">_xlfn.BYROW(B68,_xlfn.LAMBDA(_xlpm.party,SUMIFS(ledger!G:G,ledger!B:B,_xlpm.party,ledger!E:E,"&lt;&gt;*RD*")))+_xlfn.IFNA(C103,0)</f>
        <v>275656</v>
      </c>
      <c r="S24" s="22" cm="1">
        <f t="array" ref="S24">_xlfn.BYROW(B68, _xlfn.LAMBDA(_xlpm.party, SUMIFS(ledger!G:G, ledger!B:B, _xlpm.party, ledger!E:E, "&lt;&gt;*RD*") / 1.0936 ))+_xlfn.IFNA(D103,0)</f>
        <v>252062.91148500369</v>
      </c>
      <c r="T24" s="22" cm="1">
        <f t="array" ref="T24">(_xlfn.BYROW(B68,_xlfn.LAMBDA(_xlpm.party,SUMIFS(ledger!G:G,ledger!B:B,_xlpm.party,ledger!E:E,"&lt;&gt;*RD*",ledger!D:D,"Chamki")+SUMIFS(ledger!G:G, ledger!B:B, _xlpm.party, ledger!E:E, "&lt;&gt;*RD*", ledger!D:D, "Crinkle")))/1.0936)+_xlfn.IFNA(E103,0)</f>
        <v>52616.130212143384</v>
      </c>
      <c r="U24" s="69"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69" cm="1">
        <f t="array" ref="W24">_xlfn.BYROW(B68, _xlfn.LAMBDA(_xlpm.party,
   SUMIFS(ledger!J:J, ledger!B:B, _xlpm.party, ledger!E:E, "&lt;&gt;*RD*", ledger!D:D, "Silky", ledger!C:C, "&lt;&gt;November Closing CF")
)) + _xlfn.IFNA(H103, 0)</f>
        <v>408318.39795171918</v>
      </c>
      <c r="X24" s="69" cm="1">
        <f t="array" ref="X24">_xlfn.BYROW(B68, _xlfn.LAMBDA(_xlpm.party,
   SUMIFS(ledger!J:J, ledger!B:B, _xlpm.party, ledger!E:E, "&lt;&gt;*RD*", ledger!D:D, "Slub", ledger!C:C, "&lt;&gt;November Closing CF")
))+ _xlfn.IFNA(I103, 0)</f>
        <v>0</v>
      </c>
      <c r="Y24" s="69" cm="1">
        <f t="array" ref="Y24">_xlfn.BYROW(B68, _xlfn.LAMBDA(_xlpm.party,
   SUMIFS(ledger!J:J, ledger!B:B, _xlpm.party, ledger!E:E, "&lt;&gt;*RD*", ledger!D:D, "Satin", ledger!C:C, "&lt;&gt;November Closing CF")
))+ _xlfn.IFNA(J103, 0)</f>
        <v>0</v>
      </c>
      <c r="Z24" s="69" cm="1">
        <f t="array" ref="Z24">_xlfn.BYROW(B68, _xlfn.LAMBDA(_xlpm.party,
   SUMIFS(ledger!J:J, ledger!B:B, _xlpm.party, ledger!E:E, "&lt;&gt;*RD*", ledger!D:D, "Black-Chamki", ledger!C:C, "&lt;&gt;November Closing CF")
))+ _xlfn.IFNA(K103, 0)</f>
        <v>161653.2553035845</v>
      </c>
      <c r="AA24" s="69" cm="1">
        <f t="array" ref="AA24">_xlfn.BYROW(B68, _xlfn.LAMBDA(_xlpm.party,
   SUMIFS(ledger!J:J, ledger!B:B, _xlpm.party, ledger!E:E, "&lt;&gt;*RD*", ledger!D:D, "Kataan", ledger!C:C, "&lt;&gt;November Closing CF")
))+ _xlfn.IFNA(L103, 0)</f>
        <v>1545665.6912948061</v>
      </c>
      <c r="AB24" s="69" cm="1">
        <f t="array" ref="AB24">_xlfn.BYROW(B68, _xlfn.LAMBDA(_xlpm.party,
   SUMIFS(ledger!J:J, ledger!B:B, _xlpm.party, ledger!E:E, "&lt;&gt;*RD*", ledger!D:D, "Munaar", ledger!C:C, "&lt;&gt;November Closing CF")
))+ _xlfn.IFNA(M103, 0)</f>
        <v>0</v>
      </c>
      <c r="AC24" s="39">
        <f t="shared" si="1"/>
        <v>2641798.6466715438</v>
      </c>
      <c r="AD24" s="22">
        <f>(SUMIF(Table14[Party],Q24,Table14[Credit]))+_xlfn.IFNA(O103,0)</f>
        <v>2146025</v>
      </c>
      <c r="AE24" s="33">
        <f t="shared" si="2"/>
        <v>495773.64667154383</v>
      </c>
      <c r="AF24" s="21">
        <v>10</v>
      </c>
      <c r="AG24" s="21">
        <v>13</v>
      </c>
    </row>
    <row r="25" spans="2:33" x14ac:dyDescent="0.3">
      <c r="I25" t="s">
        <v>200</v>
      </c>
      <c r="Q25" t="str">
        <v>Shahid Qasayi</v>
      </c>
      <c r="R25" s="22" cm="1">
        <f t="array" ref="R25">_xlfn.BYROW(B69,_xlfn.LAMBDA(_xlpm.party,SUMIFS(ledger!G:G,ledger!B:B,_xlpm.party,ledger!E:E,"&lt;&gt;*RD*")))+_xlfn.IFNA(C104,0)</f>
        <v>315508</v>
      </c>
      <c r="S25" s="22" cm="1">
        <f t="array" ref="S25">_xlfn.BYROW(B69, _xlfn.LAMBDA(_xlpm.party, SUMIFS(ledger!G:G, ledger!B:B, _xlpm.party, ledger!E:E, "&lt;&gt;*RD*") / 1.0936 ))+_xlfn.IFNA(D104,0)</f>
        <v>288504.0234089247</v>
      </c>
      <c r="T25" s="22" cm="1">
        <f t="array" ref="T25">(_xlfn.BYROW(B69,_xlfn.LAMBDA(_xlpm.party,SUMIFS(ledger!G:G,ledger!B:B,_xlpm.party,ledger!E:E,"&lt;&gt;*RD*",ledger!D:D,"Chamki")+SUMIFS(ledger!G:G, ledger!B:B, _xlpm.party, ledger!E:E, "&lt;&gt;*RD*", ledger!D:D, "Crinkle")))/1.0936)+_xlfn.IFNA(E104,0)</f>
        <v>238964.88661302123</v>
      </c>
      <c r="U25" s="69"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2389648.8661302123</v>
      </c>
      <c r="W25" s="69" cm="1">
        <f t="array" ref="W25">_xlfn.BYROW(B69, _xlfn.LAMBDA(_xlpm.party,
   SUMIFS(ledger!J:J, ledger!B:B, _xlpm.party, ledger!E:E, "&lt;&gt;*RD*", ledger!D:D, "Silky", ledger!C:C, "&lt;&gt;November Closing CF")
)) + _xlfn.IFNA(H104, 0)</f>
        <v>0</v>
      </c>
      <c r="X25" s="69" cm="1">
        <f t="array" ref="X25">_xlfn.BYROW(B69, _xlfn.LAMBDA(_xlpm.party,
   SUMIFS(ledger!J:J, ledger!B:B, _xlpm.party, ledger!E:E, "&lt;&gt;*RD*", ledger!D:D, "Slub", ledger!C:C, "&lt;&gt;November Closing CF")
))+ _xlfn.IFNA(I104, 0)</f>
        <v>0</v>
      </c>
      <c r="Y25" s="69" cm="1">
        <f t="array" ref="Y25">_xlfn.BYROW(B69, _xlfn.LAMBDA(_xlpm.party,
   SUMIFS(ledger!J:J, ledger!B:B, _xlpm.party, ledger!E:E, "&lt;&gt;*RD*", ledger!D:D, "Satin", ledger!C:C, "&lt;&gt;November Closing CF")
))+ _xlfn.IFNA(J104, 0)</f>
        <v>0</v>
      </c>
      <c r="Z25" s="69" cm="1">
        <f t="array" ref="Z25">_xlfn.BYROW(B69, _xlfn.LAMBDA(_xlpm.party,
   SUMIFS(ledger!J:J, ledger!B:B, _xlpm.party, ledger!E:E, "&lt;&gt;*RD*", ledger!D:D, "Black-Chamki", ledger!C:C, "&lt;&gt;November Closing CF")
))+ _xlfn.IFNA(K104, 0)</f>
        <v>23767.373811265548</v>
      </c>
      <c r="AA25" s="69" cm="1">
        <f t="array" ref="AA25">_xlfn.BYROW(B69, _xlfn.LAMBDA(_xlpm.party,
   SUMIFS(ledger!J:J, ledger!B:B, _xlpm.party, ledger!E:E, "&lt;&gt;*RD*", ledger!D:D, "Kataan", ledger!C:C, "&lt;&gt;November Closing CF")
))+ _xlfn.IFNA(L104, 0)</f>
        <v>523143.74542794435</v>
      </c>
      <c r="AB25" s="69" cm="1">
        <f t="array" ref="AB25">_xlfn.BYROW(B69, _xlfn.LAMBDA(_xlpm.party,
   SUMIFS(ledger!J:J, ledger!B:B, _xlpm.party, ledger!E:E, "&lt;&gt;*RD*", ledger!D:D, "Munaar", ledger!C:C, "&lt;&gt;November Closing CF")
))+ _xlfn.IFNA(M104, 0)</f>
        <v>0</v>
      </c>
      <c r="AC25" s="39">
        <f>V25+W25+X25+Y25+Z25+AA25+AB25</f>
        <v>2936559.985369422</v>
      </c>
      <c r="AD25" s="22">
        <f>(SUMIF(Table14[Party],Q25,Table14[Credit]))+_xlfn.IFNA(O104,0)</f>
        <v>2761895</v>
      </c>
      <c r="AE25" s="33">
        <f t="shared" si="2"/>
        <v>174664.98536942201</v>
      </c>
      <c r="AF25" s="21">
        <v>10</v>
      </c>
      <c r="AG25" s="21">
        <v>13</v>
      </c>
    </row>
    <row r="26" spans="2:33" x14ac:dyDescent="0.3">
      <c r="I26" t="s">
        <v>205</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69"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69" cm="1">
        <f t="array" ref="W26">_xlfn.BYROW(B70, _xlfn.LAMBDA(_xlpm.party,
   SUMIFS(ledger!J:J, ledger!B:B, _xlpm.party, ledger!E:E, "&lt;&gt;*RD*", ledger!D:D, "Silky", ledger!C:C, "&lt;&gt;November Closing CF")
)) + _xlfn.IFNA(H105, 0)</f>
        <v>0</v>
      </c>
      <c r="X26" s="69" cm="1">
        <f t="array" ref="X26">_xlfn.BYROW(B70, _xlfn.LAMBDA(_xlpm.party,
   SUMIFS(ledger!J:J, ledger!B:B, _xlpm.party, ledger!E:E, "&lt;&gt;*RD*", ledger!D:D, "Slub", ledger!C:C, "&lt;&gt;November Closing CF")
))+ _xlfn.IFNA(I105, 0)</f>
        <v>0</v>
      </c>
      <c r="Y26" s="69" cm="1">
        <f t="array" ref="Y26">_xlfn.BYROW(B70, _xlfn.LAMBDA(_xlpm.party,
   SUMIFS(ledger!J:J, ledger!B:B, _xlpm.party, ledger!E:E, "&lt;&gt;*RD*", ledger!D:D, "Satin", ledger!C:C, "&lt;&gt;November Closing CF")
))+ _xlfn.IFNA(J105, 0)</f>
        <v>0</v>
      </c>
      <c r="Z26" s="69" cm="1">
        <f t="array" ref="Z26">_xlfn.BYROW(B70, _xlfn.LAMBDA(_xlpm.party,
   SUMIFS(ledger!J:J, ledger!B:B, _xlpm.party, ledger!E:E, "&lt;&gt;*RD*", ledger!D:D, "Black-Chamki", ledger!C:C, "&lt;&gt;November Closing CF")
))+ _xlfn.IFNA(K105, 0)</f>
        <v>0</v>
      </c>
      <c r="AA26" s="69" cm="1">
        <f t="array" ref="AA26">_xlfn.BYROW(B70, _xlfn.LAMBDA(_xlpm.party,
   SUMIFS(ledger!J:J, ledger!B:B, _xlpm.party, ledger!E:E, "&lt;&gt;*RD*", ledger!D:D, "Kataan", ledger!C:C, "&lt;&gt;November Closing CF")
))+ _xlfn.IFNA(L105, 0)</f>
        <v>0</v>
      </c>
      <c r="AB26" s="69"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207</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69"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69" cm="1">
        <f t="array" ref="W27">_xlfn.BYROW(B71, _xlfn.LAMBDA(_xlpm.party,
   SUMIFS(ledger!J:J, ledger!B:B, _xlpm.party, ledger!E:E, "&lt;&gt;*RD*", ledger!D:D, "Silky", ledger!C:C, "&lt;&gt;November Closing CF")
)) + _xlfn.IFNA(H106, 0)</f>
        <v>792945.31821506959</v>
      </c>
      <c r="X27" s="69" cm="1">
        <f t="array" ref="X27">_xlfn.BYROW(B71, _xlfn.LAMBDA(_xlpm.party,
   SUMIFS(ledger!J:J, ledger!B:B, _xlpm.party, ledger!E:E, "&lt;&gt;*RD*", ledger!D:D, "Slub", ledger!C:C, "&lt;&gt;November Closing CF")
))+ _xlfn.IFNA(I106, 0)</f>
        <v>0</v>
      </c>
      <c r="Y27" s="69" cm="1">
        <f t="array" ref="Y27">_xlfn.BYROW(B71, _xlfn.LAMBDA(_xlpm.party,
   SUMIFS(ledger!J:J, ledger!B:B, _xlpm.party, ledger!E:E, "&lt;&gt;*RD*", ledger!D:D, "Satin", ledger!C:C, "&lt;&gt;November Closing CF")
))+ _xlfn.IFNA(J106, 0)</f>
        <v>0</v>
      </c>
      <c r="Z27" s="69" cm="1">
        <f t="array" ref="Z27">_xlfn.BYROW(B71, _xlfn.LAMBDA(_xlpm.party,
   SUMIFS(ledger!J:J, ledger!B:B, _xlpm.party, ledger!E:E, "&lt;&gt;*RD*", ledger!D:D, "Black-Chamki", ledger!C:C, "&lt;&gt;November Closing CF")
))+ _xlfn.IFNA(K106, 0)</f>
        <v>0</v>
      </c>
      <c r="AA27" s="69" cm="1">
        <f t="array" ref="AA27">_xlfn.BYROW(B71, _xlfn.LAMBDA(_xlpm.party,
   SUMIFS(ledger!J:J, ledger!B:B, _xlpm.party, ledger!E:E, "&lt;&gt;*RD*", ledger!D:D, "Kataan", ledger!C:C, "&lt;&gt;November Closing CF")
))+ _xlfn.IFNA(L106, 0)</f>
        <v>0</v>
      </c>
      <c r="AB27" s="69"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69"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69" cm="1">
        <f t="array" ref="W28">_xlfn.BYROW(B72, _xlfn.LAMBDA(_xlpm.party,
   SUMIFS(ledger!J:J, ledger!B:B, _xlpm.party, ledger!E:E, "&lt;&gt;*RD*", ledger!D:D, "Silky", ledger!C:C, "&lt;&gt;November Closing CF")
)) + _xlfn.IFNA(H107, 0)</f>
        <v>0</v>
      </c>
      <c r="X28" s="69" cm="1">
        <f t="array" ref="X28">_xlfn.BYROW(B72, _xlfn.LAMBDA(_xlpm.party,
   SUMIFS(ledger!J:J, ledger!B:B, _xlpm.party, ledger!E:E, "&lt;&gt;*RD*", ledger!D:D, "Slub", ledger!C:C, "&lt;&gt;November Closing CF")
))+ _xlfn.IFNA(I107, 0)</f>
        <v>0</v>
      </c>
      <c r="Y28" s="69" cm="1">
        <f t="array" ref="Y28">_xlfn.BYROW(B72, _xlfn.LAMBDA(_xlpm.party,
   SUMIFS(ledger!J:J, ledger!B:B, _xlpm.party, ledger!E:E, "&lt;&gt;*RD*", ledger!D:D, "Satin", ledger!C:C, "&lt;&gt;November Closing CF")
))+ _xlfn.IFNA(J107, 0)</f>
        <v>0</v>
      </c>
      <c r="Z28" s="69" cm="1">
        <f t="array" ref="Z28">_xlfn.BYROW(B72, _xlfn.LAMBDA(_xlpm.party,
   SUMIFS(ledger!J:J, ledger!B:B, _xlpm.party, ledger!E:E, "&lt;&gt;*RD*", ledger!D:D, "Black-Chamki", ledger!C:C, "&lt;&gt;November Closing CF")
))+ _xlfn.IFNA(K107, 0)</f>
        <v>0</v>
      </c>
      <c r="AA28" s="69" cm="1">
        <f t="array" ref="AA28">_xlfn.BYROW(B72, _xlfn.LAMBDA(_xlpm.party,
   SUMIFS(ledger!J:J, ledger!B:B, _xlpm.party, ledger!E:E, "&lt;&gt;*RD*", ledger!D:D, "Kataan", ledger!C:C, "&lt;&gt;November Closing CF")
))+ _xlfn.IFNA(L107, 0)</f>
        <v>0</v>
      </c>
      <c r="AB28" s="69"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69"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69" cm="1">
        <f t="array" ref="W29">_xlfn.BYROW(B73, _xlfn.LAMBDA(_xlpm.party,
   SUMIFS(ledger!J:J, ledger!B:B, _xlpm.party, ledger!E:E, "&lt;&gt;*RD*", ledger!D:D, "Silky", ledger!C:C, "&lt;&gt;November Closing CF")
)) + _xlfn.IFNA(H108, 0)</f>
        <v>385138.07607900514</v>
      </c>
      <c r="X29" s="69" cm="1">
        <f t="array" ref="X29">_xlfn.BYROW(B73, _xlfn.LAMBDA(_xlpm.party,
   SUMIFS(ledger!J:J, ledger!B:B, _xlpm.party, ledger!E:E, "&lt;&gt;*RD*", ledger!D:D, "Slub", ledger!C:C, "&lt;&gt;November Closing CF")
))+ _xlfn.IFNA(I108, 0)</f>
        <v>0</v>
      </c>
      <c r="Y29" s="69" cm="1">
        <f t="array" ref="Y29">_xlfn.BYROW(B73, _xlfn.LAMBDA(_xlpm.party,
   SUMIFS(ledger!J:J, ledger!B:B, _xlpm.party, ledger!E:E, "&lt;&gt;*RD*", ledger!D:D, "Satin", ledger!C:C, "&lt;&gt;November Closing CF")
))+ _xlfn.IFNA(J108, 0)</f>
        <v>0</v>
      </c>
      <c r="Z29" s="69" cm="1">
        <f t="array" ref="Z29">_xlfn.BYROW(B73, _xlfn.LAMBDA(_xlpm.party,
   SUMIFS(ledger!J:J, ledger!B:B, _xlpm.party, ledger!E:E, "&lt;&gt;*RD*", ledger!D:D, "Black-Chamki", ledger!C:C, "&lt;&gt;November Closing CF")
))+ _xlfn.IFNA(K108, 0)</f>
        <v>0</v>
      </c>
      <c r="AA29" s="69" cm="1">
        <f t="array" ref="AA29">_xlfn.BYROW(B73, _xlfn.LAMBDA(_xlpm.party,
   SUMIFS(ledger!J:J, ledger!B:B, _xlpm.party, ledger!E:E, "&lt;&gt;*RD*", ledger!D:D, "Kataan", ledger!C:C, "&lt;&gt;November Closing CF")
))+ _xlfn.IFNA(L108, 0)</f>
        <v>0</v>
      </c>
      <c r="AB29" s="69"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69"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69" cm="1">
        <f t="array" ref="W30">_xlfn.BYROW(B74, _xlfn.LAMBDA(_xlpm.party,
   SUMIFS(ledger!J:J, ledger!B:B, _xlpm.party, ledger!E:E, "&lt;&gt;*RD*", ledger!D:D, "Silky", ledger!C:C, "&lt;&gt;November Closing CF")
)) + _xlfn.IFNA(H109, 0)</f>
        <v>0</v>
      </c>
      <c r="X30" s="69" cm="1">
        <f t="array" ref="X30">_xlfn.BYROW(B74, _xlfn.LAMBDA(_xlpm.party,
   SUMIFS(ledger!J:J, ledger!B:B, _xlpm.party, ledger!E:E, "&lt;&gt;*RD*", ledger!D:D, "Slub", ledger!C:C, "&lt;&gt;November Closing CF")
))+ _xlfn.IFNA(I109, 0)</f>
        <v>0</v>
      </c>
      <c r="Y30" s="69" cm="1">
        <f t="array" ref="Y30">_xlfn.BYROW(B74, _xlfn.LAMBDA(_xlpm.party,
   SUMIFS(ledger!J:J, ledger!B:B, _xlpm.party, ledger!E:E, "&lt;&gt;*RD*", ledger!D:D, "Satin", ledger!C:C, "&lt;&gt;November Closing CF")
))+ _xlfn.IFNA(J109, 0)</f>
        <v>0</v>
      </c>
      <c r="Z30" s="69" cm="1">
        <f t="array" ref="Z30">_xlfn.BYROW(B74, _xlfn.LAMBDA(_xlpm.party,
   SUMIFS(ledger!J:J, ledger!B:B, _xlpm.party, ledger!E:E, "&lt;&gt;*RD*", ledger!D:D, "Black-Chamki", ledger!C:C, "&lt;&gt;November Closing CF")
))+ _xlfn.IFNA(K109, 0)</f>
        <v>0</v>
      </c>
      <c r="AA30" s="69" cm="1">
        <f t="array" ref="AA30">_xlfn.BYROW(B74, _xlfn.LAMBDA(_xlpm.party,
   SUMIFS(ledger!J:J, ledger!B:B, _xlpm.party, ledger!E:E, "&lt;&gt;*RD*", ledger!D:D, "Kataan", ledger!C:C, "&lt;&gt;November Closing CF")
))+ _xlfn.IFNA(L109, 0)</f>
        <v>0</v>
      </c>
      <c r="AB30" s="69"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55125</v>
      </c>
      <c r="S31" s="22" cm="1">
        <f t="array" ref="S31">_xlfn.BYROW(B75, _xlfn.LAMBDA(_xlpm.party, SUMIFS(ledger!G:G, ledger!B:B, _xlpm.party, ledger!E:E, "&lt;&gt;*RD*") / 1.0936 ))+_xlfn.IFNA(D110,0)</f>
        <v>50406.91294806145</v>
      </c>
      <c r="T31" s="22" cm="1">
        <f t="array" ref="T31">(_xlfn.BYROW(B75,_xlfn.LAMBDA(_xlpm.party,SUMIFS(ledger!G:G,ledger!B:B,_xlpm.party,ledger!E:E,"&lt;&gt;*RD*",ledger!D:D,"Chamki")+SUMIFS(ledger!G:G, ledger!B:B, _xlpm.party, ledger!E:E, "&lt;&gt;*RD*", ledger!D:D, "Crinkle")))/1.0936)+_xlfn.IFNA(E110,0)</f>
        <v>50406.91294806145</v>
      </c>
      <c r="U31" s="69"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504069.1294806145</v>
      </c>
      <c r="W31" s="69" cm="1">
        <f t="array" ref="W31">_xlfn.BYROW(B75, _xlfn.LAMBDA(_xlpm.party,
   SUMIFS(ledger!J:J, ledger!B:B, _xlpm.party, ledger!E:E, "&lt;&gt;*RD*", ledger!D:D, "Silky", ledger!C:C, "&lt;&gt;November Closing CF")
)) + _xlfn.IFNA(H110, 0)</f>
        <v>0</v>
      </c>
      <c r="X31" s="69" cm="1">
        <f t="array" ref="X31">_xlfn.BYROW(B75, _xlfn.LAMBDA(_xlpm.party,
   SUMIFS(ledger!J:J, ledger!B:B, _xlpm.party, ledger!E:E, "&lt;&gt;*RD*", ledger!D:D, "Slub", ledger!C:C, "&lt;&gt;November Closing CF")
))+ _xlfn.IFNA(I110, 0)</f>
        <v>0</v>
      </c>
      <c r="Y31" s="69" cm="1">
        <f t="array" ref="Y31">_xlfn.BYROW(B75, _xlfn.LAMBDA(_xlpm.party,
   SUMIFS(ledger!J:J, ledger!B:B, _xlpm.party, ledger!E:E, "&lt;&gt;*RD*", ledger!D:D, "Satin", ledger!C:C, "&lt;&gt;November Closing CF")
))+ _xlfn.IFNA(J110, 0)</f>
        <v>0</v>
      </c>
      <c r="Z31" s="69" cm="1">
        <f t="array" ref="Z31">_xlfn.BYROW(B75, _xlfn.LAMBDA(_xlpm.party,
   SUMIFS(ledger!J:J, ledger!B:B, _xlpm.party, ledger!E:E, "&lt;&gt;*RD*", ledger!D:D, "Black-Chamki", ledger!C:C, "&lt;&gt;November Closing CF")
))+ _xlfn.IFNA(K110, 0)</f>
        <v>0</v>
      </c>
      <c r="AA31" s="69" cm="1">
        <f t="array" ref="AA31">_xlfn.BYROW(B75, _xlfn.LAMBDA(_xlpm.party,
   SUMIFS(ledger!J:J, ledger!B:B, _xlpm.party, ledger!E:E, "&lt;&gt;*RD*", ledger!D:D, "Kataan", ledger!C:C, "&lt;&gt;November Closing CF")
))+ _xlfn.IFNA(L110, 0)</f>
        <v>0</v>
      </c>
      <c r="AB31" s="69" cm="1">
        <f t="array" ref="AB31">_xlfn.BYROW(B75, _xlfn.LAMBDA(_xlpm.party,
   SUMIFS(ledger!J:J, ledger!B:B, _xlpm.party, ledger!E:E, "&lt;&gt;*RD*", ledger!D:D, "Munaar", ledger!C:C, "&lt;&gt;November Closing CF")
))+ _xlfn.IFNA(M110, 0)</f>
        <v>0</v>
      </c>
      <c r="AC31" s="39">
        <f t="shared" si="1"/>
        <v>504069.1294806145</v>
      </c>
      <c r="AD31" s="22">
        <f>(SUMIF(Table14[Party],Q31,Table14[Credit]))+_xlfn.IFNA(O110,0)</f>
        <v>485800</v>
      </c>
      <c r="AE31" s="33">
        <f t="shared" si="2"/>
        <v>18269.129480614502</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69"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69" cm="1">
        <f t="array" ref="W32">_xlfn.BYROW(B76, _xlfn.LAMBDA(_xlpm.party,
   SUMIFS(ledger!J:J, ledger!B:B, _xlpm.party, ledger!E:E, "&lt;&gt;*RD*", ledger!D:D, "Silky", ledger!C:C, "&lt;&gt;November Closing CF")
)) + _xlfn.IFNA(H111, 0)</f>
        <v>0</v>
      </c>
      <c r="X32" s="69" cm="1">
        <f t="array" ref="X32">_xlfn.BYROW(B76, _xlfn.LAMBDA(_xlpm.party,
   SUMIFS(ledger!J:J, ledger!B:B, _xlpm.party, ledger!E:E, "&lt;&gt;*RD*", ledger!D:D, "Slub", ledger!C:C, "&lt;&gt;November Closing CF")
))+ _xlfn.IFNA(I111, 0)</f>
        <v>0</v>
      </c>
      <c r="Y32" s="69" cm="1">
        <f t="array" ref="Y32">_xlfn.BYROW(B76, _xlfn.LAMBDA(_xlpm.party,
   SUMIFS(ledger!J:J, ledger!B:B, _xlpm.party, ledger!E:E, "&lt;&gt;*RD*", ledger!D:D, "Satin", ledger!C:C, "&lt;&gt;November Closing CF")
))+ _xlfn.IFNA(J111, 0)</f>
        <v>0</v>
      </c>
      <c r="Z32" s="69" cm="1">
        <f t="array" ref="Z32">_xlfn.BYROW(B76, _xlfn.LAMBDA(_xlpm.party,
   SUMIFS(ledger!J:J, ledger!B:B, _xlpm.party, ledger!E:E, "&lt;&gt;*RD*", ledger!D:D, "Black-Chamki", ledger!C:C, "&lt;&gt;November Closing CF")
))+ _xlfn.IFNA(K111, 0)</f>
        <v>0</v>
      </c>
      <c r="AA32" s="69" cm="1">
        <f t="array" ref="AA32">_xlfn.BYROW(B76, _xlfn.LAMBDA(_xlpm.party,
   SUMIFS(ledger!J:J, ledger!B:B, _xlpm.party, ledger!E:E, "&lt;&gt;*RD*", ledger!D:D, "Kataan", ledger!C:C, "&lt;&gt;November Closing CF")
))+ _xlfn.IFNA(L111, 0)</f>
        <v>0</v>
      </c>
      <c r="AB32" s="69"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69"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69" cm="1">
        <f t="array" ref="W33">_xlfn.BYROW(B77, _xlfn.LAMBDA(_xlpm.party,
   SUMIFS(ledger!J:J, ledger!B:B, _xlpm.party, ledger!E:E, "&lt;&gt;*RD*", ledger!D:D, "Silky", ledger!C:C, "&lt;&gt;November Closing CF")
)) + _xlfn.IFNA(H112, 0)</f>
        <v>0</v>
      </c>
      <c r="X33" s="69" cm="1">
        <f t="array" ref="X33">_xlfn.BYROW(B77, _xlfn.LAMBDA(_xlpm.party,
   SUMIFS(ledger!J:J, ledger!B:B, _xlpm.party, ledger!E:E, "&lt;&gt;*RD*", ledger!D:D, "Slub", ledger!C:C, "&lt;&gt;November Closing CF")
))+ _xlfn.IFNA(I112, 0)</f>
        <v>0</v>
      </c>
      <c r="Y33" s="69" cm="1">
        <f t="array" ref="Y33">_xlfn.BYROW(B77, _xlfn.LAMBDA(_xlpm.party,
   SUMIFS(ledger!J:J, ledger!B:B, _xlpm.party, ledger!E:E, "&lt;&gt;*RD*", ledger!D:D, "Satin", ledger!C:C, "&lt;&gt;November Closing CF")
))+ _xlfn.IFNA(J112, 0)</f>
        <v>0</v>
      </c>
      <c r="Z33" s="69" cm="1">
        <f t="array" ref="Z33">_xlfn.BYROW(B77, _xlfn.LAMBDA(_xlpm.party,
   SUMIFS(ledger!J:J, ledger!B:B, _xlpm.party, ledger!E:E, "&lt;&gt;*RD*", ledger!D:D, "Black-Chamki", ledger!C:C, "&lt;&gt;November Closing CF")
))+ _xlfn.IFNA(K112, 0)</f>
        <v>0</v>
      </c>
      <c r="AA33" s="69" cm="1">
        <f t="array" ref="AA33">_xlfn.BYROW(B77, _xlfn.LAMBDA(_xlpm.party,
   SUMIFS(ledger!J:J, ledger!B:B, _xlpm.party, ledger!E:E, "&lt;&gt;*RD*", ledger!D:D, "Kataan", ledger!C:C, "&lt;&gt;November Closing CF")
))+ _xlfn.IFNA(L112, 0)</f>
        <v>0</v>
      </c>
      <c r="AB33" s="69"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69"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69" cm="1">
        <f t="array" ref="W34">_xlfn.BYROW(B78, _xlfn.LAMBDA(_xlpm.party,
   SUMIFS(ledger!J:J, ledger!B:B, _xlpm.party, ledger!E:E, "&lt;&gt;*RD*", ledger!D:D, "Silky", ledger!C:C, "&lt;&gt;November Closing CF")
)) + _xlfn.IFNA(H113, 0)</f>
        <v>0</v>
      </c>
      <c r="X34" s="69" cm="1">
        <f t="array" ref="X34">_xlfn.BYROW(B78, _xlfn.LAMBDA(_xlpm.party,
   SUMIFS(ledger!J:J, ledger!B:B, _xlpm.party, ledger!E:E, "&lt;&gt;*RD*", ledger!D:D, "Slub", ledger!C:C, "&lt;&gt;November Closing CF")
))+ _xlfn.IFNA(I113, 0)</f>
        <v>0</v>
      </c>
      <c r="Y34" s="69" cm="1">
        <f t="array" ref="Y34">_xlfn.BYROW(B78, _xlfn.LAMBDA(_xlpm.party,
   SUMIFS(ledger!J:J, ledger!B:B, _xlpm.party, ledger!E:E, "&lt;&gt;*RD*", ledger!D:D, "Satin", ledger!C:C, "&lt;&gt;November Closing CF")
))+ _xlfn.IFNA(J113, 0)</f>
        <v>0</v>
      </c>
      <c r="Z34" s="69" cm="1">
        <f t="array" ref="Z34">_xlfn.BYROW(B78, _xlfn.LAMBDA(_xlpm.party,
   SUMIFS(ledger!J:J, ledger!B:B, _xlpm.party, ledger!E:E, "&lt;&gt;*RD*", ledger!D:D, "Black-Chamki", ledger!C:C, "&lt;&gt;November Closing CF")
))+ _xlfn.IFNA(K113, 0)</f>
        <v>0</v>
      </c>
      <c r="AA34" s="69" cm="1">
        <f t="array" ref="AA34">_xlfn.BYROW(B78, _xlfn.LAMBDA(_xlpm.party,
   SUMIFS(ledger!J:J, ledger!B:B, _xlpm.party, ledger!E:E, "&lt;&gt;*RD*", ledger!D:D, "Kataan", ledger!C:C, "&lt;&gt;November Closing CF")
))+ _xlfn.IFNA(L113, 0)</f>
        <v>0</v>
      </c>
      <c r="AB34" s="69"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69"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69" cm="1">
        <f t="array" ref="W35">_xlfn.BYROW(B79, _xlfn.LAMBDA(_xlpm.party,
   SUMIFS(ledger!J:J, ledger!B:B, _xlpm.party, ledger!E:E, "&lt;&gt;*RD*", ledger!D:D, "Silky", ledger!C:C, "&lt;&gt;November Closing CF")
)) + _xlfn.IFNA(H114, 0)</f>
        <v>0</v>
      </c>
      <c r="X35" s="69" cm="1">
        <f t="array" ref="X35">_xlfn.BYROW(B79, _xlfn.LAMBDA(_xlpm.party,
   SUMIFS(ledger!J:J, ledger!B:B, _xlpm.party, ledger!E:E, "&lt;&gt;*RD*", ledger!D:D, "Slub", ledger!C:C, "&lt;&gt;November Closing CF")
))+ _xlfn.IFNA(I114, 0)</f>
        <v>0</v>
      </c>
      <c r="Y35" s="69" cm="1">
        <f t="array" ref="Y35">_xlfn.BYROW(B79, _xlfn.LAMBDA(_xlpm.party,
   SUMIFS(ledger!J:J, ledger!B:B, _xlpm.party, ledger!E:E, "&lt;&gt;*RD*", ledger!D:D, "Satin", ledger!C:C, "&lt;&gt;November Closing CF")
))+ _xlfn.IFNA(J114, 0)</f>
        <v>0</v>
      </c>
      <c r="Z35" s="69" cm="1">
        <f t="array" ref="Z35">_xlfn.BYROW(B79, _xlfn.LAMBDA(_xlpm.party,
   SUMIFS(ledger!J:J, ledger!B:B, _xlpm.party, ledger!E:E, "&lt;&gt;*RD*", ledger!D:D, "Black-Chamki", ledger!C:C, "&lt;&gt;November Closing CF")
))+ _xlfn.IFNA(K114, 0)</f>
        <v>0</v>
      </c>
      <c r="AA35" s="69" cm="1">
        <f t="array" ref="AA35">_xlfn.BYROW(B79, _xlfn.LAMBDA(_xlpm.party,
   SUMIFS(ledger!J:J, ledger!B:B, _xlpm.party, ledger!E:E, "&lt;&gt;*RD*", ledger!D:D, "Kataan", ledger!C:C, "&lt;&gt;November Closing CF")
))+ _xlfn.IFNA(L114, 0)</f>
        <v>0</v>
      </c>
      <c r="AB35" s="69"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69" cm="1">
        <f t="array" ref="W36">_xlfn.BYROW(B80, _xlfn.LAMBDA(_xlpm.party,
   SUMIFS(ledger!J:J, ledger!B:B, _xlpm.party, ledger!E:E, "&lt;&gt;*RD*", ledger!D:D, "Silky", ledger!C:C, "&lt;&gt;November Closing CF")
)) + _xlfn.IFNA(H115, 0)</f>
        <v>0</v>
      </c>
      <c r="X36" s="69" cm="1">
        <f t="array" ref="X36">_xlfn.BYROW(B80, _xlfn.LAMBDA(_xlpm.party,
   SUMIFS(ledger!J:J, ledger!B:B, _xlpm.party, ledger!E:E, "&lt;&gt;*RD*", ledger!D:D, "Slub", ledger!C:C, "&lt;&gt;November Closing CF")
))+ _xlfn.IFNA(I115, 0)</f>
        <v>0</v>
      </c>
      <c r="Y36" s="69" cm="1">
        <f t="array" ref="Y36">_xlfn.BYROW(B80, _xlfn.LAMBDA(_xlpm.party,
   SUMIFS(ledger!J:J, ledger!B:B, _xlpm.party, ledger!E:E, "&lt;&gt;*RD*", ledger!D:D, "Satin", ledger!C:C, "&lt;&gt;November Closing CF")
))+ _xlfn.IFNA(J115, 0)</f>
        <v>0</v>
      </c>
      <c r="Z36" s="69" cm="1">
        <f t="array" ref="Z36">_xlfn.BYROW(B80, _xlfn.LAMBDA(_xlpm.party,
   SUMIFS(ledger!J:J, ledger!B:B, _xlpm.party, ledger!E:E, "&lt;&gt;*RD*", ledger!D:D, "Black-Chamki", ledger!C:C, "&lt;&gt;November Closing CF")
))+ _xlfn.IFNA(K115, 0)</f>
        <v>0</v>
      </c>
      <c r="AA36" s="69" cm="1">
        <f t="array" ref="AA36">_xlfn.BYROW(B80, _xlfn.LAMBDA(_xlpm.party,
   SUMIFS(ledger!J:J, ledger!B:B, _xlpm.party, ledger!E:E, "&lt;&gt;*RD*", ledger!D:D, "Kataan", ledger!C:C, "&lt;&gt;November Closing CF")
))+ _xlfn.IFNA(L115, 0)</f>
        <v>0</v>
      </c>
      <c r="AB36" s="69"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154</v>
      </c>
    </row>
    <row r="48" spans="2:33" x14ac:dyDescent="0.3">
      <c r="B48" s="21"/>
      <c r="C48" s="23" t="s">
        <v>10</v>
      </c>
      <c r="D48" s="23" t="s">
        <v>11</v>
      </c>
      <c r="E48" s="23" t="s">
        <v>12</v>
      </c>
      <c r="F48" s="23" t="s">
        <v>13</v>
      </c>
      <c r="G48" s="23" t="s">
        <v>14</v>
      </c>
      <c r="H48" s="23" t="s">
        <v>15</v>
      </c>
      <c r="I48" s="23" t="s">
        <v>179</v>
      </c>
      <c r="J48" s="23" t="s">
        <v>180</v>
      </c>
      <c r="K48" s="23" t="s">
        <v>203</v>
      </c>
      <c r="L48" s="23" t="s">
        <v>204</v>
      </c>
      <c r="M48" s="23" t="s">
        <v>209</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579633.8824</v>
      </c>
      <c r="D49" s="22" cm="1">
        <f t="array" ref="D49:D76">_xlfn.BYROW(_xlfn.ANCHORARRAY(B49), _xlfn.LAMBDA(_xlpm.party, SUMIFS(ledger!G:G, ledger!B:B, _xlpm.party, ledger!E:E, "&lt;&gt;*RD*") / 1.0936 ))</f>
        <v>530023.66715435265</v>
      </c>
      <c r="E49" s="62" cm="1">
        <f t="array" ref="E49:E76">(_xlfn.BYROW(_xlfn.ANCHORARRAY(B49),_xlfn.LAMBDA(_xlpm.party,SUMIFS(ledger!G:G,ledger!B:B,_xlpm.party,ledger!E:E,"&lt;&gt;*RD*",ledger!D:D,"Chamki")+SUMIFS(ledger!G:G, ledger!B:B, _xlpm.party, ledger!E:E, "&lt;&gt;*RD*", ledger!D:D, "Crinkle")))/1.0936)</f>
        <v>432559.32918800297</v>
      </c>
      <c r="F49" s="62"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4325593.2918800293</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69" cm="1">
        <f t="array" ref="K49">_xlfn.BYROW(B49, _xlfn.LAMBDA(_xlpm.party,
   SUMIFS(ledger!J:J, ledger!B:B, _xlpm.party, ledger!E:E, "&lt;&gt;*RD*", ledger!D:D, "Black-chamki", ledger!C:C, "&lt;&gt;November Closing CF")
))</f>
        <v>0</v>
      </c>
      <c r="L49" s="69" cm="1">
        <f t="array" ref="L49">_xlfn.BYROW(B49, _xlfn.LAMBDA(_xlpm.party,
   SUMIFS(ledger!J:J, ledger!B:B, _xlpm.party, ledger!E:E, "&lt;&gt;*RD*", ledger!D:D, "Kataan", ledger!C:C, "&lt;&gt;November Closing CF")
))</f>
        <v>0</v>
      </c>
      <c r="M49" s="69" cm="1">
        <f t="array" ref="M49">_xlfn.BYROW(B49, _xlfn.LAMBDA(_xlpm.party,
   SUMIFS(ledger!J:J, ledger!B:B, _xlpm.party, ledger!E:E, "&lt;&gt;*RD*", ledger!D:D, "Munaar", ledger!C:C, "&lt;&gt;November Closing CF")
))</f>
        <v>0</v>
      </c>
      <c r="N49" s="39">
        <f>SUM(G49:M49)</f>
        <v>5592629.6854425753</v>
      </c>
      <c r="O49" s="22">
        <f>(SUMIF(Table14[Party],B49,Table14[Credit]))</f>
        <v>0</v>
      </c>
      <c r="P49" s="37">
        <f>N49-O49</f>
        <v>5592629.6854425753</v>
      </c>
      <c r="Q49" s="21">
        <v>10</v>
      </c>
      <c r="R49" s="21">
        <v>12</v>
      </c>
    </row>
    <row r="50" spans="1:23" x14ac:dyDescent="0.3">
      <c r="B50" s="24" t="str">
        <v>Ejaz Sahab</v>
      </c>
      <c r="C50" s="22">
        <v>86015</v>
      </c>
      <c r="D50" s="22">
        <v>78653.072421360645</v>
      </c>
      <c r="E50" s="62">
        <v>0</v>
      </c>
      <c r="F50" s="62">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69" cm="1">
        <f t="array" ref="K50">_xlfn.BYROW(B50, _xlfn.LAMBDA(_xlpm.party,
   SUMIFS(ledger!J:J, ledger!B:B, _xlpm.party, ledger!E:E, "&lt;&gt;*RD*", ledger!D:D, "Black-chamki", ledger!C:C, "&lt;&gt;November Closing CF")
))</f>
        <v>0</v>
      </c>
      <c r="L50" s="69" cm="1">
        <f t="array" ref="L50">_xlfn.BYROW(B50, _xlfn.LAMBDA(_xlpm.party,
   SUMIFS(ledger!J:J, ledger!B:B, _xlpm.party, ledger!E:E, "&lt;&gt;*RD*", ledger!D:D, "Kataan", ledger!C:C, "&lt;&gt;November Closing CF")
))</f>
        <v>0</v>
      </c>
      <c r="M50" s="69" cm="1">
        <f t="array" ref="M50">_xlfn.BYROW(B50, _xlfn.LAMBDA(_xlpm.party,
   SUMIFS(ledger!J:J, ledger!B:B, _xlpm.party, ledger!E:E, "&lt;&gt;*RD*", ledger!D:D, "Munaar", ledger!C:C, "&lt;&gt;November Closing CF")
))</f>
        <v>0</v>
      </c>
      <c r="N50" s="39">
        <f t="shared" ref="N50:N79" si="4">SUM(G50:M50)</f>
        <v>1022489.9414776884</v>
      </c>
      <c r="O50" s="22">
        <f>(SUMIF(Table14[Party],B50,Table14[Credit]))</f>
        <v>1231415</v>
      </c>
      <c r="P50" s="37">
        <f>N50-O50</f>
        <v>-208925.05852231162</v>
      </c>
      <c r="Q50" s="21">
        <v>10</v>
      </c>
      <c r="R50" s="21">
        <v>12</v>
      </c>
    </row>
    <row r="51" spans="1:23" x14ac:dyDescent="0.3">
      <c r="B51" s="24" t="str">
        <v>Arshad</v>
      </c>
      <c r="C51" s="22">
        <v>166429</v>
      </c>
      <c r="D51" s="22">
        <v>152184.52816386247</v>
      </c>
      <c r="E51" s="62">
        <v>103597.29334308706</v>
      </c>
      <c r="F51" s="62">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69" cm="1">
        <f t="array" ref="K51">_xlfn.BYROW(B51, _xlfn.LAMBDA(_xlpm.party,
   SUMIFS(ledger!J:J, ledger!B:B, _xlpm.party, ledger!E:E, "&lt;&gt;*RD*", ledger!D:D, "Black-chamki", ledger!C:C, "&lt;&gt;November Closing CF")
))</f>
        <v>0</v>
      </c>
      <c r="L51" s="69" cm="1">
        <f t="array" ref="L51">_xlfn.BYROW(B51, _xlfn.LAMBDA(_xlpm.party,
   SUMIFS(ledger!J:J, ledger!B:B, _xlpm.party, ledger!E:E, "&lt;&gt;*RD*", ledger!D:D, "Kataan", ledger!C:C, "&lt;&gt;November Closing CF")
))</f>
        <v>0</v>
      </c>
      <c r="M51" s="69" cm="1">
        <f t="array" ref="M51">_xlfn.BYROW(B51, _xlfn.LAMBDA(_xlpm.party,
   SUMIFS(ledger!J:J, ledger!B:B, _xlpm.party, ledger!E:E, "&lt;&gt;*RD*", ledger!D:D, "Munaar", ledger!C:C, "&lt;&gt;November Closing CF")
))</f>
        <v>0</v>
      </c>
      <c r="N51" s="39">
        <f t="shared" si="4"/>
        <v>1667606.986100951</v>
      </c>
      <c r="O51" s="22">
        <f>(SUMIF(Table14[Party],B51,Table14[Credit]))</f>
        <v>1832566</v>
      </c>
      <c r="P51" s="37">
        <f>N51-O51</f>
        <v>-164959.01389904902</v>
      </c>
      <c r="Q51" s="21">
        <v>10</v>
      </c>
      <c r="R51" s="21">
        <v>12</v>
      </c>
    </row>
    <row r="52" spans="1:23" x14ac:dyDescent="0.3">
      <c r="B52" s="24" t="str">
        <v>Shehzad Kamoki</v>
      </c>
      <c r="C52" s="22">
        <v>8850</v>
      </c>
      <c r="D52" s="22">
        <v>8092.5384052670088</v>
      </c>
      <c r="E52" s="62">
        <v>8092.5384052670088</v>
      </c>
      <c r="F52" s="62">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69" cm="1">
        <f t="array" ref="K52">_xlfn.BYROW(B52, _xlfn.LAMBDA(_xlpm.party,
   SUMIFS(ledger!J:J, ledger!B:B, _xlpm.party, ledger!E:E, "&lt;&gt;*RD*", ledger!D:D, "Black-chamki", ledger!C:C, "&lt;&gt;November Closing CF")
))</f>
        <v>0</v>
      </c>
      <c r="L52" s="69" cm="1">
        <f t="array" ref="L52">_xlfn.BYROW(B52, _xlfn.LAMBDA(_xlpm.party,
   SUMIFS(ledger!J:J, ledger!B:B, _xlpm.party, ledger!E:E, "&lt;&gt;*RD*", ledger!D:D, "Kataan", ledger!C:C, "&lt;&gt;November Closing CF")
))</f>
        <v>0</v>
      </c>
      <c r="M52" s="69"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2">
        <v>0</v>
      </c>
      <c r="F53" s="62">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69" cm="1">
        <f t="array" ref="K53">_xlfn.BYROW(B53, _xlfn.LAMBDA(_xlpm.party,
   SUMIFS(ledger!J:J, ledger!B:B, _xlpm.party, ledger!E:E, "&lt;&gt;*RD*", ledger!D:D, "Black-chamki", ledger!C:C, "&lt;&gt;November Closing CF")
))</f>
        <v>0</v>
      </c>
      <c r="L53" s="69" cm="1">
        <f t="array" ref="L53">_xlfn.BYROW(B53, _xlfn.LAMBDA(_xlpm.party,
   SUMIFS(ledger!J:J, ledger!B:B, _xlpm.party, ledger!E:E, "&lt;&gt;*RD*", ledger!D:D, "Kataan", ledger!C:C, "&lt;&gt;November Closing CF")
))</f>
        <v>0</v>
      </c>
      <c r="M53" s="69"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56732</v>
      </c>
      <c r="D54" s="22">
        <v>51876.371616678865</v>
      </c>
      <c r="E54" s="62">
        <v>51876.371616678865</v>
      </c>
      <c r="F54" s="62">
        <v>0</v>
      </c>
      <c r="G54" s="22" cm="1">
        <f t="array" ref="G54">(_xlfn.BYROW(B54,_xlfn.LAMBDA(_xlpm.party,
(SUMIFS(ledger!J:J,ledger!B:B,_xlpm.party,ledger!E:E,"&lt;&gt;*RD*",ledger!D:D,"Chamki",ledger!C:C,"&lt;&gt;November Closing CF")+
SUMIFS(ledger!J:J,ledger!B:B,_xlpm.party,ledger!E:E,"&lt;&gt;*RD*",ledger!D:D,"Crinkle",ledger!C:C,"&lt;&gt;November Closing CF")
))))</f>
        <v>518763.71616678865</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69" cm="1">
        <f t="array" ref="K54">_xlfn.BYROW(B54, _xlfn.LAMBDA(_xlpm.party,
   SUMIFS(ledger!J:J, ledger!B:B, _xlpm.party, ledger!E:E, "&lt;&gt;*RD*", ledger!D:D, "Black-chamki", ledger!C:C, "&lt;&gt;November Closing CF")
))</f>
        <v>0</v>
      </c>
      <c r="L54" s="69" cm="1">
        <f t="array" ref="L54">_xlfn.BYROW(B54, _xlfn.LAMBDA(_xlpm.party,
   SUMIFS(ledger!J:J, ledger!B:B, _xlpm.party, ledger!E:E, "&lt;&gt;*RD*", ledger!D:D, "Kataan", ledger!C:C, "&lt;&gt;November Closing CF")
))</f>
        <v>0</v>
      </c>
      <c r="M54" s="69" cm="1">
        <f t="array" ref="M54">_xlfn.BYROW(B54, _xlfn.LAMBDA(_xlpm.party,
   SUMIFS(ledger!J:J, ledger!B:B, _xlpm.party, ledger!E:E, "&lt;&gt;*RD*", ledger!D:D, "Munaar", ledger!C:C, "&lt;&gt;November Closing CF")
))</f>
        <v>0</v>
      </c>
      <c r="N54" s="39">
        <f t="shared" si="4"/>
        <v>518763.71616678865</v>
      </c>
      <c r="O54" s="22">
        <f>(SUMIF(Table14[Party],B54,Table14[Credit]))</f>
        <v>600000</v>
      </c>
      <c r="P54" s="37">
        <f t="shared" si="5"/>
        <v>-81236.283833211346</v>
      </c>
      <c r="Q54" s="21">
        <v>10</v>
      </c>
      <c r="R54" s="21">
        <v>12</v>
      </c>
    </row>
    <row r="55" spans="1:23" x14ac:dyDescent="0.3">
      <c r="B55" s="24" t="str">
        <v>Raaz Fabrics</v>
      </c>
      <c r="C55" s="22">
        <v>25427</v>
      </c>
      <c r="D55" s="22">
        <v>23250.731528895394</v>
      </c>
      <c r="E55" s="62">
        <v>23250.731528895394</v>
      </c>
      <c r="F55" s="62">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69" cm="1">
        <f t="array" ref="K55">_xlfn.BYROW(B55, _xlfn.LAMBDA(_xlpm.party,
   SUMIFS(ledger!J:J, ledger!B:B, _xlpm.party, ledger!E:E, "&lt;&gt;*RD*", ledger!D:D, "Black-chamki", ledger!C:C, "&lt;&gt;November Closing CF")
))</f>
        <v>0</v>
      </c>
      <c r="L55" s="69" cm="1">
        <f t="array" ref="L55">_xlfn.BYROW(B55, _xlfn.LAMBDA(_xlpm.party,
   SUMIFS(ledger!J:J, ledger!B:B, _xlpm.party, ledger!E:E, "&lt;&gt;*RD*", ledger!D:D, "Kataan", ledger!C:C, "&lt;&gt;November Closing CF")
))</f>
        <v>0</v>
      </c>
      <c r="M55" s="69" cm="1">
        <f t="array" ref="M55">_xlfn.BYROW(B55, _xlfn.LAMBDA(_xlpm.party,
   SUMIFS(ledger!J:J, ledger!B:B, _xlpm.party, ledger!E:E, "&lt;&gt;*RD*", ledger!D:D, "Munaar", ledger!C:C, "&lt;&gt;November Closing CF")
))</f>
        <v>0</v>
      </c>
      <c r="N55" s="39">
        <f t="shared" si="4"/>
        <v>232507.31528895392</v>
      </c>
      <c r="O55" s="22">
        <f>(SUMIF(Table14[Party],B55,Table14[Credit]))</f>
        <v>300000</v>
      </c>
      <c r="P55" s="37">
        <f t="shared" si="5"/>
        <v>-67492.68471104608</v>
      </c>
      <c r="Q55" s="21">
        <v>10</v>
      </c>
      <c r="R55" s="21">
        <v>12</v>
      </c>
    </row>
    <row r="56" spans="1:23" x14ac:dyDescent="0.3">
      <c r="B56" s="24" t="str">
        <v>Azam</v>
      </c>
      <c r="C56" s="22">
        <v>181830</v>
      </c>
      <c r="D56" s="22">
        <v>166267.37381126557</v>
      </c>
      <c r="E56" s="62">
        <v>94839.978054133142</v>
      </c>
      <c r="F56" s="62">
        <v>71427.395757132414</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928556.14484272129</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69" cm="1">
        <f t="array" ref="K56">_xlfn.BYROW(B56, _xlfn.LAMBDA(_xlpm.party,
   SUMIFS(ledger!J:J, ledger!B:B, _xlpm.party, ledger!E:E, "&lt;&gt;*RD*", ledger!D:D, "Black-chamki", ledger!C:C, "&lt;&gt;November Closing CF")
))</f>
        <v>0</v>
      </c>
      <c r="L56" s="69" cm="1">
        <f t="array" ref="L56">_xlfn.BYROW(B56, _xlfn.LAMBDA(_xlpm.party,
   SUMIFS(ledger!J:J, ledger!B:B, _xlpm.party, ledger!E:E, "&lt;&gt;*RD*", ledger!D:D, "Kataan", ledger!C:C, "&lt;&gt;November Closing CF")
))</f>
        <v>0</v>
      </c>
      <c r="M56" s="69" cm="1">
        <f t="array" ref="M56">_xlfn.BYROW(B56, _xlfn.LAMBDA(_xlpm.party,
   SUMIFS(ledger!J:J, ledger!B:B, _xlpm.party, ledger!E:E, "&lt;&gt;*RD*", ledger!D:D, "Munaar", ledger!C:C, "&lt;&gt;November Closing CF")
))</f>
        <v>0</v>
      </c>
      <c r="N56" s="39">
        <f t="shared" si="4"/>
        <v>1876955.9253840528</v>
      </c>
      <c r="O56" s="22">
        <f>(SUMIF(Table14[Party],B56,Table14[Credit]))</f>
        <v>1007920</v>
      </c>
      <c r="P56" s="37">
        <f t="shared" ref="P56:P78" si="6">N56-O56</f>
        <v>869035.9253840528</v>
      </c>
      <c r="Q56" s="21">
        <v>10</v>
      </c>
      <c r="R56" s="21">
        <v>12</v>
      </c>
    </row>
    <row r="57" spans="1:23" x14ac:dyDescent="0.3">
      <c r="B57" s="24" t="str">
        <v>Ubaidullah</v>
      </c>
      <c r="C57" s="22">
        <v>59598</v>
      </c>
      <c r="D57" s="22">
        <v>54497.073884418438</v>
      </c>
      <c r="E57" s="62">
        <v>0</v>
      </c>
      <c r="F57" s="62">
        <v>54497.073884418438</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708461.96049743961</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69" cm="1">
        <f t="array" ref="K57">_xlfn.BYROW(B57, _xlfn.LAMBDA(_xlpm.party,
   SUMIFS(ledger!J:J, ledger!B:B, _xlpm.party, ledger!E:E, "&lt;&gt;*RD*", ledger!D:D, "Black-chamki", ledger!C:C, "&lt;&gt;November Closing CF")
))</f>
        <v>0</v>
      </c>
      <c r="L57" s="69" cm="1">
        <f t="array" ref="L57">_xlfn.BYROW(B57, _xlfn.LAMBDA(_xlpm.party,
   SUMIFS(ledger!J:J, ledger!B:B, _xlpm.party, ledger!E:E, "&lt;&gt;*RD*", ledger!D:D, "Kataan", ledger!C:C, "&lt;&gt;November Closing CF")
))</f>
        <v>0</v>
      </c>
      <c r="M57" s="69" cm="1">
        <f t="array" ref="M57">_xlfn.BYROW(B57, _xlfn.LAMBDA(_xlpm.party,
   SUMIFS(ledger!J:J, ledger!B:B, _xlpm.party, ledger!E:E, "&lt;&gt;*RD*", ledger!D:D, "Munaar", ledger!C:C, "&lt;&gt;November Closing CF")
))</f>
        <v>0</v>
      </c>
      <c r="N57" s="39">
        <f t="shared" si="4"/>
        <v>708461.96049743961</v>
      </c>
      <c r="O57" s="22">
        <f>SUMIF(Table14[Party], B57, Table14[Credit])</f>
        <v>750000</v>
      </c>
      <c r="P57" s="37">
        <f t="shared" si="6"/>
        <v>-41538.039502560394</v>
      </c>
      <c r="Q57" s="21">
        <v>10</v>
      </c>
      <c r="R57" s="21">
        <v>12</v>
      </c>
      <c r="U57" s="3" t="s">
        <v>6</v>
      </c>
      <c r="V57" t="s">
        <v>7</v>
      </c>
      <c r="W57" t="s">
        <v>8</v>
      </c>
    </row>
    <row r="58" spans="1:23" x14ac:dyDescent="0.3">
      <c r="B58" s="24" t="str">
        <v>Ashraf Zia</v>
      </c>
      <c r="C58" s="22">
        <v>0</v>
      </c>
      <c r="D58" s="22">
        <v>0</v>
      </c>
      <c r="E58" s="62">
        <v>0</v>
      </c>
      <c r="F58" s="62">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69" cm="1">
        <f t="array" ref="K58">_xlfn.BYROW(B58, _xlfn.LAMBDA(_xlpm.party,
   SUMIFS(ledger!J:J, ledger!B:B, _xlpm.party, ledger!E:E, "&lt;&gt;*RD*", ledger!D:D, "Black-chamki", ledger!C:C, "&lt;&gt;November Closing CF")
))</f>
        <v>0</v>
      </c>
      <c r="L58" s="69" cm="1">
        <f t="array" ref="L58">_xlfn.BYROW(B58, _xlfn.LAMBDA(_xlpm.party,
   SUMIFS(ledger!J:J, ledger!B:B, _xlpm.party, ledger!E:E, "&lt;&gt;*RD*", ledger!D:D, "Kataan", ledger!C:C, "&lt;&gt;November Closing CF")
))</f>
        <v>0</v>
      </c>
      <c r="M58" s="69"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530023.66715435265</v>
      </c>
      <c r="W58" s="18">
        <v>5066883.6869056337</v>
      </c>
    </row>
    <row r="59" spans="1:23" x14ac:dyDescent="0.3">
      <c r="B59" s="24" t="str">
        <v>Hafiz Qureshi</v>
      </c>
      <c r="C59" s="22">
        <v>112109</v>
      </c>
      <c r="D59" s="22">
        <v>102513.7161667886</v>
      </c>
      <c r="E59" s="62">
        <v>102513.7161667886</v>
      </c>
      <c r="F59" s="62">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69" cm="1">
        <f t="array" ref="K59">_xlfn.BYROW(B59, _xlfn.LAMBDA(_xlpm.party,
   SUMIFS(ledger!J:J, ledger!B:B, _xlpm.party, ledger!E:E, "&lt;&gt;*RD*", ledger!D:D, "Black-chamki", ledger!C:C, "&lt;&gt;November Closing CF")
))</f>
        <v>0</v>
      </c>
      <c r="L59" s="69" cm="1">
        <f t="array" ref="L59">_xlfn.BYROW(B59, _xlfn.LAMBDA(_xlpm.party,
   SUMIFS(ledger!J:J, ledger!B:B, _xlpm.party, ledger!E:E, "&lt;&gt;*RD*", ledger!D:D, "Kataan", ledger!C:C, "&lt;&gt;November Closing CF")
))</f>
        <v>0</v>
      </c>
      <c r="M59" s="69"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2">
        <v>125616.31309436724</v>
      </c>
      <c r="F60" s="62">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69" cm="1">
        <f t="array" ref="K60">_xlfn.BYROW(B60, _xlfn.LAMBDA(_xlpm.party,
   SUMIFS(ledger!J:J, ledger!B:B, _xlpm.party, ledger!E:E, "&lt;&gt;*RD*", ledger!D:D, "Black-chamki", ledger!C:C, "&lt;&gt;November Closing CF")
))</f>
        <v>0</v>
      </c>
      <c r="L60" s="69" cm="1">
        <f t="array" ref="L60">_xlfn.BYROW(B60, _xlfn.LAMBDA(_xlpm.party,
   SUMIFS(ledger!J:J, ledger!B:B, _xlpm.party, ledger!E:E, "&lt;&gt;*RD*", ledger!D:D, "Kataan", ledger!C:C, "&lt;&gt;November Closing CF")
))</f>
        <v>0</v>
      </c>
      <c r="M60" s="69"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2">
        <v>0</v>
      </c>
      <c r="F61" s="62">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69" cm="1">
        <f t="array" ref="K61">_xlfn.BYROW(B61, _xlfn.LAMBDA(_xlpm.party,
   SUMIFS(ledger!J:J, ledger!B:B, _xlpm.party, ledger!E:E, "&lt;&gt;*RD*", ledger!D:D, "Black-chamki", ledger!C:C, "&lt;&gt;November Closing CF")
))</f>
        <v>0</v>
      </c>
      <c r="L61" s="69" cm="1">
        <f t="array" ref="L61">_xlfn.BYROW(B61, _xlfn.LAMBDA(_xlpm.party,
   SUMIFS(ledger!J:J, ledger!B:B, _xlpm.party, ledger!E:E, "&lt;&gt;*RD*", ledger!D:D, "Kataan", ledger!C:C, "&lt;&gt;November Closing CF")
))</f>
        <v>0</v>
      </c>
      <c r="M61" s="69"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0" t="str">
        <v>Amjad 7up</v>
      </c>
      <c r="C62" s="22">
        <v>0</v>
      </c>
      <c r="D62" s="22">
        <v>0</v>
      </c>
      <c r="E62" s="62">
        <v>0</v>
      </c>
      <c r="F62" s="62">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69" cm="1">
        <f t="array" ref="K62">_xlfn.BYROW(B62, _xlfn.LAMBDA(_xlpm.party,
   SUMIFS(ledger!J:J, ledger!B:B, _xlpm.party, ledger!E:E, "&lt;&gt;*RD*", ledger!D:D, "Black-chamki", ledger!C:C, "&lt;&gt;November Closing CF")
))</f>
        <v>0</v>
      </c>
      <c r="L62" s="69" cm="1">
        <f t="array" ref="L62">_xlfn.BYROW(B62, _xlfn.LAMBDA(_xlpm.party,
   SUMIFS(ledger!J:J, ledger!B:B, _xlpm.party, ledger!E:E, "&lt;&gt;*RD*", ledger!D:D, "Kataan", ledger!C:C, "&lt;&gt;November Closing CF")
))</f>
        <v>0</v>
      </c>
      <c r="M62" s="69"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0" t="str">
        <v>Hazrat Khan</v>
      </c>
      <c r="C63" s="22">
        <v>0</v>
      </c>
      <c r="D63" s="22">
        <v>0</v>
      </c>
      <c r="E63" s="62">
        <v>0</v>
      </c>
      <c r="F63" s="62">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69" cm="1">
        <f t="array" ref="K63">_xlfn.BYROW(B63, _xlfn.LAMBDA(_xlpm.party,
   SUMIFS(ledger!J:J, ledger!B:B, _xlpm.party, ledger!E:E, "&lt;&gt;*RD*", ledger!D:D, "Black-chamki", ledger!C:C, "&lt;&gt;November Closing CF")
))</f>
        <v>0</v>
      </c>
      <c r="L63" s="69" cm="1">
        <f t="array" ref="L63">_xlfn.BYROW(B63, _xlfn.LAMBDA(_xlpm.party,
   SUMIFS(ledger!J:J, ledger!B:B, _xlpm.party, ledger!E:E, "&lt;&gt;*RD*", ledger!D:D, "Kataan", ledger!C:C, "&lt;&gt;November Closing CF")
))</f>
        <v>0</v>
      </c>
      <c r="M63" s="69"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51876.371616678865</v>
      </c>
      <c r="W63" s="18">
        <v>518763.71616678865</v>
      </c>
    </row>
    <row r="64" spans="1:23" x14ac:dyDescent="0.3">
      <c r="B64" s="80" t="str">
        <v>Haseeb Shamsi</v>
      </c>
      <c r="C64" s="22">
        <v>0</v>
      </c>
      <c r="D64" s="22">
        <v>0</v>
      </c>
      <c r="E64" s="62">
        <v>0</v>
      </c>
      <c r="F64" s="62">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69" cm="1">
        <f t="array" ref="K64">_xlfn.BYROW(B64, _xlfn.LAMBDA(_xlpm.party,
   SUMIFS(ledger!J:J, ledger!B:B, _xlpm.party, ledger!E:E, "&lt;&gt;*RD*", ledger!D:D, "Black-chamki", ledger!C:C, "&lt;&gt;November Closing CF")
))</f>
        <v>0</v>
      </c>
      <c r="L64" s="69" cm="1">
        <f t="array" ref="L64">_xlfn.BYROW(B64, _xlfn.LAMBDA(_xlpm.party,
   SUMIFS(ledger!J:J, ledger!B:B, _xlpm.party, ledger!E:E, "&lt;&gt;*RD*", ledger!D:D, "Kataan", ledger!C:C, "&lt;&gt;November Closing CF")
))</f>
        <v>0</v>
      </c>
      <c r="M64" s="69"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0" t="str">
        <v>Faizan</v>
      </c>
      <c r="C65" s="22">
        <v>0</v>
      </c>
      <c r="D65" s="22">
        <v>0</v>
      </c>
      <c r="E65" s="62">
        <v>0</v>
      </c>
      <c r="F65" s="62">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69" cm="1">
        <f t="array" ref="K65">_xlfn.BYROW(B65, _xlfn.LAMBDA(_xlpm.party,
   SUMIFS(ledger!J:J, ledger!B:B, _xlpm.party, ledger!E:E, "&lt;&gt;*RD*", ledger!D:D, "Black-chamki", ledger!C:C, "&lt;&gt;November Closing CF")
))</f>
        <v>0</v>
      </c>
      <c r="L65" s="69" cm="1">
        <f t="array" ref="L65">_xlfn.BYROW(B65, _xlfn.LAMBDA(_xlpm.party,
   SUMIFS(ledger!J:J, ledger!B:B, _xlpm.party, ledger!E:E, "&lt;&gt;*RD*", ledger!D:D, "Kataan", ledger!C:C, "&lt;&gt;November Closing CF")
))</f>
        <v>0</v>
      </c>
      <c r="M65" s="69"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151</v>
      </c>
      <c r="V65" s="5">
        <v>166267.37381126557</v>
      </c>
      <c r="W65" s="18">
        <v>1805528.5296269204</v>
      </c>
    </row>
    <row r="66" spans="2:23" x14ac:dyDescent="0.3">
      <c r="B66" s="80" t="str">
        <v>Shafique Ansari</v>
      </c>
      <c r="C66" s="22">
        <v>0</v>
      </c>
      <c r="D66" s="22">
        <v>0</v>
      </c>
      <c r="E66" s="62">
        <v>0</v>
      </c>
      <c r="F66" s="62">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69" cm="1">
        <f t="array" ref="K66">_xlfn.BYROW(B66, _xlfn.LAMBDA(_xlpm.party,
   SUMIFS(ledger!J:J, ledger!B:B, _xlpm.party, ledger!E:E, "&lt;&gt;*RD*", ledger!D:D, "Black-chamki", ledger!C:C, "&lt;&gt;November Closing CF")
))</f>
        <v>0</v>
      </c>
      <c r="L66" s="69" cm="1">
        <f t="array" ref="L66">_xlfn.BYROW(B66, _xlfn.LAMBDA(_xlpm.party,
   SUMIFS(ledger!J:J, ledger!B:B, _xlpm.party, ledger!E:E, "&lt;&gt;*RD*", ledger!D:D, "Kataan", ledger!C:C, "&lt;&gt;November Closing CF")
))</f>
        <v>0</v>
      </c>
      <c r="M66" s="69"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54497.073884418438</v>
      </c>
      <c r="W66" s="18">
        <v>653964.88661302126</v>
      </c>
    </row>
    <row r="67" spans="2:23" x14ac:dyDescent="0.3">
      <c r="B67" s="80" t="str">
        <v>Amjad sohail</v>
      </c>
      <c r="C67" s="22">
        <v>38699</v>
      </c>
      <c r="D67" s="22">
        <v>35386.795903438186</v>
      </c>
      <c r="E67" s="62">
        <v>35386.795903438186</v>
      </c>
      <c r="F67" s="62">
        <v>0</v>
      </c>
      <c r="G67" s="22" cm="1">
        <f t="array" ref="G67">(_xlfn.BYROW(B67,_xlfn.LAMBDA(_xlpm.party,
(SUMIFS(ledger!J:J,ledger!B:B,_xlpm.party,ledger!E:E,"&lt;&gt;*RD*",ledger!D:D,"Chamki",ledger!C:C,"&lt;&gt;November Closing CF")+
SUMIFS(ledger!J:J,ledger!B:B,_xlpm.party,ledger!E:E,"&lt;&gt;*RD*",ledger!D:D,"Crinkle",ledger!C:C,"&lt;&gt;November Closing CF")
))))</f>
        <v>353867.9590343819</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69" cm="1">
        <f t="array" ref="K67">_xlfn.BYROW(B67, _xlfn.LAMBDA(_xlpm.party,
   SUMIFS(ledger!J:J, ledger!B:B, _xlpm.party, ledger!E:E, "&lt;&gt;*RD*", ledger!D:D, "Black-chamki", ledger!C:C, "&lt;&gt;November Closing CF")
))</f>
        <v>0</v>
      </c>
      <c r="L67" s="69" cm="1">
        <f t="array" ref="L67">_xlfn.BYROW(B67, _xlfn.LAMBDA(_xlpm.party,
   SUMIFS(ledger!J:J, ledger!B:B, _xlpm.party, ledger!E:E, "&lt;&gt;*RD*", ledger!D:D, "Kataan", ledger!C:C, "&lt;&gt;November Closing CF")
))</f>
        <v>0</v>
      </c>
      <c r="M67" s="69" cm="1">
        <f t="array" ref="M67">_xlfn.BYROW(B67, _xlfn.LAMBDA(_xlpm.party,
   SUMIFS(ledger!J:J, ledger!B:B, _xlpm.party, ledger!E:E, "&lt;&gt;*RD*", ledger!D:D, "Munaar", ledger!C:C, "&lt;&gt;November Closing CF")
))</f>
        <v>0</v>
      </c>
      <c r="N67" s="39">
        <f t="shared" si="4"/>
        <v>353867.9590343819</v>
      </c>
      <c r="O67" s="22">
        <f>SUMIF(Table14[Party], B67, Table14[Credit])</f>
        <v>409310</v>
      </c>
      <c r="P67" s="37">
        <f t="shared" si="6"/>
        <v>-55442.0409656181</v>
      </c>
      <c r="Q67" s="21">
        <v>10</v>
      </c>
      <c r="R67" s="21">
        <v>12</v>
      </c>
      <c r="U67" s="4" t="s">
        <v>147</v>
      </c>
      <c r="V67" s="5">
        <v>0</v>
      </c>
      <c r="W67" s="18">
        <v>0</v>
      </c>
    </row>
    <row r="68" spans="2:23" x14ac:dyDescent="0.3">
      <c r="B68" s="80" t="str">
        <v>Salman Zaffar</v>
      </c>
      <c r="C68" s="22">
        <v>210876</v>
      </c>
      <c r="D68" s="22">
        <v>192827.35918068766</v>
      </c>
      <c r="E68" s="62">
        <v>38260.790051207026</v>
      </c>
      <c r="F68" s="62">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69" cm="1">
        <f t="array" ref="K68">_xlfn.BYROW(B68, _xlfn.LAMBDA(_xlpm.party,
   SUMIFS(ledger!J:J, ledger!B:B, _xlpm.party, ledger!E:E, "&lt;&gt;*RD*", ledger!D:D, "Black-chamki", ledger!C:C, "&lt;&gt;November Closing CF")
))</f>
        <v>0</v>
      </c>
      <c r="L68" s="69" cm="1">
        <f t="array" ref="L68">_xlfn.BYROW(B68, _xlfn.LAMBDA(_xlpm.party,
   SUMIFS(ledger!J:J, ledger!B:B, _xlpm.party, ledger!E:E, "&lt;&gt;*RD*", ledger!D:D, "Kataan", ledger!C:C, "&lt;&gt;November Closing CF")
))</f>
        <v>1545665.6912948061</v>
      </c>
      <c r="M68" s="69" cm="1">
        <f t="array" ref="M68">_xlfn.BYROW(B68, _xlfn.LAMBDA(_xlpm.party,
   SUMIFS(ledger!J:J, ledger!B:B, _xlpm.party, ledger!E:E, "&lt;&gt;*RD*", ledger!D:D, "Munaar", ledger!C:C, "&lt;&gt;November Closing CF")
))</f>
        <v>0</v>
      </c>
      <c r="N68" s="39">
        <f t="shared" si="4"/>
        <v>1928273.5918068762</v>
      </c>
      <c r="O68" s="22">
        <f>SUMIF(Table14[Party], B68, Table14[Credit])</f>
        <v>2146025</v>
      </c>
      <c r="P68" s="37">
        <f t="shared" si="6"/>
        <v>-217751.40819312376</v>
      </c>
      <c r="Q68" s="21">
        <v>10</v>
      </c>
      <c r="R68" s="21">
        <v>12</v>
      </c>
      <c r="U68" s="4" t="s">
        <v>27</v>
      </c>
      <c r="V68" s="5">
        <v>102513.7161667886</v>
      </c>
      <c r="W68" s="18">
        <v>1025137.161667886</v>
      </c>
    </row>
    <row r="69" spans="2:23" x14ac:dyDescent="0.3">
      <c r="B69" s="80" t="str">
        <v>Shahid Qasayi</v>
      </c>
      <c r="C69" s="22">
        <v>139379</v>
      </c>
      <c r="D69" s="22">
        <v>127449.70738844185</v>
      </c>
      <c r="E69" s="62">
        <v>125469.09290416972</v>
      </c>
      <c r="F69" s="21">
        <v>0</v>
      </c>
      <c r="G69" s="22" cm="1">
        <f t="array" ref="G69">(_xlfn.BYROW(B69,_xlfn.LAMBDA(_xlpm.party,
(SUMIFS(ledger!J:J,ledger!B:B,_xlpm.party,ledger!E:E,"&lt;&gt;*RD*",ledger!D:D,"Chamki",ledger!C:C,"&lt;&gt;November Closing CF")+
SUMIFS(ledger!J:J,ledger!B:B,_xlpm.party,ledger!E:E,"&lt;&gt;*RD*",ledger!D:D,"Crinkle",ledger!C:C,"&lt;&gt;November Closing CF")
))))</f>
        <v>1254690.9290416972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69" cm="1">
        <f t="array" ref="K69">_xlfn.BYROW(B69, _xlfn.LAMBDA(_xlpm.party,
   SUMIFS(ledger!J:J, ledger!B:B, _xlpm.party, ledger!E:E, "&lt;&gt;*RD*", ledger!D:D, "Black-chamki", ledger!C:C, "&lt;&gt;November Closing CF")
))</f>
        <v>23767.373811265548</v>
      </c>
      <c r="L69" s="69" cm="1">
        <f t="array" ref="L69">_xlfn.BYROW(B69, _xlfn.LAMBDA(_xlpm.party,
   SUMIFS(ledger!J:J, ledger!B:B, _xlpm.party, ledger!E:E, "&lt;&gt;*RD*", ledger!D:D, "Kataan", ledger!C:C, "&lt;&gt;November Closing CF")
))</f>
        <v>0</v>
      </c>
      <c r="M69" s="69" cm="1">
        <f t="array" ref="M69">_xlfn.BYROW(B69, _xlfn.LAMBDA(_xlpm.party,
   SUMIFS(ledger!J:J, ledger!B:B, _xlpm.party, ledger!E:E, "&lt;&gt;*RD*", ledger!D:D, "Munaar", ledger!C:C, "&lt;&gt;November Closing CF")
))</f>
        <v>0</v>
      </c>
      <c r="N69" s="39">
        <f t="shared" si="4"/>
        <v>1278458.3028529626</v>
      </c>
      <c r="O69" s="22">
        <f>SUMIF(Table14[Party], B69, Table14[Credit])</f>
        <v>1293570</v>
      </c>
      <c r="P69" s="37">
        <f t="shared" si="6"/>
        <v>-15111.697147037368</v>
      </c>
      <c r="Q69" s="21">
        <v>10</v>
      </c>
      <c r="R69" s="21">
        <v>12</v>
      </c>
      <c r="U69" s="4" t="s">
        <v>165</v>
      </c>
      <c r="V69" s="5">
        <v>149877.46891002197</v>
      </c>
      <c r="W69" s="18">
        <v>1083114.4842721289</v>
      </c>
    </row>
    <row r="70" spans="2:23" x14ac:dyDescent="0.3">
      <c r="B70" s="80"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69" cm="1">
        <f t="array" ref="K70">_xlfn.BYROW(B70, _xlfn.LAMBDA(_xlpm.party,
   SUMIFS(ledger!J:J, ledger!B:B, _xlpm.party, ledger!E:E, "&lt;&gt;*RD*", ledger!D:D, "Black-chamki", ledger!C:C, "&lt;&gt;November Closing CF")
))</f>
        <v>0</v>
      </c>
      <c r="L70" s="69" cm="1">
        <f t="array" ref="L70">_xlfn.BYROW(B70, _xlfn.LAMBDA(_xlpm.party,
   SUMIFS(ledger!J:J, ledger!B:B, _xlpm.party, ledger!E:E, "&lt;&gt;*RD*", ledger!D:D, "Kataan", ledger!C:C, "&lt;&gt;November Closing CF")
))</f>
        <v>0</v>
      </c>
      <c r="M70" s="69"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167</v>
      </c>
      <c r="V70" s="5">
        <v>0</v>
      </c>
      <c r="W70" s="18">
        <v>0</v>
      </c>
    </row>
    <row r="71" spans="2:23" x14ac:dyDescent="0.3">
      <c r="B71" s="80"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69" cm="1">
        <f t="array" ref="K71">_xlfn.BYROW(B71, _xlfn.LAMBDA(_xlpm.party,
   SUMIFS(ledger!J:J, ledger!B:B, _xlpm.party, ledger!E:E, "&lt;&gt;*RD*", ledger!D:D, "Black-chamki", ledger!C:C, "&lt;&gt;November Closing CF")
))</f>
        <v>0</v>
      </c>
      <c r="L71" s="69" cm="1">
        <f t="array" ref="L71">_xlfn.BYROW(B71, _xlfn.LAMBDA(_xlpm.party,
   SUMIFS(ledger!J:J, ledger!B:B, _xlpm.party, ledger!E:E, "&lt;&gt;*RD*", ledger!D:D, "Kataan", ledger!C:C, "&lt;&gt;November Closing CF")
))</f>
        <v>0</v>
      </c>
      <c r="M71" s="69"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169</v>
      </c>
      <c r="V71" s="5">
        <v>0</v>
      </c>
      <c r="W71" s="18">
        <v>0</v>
      </c>
    </row>
    <row r="72" spans="2:23" x14ac:dyDescent="0.3">
      <c r="B72" s="80"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69" cm="1">
        <f t="array" ref="K72">_xlfn.BYROW(B72, _xlfn.LAMBDA(_xlpm.party,
   SUMIFS(ledger!J:J, ledger!B:B, _xlpm.party, ledger!E:E, "&lt;&gt;*RD*", ledger!D:D, "Black-chamki", ledger!C:C, "&lt;&gt;November Closing CF")
))</f>
        <v>0</v>
      </c>
      <c r="L72" s="69" cm="1">
        <f t="array" ref="L72">_xlfn.BYROW(B72, _xlfn.LAMBDA(_xlpm.party,
   SUMIFS(ledger!J:J, ledger!B:B, _xlpm.party, ledger!E:E, "&lt;&gt;*RD*", ledger!D:D, "Kataan", ledger!C:C, "&lt;&gt;November Closing CF")
))</f>
        <v>0</v>
      </c>
      <c r="M72" s="69"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170</v>
      </c>
      <c r="V72" s="5">
        <v>0</v>
      </c>
      <c r="W72" s="18">
        <v>0</v>
      </c>
    </row>
    <row r="73" spans="2:23" x14ac:dyDescent="0.3">
      <c r="B73" s="80"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69" cm="1">
        <f t="array" ref="K73">_xlfn.BYROW(B73, _xlfn.LAMBDA(_xlpm.party,
   SUMIFS(ledger!J:J, ledger!B:B, _xlpm.party, ledger!E:E, "&lt;&gt;*RD*", ledger!D:D, "Black-chamki", ledger!C:C, "&lt;&gt;November Closing CF")
))</f>
        <v>0</v>
      </c>
      <c r="L73" s="69" cm="1">
        <f t="array" ref="L73">_xlfn.BYROW(B73, _xlfn.LAMBDA(_xlpm.party,
   SUMIFS(ledger!J:J, ledger!B:B, _xlpm.party, ledger!E:E, "&lt;&gt;*RD*", ledger!D:D, "Kataan", ledger!C:C, "&lt;&gt;November Closing CF")
))</f>
        <v>0</v>
      </c>
      <c r="M73" s="69"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172</v>
      </c>
      <c r="V73" s="5">
        <v>0</v>
      </c>
      <c r="W73" s="18">
        <v>0</v>
      </c>
    </row>
    <row r="74" spans="2:23" x14ac:dyDescent="0.3">
      <c r="B74" s="80"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69" cm="1">
        <f t="array" ref="K74">_xlfn.BYROW(B74, _xlfn.LAMBDA(_xlpm.party,
   SUMIFS(ledger!J:J, ledger!B:B, _xlpm.party, ledger!E:E, "&lt;&gt;*RD*", ledger!D:D, "Black-chamki", ledger!C:C, "&lt;&gt;November Closing CF")
))</f>
        <v>0</v>
      </c>
      <c r="L74" s="69" cm="1">
        <f t="array" ref="L74">_xlfn.BYROW(B74, _xlfn.LAMBDA(_xlpm.party,
   SUMIFS(ledger!J:J, ledger!B:B, _xlpm.party, ledger!E:E, "&lt;&gt;*RD*", ledger!D:D, "Kataan", ledger!C:C, "&lt;&gt;November Closing CF")
))</f>
        <v>0</v>
      </c>
      <c r="M74" s="69"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174</v>
      </c>
      <c r="V74" s="5">
        <v>0</v>
      </c>
      <c r="W74" s="18">
        <v>0</v>
      </c>
    </row>
    <row r="75" spans="2:23" x14ac:dyDescent="0.3">
      <c r="B75" s="80" t="str">
        <v>Gauhar Kashif</v>
      </c>
      <c r="C75">
        <v>55125</v>
      </c>
      <c r="D75">
        <v>50406.91294806145</v>
      </c>
      <c r="E75">
        <v>50406.91294806145</v>
      </c>
      <c r="F75">
        <v>0</v>
      </c>
      <c r="G75" s="22" cm="1">
        <f t="array" ref="G75">(_xlfn.BYROW(B75,_xlfn.LAMBDA(_xlpm.party,
(SUMIFS(ledger!J:J,ledger!B:B,_xlpm.party,ledger!E:E,"&lt;&gt;*RD*",ledger!D:D,"Chamki",ledger!C:C,"&lt;&gt;November Closing CF")+
SUMIFS(ledger!J:J,ledger!B:B,_xlpm.party,ledger!E:E,"&lt;&gt;*RD*",ledger!D:D,"Crinkle",ledger!C:C,"&lt;&gt;November Closing CF")
))))</f>
        <v>504069.1294806145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69" cm="1">
        <f t="array" ref="K75">_xlfn.BYROW(B75, _xlfn.LAMBDA(_xlpm.party,
   SUMIFS(ledger!J:J, ledger!B:B, _xlpm.party, ledger!E:E, "&lt;&gt;*RD*", ledger!D:D, "Black-chamki", ledger!C:C, "&lt;&gt;November Closing CF")
))</f>
        <v>0</v>
      </c>
      <c r="L75" s="69" cm="1">
        <f t="array" ref="L75">_xlfn.BYROW(B75, _xlfn.LAMBDA(_xlpm.party,
   SUMIFS(ledger!J:J, ledger!B:B, _xlpm.party, ledger!E:E, "&lt;&gt;*RD*", ledger!D:D, "Kataan", ledger!C:C, "&lt;&gt;November Closing CF")
))</f>
        <v>0</v>
      </c>
      <c r="M75" s="69" cm="1">
        <f t="array" ref="M75">_xlfn.BYROW(B75, _xlfn.LAMBDA(_xlpm.party,
   SUMIFS(ledger!J:J, ledger!B:B, _xlpm.party, ledger!E:E, "&lt;&gt;*RD*", ledger!D:D, "Munaar", ledger!C:C, "&lt;&gt;November Closing CF")
))</f>
        <v>0</v>
      </c>
      <c r="N75" s="39">
        <f t="shared" si="4"/>
        <v>504069.1294806145</v>
      </c>
      <c r="O75" s="22">
        <f>SUMIF(Table14[Party], B75, Table14[Credit])</f>
        <v>485800</v>
      </c>
      <c r="P75" s="37">
        <f t="shared" si="6"/>
        <v>18269.129480614502</v>
      </c>
      <c r="U75" s="4" t="s">
        <v>28</v>
      </c>
      <c r="V75" s="14">
        <v>1341232.5186539872</v>
      </c>
      <c r="W75" s="14">
        <v>13033728.05413314</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69" cm="1">
        <f t="array" ref="K76">_xlfn.BYROW(B76, _xlfn.LAMBDA(_xlpm.party,
   SUMIFS(ledger!J:J, ledger!B:B, _xlpm.party, ledger!E:E, "&lt;&gt;*RD*", ledger!D:D, "Black-chamki", ledger!C:C, "&lt;&gt;November Closing CF")
))</f>
        <v>0</v>
      </c>
      <c r="L76" s="69" cm="1">
        <f t="array" ref="L76">_xlfn.BYROW(B76, _xlfn.LAMBDA(_xlpm.party,
   SUMIFS(ledger!J:J, ledger!B:B, _xlpm.party, ledger!E:E, "&lt;&gt;*RD*", ledger!D:D, "Kataan", ledger!C:C, "&lt;&gt;November Closing CF")
))</f>
        <v>0</v>
      </c>
      <c r="M76" s="69"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69" cm="1">
        <f t="array" ref="K77">_xlfn.BYROW(B77, _xlfn.LAMBDA(_xlpm.party,
   SUMIFS(ledger!J:J, ledger!B:B, _xlpm.party, ledger!E:E, "&lt;&gt;*RD*", ledger!D:D, "Black-chamki", ledger!C:C, "&lt;&gt;November Closing CF")
))</f>
        <v>0</v>
      </c>
      <c r="L77" s="69" cm="1">
        <f t="array" ref="L77">_xlfn.BYROW(B77, _xlfn.LAMBDA(_xlpm.party,
   SUMIFS(ledger!J:J, ledger!B:B, _xlpm.party, ledger!E:E, "&lt;&gt;*RD*", ledger!D:D, "Kataan", ledger!C:C, "&lt;&gt;November Closing CF")
))</f>
        <v>0</v>
      </c>
      <c r="M77" s="69"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69" cm="1">
        <f t="array" ref="K78">_xlfn.BYROW(B78, _xlfn.LAMBDA(_xlpm.party,
   SUMIFS(ledger!J:J, ledger!B:B, _xlpm.party, ledger!E:E, "&lt;&gt;*RD*", ledger!D:D, "Black-chamki", ledger!C:C, "&lt;&gt;November Closing CF")
))</f>
        <v>0</v>
      </c>
      <c r="L78" s="69" cm="1">
        <f t="array" ref="L78">_xlfn.BYROW(B78, _xlfn.LAMBDA(_xlpm.party,
   SUMIFS(ledger!J:J, ledger!B:B, _xlpm.party, ledger!E:E, "&lt;&gt;*RD*", ledger!D:D, "Kataan", ledger!C:C, "&lt;&gt;November Closing CF")
))</f>
        <v>0</v>
      </c>
      <c r="M78" s="69"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69" cm="1">
        <f t="array" ref="K79">_xlfn.BYROW(B79, _xlfn.LAMBDA(_xlpm.party,
   SUMIFS(ledger!J:J, ledger!B:B, _xlpm.party, ledger!E:E, "&lt;&gt;*RD*", ledger!D:D, "Black-chamki", ledger!C:C, "&lt;&gt;November Closing CF")
))</f>
        <v>0</v>
      </c>
      <c r="L79" s="69" cm="1">
        <f t="array" ref="L79">_xlfn.BYROW(B79, _xlfn.LAMBDA(_xlpm.party,
   SUMIFS(ledger!J:J, ledger!B:B, _xlpm.party, ledger!E:E, "&lt;&gt;*RD*", ledger!D:D, "Kataan", ledger!C:C, "&lt;&gt;November Closing CF")
))</f>
        <v>0</v>
      </c>
      <c r="M79" s="69" cm="1">
        <f t="array" ref="M79">_xlfn.BYROW(B79, _xlfn.LAMBDA(_xlpm.party,
   SUMIFS(ledger!J:J, ledger!B:B, _xlpm.party, ledger!E:E, "&lt;&gt;*RD*", ledger!D:D, "Munaar", ledger!C:C, "&lt;&gt;November Closing CF")
))</f>
        <v>0</v>
      </c>
      <c r="N79" s="39">
        <f t="shared" si="4"/>
        <v>0</v>
      </c>
    </row>
    <row r="81" spans="2:18" x14ac:dyDescent="0.3">
      <c r="B81" t="s">
        <v>153</v>
      </c>
    </row>
    <row r="83" spans="2:18" x14ac:dyDescent="0.3">
      <c r="B83" t="s">
        <v>33</v>
      </c>
      <c r="C83" s="23" t="s">
        <v>10</v>
      </c>
      <c r="D83" s="23" t="s">
        <v>11</v>
      </c>
      <c r="E83" s="23" t="s">
        <v>12</v>
      </c>
      <c r="F83" s="23" t="s">
        <v>13</v>
      </c>
      <c r="G83" s="23" t="s">
        <v>14</v>
      </c>
      <c r="H83" s="23" t="s">
        <v>15</v>
      </c>
      <c r="I83" s="23" t="s">
        <v>212</v>
      </c>
      <c r="J83" s="23" t="s">
        <v>180</v>
      </c>
      <c r="K83" s="114" t="s">
        <v>213</v>
      </c>
      <c r="L83" s="114" t="s">
        <v>214</v>
      </c>
      <c r="M83" s="114" t="s">
        <v>209</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0"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0"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0"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0"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0"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0"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0"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1"/>
      <c r="D4" s="61"/>
      <c r="I4" t="s">
        <v>34</v>
      </c>
      <c r="J4" t="str" cm="1">
        <f t="array" ref="J4:J31">_xlfn.UNIQUE(Table1[Party Name])</f>
        <v>BSC</v>
      </c>
    </row>
    <row r="5" spans="2:10" x14ac:dyDescent="0.3">
      <c r="J5" t="str">
        <v>Ejaz Sahab</v>
      </c>
    </row>
    <row r="6" spans="2:10" ht="21" x14ac:dyDescent="0.4">
      <c r="B6" s="63" t="s">
        <v>482</v>
      </c>
      <c r="J6" t="str">
        <v>Arshad</v>
      </c>
    </row>
    <row r="7" spans="2:10" ht="15.6" x14ac:dyDescent="0.3">
      <c r="B7" s="61" t="s">
        <v>36</v>
      </c>
      <c r="C7" s="61" t="s">
        <v>4</v>
      </c>
      <c r="D7" s="61" t="s">
        <v>149</v>
      </c>
      <c r="E7" s="61" t="s">
        <v>150</v>
      </c>
      <c r="J7" t="str">
        <v>Shehzad Kamoki</v>
      </c>
    </row>
    <row r="8" spans="2:10" ht="18" x14ac:dyDescent="0.35">
      <c r="B8" s="54" t="s">
        <v>37</v>
      </c>
      <c r="C8" s="65"/>
      <c r="D8" s="67" t="e" cm="1">
        <f t="array" ref="D8">_xlfn.XLOOKUP($B$6,_xlfn.ANCHORARRAY( Billing!Q5), INDEX(Billing!R5:R25, _xlfn.SEQUENCE(ROWS(_xlfn.ANCHORARRAY(Billing!$Q$5)))), "Not Found")</f>
        <v>#REF!</v>
      </c>
      <c r="E8" s="65"/>
      <c r="J8" t="str">
        <v>Sufi Nawaz Sahab</v>
      </c>
    </row>
    <row r="9" spans="2:10" ht="18" x14ac:dyDescent="0.35">
      <c r="B9" s="54"/>
      <c r="C9" s="65"/>
      <c r="D9" s="65"/>
      <c r="E9" s="65"/>
      <c r="J9" t="str">
        <v>Sajad Khan</v>
      </c>
    </row>
    <row r="10" spans="2:10" ht="18" x14ac:dyDescent="0.35">
      <c r="B10" s="54" t="s">
        <v>38</v>
      </c>
      <c r="C10" s="65"/>
      <c r="D10" s="67" t="e" cm="1">
        <f t="array" ref="D10">_xlfn.XLOOKUP($B$6,_xlfn.ANCHORARRAY( Billing!$Q$5), INDEX(Billing!S5:S25, _xlfn.SEQUENCE(ROWS(_xlfn.ANCHORARRAY(Billing!$Q$5)))), "Not Found")</f>
        <v>#REF!</v>
      </c>
      <c r="E10" s="65"/>
      <c r="J10" t="str">
        <v>Raaz Fabrics</v>
      </c>
    </row>
    <row r="11" spans="2:10" ht="18.600000000000001" thickBot="1" x14ac:dyDescent="0.4">
      <c r="B11" s="54"/>
      <c r="C11" s="65"/>
      <c r="D11" s="65"/>
      <c r="E11" s="65"/>
      <c r="J11" t="str">
        <v>Azam</v>
      </c>
    </row>
    <row r="12" spans="2:10" ht="18.600000000000001" thickBot="1" x14ac:dyDescent="0.4">
      <c r="B12" s="54" t="s">
        <v>39</v>
      </c>
      <c r="C12" s="65" cm="1">
        <f t="array" aca="1" ref="C12" ca="1">_xlfn.XLOOKUP($B$6,_xlfn.ANCHORARRAY( Billing!$B$49), OFFSET(Billing!Q49, 0, 0, ROWS(_xlfn.ANCHORARRAY(Billing!$B$49))), "Not Found")</f>
        <v>0</v>
      </c>
      <c r="D12" s="65" t="e" cm="1">
        <f t="array" ref="D12">_xlfn.XLOOKUP($B$6,_xlfn.ANCHORARRAY( Billing!$Q$5), INDEX(Billing!T5:T25, _xlfn.SEQUENCE(ROWS(_xlfn.ANCHORARRAY(Billing!$Q$5)))), "Not Found")</f>
        <v>#REF!</v>
      </c>
      <c r="E12" s="91" t="e">
        <f ca="1">Table21[[#This Row],[gazana]]*Table21[[#This Row],[Rate]]</f>
        <v>#REF!</v>
      </c>
      <c r="J12" t="str">
        <v>Ubaidullah</v>
      </c>
    </row>
    <row r="13" spans="2:10" ht="18" x14ac:dyDescent="0.35">
      <c r="B13" s="64"/>
      <c r="C13" s="66"/>
      <c r="D13" s="66"/>
      <c r="E13" s="65"/>
      <c r="J13" t="str">
        <v>Ashraf Zia</v>
      </c>
    </row>
    <row r="14" spans="2:10" ht="18" x14ac:dyDescent="0.35">
      <c r="B14" s="54" t="s">
        <v>40</v>
      </c>
      <c r="C14" s="65" cm="1">
        <f t="array" aca="1" ref="C14" ca="1">_xlfn.XLOOKUP($B$6,_xlfn.ANCHORARRAY( Billing!$B$49), OFFSET(Billing!R49, 0, 0, ROWS(_xlfn.ANCHORARRAY(Billing!$B$49))), "Not Found")</f>
        <v>0</v>
      </c>
      <c r="D14" s="65" t="e" cm="1">
        <f t="array" ref="D14">_xlfn.XLOOKUP($B$6,_xlfn.ANCHORARRAY( Billing!$Q$5), INDEX(Billing!U5:U25, _xlfn.SEQUENCE(ROWS(_xlfn.ANCHORARRAY(Billing!$Q$5)))), "Not Found")</f>
        <v>#REF!</v>
      </c>
      <c r="E14" s="65" t="e">
        <f ca="1">Table21[[#This Row],[gazana]]*Table21[[#This Row],[Rate]]</f>
        <v>#REF!</v>
      </c>
      <c r="J14" t="str">
        <v>Hafiz Qureshi</v>
      </c>
    </row>
    <row r="15" spans="2:10" ht="18.600000000000001" thickBot="1" x14ac:dyDescent="0.4">
      <c r="B15" s="64"/>
      <c r="C15" s="66"/>
      <c r="D15" s="66"/>
      <c r="E15" s="65"/>
      <c r="J15" t="str">
        <v>Badshah Fabrics</v>
      </c>
    </row>
    <row r="16" spans="2:10" ht="18.600000000000001" thickBot="1" x14ac:dyDescent="0.4">
      <c r="B16" s="54" t="s">
        <v>41</v>
      </c>
      <c r="C16" s="65"/>
      <c r="D16" s="90"/>
      <c r="E16" s="92" t="e">
        <f ca="1">E12+E14</f>
        <v>#REF!</v>
      </c>
      <c r="J16" t="str">
        <v>Reject</v>
      </c>
    </row>
    <row r="17" spans="2:10" ht="18.600000000000001" thickBot="1" x14ac:dyDescent="0.4">
      <c r="B17" s="64"/>
      <c r="C17" s="66"/>
      <c r="D17" s="68"/>
      <c r="E17" s="65"/>
      <c r="J17" t="str">
        <v>Amjad 7up</v>
      </c>
    </row>
    <row r="18" spans="2:10" ht="18.600000000000001" thickBot="1" x14ac:dyDescent="0.4">
      <c r="B18" s="54" t="s">
        <v>42</v>
      </c>
      <c r="C18" s="65"/>
      <c r="D18" s="90"/>
      <c r="E18" s="92" cm="1">
        <f t="array" aca="1" ref="E18" ca="1">_xlfn.XLOOKUP($B$6,_xlfn.ANCHORARRAY( Billing!Q5), OFFSET(Billing!AD5, 0, 0, ROWS(_xlfn.ANCHORARRAY(Billing!Q5))), "Not Found")</f>
        <v>485800</v>
      </c>
      <c r="J18" t="str">
        <v>Hazrat Khan</v>
      </c>
    </row>
    <row r="19" spans="2:10" ht="18.600000000000001" thickBot="1" x14ac:dyDescent="0.4">
      <c r="B19" s="54"/>
      <c r="C19" s="65"/>
      <c r="D19" s="67"/>
      <c r="E19" s="65"/>
      <c r="J19" t="str">
        <v>Haseeb Shamsi</v>
      </c>
    </row>
    <row r="20" spans="2:10" ht="18.600000000000001" thickBot="1" x14ac:dyDescent="0.4">
      <c r="B20" s="54" t="s">
        <v>43</v>
      </c>
      <c r="C20" s="65"/>
      <c r="D20" s="90"/>
      <c r="E20" s="100" cm="1">
        <f t="array" aca="1" ref="E20" ca="1">_xlfn.XLOOKUP($B$6,_xlfn.ANCHORARRAY( Billing!Q5), OFFSET(Billing!AE5, 0, 0, ROWS(_xlfn.ANCHORARRAY(Billing!Q5))), "Not Found")</f>
        <v>18269.129480614502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F22"/>
  <sheetViews>
    <sheetView topLeftCell="A2" zoomScale="150" workbookViewId="0">
      <selection activeCell="G11" sqref="G11"/>
    </sheetView>
  </sheetViews>
  <sheetFormatPr defaultRowHeight="14.4" x14ac:dyDescent="0.3"/>
  <cols>
    <col min="2" max="2" width="12.5546875" customWidth="1"/>
    <col min="3" max="3" width="14.5546875" customWidth="1"/>
    <col min="4" max="4" width="28.6640625" customWidth="1"/>
    <col min="5" max="5" width="23.21875" customWidth="1"/>
    <col min="6" max="6" width="12.3320312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6" ht="25.8" x14ac:dyDescent="0.5">
      <c r="A1" s="6"/>
      <c r="B1" s="7" t="s">
        <v>44</v>
      </c>
    </row>
    <row r="3" spans="1:6" x14ac:dyDescent="0.3">
      <c r="B3" t="s">
        <v>45</v>
      </c>
      <c r="C3" t="s">
        <v>46</v>
      </c>
      <c r="D3" t="s">
        <v>36</v>
      </c>
      <c r="E3" t="s">
        <v>335</v>
      </c>
    </row>
    <row r="4" spans="1:6" x14ac:dyDescent="0.3">
      <c r="B4" t="s">
        <v>47</v>
      </c>
      <c r="C4" s="11">
        <f>Wood!K6+((363*810)+(830*233)+(146*580))-(2000*810)</f>
        <v>7691790</v>
      </c>
      <c r="D4" t="s">
        <v>189</v>
      </c>
      <c r="E4" s="42">
        <f ca="1">Table12[[#This Row],[Amount]]/Table1[[#Totals],[tiyar/meters]]</f>
        <v>4.3833095937483337</v>
      </c>
    </row>
    <row r="5" spans="1:6" x14ac:dyDescent="0.3">
      <c r="B5" t="s">
        <v>48</v>
      </c>
      <c r="C5" s="11">
        <f>SUM(Table8[Price])+Dyes!P56-(291000)</f>
        <v>1607035</v>
      </c>
      <c r="E5" s="42">
        <f ca="1">Table12[[#This Row],[Amount]]/Table1[[#Totals],[tiyar/meters]]</f>
        <v>0.91579878454681607</v>
      </c>
    </row>
    <row r="6" spans="1:6" x14ac:dyDescent="0.3">
      <c r="B6" t="s">
        <v>49</v>
      </c>
      <c r="C6" s="11">
        <f>SUM(Table2[Price])+Finish!K30-38750</f>
        <v>508650</v>
      </c>
      <c r="D6" t="s">
        <v>188</v>
      </c>
      <c r="E6" s="42">
        <f ca="1">Table12[[#This Row],[Amount]]/Table1[[#Totals],[tiyar/meters]]</f>
        <v>0.28986366305633543</v>
      </c>
    </row>
    <row r="7" spans="1:6" x14ac:dyDescent="0.3">
      <c r="B7" t="s">
        <v>50</v>
      </c>
      <c r="C7" s="11">
        <f>SUMIFS(Table14[Debit], Table14[Party],Table12[[#This Row],[Type]])</f>
        <v>44681</v>
      </c>
      <c r="E7" s="42">
        <f ca="1">Table12[[#This Row],[Amount]]/Table1[[#Totals],[tiyar/meters]]</f>
        <v>2.5462298887290125E-2</v>
      </c>
    </row>
    <row r="8" spans="1:6" x14ac:dyDescent="0.3">
      <c r="B8" t="s">
        <v>51</v>
      </c>
      <c r="C8" s="11">
        <f>Electricity!E3</f>
        <v>2185118</v>
      </c>
      <c r="E8" s="42">
        <f ca="1">Table12[[#This Row],[Amount]]/Table1[[#Totals],[tiyar/meters]]</f>
        <v>1.2452301340614047</v>
      </c>
    </row>
    <row r="9" spans="1:6" x14ac:dyDescent="0.3">
      <c r="B9" t="s">
        <v>52</v>
      </c>
      <c r="C9" s="11">
        <f>SUMIFS(Table14[Debit], Table14[Party],Table12[[#This Row],[Type]])+SUMIFS(Table14[Debit], Table14[Party],"Advance Salary")</f>
        <v>2672034</v>
      </c>
      <c r="E9" s="42">
        <f ca="1">Table12[[#This Row],[Amount]]/Table1[[#Totals],[tiyar/meters]]</f>
        <v>1.5227082729795971</v>
      </c>
    </row>
    <row r="10" spans="1:6" x14ac:dyDescent="0.3">
      <c r="B10" t="s">
        <v>53</v>
      </c>
      <c r="C10" s="11">
        <f>Table5[[#Totals],[Amount]]</f>
        <v>111730</v>
      </c>
      <c r="E10" s="42">
        <f ca="1">Table12[[#This Row],[Amount]]/Table1[[#Totals],[tiyar/meters]]</f>
        <v>6.3671418604707278E-2</v>
      </c>
    </row>
    <row r="11" spans="1:6" x14ac:dyDescent="0.3">
      <c r="B11" t="s">
        <v>54</v>
      </c>
      <c r="C11" s="11">
        <f>Table13[[#Totals],[Debit]]</f>
        <v>159991</v>
      </c>
      <c r="E11" s="42">
        <f ca="1">Table12[[#This Row],[Amount]]/Table1[[#Totals],[tiyar/meters]]</f>
        <v>9.1173847077648987E-2</v>
      </c>
    </row>
    <row r="12" spans="1:6" x14ac:dyDescent="0.3">
      <c r="B12" t="s">
        <v>55</v>
      </c>
      <c r="C12" s="11">
        <f>Table15[[#Totals],[Amount]]</f>
        <v>650690</v>
      </c>
      <c r="E12" s="42">
        <f ca="1">Table12[[#This Row],[Amount]]/Table1[[#Totals],[tiyar/meters]]</f>
        <v>0.37080779890715992</v>
      </c>
    </row>
    <row r="13" spans="1:6" x14ac:dyDescent="0.3">
      <c r="C13" s="11"/>
      <c r="E13" s="42">
        <f ca="1">Table12[[#This Row],[Amount]]/Table1[[#Totals],[tiyar/meters]]</f>
        <v>0</v>
      </c>
    </row>
    <row r="14" spans="1:6" x14ac:dyDescent="0.3">
      <c r="C14" s="14">
        <f>SUM(Table12[Amount])</f>
        <v>15631719</v>
      </c>
      <c r="E14" s="42">
        <f ca="1">SUM(Table12[cost per meter])</f>
        <v>8.9080258118692939</v>
      </c>
      <c r="F14" s="42">
        <f ca="1">Table1[[#Totals],[tiyar/meters]]</f>
        <v>1754790.4923189464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F19" sqref="F1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18749463.07973665</v>
      </c>
    </row>
    <row r="4" spans="1:3" x14ac:dyDescent="0.3">
      <c r="B4" s="11" t="s">
        <v>44</v>
      </c>
      <c r="C4" s="11">
        <f>Table12[[#Totals],[Amount]]</f>
        <v>15631719</v>
      </c>
    </row>
    <row r="5" spans="1:3" x14ac:dyDescent="0.3">
      <c r="A5" s="6"/>
      <c r="B5" s="15" t="s">
        <v>68</v>
      </c>
      <c r="C5" s="15">
        <f>C3-C4</f>
        <v>3117744.07973665</v>
      </c>
    </row>
    <row r="10" spans="1:3" ht="15" thickBot="1" x14ac:dyDescent="0.35">
      <c r="B10" t="s">
        <v>66</v>
      </c>
      <c r="C10" s="14" t="s">
        <v>67</v>
      </c>
    </row>
    <row r="11" spans="1:3" x14ac:dyDescent="0.3">
      <c r="B11" s="55" t="s">
        <v>0</v>
      </c>
      <c r="C11" s="56">
        <f>C3</f>
        <v>18749463.07973665</v>
      </c>
    </row>
    <row r="12" spans="1:3" x14ac:dyDescent="0.3">
      <c r="B12" s="57" t="s">
        <v>69</v>
      </c>
      <c r="C12" s="58">
        <f>SUM(Table14[Credit])</f>
        <v>36700654</v>
      </c>
    </row>
    <row r="13" spans="1:3" ht="15" thickBot="1" x14ac:dyDescent="0.35">
      <c r="B13" s="73" t="s">
        <v>93</v>
      </c>
      <c r="C13" s="72">
        <f>(C11-C12)</f>
        <v>-17951190.92026335</v>
      </c>
    </row>
    <row r="14" spans="1:3" ht="15" thickBot="1" x14ac:dyDescent="0.35">
      <c r="B14" s="57"/>
      <c r="C14" s="58"/>
    </row>
    <row r="15" spans="1:3" x14ac:dyDescent="0.3">
      <c r="B15" s="55" t="s">
        <v>44</v>
      </c>
      <c r="C15" s="56">
        <f>C4</f>
        <v>15631719</v>
      </c>
    </row>
    <row r="16" spans="1:3" x14ac:dyDescent="0.3">
      <c r="B16" s="57" t="s">
        <v>70</v>
      </c>
      <c r="C16" s="58">
        <f>SUM(Table14[Debit])</f>
        <v>34416963</v>
      </c>
    </row>
    <row r="17" spans="2:6" ht="15" thickBot="1" x14ac:dyDescent="0.35">
      <c r="B17" s="73" t="s">
        <v>71</v>
      </c>
      <c r="C17" s="72">
        <f>C15-C16</f>
        <v>-18785244</v>
      </c>
    </row>
    <row r="18" spans="2:6" ht="15" thickBot="1" x14ac:dyDescent="0.35">
      <c r="B18" s="57"/>
      <c r="C18" s="58"/>
    </row>
    <row r="19" spans="2:6" ht="15" thickBot="1" x14ac:dyDescent="0.35">
      <c r="B19" s="74" t="s">
        <v>72</v>
      </c>
      <c r="C19" s="75">
        <f>Table18[[#Totals],[amount]]</f>
        <v>2283691</v>
      </c>
    </row>
    <row r="20" spans="2:6" ht="15" thickBot="1" x14ac:dyDescent="0.35">
      <c r="B20" s="70"/>
      <c r="C20" s="71"/>
    </row>
    <row r="21" spans="2:6" ht="15" thickBot="1" x14ac:dyDescent="0.35">
      <c r="B21" s="59" t="s">
        <v>73</v>
      </c>
      <c r="C21" s="60">
        <f>(C13-C17)+C19</f>
        <v>3117744.07973665</v>
      </c>
      <c r="E21" s="78" t="s">
        <v>74</v>
      </c>
      <c r="F21" s="79">
        <f>C5*0.05</f>
        <v>155887.20398683249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workbookViewId="0">
      <selection activeCell="B36" sqref="B36:B4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5350</v>
      </c>
      <c r="E32">
        <f>SUMIFS(Table14[Credit], Table14[Date], Table13[[#This Row],[Date]], Table14[Party], "Transport")</f>
        <v>0</v>
      </c>
    </row>
    <row r="33" spans="2:6" x14ac:dyDescent="0.3">
      <c r="B33" s="1">
        <v>46036</v>
      </c>
      <c r="D33">
        <f>SUMIFS(Table14[Debit], Table14[Date], Table13[[#This Row],[Date]], Table14[Party], "Transport")</f>
        <v>1600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12500</v>
      </c>
      <c r="E35">
        <f>SUMIFS(Table14[Credit], Table14[Date], Table13[[#This Row],[Date]], Table14[Party], "Transport")</f>
        <v>0</v>
      </c>
    </row>
    <row r="36" spans="2:6" x14ac:dyDescent="0.3">
      <c r="B36" s="1">
        <v>46039</v>
      </c>
      <c r="D36">
        <f>SUMIFS(Table14[Debit], Table14[Date], Table13[[#This Row],[Date]], Table14[Party], "Transport")</f>
        <v>5300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7400</v>
      </c>
      <c r="E38">
        <f>SUMIFS(Table14[Credit], Table14[Date], Table13[[#This Row],[Date]], Table14[Party], "Transport")</f>
        <v>0</v>
      </c>
    </row>
    <row r="39" spans="2:6" x14ac:dyDescent="0.3">
      <c r="B39" s="1">
        <v>46042</v>
      </c>
      <c r="D39">
        <f>SUMIFS(Table14[Debit], Table14[Date], Table13[[#This Row],[Date]], Table14[Party], "Transport")</f>
        <v>5000</v>
      </c>
      <c r="E39">
        <f>SUMIFS(Table14[Credit], Table14[Date], Table13[[#This Row],[Date]], Table14[Party], "Transport")</f>
        <v>0</v>
      </c>
    </row>
    <row r="40" spans="2:6" x14ac:dyDescent="0.3">
      <c r="B40" s="1">
        <v>46043</v>
      </c>
      <c r="D40">
        <f>SUMIFS(Table14[Debit], Table14[Date], Table13[[#This Row],[Date]], Table14[Party], "Transport")</f>
        <v>0</v>
      </c>
      <c r="E40">
        <f>SUMIFS(Table14[Credit], Table14[Date], Table13[[#This Row],[Date]], Table14[Party], "Transport")</f>
        <v>0</v>
      </c>
    </row>
    <row r="41" spans="2:6" x14ac:dyDescent="0.3">
      <c r="B41" s="1">
        <v>46044</v>
      </c>
      <c r="D41">
        <f>SUMIFS(Table14[Debit], Table14[Date], Table13[[#This Row],[Date]], Table14[Party], "Transport")</f>
        <v>0</v>
      </c>
      <c r="E41">
        <f>SUMIFS(Table14[Credit], Table14[Date], Table13[[#This Row],[Date]], Table14[Party], "Transport")</f>
        <v>0</v>
      </c>
    </row>
    <row r="42" spans="2:6" x14ac:dyDescent="0.3">
      <c r="B42" s="1">
        <v>46045</v>
      </c>
      <c r="D42">
        <f>SUMIFS(Table14[Debit], Table14[Date], Table13[[#This Row],[Date]], Table14[Party], "Transport")</f>
        <v>0</v>
      </c>
      <c r="E42">
        <f>SUMIFS(Table14[Credit], Table14[Date], Table13[[#This Row],[Date]], Table14[Party], "Transport")</f>
        <v>0</v>
      </c>
    </row>
    <row r="43" spans="2:6" x14ac:dyDescent="0.3">
      <c r="B43" s="1">
        <v>46046</v>
      </c>
      <c r="D43">
        <f>SUMIFS(Table14[Debit], Table14[Date], Table13[[#This Row],[Date]], Table14[Party], "Transport")</f>
        <v>0</v>
      </c>
      <c r="E43">
        <f>SUMIFS(Table14[Credit], Table14[Date], Table13[[#This Row],[Date]], Table14[Party], "Transport")</f>
        <v>0</v>
      </c>
    </row>
    <row r="44" spans="2:6" x14ac:dyDescent="0.3">
      <c r="B44" s="1"/>
      <c r="D44">
        <f>SUBTOTAL(109,Table13[Debit])</f>
        <v>159991</v>
      </c>
      <c r="E44">
        <f>SUBTOTAL(109,Table13[Credit])</f>
        <v>0</v>
      </c>
      <c r="F44">
        <f>Table13[[#Totals],[Debit]]-Table13[[#Totals],[Credit]]</f>
        <v>159991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2"/>
  <sheetViews>
    <sheetView topLeftCell="A182" zoomScale="115" zoomScaleNormal="115" workbookViewId="0">
      <selection activeCell="H178" sqref="H17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45979</v>
      </c>
      <c r="B2" s="80" t="s">
        <v>21</v>
      </c>
      <c r="C2" s="107" t="s">
        <v>210</v>
      </c>
      <c r="D2" s="107" t="s">
        <v>85</v>
      </c>
      <c r="E2" s="108"/>
      <c r="F2" s="37"/>
      <c r="G2" s="37"/>
      <c r="H2" s="109" t="e">
        <f>_xlfn.XLOOKUP(Table1[[#This Row],[Shipment Number]], 'pivot '!A:A,'pivot '!G:G, "NF")</f>
        <v>#DIV/0!</v>
      </c>
      <c r="I2" s="109">
        <f>_xlfn.XLOOKUP(Table1[[#This Row],[Party Name]],
[1]Billing!$Q$5:$Q$40,
[1]Billing!$T$5:$T$40)</f>
        <v>2035507.4981711779</v>
      </c>
      <c r="J2" s="109">
        <f>_xlfn.XLOOKUP(Table1[[#This Row],[Party Name]],
[1]Billing!$Q$5:$Q$40,
[1]Billing!$V$5:$V$40)</f>
        <v>20355074.981711783</v>
      </c>
      <c r="K2" s="107"/>
    </row>
    <row r="3" spans="1:28" x14ac:dyDescent="0.3">
      <c r="A3" s="106">
        <v>45979</v>
      </c>
      <c r="B3" s="80" t="s">
        <v>22</v>
      </c>
      <c r="C3" s="107" t="s">
        <v>210</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row>
    <row r="4" spans="1:28" x14ac:dyDescent="0.3">
      <c r="A4" s="106">
        <v>45979</v>
      </c>
      <c r="B4" s="80" t="s">
        <v>9</v>
      </c>
      <c r="C4" s="107" t="s">
        <v>210</v>
      </c>
      <c r="D4" s="107" t="s">
        <v>85</v>
      </c>
      <c r="E4" s="108"/>
      <c r="F4" s="37"/>
      <c r="G4" s="37"/>
      <c r="H4" s="109" t="e">
        <f>_xlfn.XLOOKUP(Table1[[#This Row],[Shipment Number]], 'pivot '!A:A,'pivot '!G:G, "NF")</f>
        <v>#DIV/0!</v>
      </c>
      <c r="I4" s="109">
        <f>_xlfn.XLOOKUP(Table1[[#This Row],[Party Name]],
[1]Billing!$Q$5:$Q$40,
[1]Billing!$T$5:$T$40)</f>
        <v>522790.78273591812</v>
      </c>
      <c r="J4" s="109">
        <f>_xlfn.XLOOKUP(Table1[[#This Row],[Party Name]],
[1]Billing!$Q$5:$Q$40,
[1]Billing!$V$5:$V$40)</f>
        <v>5227907.8273591809</v>
      </c>
      <c r="K4" s="107"/>
    </row>
    <row r="5" spans="1:28" x14ac:dyDescent="0.3">
      <c r="A5" s="106">
        <v>45979</v>
      </c>
      <c r="B5" s="80" t="s">
        <v>23</v>
      </c>
      <c r="C5" s="107" t="s">
        <v>210</v>
      </c>
      <c r="D5" s="107" t="s">
        <v>85</v>
      </c>
      <c r="E5" s="108"/>
      <c r="F5" s="37"/>
      <c r="G5" s="37"/>
      <c r="H5" s="109" t="e">
        <f>_xlfn.XLOOKUP(Table1[[#This Row],[Shipment Number]], 'pivot '!A:A,'pivot '!G:G, "NF")</f>
        <v>#DIV/0!</v>
      </c>
      <c r="I5" s="109">
        <f>_xlfn.XLOOKUP(Table1[[#This Row],[Party Name]],
[1]Billing!$Q$5:$Q$40,
[1]Billing!$T$5:$T$40)</f>
        <v>123086.13752743235</v>
      </c>
      <c r="J5" s="109">
        <f>_xlfn.XLOOKUP(Table1[[#This Row],[Party Name]],
[1]Billing!$Q$5:$Q$40,
[1]Billing!$V$5:$V$40)</f>
        <v>1269270.3440380397</v>
      </c>
      <c r="K5" s="107"/>
    </row>
    <row r="6" spans="1:28" x14ac:dyDescent="0.3">
      <c r="A6" s="106">
        <v>45979</v>
      </c>
      <c r="B6" s="80" t="s">
        <v>24</v>
      </c>
      <c r="C6" s="107" t="s">
        <v>210</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X6"/>
      <c r="Y6"/>
      <c r="Z6"/>
      <c r="AA6"/>
      <c r="AB6"/>
    </row>
    <row r="7" spans="1:28" x14ac:dyDescent="0.3">
      <c r="A7" s="106">
        <v>45979</v>
      </c>
      <c r="B7" s="80" t="s">
        <v>25</v>
      </c>
      <c r="C7" s="107" t="s">
        <v>210</v>
      </c>
      <c r="D7" s="107" t="s">
        <v>85</v>
      </c>
      <c r="E7" s="108"/>
      <c r="F7" s="37"/>
      <c r="G7" s="37"/>
      <c r="H7" s="109" t="e">
        <f>_xlfn.XLOOKUP(Table1[[#This Row],[Shipment Number]], 'pivot '!A:A,'pivot '!G:G, "NF")</f>
        <v>#DIV/0!</v>
      </c>
      <c r="I7" s="109">
        <f>_xlfn.XLOOKUP(Table1[[#This Row],[Party Name]],
[1]Billing!$Q$5:$Q$40,
[1]Billing!$T$5:$T$40)</f>
        <v>785980.24871982448</v>
      </c>
      <c r="J7" s="109">
        <f>_xlfn.XLOOKUP(Table1[[#This Row],[Party Name]],
[1]Billing!$Q$5:$Q$40,
[1]Billing!$V$5:$V$40)</f>
        <v>7859802.4871982448</v>
      </c>
      <c r="K7" s="107"/>
      <c r="X7"/>
      <c r="Y7"/>
      <c r="Z7"/>
      <c r="AA7"/>
      <c r="AB7"/>
    </row>
    <row r="8" spans="1:28" x14ac:dyDescent="0.3">
      <c r="A8" s="106">
        <v>45979</v>
      </c>
      <c r="B8" s="80" t="s">
        <v>26</v>
      </c>
      <c r="C8" s="107" t="s">
        <v>210</v>
      </c>
      <c r="D8" s="107" t="s">
        <v>85</v>
      </c>
      <c r="E8" s="108"/>
      <c r="F8" s="37"/>
      <c r="G8" s="37"/>
      <c r="H8" s="109" t="e">
        <f>_xlfn.XLOOKUP(Table1[[#This Row],[Shipment Number]], 'pivot '!A:A,'pivot '!G:G, "NF")</f>
        <v>#DIV/0!</v>
      </c>
      <c r="I8" s="109">
        <f>_xlfn.XLOOKUP(Table1[[#This Row],[Party Name]],
[1]Billing!$Q$5:$Q$40,
[1]Billing!$T$5:$T$40)</f>
        <v>139387.34455010976</v>
      </c>
      <c r="J8" s="109">
        <f>_xlfn.XLOOKUP(Table1[[#This Row],[Party Name]],
[1]Billing!$Q$5:$Q$40,
[1]Billing!$V$5:$V$40)</f>
        <v>1393873.4455010975</v>
      </c>
      <c r="K8" s="107"/>
      <c r="X8"/>
      <c r="Y8"/>
      <c r="Z8"/>
      <c r="AA8"/>
      <c r="AB8"/>
    </row>
    <row r="9" spans="1:28" x14ac:dyDescent="0.3">
      <c r="A9" s="106">
        <v>45979</v>
      </c>
      <c r="B9" s="80" t="s">
        <v>151</v>
      </c>
      <c r="C9" s="107" t="s">
        <v>210</v>
      </c>
      <c r="D9" s="107" t="s">
        <v>85</v>
      </c>
      <c r="E9" s="108"/>
      <c r="F9" s="37"/>
      <c r="G9" s="37"/>
      <c r="H9" s="109" t="e">
        <f>_xlfn.XLOOKUP(Table1[[#This Row],[Shipment Number]], 'pivot '!A:A,'pivot '!G:G, "NF")</f>
        <v>#DIV/0!</v>
      </c>
      <c r="I9" s="109">
        <f>_xlfn.XLOOKUP(Table1[[#This Row],[Party Name]],
[1]Billing!$Q$5:$Q$40,
[1]Billing!$T$5:$T$40)</f>
        <v>305469.09290416975</v>
      </c>
      <c r="J9" s="109">
        <f>_xlfn.XLOOKUP(Table1[[#This Row],[Party Name]],
[1]Billing!$Q$5:$Q$40,
[1]Billing!$V$5:$V$40)</f>
        <v>3054690.9290416976</v>
      </c>
      <c r="K9" s="107"/>
      <c r="X9"/>
      <c r="Y9"/>
      <c r="Z9"/>
      <c r="AA9"/>
      <c r="AB9"/>
    </row>
    <row r="10" spans="1:28" x14ac:dyDescent="0.3">
      <c r="A10" s="106">
        <v>45979</v>
      </c>
      <c r="B10" s="80" t="s">
        <v>35</v>
      </c>
      <c r="C10" s="107" t="s">
        <v>210</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X10"/>
      <c r="Y10"/>
    </row>
    <row r="11" spans="1:28" x14ac:dyDescent="0.3">
      <c r="A11" s="106">
        <v>45979</v>
      </c>
      <c r="B11" s="80" t="s">
        <v>147</v>
      </c>
      <c r="C11" s="107" t="s">
        <v>210</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P11"/>
      <c r="Q11"/>
      <c r="R11"/>
      <c r="S11"/>
      <c r="T11"/>
      <c r="U11"/>
      <c r="V11"/>
      <c r="W11"/>
      <c r="X11"/>
      <c r="Y11"/>
    </row>
    <row r="12" spans="1:28" x14ac:dyDescent="0.3">
      <c r="A12" s="106">
        <v>45979</v>
      </c>
      <c r="B12" s="80" t="s">
        <v>27</v>
      </c>
      <c r="C12" s="107" t="s">
        <v>210</v>
      </c>
      <c r="D12" s="107" t="s">
        <v>85</v>
      </c>
      <c r="E12" s="108"/>
      <c r="F12" s="37"/>
      <c r="G12" s="37"/>
      <c r="H12" s="109" t="e">
        <f>_xlfn.XLOOKUP(Table1[[#This Row],[Shipment Number]], 'pivot '!A:A,'pivot '!G:G, "NF")</f>
        <v>#DIV/0!</v>
      </c>
      <c r="I12" s="109">
        <f>_xlfn.XLOOKUP(Table1[[#This Row],[Party Name]],
[1]Billing!$Q$5:$Q$40,
[1]Billing!$T$5:$T$40)</f>
        <v>185456.29114850037</v>
      </c>
      <c r="J12" s="109">
        <f>_xlfn.XLOOKUP(Table1[[#This Row],[Party Name]],
[1]Billing!$Q$5:$Q$40,
[1]Billing!$V$5:$V$40)</f>
        <v>1854562.9114850038</v>
      </c>
      <c r="K12" s="107"/>
      <c r="P12"/>
      <c r="Q12"/>
      <c r="R12"/>
      <c r="S12"/>
      <c r="T12"/>
      <c r="U12"/>
      <c r="V12"/>
      <c r="W12"/>
      <c r="X12"/>
      <c r="Y12"/>
    </row>
    <row r="13" spans="1:28" x14ac:dyDescent="0.3">
      <c r="A13" s="106">
        <v>45979</v>
      </c>
      <c r="B13" s="80" t="s">
        <v>165</v>
      </c>
      <c r="C13" s="107" t="s">
        <v>210</v>
      </c>
      <c r="D13" s="107" t="s">
        <v>85</v>
      </c>
      <c r="E13" s="37"/>
      <c r="F13" s="37"/>
      <c r="G13" s="37"/>
      <c r="H13" s="109" t="e">
        <f>_xlfn.XLOOKUP(Table1[[#This Row],[Shipment Number]], 'pivot '!A:A,'pivot '!G:G, "NF")</f>
        <v>#DIV/0!</v>
      </c>
      <c r="I13" s="109">
        <f>_xlfn.XLOOKUP(Table1[[#This Row],[Party Name]],
[1]Billing!$Q$5:$Q$40,
[1]Billing!$T$5:$T$40)</f>
        <v>355909.83906364307</v>
      </c>
      <c r="J13" s="109">
        <f>_xlfn.XLOOKUP(Table1[[#This Row],[Party Name]],
[1]Billing!$Q$5:$Q$40,
[1]Billing!$V$5:$V$40)</f>
        <v>3559098.3906364306</v>
      </c>
      <c r="K13" s="107"/>
      <c r="P13"/>
      <c r="Q13"/>
      <c r="R13"/>
      <c r="S13"/>
      <c r="T13"/>
      <c r="U13"/>
      <c r="V13"/>
      <c r="W13"/>
      <c r="X13"/>
      <c r="Y13"/>
    </row>
    <row r="14" spans="1:28" x14ac:dyDescent="0.3">
      <c r="A14" s="106">
        <v>45979</v>
      </c>
      <c r="B14" s="80" t="s">
        <v>167</v>
      </c>
      <c r="C14" s="107" t="s">
        <v>210</v>
      </c>
      <c r="D14" s="107" t="s">
        <v>85</v>
      </c>
      <c r="E14" s="37"/>
      <c r="F14" s="37"/>
      <c r="G14" s="37"/>
      <c r="H14" s="109" t="e">
        <f>_xlfn.XLOOKUP(Table1[[#This Row],[Shipment Number]], 'pivot '!A:A,'pivot '!G:G, "NF")</f>
        <v>#DIV/0!</v>
      </c>
      <c r="I14" s="109">
        <f>_xlfn.XLOOKUP(Table1[[#This Row],[Party Name]],
[1]Billing!$Q$5:$Q$40,
[1]Billing!$T$5:$T$40)</f>
        <v>0</v>
      </c>
      <c r="J14" s="109">
        <f>_xlfn.XLOOKUP(Table1[[#This Row],[Party Name]],
[1]Billing!$Q$5:$Q$40,
[1]Billing!$V$5:$V$40)</f>
        <v>0</v>
      </c>
      <c r="K14" s="107"/>
      <c r="P14"/>
      <c r="Q14"/>
      <c r="R14"/>
      <c r="S14"/>
      <c r="T14"/>
      <c r="U14"/>
      <c r="V14"/>
      <c r="W14"/>
      <c r="X14"/>
      <c r="Y14"/>
    </row>
    <row r="15" spans="1:28" x14ac:dyDescent="0.3">
      <c r="A15" s="106">
        <v>45979</v>
      </c>
      <c r="B15" s="80" t="s">
        <v>169</v>
      </c>
      <c r="C15" s="107" t="s">
        <v>210</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P15"/>
      <c r="Q15"/>
      <c r="R15"/>
      <c r="S15"/>
      <c r="T15"/>
      <c r="U15"/>
      <c r="V15"/>
      <c r="W15"/>
      <c r="X15"/>
      <c r="Y15"/>
    </row>
    <row r="16" spans="1:28" x14ac:dyDescent="0.3">
      <c r="A16" s="106">
        <v>45979</v>
      </c>
      <c r="B16" s="80" t="s">
        <v>170</v>
      </c>
      <c r="C16" s="107" t="s">
        <v>210</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P16"/>
      <c r="Q16"/>
      <c r="R16"/>
      <c r="S16"/>
      <c r="T16"/>
      <c r="U16"/>
      <c r="V16"/>
      <c r="W16"/>
      <c r="X16"/>
      <c r="Y16"/>
    </row>
    <row r="17" spans="1:25" x14ac:dyDescent="0.3">
      <c r="A17" s="106">
        <v>45979</v>
      </c>
      <c r="B17" s="80" t="s">
        <v>172</v>
      </c>
      <c r="C17" s="107" t="s">
        <v>210</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P17"/>
      <c r="Q17"/>
      <c r="R17"/>
      <c r="S17"/>
      <c r="T17"/>
      <c r="U17"/>
      <c r="V17"/>
      <c r="W17"/>
      <c r="X17"/>
      <c r="Y17"/>
    </row>
    <row r="18" spans="1:25" x14ac:dyDescent="0.3">
      <c r="A18" s="106">
        <v>45979</v>
      </c>
      <c r="B18" s="80" t="s">
        <v>174</v>
      </c>
      <c r="C18" s="107" t="s">
        <v>210</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0</v>
      </c>
      <c r="K18" s="107"/>
      <c r="P18"/>
      <c r="Q18"/>
      <c r="R18"/>
      <c r="S18"/>
      <c r="T18"/>
      <c r="U18"/>
      <c r="V18"/>
      <c r="W18"/>
      <c r="X18"/>
      <c r="Y18"/>
    </row>
    <row r="19" spans="1:25" x14ac:dyDescent="0.3">
      <c r="A19" s="106">
        <v>45979</v>
      </c>
      <c r="B19" s="80" t="s">
        <v>177</v>
      </c>
      <c r="C19" s="107" t="s">
        <v>210</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P19"/>
      <c r="Q19"/>
      <c r="R19"/>
      <c r="S19"/>
      <c r="T19"/>
      <c r="U19"/>
      <c r="V19"/>
      <c r="W19"/>
      <c r="X19"/>
      <c r="Y19"/>
    </row>
    <row r="20" spans="1:25" x14ac:dyDescent="0.3">
      <c r="A20" s="106">
        <v>45979</v>
      </c>
      <c r="B20" s="80" t="s">
        <v>178</v>
      </c>
      <c r="C20" s="107" t="s">
        <v>210</v>
      </c>
      <c r="D20" s="107" t="s">
        <v>85</v>
      </c>
      <c r="E20" s="37"/>
      <c r="F20" s="37"/>
      <c r="G20" s="37"/>
      <c r="H20" s="109" t="e">
        <f>_xlfn.XLOOKUP(Table1[[#This Row],[Shipment Number]], 'pivot '!A:A,'pivot '!G:G, "NF")</f>
        <v>#DIV/0!</v>
      </c>
      <c r="I20" s="109">
        <f>_xlfn.XLOOKUP(Table1[[#This Row],[Party Name]],
[1]Billing!$Q$5:$Q$40,
[1]Billing!$T$5:$T$40)</f>
        <v>213946.59839063644</v>
      </c>
      <c r="J20" s="109">
        <f>_xlfn.XLOOKUP(Table1[[#This Row],[Party Name]],
[1]Billing!$Q$5:$Q$40,
[1]Billing!$V$5:$V$40)</f>
        <v>2139465.9839063645</v>
      </c>
      <c r="K20" s="107"/>
      <c r="P20"/>
      <c r="Q20"/>
      <c r="R20"/>
      <c r="S20"/>
      <c r="T20"/>
      <c r="U20"/>
      <c r="V20"/>
      <c r="W20"/>
      <c r="X20"/>
      <c r="Y20"/>
    </row>
    <row r="21" spans="1:25" x14ac:dyDescent="0.3">
      <c r="A21" s="106">
        <v>45979</v>
      </c>
      <c r="B21" s="80" t="s">
        <v>183</v>
      </c>
      <c r="C21" s="107" t="s">
        <v>210</v>
      </c>
      <c r="D21" s="107" t="s">
        <v>85</v>
      </c>
      <c r="E21" s="37"/>
      <c r="F21" s="37"/>
      <c r="G21" s="37"/>
      <c r="H21" s="109" t="e">
        <f>_xlfn.XLOOKUP(Table1[[#This Row],[Shipment Number]], 'pivot '!A:A,'pivot '!G:G, "NF")</f>
        <v>#DIV/0!</v>
      </c>
      <c r="I21" s="109">
        <f>_xlfn.XLOOKUP(Table1[[#This Row],[Party Name]],
[1]Billing!$Q$5:$Q$40,
[1]Billing!$T$5:$T$40)</f>
        <v>14355.340160936359</v>
      </c>
      <c r="J21" s="109">
        <f>_xlfn.XLOOKUP(Table1[[#This Row],[Party Name]],
[1]Billing!$Q$5:$Q$40,
[1]Billing!$V$5:$V$40)</f>
        <v>143553.40160936359</v>
      </c>
      <c r="K21" s="107"/>
      <c r="P21"/>
      <c r="Q21"/>
      <c r="R21"/>
      <c r="S21"/>
      <c r="T21"/>
      <c r="U21"/>
      <c r="V21"/>
      <c r="W21"/>
      <c r="X21"/>
      <c r="Y21"/>
    </row>
    <row r="22" spans="1:25" x14ac:dyDescent="0.3">
      <c r="A22" s="106">
        <v>45979</v>
      </c>
      <c r="B22" s="80" t="s">
        <v>192</v>
      </c>
      <c r="C22" s="107" t="s">
        <v>210</v>
      </c>
      <c r="D22" s="107" t="s">
        <v>85</v>
      </c>
      <c r="E22" s="37"/>
      <c r="F22" s="37"/>
      <c r="G22" s="37"/>
      <c r="H22" s="109" t="e">
        <f>_xlfn.XLOOKUP(Table1[[#This Row],[Shipment Number]], 'pivot '!A:A,'pivot '!G:G, "NF")</f>
        <v>#DIV/0!</v>
      </c>
      <c r="I22" s="109">
        <f>_xlfn.XLOOKUP(Table1[[#This Row],[Party Name]],
[1]Billing!$Q$5:$Q$40,
[1]Billing!$T$5:$T$40)</f>
        <v>113495.7937088515</v>
      </c>
      <c r="J22" s="109">
        <f>_xlfn.XLOOKUP(Table1[[#This Row],[Party Name]],
[1]Billing!$Q$5:$Q$40,
[1]Billing!$V$5:$V$40)</f>
        <v>1134957.9370885149</v>
      </c>
      <c r="K22" s="107"/>
      <c r="P22"/>
      <c r="Q22"/>
      <c r="R22"/>
      <c r="S22"/>
      <c r="T22"/>
      <c r="U22"/>
      <c r="V22"/>
      <c r="W22"/>
      <c r="X22"/>
      <c r="Y22"/>
    </row>
    <row r="23" spans="1:25" x14ac:dyDescent="0.3">
      <c r="A23" s="106">
        <v>45979</v>
      </c>
      <c r="B23" s="80" t="s">
        <v>195</v>
      </c>
      <c r="C23" s="107" t="s">
        <v>210</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P23"/>
      <c r="Q23"/>
      <c r="R23"/>
      <c r="S23"/>
      <c r="T23"/>
      <c r="U23"/>
      <c r="V23"/>
      <c r="W23"/>
      <c r="X23"/>
      <c r="Y23"/>
    </row>
    <row r="24" spans="1:25" x14ac:dyDescent="0.3">
      <c r="A24" s="106">
        <v>45979</v>
      </c>
      <c r="B24" s="80" t="s">
        <v>194</v>
      </c>
      <c r="C24" s="107" t="s">
        <v>210</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P24"/>
      <c r="Q24"/>
      <c r="R24"/>
      <c r="S24"/>
      <c r="T24"/>
      <c r="U24"/>
      <c r="V24"/>
      <c r="W24"/>
      <c r="X24"/>
      <c r="Y24"/>
    </row>
    <row r="25" spans="1:25" x14ac:dyDescent="0.3">
      <c r="A25" s="106">
        <v>45979</v>
      </c>
      <c r="B25" s="80" t="s">
        <v>200</v>
      </c>
      <c r="C25" s="107" t="s">
        <v>210</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P25"/>
      <c r="Q25"/>
      <c r="R25"/>
      <c r="S25"/>
      <c r="T25"/>
      <c r="U25"/>
      <c r="V25"/>
      <c r="W25"/>
      <c r="X25"/>
      <c r="Y25"/>
    </row>
    <row r="26" spans="1:25" x14ac:dyDescent="0.3">
      <c r="A26" s="106">
        <v>45979</v>
      </c>
      <c r="B26" s="80" t="s">
        <v>205</v>
      </c>
      <c r="C26" s="107" t="s">
        <v>210</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P26"/>
      <c r="Q26"/>
      <c r="R26"/>
      <c r="S26"/>
      <c r="T26"/>
      <c r="U26"/>
      <c r="V26"/>
      <c r="W26"/>
      <c r="X26"/>
      <c r="Y26"/>
    </row>
    <row r="27" spans="1:25" x14ac:dyDescent="0.3">
      <c r="A27" s="106">
        <v>45979</v>
      </c>
      <c r="B27" s="117" t="s">
        <v>207</v>
      </c>
      <c r="C27" s="107" t="s">
        <v>210</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P27"/>
      <c r="Q27"/>
      <c r="R27"/>
      <c r="S27"/>
      <c r="T27"/>
      <c r="U27"/>
      <c r="V27"/>
      <c r="W27"/>
      <c r="X27"/>
      <c r="Y27"/>
    </row>
    <row r="28" spans="1:25" x14ac:dyDescent="0.3">
      <c r="A28" s="111">
        <v>45979</v>
      </c>
      <c r="B28" s="80" t="s">
        <v>21</v>
      </c>
      <c r="C28" s="112" t="s">
        <v>210</v>
      </c>
      <c r="D28" s="112" t="s">
        <v>86</v>
      </c>
      <c r="E28" s="13"/>
      <c r="F28" s="13"/>
      <c r="G28" s="13"/>
      <c r="H28" s="113" t="e">
        <f>_xlfn.XLOOKUP(Table1[[#This Row],[Shipment Number]], 'pivot '!A:A,'pivot '!G:G, "NF")</f>
        <v>#DIV/0!</v>
      </c>
      <c r="I28" s="113">
        <f>_xlfn.XLOOKUP(Table1[[#This Row],[Party Name]],
[1]Billing!$Q$5:$Q$40,
[1]Billing!$U$5:$U$40)</f>
        <v>282468.91002194589</v>
      </c>
      <c r="J28" s="113">
        <f>_xlfn.XLOOKUP(Table1[[#This Row],[Party Name]],
[1]Billing!$Q$5:$Q$40,
[1]Billing!$W$5:$W$40)</f>
        <v>3583739.941477689</v>
      </c>
      <c r="K28" s="112"/>
      <c r="P28"/>
      <c r="Q28"/>
      <c r="R28"/>
      <c r="S28"/>
      <c r="T28"/>
      <c r="U28"/>
      <c r="V28"/>
      <c r="W28"/>
      <c r="X28"/>
      <c r="Y28"/>
    </row>
    <row r="29" spans="1:25" x14ac:dyDescent="0.3">
      <c r="A29" s="106">
        <v>45979</v>
      </c>
      <c r="B29" s="80" t="s">
        <v>22</v>
      </c>
      <c r="C29" s="107" t="s">
        <v>210</v>
      </c>
      <c r="D29" s="107" t="s">
        <v>86</v>
      </c>
      <c r="E29" s="37"/>
      <c r="F29" s="37"/>
      <c r="G29" s="37"/>
      <c r="H29" s="109" t="e">
        <f>_xlfn.XLOOKUP(Table1[[#This Row],[Shipment Number]], 'pivot '!A:A,'pivot '!G:G, "NF")</f>
        <v>#DIV/0!</v>
      </c>
      <c r="I29" s="113">
        <f>_xlfn.XLOOKUP(Table1[[#This Row],[Party Name]],
[1]Billing!$Q$5:$Q$40,
[1]Billing!$U$5:$U$40)</f>
        <v>211578.27359180688</v>
      </c>
      <c r="J29" s="113">
        <f>_xlfn.XLOOKUP(Table1[[#This Row],[Party Name]],
[1]Billing!$Q$5:$Q$40,
[1]Billing!$W$5:$W$40)</f>
        <v>2691373.4455010975</v>
      </c>
      <c r="K29" s="107"/>
      <c r="P29"/>
      <c r="Q29"/>
      <c r="R29"/>
      <c r="S29"/>
      <c r="T29"/>
      <c r="U29"/>
      <c r="V29"/>
      <c r="W29"/>
      <c r="X29"/>
      <c r="Y29"/>
    </row>
    <row r="30" spans="1:25" x14ac:dyDescent="0.3">
      <c r="A30" s="106">
        <v>45979</v>
      </c>
      <c r="B30" s="80" t="s">
        <v>9</v>
      </c>
      <c r="C30" s="107" t="s">
        <v>210</v>
      </c>
      <c r="D30" s="112" t="s">
        <v>86</v>
      </c>
      <c r="E30" s="37"/>
      <c r="F30" s="37"/>
      <c r="G30" s="37"/>
      <c r="H30" s="109" t="e">
        <f>_xlfn.XLOOKUP(Table1[[#This Row],[Shipment Number]], 'pivot '!A:A,'pivot '!G:G, "NF")</f>
        <v>#DIV/0!</v>
      </c>
      <c r="I30" s="113">
        <f>_xlfn.XLOOKUP(Table1[[#This Row],[Party Name]],
[1]Billing!$Q$5:$Q$40,
[1]Billing!$U$5:$U$40)</f>
        <v>78112.65544989027</v>
      </c>
      <c r="J30" s="113">
        <f>_xlfn.XLOOKUP(Table1[[#This Row],[Party Name]],
[1]Billing!$Q$5:$Q$40,
[1]Billing!$W$5:$W$40)</f>
        <v>1000670.2633504025</v>
      </c>
      <c r="K30" s="107"/>
      <c r="P30"/>
      <c r="Q30"/>
      <c r="R30"/>
      <c r="S30"/>
      <c r="T30"/>
      <c r="U30"/>
      <c r="V30"/>
      <c r="W30"/>
      <c r="X30"/>
      <c r="Y30"/>
    </row>
    <row r="31" spans="1:25" x14ac:dyDescent="0.3">
      <c r="A31" s="106">
        <v>45979</v>
      </c>
      <c r="B31" s="80" t="s">
        <v>23</v>
      </c>
      <c r="C31" s="107" t="s">
        <v>210</v>
      </c>
      <c r="D31" s="107" t="s">
        <v>86</v>
      </c>
      <c r="E31" s="37"/>
      <c r="F31" s="37"/>
      <c r="G31" s="37"/>
      <c r="H31" s="109" t="e">
        <f>_xlfn.XLOOKUP(Table1[[#This Row],[Shipment Number]], 'pivot '!A:A,'pivot '!G:G, "NF")</f>
        <v>#DIV/0!</v>
      </c>
      <c r="I31" s="113">
        <f>_xlfn.XLOOKUP(Table1[[#This Row],[Party Name]],
[1]Billing!$Q$5:$Q$40,
[1]Billing!$U$5:$U$40)</f>
        <v>0</v>
      </c>
      <c r="J31" s="113">
        <f>_xlfn.XLOOKUP(Table1[[#This Row],[Party Name]],
[1]Billing!$Q$5:$Q$40,
[1]Billing!$W$5:$W$40)</f>
        <v>0</v>
      </c>
      <c r="K31" s="107"/>
      <c r="P31"/>
      <c r="Q31"/>
      <c r="R31"/>
      <c r="S31"/>
      <c r="T31"/>
      <c r="U31"/>
      <c r="V31"/>
      <c r="W31"/>
      <c r="X31"/>
      <c r="Y31"/>
    </row>
    <row r="32" spans="1:25" x14ac:dyDescent="0.3">
      <c r="A32" s="106">
        <v>45979</v>
      </c>
      <c r="B32" s="80" t="s">
        <v>24</v>
      </c>
      <c r="C32" s="107" t="s">
        <v>210</v>
      </c>
      <c r="D32" s="112" t="s">
        <v>86</v>
      </c>
      <c r="E32" s="37"/>
      <c r="F32" s="37"/>
      <c r="G32" s="37"/>
      <c r="H32" s="109"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7"/>
      <c r="P32"/>
      <c r="Q32"/>
      <c r="R32"/>
      <c r="S32"/>
      <c r="T32"/>
      <c r="U32"/>
      <c r="V32"/>
      <c r="W32"/>
      <c r="X32"/>
      <c r="Y32"/>
    </row>
    <row r="33" spans="1:25" x14ac:dyDescent="0.3">
      <c r="A33" s="106">
        <v>45979</v>
      </c>
      <c r="B33" s="80" t="s">
        <v>25</v>
      </c>
      <c r="C33" s="107" t="s">
        <v>210</v>
      </c>
      <c r="D33" s="107" t="s">
        <v>86</v>
      </c>
      <c r="E33" s="37"/>
      <c r="F33" s="37"/>
      <c r="G33" s="37"/>
      <c r="H33" s="109" t="e">
        <f>_xlfn.XLOOKUP(Table1[[#This Row],[Shipment Number]], 'pivot '!A:A,'pivot '!G:G, "NF")</f>
        <v>#DIV/0!</v>
      </c>
      <c r="I33" s="113">
        <f>_xlfn.XLOOKUP(Table1[[#This Row],[Party Name]],
[1]Billing!$Q$5:$Q$40,
[1]Billing!$U$5:$U$40)</f>
        <v>0</v>
      </c>
      <c r="J33" s="113">
        <f>_xlfn.XLOOKUP(Table1[[#This Row],[Party Name]],
[1]Billing!$Q$5:$Q$40,
[1]Billing!$W$5:$W$40)</f>
        <v>0</v>
      </c>
      <c r="K33" s="107"/>
      <c r="P33"/>
      <c r="Q33"/>
      <c r="R33"/>
      <c r="S33"/>
      <c r="T33"/>
      <c r="U33"/>
      <c r="V33"/>
      <c r="W33"/>
      <c r="X33"/>
      <c r="Y33"/>
    </row>
    <row r="34" spans="1:25" x14ac:dyDescent="0.3">
      <c r="A34" s="106">
        <v>45979</v>
      </c>
      <c r="B34" s="80" t="s">
        <v>26</v>
      </c>
      <c r="C34" s="107" t="s">
        <v>210</v>
      </c>
      <c r="D34" s="112" t="s">
        <v>86</v>
      </c>
      <c r="E34" s="37"/>
      <c r="F34" s="37"/>
      <c r="G34" s="37"/>
      <c r="H34" s="109" t="e">
        <f>_xlfn.XLOOKUP(Table1[[#This Row],[Shipment Number]], 'pivot '!A:A,'pivot '!G:G, "NF")</f>
        <v>#DIV/0!</v>
      </c>
      <c r="I34" s="113">
        <f>_xlfn.XLOOKUP(Table1[[#This Row],[Party Name]],
[1]Billing!$Q$5:$Q$40,
[1]Billing!$U$5:$U$40)</f>
        <v>0</v>
      </c>
      <c r="J34" s="113">
        <f>_xlfn.XLOOKUP(Table1[[#This Row],[Party Name]],
[1]Billing!$Q$5:$Q$40,
[1]Billing!$W$5:$W$40)</f>
        <v>0</v>
      </c>
      <c r="K34" s="107"/>
      <c r="P34"/>
      <c r="Q34"/>
      <c r="R34"/>
      <c r="S34"/>
      <c r="T34"/>
      <c r="U34"/>
      <c r="V34"/>
      <c r="W34"/>
      <c r="X34"/>
      <c r="Y34"/>
    </row>
    <row r="35" spans="1:25" x14ac:dyDescent="0.3">
      <c r="A35" s="106">
        <v>45979</v>
      </c>
      <c r="B35" s="80" t="s">
        <v>151</v>
      </c>
      <c r="C35" s="107" t="s">
        <v>210</v>
      </c>
      <c r="D35" s="107" t="s">
        <v>86</v>
      </c>
      <c r="E35" s="37"/>
      <c r="F35" s="37"/>
      <c r="G35" s="37"/>
      <c r="H35" s="109" t="e">
        <f>_xlfn.XLOOKUP(Table1[[#This Row],[Shipment Number]], 'pivot '!A:A,'pivot '!G:G, "NF")</f>
        <v>#DIV/0!</v>
      </c>
      <c r="I35" s="113">
        <f>_xlfn.XLOOKUP(Table1[[#This Row],[Party Name]],
[1]Billing!$Q$5:$Q$40,
[1]Billing!$U$5:$U$40)</f>
        <v>25188.368690563279</v>
      </c>
      <c r="J35" s="113">
        <f>_xlfn.XLOOKUP(Table1[[#This Row],[Party Name]],
[1]Billing!$Q$5:$Q$40,
[1]Billing!$W$5:$W$40)</f>
        <v>327448.79297732259</v>
      </c>
      <c r="K35" s="107"/>
      <c r="P35"/>
      <c r="Q35"/>
      <c r="R35"/>
      <c r="S35"/>
      <c r="T35"/>
      <c r="U35"/>
      <c r="V35"/>
      <c r="W35"/>
      <c r="X35"/>
      <c r="Y35"/>
    </row>
    <row r="36" spans="1:25" x14ac:dyDescent="0.3">
      <c r="A36" s="106">
        <v>45979</v>
      </c>
      <c r="B36" s="80" t="s">
        <v>35</v>
      </c>
      <c r="C36" s="107" t="s">
        <v>210</v>
      </c>
      <c r="D36" s="112" t="s">
        <v>86</v>
      </c>
      <c r="E36" s="37"/>
      <c r="F36" s="37"/>
      <c r="G36" s="37"/>
      <c r="H36" s="109" t="e">
        <f>_xlfn.XLOOKUP(Table1[[#This Row],[Shipment Number]], 'pivot '!A:A,'pivot '!G:G, "NF")</f>
        <v>#DIV/0!</v>
      </c>
      <c r="I36" s="113">
        <f>_xlfn.XLOOKUP(Table1[[#This Row],[Party Name]],
[1]Billing!$Q$5:$Q$40,
[1]Billing!$U$5:$U$40)</f>
        <v>14995.427944403806</v>
      </c>
      <c r="J36" s="113">
        <f>_xlfn.XLOOKUP(Table1[[#This Row],[Party Name]],
[1]Billing!$Q$5:$Q$40,
[1]Billing!$W$5:$W$40)</f>
        <v>179945.13533284568</v>
      </c>
      <c r="K36" s="107"/>
      <c r="P36"/>
      <c r="Q36"/>
      <c r="R36"/>
      <c r="S36"/>
      <c r="T36"/>
      <c r="U36"/>
      <c r="V36"/>
      <c r="W36"/>
      <c r="X36"/>
      <c r="Y36"/>
    </row>
    <row r="37" spans="1:25" x14ac:dyDescent="0.3">
      <c r="A37" s="106">
        <v>45979</v>
      </c>
      <c r="B37" s="80" t="s">
        <v>147</v>
      </c>
      <c r="C37" s="107" t="s">
        <v>210</v>
      </c>
      <c r="D37" s="107" t="s">
        <v>86</v>
      </c>
      <c r="E37" s="37"/>
      <c r="F37" s="37"/>
      <c r="G37" s="37"/>
      <c r="H37" s="109" t="e">
        <f>_xlfn.XLOOKUP(Table1[[#This Row],[Shipment Number]], 'pivot '!A:A,'pivot '!G:G, "NF")</f>
        <v>#DIV/0!</v>
      </c>
      <c r="I37" s="113">
        <f>_xlfn.XLOOKUP(Table1[[#This Row],[Party Name]],
[1]Billing!$Q$5:$Q$40,
[1]Billing!$U$5:$U$40)</f>
        <v>0</v>
      </c>
      <c r="J37" s="113">
        <f>_xlfn.XLOOKUP(Table1[[#This Row],[Party Name]],
[1]Billing!$Q$5:$Q$40,
[1]Billing!$W$5:$W$40)</f>
        <v>0</v>
      </c>
      <c r="K37" s="107"/>
      <c r="P37"/>
      <c r="Q37"/>
      <c r="R37"/>
      <c r="S37"/>
      <c r="T37"/>
      <c r="U37"/>
      <c r="V37"/>
      <c r="W37"/>
      <c r="X37"/>
      <c r="Y37"/>
    </row>
    <row r="38" spans="1:25" x14ac:dyDescent="0.3">
      <c r="A38" s="106">
        <v>45979</v>
      </c>
      <c r="B38" s="80" t="s">
        <v>27</v>
      </c>
      <c r="C38" s="107" t="s">
        <v>210</v>
      </c>
      <c r="D38" s="112" t="s">
        <v>86</v>
      </c>
      <c r="E38" s="37"/>
      <c r="F38" s="37"/>
      <c r="G38" s="37"/>
      <c r="H38" s="109" t="e">
        <f>_xlfn.XLOOKUP(Table1[[#This Row],[Shipment Number]], 'pivot '!A:A,'pivot '!G:G, "NF")</f>
        <v>#DIV/0!</v>
      </c>
      <c r="I38" s="113">
        <f>_xlfn.XLOOKUP(Table1[[#This Row],[Party Name]],
[1]Billing!$Q$5:$Q$40,
[1]Billing!$U$5:$U$40)</f>
        <v>0</v>
      </c>
      <c r="J38" s="113">
        <f>_xlfn.XLOOKUP(Table1[[#This Row],[Party Name]],
[1]Billing!$Q$5:$Q$40,
[1]Billing!$W$5:$W$40)</f>
        <v>0</v>
      </c>
      <c r="K38" s="107"/>
      <c r="P38"/>
      <c r="Q38"/>
      <c r="R38"/>
      <c r="S38"/>
      <c r="T38"/>
      <c r="U38"/>
      <c r="V38"/>
      <c r="W38"/>
      <c r="X38"/>
      <c r="Y38"/>
    </row>
    <row r="39" spans="1:25" x14ac:dyDescent="0.3">
      <c r="A39" s="106">
        <v>45979</v>
      </c>
      <c r="B39" s="80" t="s">
        <v>165</v>
      </c>
      <c r="C39" s="107" t="s">
        <v>210</v>
      </c>
      <c r="D39" s="107" t="s">
        <v>86</v>
      </c>
      <c r="E39" s="37"/>
      <c r="F39" s="37"/>
      <c r="G39" s="37"/>
      <c r="H39" s="109" t="e">
        <f>_xlfn.XLOOKUP(Table1[[#This Row],[Shipment Number]], 'pivot '!A:A,'pivot '!G:G, "NF")</f>
        <v>#DIV/0!</v>
      </c>
      <c r="I39" s="113">
        <f>_xlfn.XLOOKUP(Table1[[#This Row],[Party Name]],
[1]Billing!$Q$5:$Q$40,
[1]Billing!$U$5:$U$40)</f>
        <v>117213.78931967814</v>
      </c>
      <c r="J39" s="113">
        <f>_xlfn.XLOOKUP(Table1[[#This Row],[Party Name]],
[1]Billing!$Q$5:$Q$40,
[1]Billing!$W$5:$W$40)</f>
        <v>1460624.5427944404</v>
      </c>
      <c r="K39" s="107"/>
      <c r="P39"/>
      <c r="Q39"/>
      <c r="R39"/>
      <c r="S39"/>
      <c r="T39"/>
      <c r="U39"/>
      <c r="V39"/>
      <c r="W39"/>
      <c r="X39"/>
      <c r="Y39"/>
    </row>
    <row r="40" spans="1:25" x14ac:dyDescent="0.3">
      <c r="A40" s="106">
        <v>45979</v>
      </c>
      <c r="B40" s="80" t="s">
        <v>167</v>
      </c>
      <c r="C40" s="107" t="s">
        <v>210</v>
      </c>
      <c r="D40" s="112" t="s">
        <v>86</v>
      </c>
      <c r="E40" s="37"/>
      <c r="F40" s="37"/>
      <c r="G40" s="37"/>
      <c r="H40" s="109" t="e">
        <f>_xlfn.XLOOKUP(Table1[[#This Row],[Shipment Number]], 'pivot '!A:A,'pivot '!G:G, "NF")</f>
        <v>#DIV/0!</v>
      </c>
      <c r="I40" s="113">
        <f>_xlfn.XLOOKUP(Table1[[#This Row],[Party Name]],
[1]Billing!$Q$5:$Q$40,
[1]Billing!$U$5:$U$40)</f>
        <v>0</v>
      </c>
      <c r="J40" s="113">
        <f>_xlfn.XLOOKUP(Table1[[#This Row],[Party Name]],
[1]Billing!$Q$5:$Q$40,
[1]Billing!$W$5:$W$40)</f>
        <v>0</v>
      </c>
      <c r="K40" s="107"/>
      <c r="P40"/>
      <c r="Q40"/>
      <c r="R40"/>
      <c r="S40"/>
      <c r="T40"/>
      <c r="U40"/>
      <c r="V40"/>
      <c r="W40"/>
      <c r="X40"/>
      <c r="Y40"/>
    </row>
    <row r="41" spans="1:25" x14ac:dyDescent="0.3">
      <c r="A41" s="106">
        <v>45979</v>
      </c>
      <c r="B41" s="80" t="s">
        <v>169</v>
      </c>
      <c r="C41" s="107" t="s">
        <v>210</v>
      </c>
      <c r="D41" s="107" t="s">
        <v>86</v>
      </c>
      <c r="E41" s="37"/>
      <c r="F41" s="37"/>
      <c r="G41" s="37"/>
      <c r="H41" s="109" t="e">
        <f>_xlfn.XLOOKUP(Table1[[#This Row],[Shipment Number]], 'pivot '!A:A,'pivot '!G:G, "NF")</f>
        <v>#DIV/0!</v>
      </c>
      <c r="I41" s="113">
        <f>_xlfn.XLOOKUP(Table1[[#This Row],[Party Name]],
[1]Billing!$Q$5:$Q$40,
[1]Billing!$U$5:$U$40)</f>
        <v>0</v>
      </c>
      <c r="J41" s="113">
        <f>_xlfn.XLOOKUP(Table1[[#This Row],[Party Name]],
[1]Billing!$Q$5:$Q$40,
[1]Billing!$W$5:$W$40)</f>
        <v>0</v>
      </c>
      <c r="K41" s="107"/>
      <c r="P41"/>
      <c r="Q41"/>
      <c r="R41"/>
      <c r="S41"/>
      <c r="T41"/>
      <c r="U41"/>
      <c r="V41"/>
      <c r="W41"/>
      <c r="X41"/>
      <c r="Y41"/>
    </row>
    <row r="42" spans="1:25" x14ac:dyDescent="0.3">
      <c r="A42" s="106">
        <v>45979</v>
      </c>
      <c r="B42" s="80" t="s">
        <v>170</v>
      </c>
      <c r="C42" s="107" t="s">
        <v>210</v>
      </c>
      <c r="D42" s="112" t="s">
        <v>86</v>
      </c>
      <c r="E42" s="37"/>
      <c r="F42" s="37"/>
      <c r="G42" s="37"/>
      <c r="H42" s="109" t="e">
        <f>_xlfn.XLOOKUP(Table1[[#This Row],[Shipment Number]], 'pivot '!A:A,'pivot '!G:G, "NF")</f>
        <v>#DIV/0!</v>
      </c>
      <c r="I42" s="113">
        <f>_xlfn.XLOOKUP(Table1[[#This Row],[Party Name]],
[1]Billing!$Q$5:$Q$40,
[1]Billing!$U$5:$U$40)</f>
        <v>0</v>
      </c>
      <c r="J42" s="113">
        <f>_xlfn.XLOOKUP(Table1[[#This Row],[Party Name]],
[1]Billing!$Q$5:$Q$40,
[1]Billing!$W$5:$W$40)</f>
        <v>0</v>
      </c>
      <c r="K42" s="107"/>
      <c r="P42"/>
      <c r="Q42"/>
      <c r="R42"/>
      <c r="S42"/>
      <c r="T42"/>
      <c r="U42"/>
      <c r="V42"/>
      <c r="W42"/>
      <c r="X42"/>
      <c r="Y42"/>
    </row>
    <row r="43" spans="1:25" x14ac:dyDescent="0.3">
      <c r="A43" s="106">
        <v>45979</v>
      </c>
      <c r="B43" s="80" t="s">
        <v>172</v>
      </c>
      <c r="C43" s="107" t="s">
        <v>210</v>
      </c>
      <c r="D43" s="107" t="s">
        <v>86</v>
      </c>
      <c r="E43" s="37"/>
      <c r="F43" s="37"/>
      <c r="G43" s="37"/>
      <c r="H43" s="109"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7"/>
      <c r="P43"/>
      <c r="Q43"/>
      <c r="R43"/>
      <c r="S43"/>
      <c r="T43"/>
      <c r="U43"/>
      <c r="V43"/>
      <c r="W43"/>
      <c r="X43"/>
      <c r="Y43"/>
    </row>
    <row r="44" spans="1:25" x14ac:dyDescent="0.3">
      <c r="A44" s="106">
        <v>45979</v>
      </c>
      <c r="B44" s="80" t="s">
        <v>174</v>
      </c>
      <c r="C44" s="107" t="s">
        <v>210</v>
      </c>
      <c r="D44" s="112" t="s">
        <v>86</v>
      </c>
      <c r="E44" s="37"/>
      <c r="F44" s="37"/>
      <c r="G44" s="37"/>
      <c r="H44" s="109"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7"/>
      <c r="P44"/>
      <c r="Q44"/>
      <c r="R44"/>
      <c r="S44"/>
      <c r="T44"/>
      <c r="U44"/>
      <c r="V44"/>
      <c r="W44"/>
      <c r="X44"/>
      <c r="Y44"/>
    </row>
    <row r="45" spans="1:25" x14ac:dyDescent="0.3">
      <c r="A45" s="106">
        <v>45979</v>
      </c>
      <c r="B45" s="80" t="s">
        <v>177</v>
      </c>
      <c r="C45" s="107" t="s">
        <v>210</v>
      </c>
      <c r="D45" s="107" t="s">
        <v>86</v>
      </c>
      <c r="E45" s="37"/>
      <c r="F45" s="37"/>
      <c r="G45" s="37"/>
      <c r="H45" s="109"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7"/>
      <c r="P45"/>
      <c r="Q45"/>
      <c r="R45"/>
      <c r="S45"/>
      <c r="T45"/>
      <c r="U45"/>
      <c r="V45"/>
      <c r="W45"/>
      <c r="X45"/>
      <c r="Y45"/>
    </row>
    <row r="46" spans="1:25" x14ac:dyDescent="0.3">
      <c r="A46" s="106">
        <v>45979</v>
      </c>
      <c r="B46" s="80" t="s">
        <v>178</v>
      </c>
      <c r="C46" s="107" t="s">
        <v>210</v>
      </c>
      <c r="D46" s="112" t="s">
        <v>86</v>
      </c>
      <c r="E46" s="37"/>
      <c r="F46" s="37"/>
      <c r="G46" s="37"/>
      <c r="H46" s="109"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7"/>
      <c r="P46"/>
      <c r="Q46"/>
      <c r="R46"/>
      <c r="S46"/>
      <c r="T46"/>
      <c r="U46"/>
      <c r="V46"/>
      <c r="W46"/>
      <c r="X46"/>
      <c r="Y46"/>
    </row>
    <row r="47" spans="1:25" x14ac:dyDescent="0.3">
      <c r="A47" s="106">
        <v>45979</v>
      </c>
      <c r="B47" s="80" t="s">
        <v>183</v>
      </c>
      <c r="C47" s="107" t="s">
        <v>210</v>
      </c>
      <c r="D47" s="107" t="s">
        <v>86</v>
      </c>
      <c r="E47" s="37"/>
      <c r="F47" s="37"/>
      <c r="G47" s="37"/>
      <c r="H47" s="109"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7"/>
      <c r="P47"/>
      <c r="Q47"/>
      <c r="R47"/>
      <c r="S47"/>
      <c r="T47"/>
      <c r="U47"/>
      <c r="V47"/>
      <c r="W47"/>
      <c r="X47"/>
      <c r="Y47"/>
    </row>
    <row r="48" spans="1:25" x14ac:dyDescent="0.3">
      <c r="A48" s="106">
        <v>45979</v>
      </c>
      <c r="B48" s="80" t="s">
        <v>192</v>
      </c>
      <c r="C48" s="107" t="s">
        <v>210</v>
      </c>
      <c r="D48" s="112" t="s">
        <v>86</v>
      </c>
      <c r="E48" s="37"/>
      <c r="F48" s="37"/>
      <c r="G48" s="37"/>
      <c r="H48" s="109" t="e">
        <f>_xlfn.XLOOKUP(Table1[[#This Row],[Shipment Number]], 'pivot '!A:A,'pivot '!G:G, "NF")</f>
        <v>#DIV/0!</v>
      </c>
      <c r="I48" s="113">
        <f>_xlfn.XLOOKUP(Table1[[#This Row],[Party Name]],
[1]Billing!$Q$5:$Q$40,
[1]Billing!$U$5:$U$40)</f>
        <v>0</v>
      </c>
      <c r="J48" s="113">
        <f>_xlfn.XLOOKUP(Table1[[#This Row],[Party Name]],
[1]Billing!$Q$5:$Q$40,
[1]Billing!$W$5:$W$40)</f>
        <v>0</v>
      </c>
      <c r="K48" s="107"/>
      <c r="P48"/>
      <c r="Q48"/>
      <c r="R48"/>
      <c r="S48"/>
      <c r="T48"/>
      <c r="U48"/>
      <c r="V48"/>
      <c r="W48"/>
      <c r="X48"/>
      <c r="Y48"/>
    </row>
    <row r="49" spans="1:25" x14ac:dyDescent="0.3">
      <c r="A49" s="106">
        <v>45979</v>
      </c>
      <c r="B49" s="80" t="s">
        <v>195</v>
      </c>
      <c r="C49" s="107" t="s">
        <v>210</v>
      </c>
      <c r="D49" s="107" t="s">
        <v>86</v>
      </c>
      <c r="E49" s="37"/>
      <c r="F49" s="37"/>
      <c r="G49" s="37"/>
      <c r="H49" s="109" t="e">
        <f>_xlfn.XLOOKUP(Table1[[#This Row],[Shipment Number]], 'pivot '!A:A,'pivot '!G:G, "NF")</f>
        <v>#DIV/0!</v>
      </c>
      <c r="I49" s="113">
        <f>_xlfn.XLOOKUP(Table1[[#This Row],[Party Name]],
[1]Billing!$Q$5:$Q$40,
[1]Billing!$U$5:$U$40)</f>
        <v>0</v>
      </c>
      <c r="J49" s="113">
        <f>_xlfn.XLOOKUP(Table1[[#This Row],[Party Name]],
[1]Billing!$Q$5:$Q$40,
[1]Billing!$W$5:$W$40)</f>
        <v>0</v>
      </c>
      <c r="K49" s="107"/>
      <c r="P49"/>
      <c r="Q49"/>
      <c r="R49"/>
      <c r="S49"/>
      <c r="T49"/>
      <c r="U49"/>
      <c r="V49"/>
      <c r="W49"/>
      <c r="X49"/>
      <c r="Y49"/>
    </row>
    <row r="50" spans="1:25" x14ac:dyDescent="0.3">
      <c r="A50" s="106">
        <v>45979</v>
      </c>
      <c r="B50" s="80" t="s">
        <v>194</v>
      </c>
      <c r="C50" s="107" t="s">
        <v>210</v>
      </c>
      <c r="D50" s="112" t="s">
        <v>86</v>
      </c>
      <c r="E50" s="37"/>
      <c r="F50" s="37"/>
      <c r="G50" s="37"/>
      <c r="H50" s="109"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7"/>
      <c r="P50"/>
      <c r="Q50"/>
      <c r="R50"/>
      <c r="S50"/>
      <c r="T50"/>
      <c r="U50"/>
      <c r="V50"/>
      <c r="W50"/>
      <c r="X50"/>
      <c r="Y50"/>
    </row>
    <row r="51" spans="1:25" x14ac:dyDescent="0.3">
      <c r="A51" s="106">
        <v>45979</v>
      </c>
      <c r="B51" s="80" t="s">
        <v>200</v>
      </c>
      <c r="C51" s="107" t="s">
        <v>210</v>
      </c>
      <c r="D51" s="107" t="s">
        <v>86</v>
      </c>
      <c r="E51" s="37"/>
      <c r="F51" s="37"/>
      <c r="G51" s="37"/>
      <c r="H51" s="109" t="e">
        <f>_xlfn.XLOOKUP(Table1[[#This Row],[Shipment Number]], 'pivot '!A:A,'pivot '!G:G, "NF")</f>
        <v>#DIV/0!</v>
      </c>
      <c r="I51" s="113">
        <f>_xlfn.XLOOKUP(Table1[[#This Row],[Party Name]],
[1]Billing!$Q$5:$Q$40,
[1]Billing!$U$5:$U$40)</f>
        <v>0</v>
      </c>
      <c r="J51" s="113">
        <f>_xlfn.XLOOKUP(Table1[[#This Row],[Party Name]],
[1]Billing!$Q$5:$Q$40,
[1]Billing!$W$5:$W$40)</f>
        <v>0</v>
      </c>
      <c r="K51" s="107"/>
      <c r="P51"/>
      <c r="Q51"/>
      <c r="R51"/>
      <c r="S51"/>
      <c r="T51"/>
      <c r="U51"/>
      <c r="V51"/>
      <c r="W51"/>
      <c r="X51"/>
      <c r="Y51"/>
    </row>
    <row r="52" spans="1:25" x14ac:dyDescent="0.3">
      <c r="A52" s="106">
        <v>45979</v>
      </c>
      <c r="B52" s="80" t="s">
        <v>205</v>
      </c>
      <c r="C52" s="107" t="s">
        <v>210</v>
      </c>
      <c r="D52" s="112" t="s">
        <v>86</v>
      </c>
      <c r="E52" s="37"/>
      <c r="F52" s="37"/>
      <c r="G52" s="37"/>
      <c r="H52" s="109"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7"/>
      <c r="P52"/>
      <c r="Q52"/>
      <c r="R52"/>
      <c r="S52"/>
      <c r="T52"/>
      <c r="U52"/>
      <c r="V52"/>
      <c r="W52"/>
      <c r="X52"/>
      <c r="Y52"/>
    </row>
    <row r="53" spans="1:25" x14ac:dyDescent="0.3">
      <c r="A53" s="106">
        <v>45979</v>
      </c>
      <c r="B53" s="80" t="s">
        <v>207</v>
      </c>
      <c r="C53" s="107" t="s">
        <v>210</v>
      </c>
      <c r="D53" s="107" t="s">
        <v>86</v>
      </c>
      <c r="E53" s="37"/>
      <c r="F53" s="37"/>
      <c r="G53" s="37"/>
      <c r="H53" s="109" t="e">
        <f>_xlfn.XLOOKUP(Table1[[#This Row],[Shipment Number]], 'pivot '!A:A,'pivot '!G:G, "NF")</f>
        <v>#DIV/0!</v>
      </c>
      <c r="I53" s="113">
        <f>_xlfn.XLOOKUP(Table1[[#This Row],[Party Name]],
[1]Billing!$Q$5:$Q$40,
[1]Billing!$U$5:$U$40)</f>
        <v>0</v>
      </c>
      <c r="J53" s="113">
        <f>_xlfn.XLOOKUP(Table1[[#This Row],[Party Name]],
[1]Billing!$Q$5:$Q$40,
[1]Billing!$W$5:$W$40)</f>
        <v>0</v>
      </c>
      <c r="K53" s="107"/>
      <c r="P53"/>
      <c r="Q53"/>
      <c r="R53"/>
      <c r="S53"/>
      <c r="T53"/>
      <c r="U53"/>
      <c r="V53"/>
      <c r="W53"/>
      <c r="X53"/>
      <c r="Y53"/>
    </row>
    <row r="54" spans="1:25" x14ac:dyDescent="0.3">
      <c r="A54" s="106">
        <v>45979</v>
      </c>
      <c r="B54" s="24" t="s">
        <v>25</v>
      </c>
      <c r="C54" s="107" t="s">
        <v>210</v>
      </c>
      <c r="D54" s="107" t="s">
        <v>184</v>
      </c>
      <c r="E54" s="37"/>
      <c r="F54" s="37"/>
      <c r="G54" s="37"/>
      <c r="H54" s="109" t="e">
        <f>_xlfn.XLOOKUP(Table1[[#This Row],[Shipment Number]], 'pivot '!A:A,'pivot '!G:G, "NF")</f>
        <v>#DIV/0!</v>
      </c>
      <c r="I54" s="109"/>
      <c r="J54" s="109">
        <f>_xlfn.XLOOKUP(Table1[[#This Row],[Party Name]],
[1]Billing!$Q$5:$Q$40,
[1]Billing!$X$5:$X$40)</f>
        <v>71359.729334308722</v>
      </c>
      <c r="K54" s="107"/>
      <c r="P54"/>
      <c r="Q54"/>
      <c r="R54"/>
      <c r="S54"/>
      <c r="T54"/>
      <c r="U54"/>
      <c r="V54"/>
      <c r="W54"/>
      <c r="X54"/>
      <c r="Y54"/>
    </row>
    <row r="55" spans="1:25" x14ac:dyDescent="0.3">
      <c r="A55" s="106">
        <v>45979</v>
      </c>
      <c r="B55" s="24" t="s">
        <v>174</v>
      </c>
      <c r="C55" s="107" t="s">
        <v>210</v>
      </c>
      <c r="D55" s="107" t="s">
        <v>184</v>
      </c>
      <c r="E55" s="37"/>
      <c r="F55" s="37"/>
      <c r="G55" s="37"/>
      <c r="H55" s="109" t="e">
        <f>_xlfn.XLOOKUP(Table1[[#This Row],[Shipment Number]], 'pivot '!A:A,'pivot '!G:G, "NF")</f>
        <v>#DIV/0!</v>
      </c>
      <c r="I55" s="109"/>
      <c r="J55" s="109">
        <f>_xlfn.XLOOKUP(Table1[[#This Row],[Party Name]],
[1]Billing!$Q$5:$Q$40,
[1]Billing!$X$5:$X$40)</f>
        <v>44550.109729334312</v>
      </c>
      <c r="K55" s="107"/>
      <c r="P55"/>
      <c r="Q55"/>
      <c r="R55"/>
      <c r="S55"/>
      <c r="T55"/>
      <c r="U55"/>
      <c r="V55"/>
      <c r="W55"/>
      <c r="X55"/>
      <c r="Y55"/>
    </row>
    <row r="56" spans="1:25" x14ac:dyDescent="0.3">
      <c r="A56" s="106">
        <v>45979</v>
      </c>
      <c r="B56" s="24" t="s">
        <v>177</v>
      </c>
      <c r="C56" s="107" t="s">
        <v>210</v>
      </c>
      <c r="D56" s="107" t="s">
        <v>185</v>
      </c>
      <c r="E56" s="37"/>
      <c r="F56" s="37"/>
      <c r="G56" s="37"/>
      <c r="H56" s="109" t="e">
        <f>_xlfn.XLOOKUP(Table1[[#This Row],[Shipment Number]], 'pivot '!A:A,'pivot '!G:G, "NF")</f>
        <v>#DIV/0!</v>
      </c>
      <c r="I56" s="109"/>
      <c r="J56" s="109">
        <f>_xlfn.XLOOKUP(Table1[[#This Row],[Party Name]],
[1]Billing!$Q$5:$Q$40,
[1]Billing!$Y$5:$Y$40)</f>
        <v>94656.181419166067</v>
      </c>
      <c r="K56" s="107"/>
      <c r="P56"/>
      <c r="Q56"/>
      <c r="R56"/>
      <c r="S56"/>
      <c r="T56"/>
      <c r="U56"/>
      <c r="V56"/>
      <c r="W56"/>
      <c r="X56"/>
      <c r="Y56"/>
    </row>
    <row r="57" spans="1:25" x14ac:dyDescent="0.3">
      <c r="A57" s="106">
        <v>45979</v>
      </c>
      <c r="B57" s="24" t="s">
        <v>183</v>
      </c>
      <c r="C57" s="107" t="s">
        <v>210</v>
      </c>
      <c r="D57" s="107" t="s">
        <v>202</v>
      </c>
      <c r="E57" s="37"/>
      <c r="F57" s="37"/>
      <c r="G57" s="37"/>
      <c r="H57" s="109" t="e">
        <f>_xlfn.XLOOKUP(Table1[[#This Row],[Shipment Number]], 'pivot '!A:A,'pivot '!G:G, "NF")</f>
        <v>#DIV/0!</v>
      </c>
      <c r="I57" s="109"/>
      <c r="J57" s="109">
        <f>_xlfn.XLOOKUP(Table1[[#This Row],[Party Name]],
[1]Billing!$Q$5:$Q$40,
[1]Billing!$Z$5:$Z$40)</f>
        <v>161653.2553035845</v>
      </c>
      <c r="K57" s="107"/>
      <c r="P57"/>
      <c r="Q57"/>
      <c r="R57"/>
      <c r="S57"/>
      <c r="T57"/>
      <c r="U57"/>
      <c r="V57"/>
      <c r="W57"/>
      <c r="X57"/>
      <c r="Y57"/>
    </row>
    <row r="58" spans="1:25" x14ac:dyDescent="0.3">
      <c r="A58" s="106">
        <v>45979</v>
      </c>
      <c r="B58" s="24" t="s">
        <v>192</v>
      </c>
      <c r="C58" s="107" t="s">
        <v>210</v>
      </c>
      <c r="D58" s="107" t="s">
        <v>211</v>
      </c>
      <c r="E58" s="37"/>
      <c r="F58" s="37"/>
      <c r="G58" s="37"/>
      <c r="H58" s="109" t="e">
        <f>_xlfn.XLOOKUP(Table1[[#This Row],[Shipment Number]], 'pivot '!A:A,'pivot '!G:G, "NF")</f>
        <v>#DIV/0!</v>
      </c>
      <c r="I58" s="109"/>
      <c r="J58" s="109">
        <f>_xlfn.XLOOKUP(Table1[[#This Row],[Party Name]],
[1]Billing!$Q$5:$Q$40,
[1]Billing!$AA$5:$AA$40)</f>
        <v>523143.74542794435</v>
      </c>
      <c r="K58" s="107"/>
      <c r="P58"/>
      <c r="Q58"/>
      <c r="R58"/>
      <c r="S58"/>
      <c r="T58"/>
      <c r="U58"/>
      <c r="V58"/>
      <c r="W58"/>
    </row>
    <row r="59" spans="1:25" x14ac:dyDescent="0.3">
      <c r="A59" s="106">
        <v>45979</v>
      </c>
      <c r="B59" s="24" t="s">
        <v>207</v>
      </c>
      <c r="C59" s="107" t="s">
        <v>210</v>
      </c>
      <c r="D59" s="107" t="s">
        <v>208</v>
      </c>
      <c r="E59" s="37"/>
      <c r="F59" s="37"/>
      <c r="G59" s="37"/>
      <c r="H59" s="109" t="e">
        <f>_xlfn.XLOOKUP(Table1[[#This Row],[Shipment Number]], 'pivot '!A:A,'pivot '!G:G, "NF")</f>
        <v>#DIV/0!</v>
      </c>
      <c r="I59" s="109"/>
      <c r="J59" s="109">
        <f>_xlfn.XLOOKUP(Table1[[#This Row],[Party Name]],
[1]Billing!$Q$5:$Q$40,
[1]Billing!$AB$5:$AB$40)</f>
        <v>54170.629114850039</v>
      </c>
      <c r="K59" s="107"/>
      <c r="P59"/>
      <c r="Q59"/>
      <c r="R59"/>
      <c r="S59"/>
      <c r="T59"/>
      <c r="U59"/>
    </row>
    <row r="60" spans="1:25" x14ac:dyDescent="0.3">
      <c r="A60" s="121">
        <v>46009</v>
      </c>
      <c r="B60" s="122" t="s">
        <v>151</v>
      </c>
      <c r="C60" s="118">
        <v>1256</v>
      </c>
      <c r="D60" s="118" t="s">
        <v>85</v>
      </c>
      <c r="E60" s="11">
        <v>1971</v>
      </c>
      <c r="F60" s="11">
        <v>50697</v>
      </c>
      <c r="G60" s="11">
        <v>49746</v>
      </c>
      <c r="H60" s="119">
        <f>_xlfn.XLOOKUP(Table1[[#This Row],[Shipment Number]], 'pivot '!A:A,'pivot '!G:G, "NF")</f>
        <v>10.274186761201378</v>
      </c>
      <c r="I60" s="120">
        <f>Table1[[#This Row],[Tiyaar/gaz]]/1.0936</f>
        <v>45488.295537673745</v>
      </c>
      <c r="J60" s="120"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8"/>
      <c r="M60"/>
      <c r="P60"/>
      <c r="Q60"/>
      <c r="R60"/>
      <c r="S60"/>
      <c r="T60"/>
      <c r="U60"/>
    </row>
    <row r="61" spans="1:25" x14ac:dyDescent="0.3">
      <c r="A61" s="121">
        <v>46009</v>
      </c>
      <c r="B61" s="118" t="s">
        <v>9</v>
      </c>
      <c r="C61" s="118">
        <v>1257</v>
      </c>
      <c r="D61" s="118" t="s">
        <v>85</v>
      </c>
      <c r="E61" s="11">
        <v>1951</v>
      </c>
      <c r="F61" s="11">
        <v>54197</v>
      </c>
      <c r="G61" s="11">
        <v>28916</v>
      </c>
      <c r="H61" s="119">
        <f>_xlfn.XLOOKUP(Table1[[#This Row],[Shipment Number]], 'pivot '!A:A,'pivot '!G:G, "NF")</f>
        <v>1.6396859062171956</v>
      </c>
      <c r="I61" s="120">
        <f>Table1[[#This Row],[Tiyaar/gaz]]/1.0936</f>
        <v>26441.111923920998</v>
      </c>
      <c r="J61" s="120"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8"/>
      <c r="M61"/>
      <c r="P61"/>
      <c r="Q61"/>
      <c r="R61"/>
      <c r="S61"/>
    </row>
    <row r="62" spans="1:25" x14ac:dyDescent="0.3">
      <c r="A62" s="121">
        <v>46009</v>
      </c>
      <c r="B62" s="118" t="s">
        <v>165</v>
      </c>
      <c r="C62" s="118">
        <v>1258</v>
      </c>
      <c r="D62" s="118" t="s">
        <v>85</v>
      </c>
      <c r="E62" s="11">
        <v>1934</v>
      </c>
      <c r="F62" s="11">
        <v>38741</v>
      </c>
      <c r="G62" s="11">
        <v>12375</v>
      </c>
      <c r="H62" s="119">
        <f>_xlfn.XLOOKUP(Table1[[#This Row],[Shipment Number]], 'pivot '!A:A,'pivot '!G:G, "NF")</f>
        <v>2.6934957751331297</v>
      </c>
      <c r="I62" s="120">
        <f>Table1[[#This Row],[Tiyaar/gaz]]/1.0936</f>
        <v>11315.837600585224</v>
      </c>
      <c r="J62" s="120"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8"/>
      <c r="M62"/>
      <c r="P62"/>
      <c r="Q62"/>
      <c r="R62"/>
      <c r="S62"/>
    </row>
    <row r="63" spans="1:25" x14ac:dyDescent="0.3">
      <c r="A63" s="121">
        <v>46010</v>
      </c>
      <c r="B63" s="123" t="s">
        <v>165</v>
      </c>
      <c r="C63" s="118">
        <v>1259</v>
      </c>
      <c r="D63" s="118" t="s">
        <v>85</v>
      </c>
      <c r="E63" s="11">
        <v>1934</v>
      </c>
      <c r="F63" s="11">
        <v>38741</v>
      </c>
      <c r="G63" s="11">
        <v>28851</v>
      </c>
      <c r="H63" s="119">
        <f>_xlfn.XLOOKUP(Table1[[#This Row],[Shipment Number]], 'pivot '!A:A,'pivot '!G:G, "NF")</f>
        <v>2.6934957751331297</v>
      </c>
      <c r="I63" s="120">
        <f>Table1[[#This Row],[Tiyaar/gaz]]/1.0936</f>
        <v>26381.675201170448</v>
      </c>
      <c r="J63" s="120"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8"/>
      <c r="S63"/>
    </row>
    <row r="64" spans="1:25" x14ac:dyDescent="0.3">
      <c r="A64" s="121">
        <v>46010</v>
      </c>
      <c r="B64" s="123" t="s">
        <v>165</v>
      </c>
      <c r="C64" s="118">
        <v>1260</v>
      </c>
      <c r="D64" s="118" t="s">
        <v>85</v>
      </c>
      <c r="E64" s="11">
        <v>1924</v>
      </c>
      <c r="F64" s="11">
        <v>24876</v>
      </c>
      <c r="G64" s="11">
        <v>16411</v>
      </c>
      <c r="H64" s="119">
        <f>_xlfn.XLOOKUP(Table1[[#This Row],[Shipment Number]], 'pivot '!A:A,'pivot '!G:G, "NF")</f>
        <v>2.9237689017997326</v>
      </c>
      <c r="I64" s="120">
        <f>Table1[[#This Row],[Tiyaar/gaz]]/1.0936</f>
        <v>15006.400877834676</v>
      </c>
      <c r="J64" s="120"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8"/>
      <c r="S64"/>
    </row>
    <row r="65" spans="1:19" x14ac:dyDescent="0.3">
      <c r="A65" s="121">
        <v>46011</v>
      </c>
      <c r="B65" s="123" t="s">
        <v>9</v>
      </c>
      <c r="C65" s="118">
        <v>1261</v>
      </c>
      <c r="D65" s="118" t="s">
        <v>85</v>
      </c>
      <c r="E65" s="11">
        <v>1951</v>
      </c>
      <c r="F65" s="11">
        <v>54197</v>
      </c>
      <c r="G65" s="11">
        <v>10108</v>
      </c>
      <c r="H65" s="119">
        <f>_xlfn.XLOOKUP(Table1[[#This Row],[Shipment Number]], 'pivot '!A:A,'pivot '!G:G, "NF")</f>
        <v>1.6396859062171956</v>
      </c>
      <c r="I65" s="120">
        <f>Table1[[#This Row],[Tiyaar/gaz]]/1.0936</f>
        <v>9242.8675932699352</v>
      </c>
      <c r="J65" s="120"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8"/>
      <c r="S65"/>
    </row>
    <row r="66" spans="1:19" x14ac:dyDescent="0.3">
      <c r="A66" s="121">
        <v>46011</v>
      </c>
      <c r="B66" s="123" t="s">
        <v>165</v>
      </c>
      <c r="C66" s="118">
        <v>1262</v>
      </c>
      <c r="D66" s="118" t="s">
        <v>85</v>
      </c>
      <c r="E66" s="11">
        <v>1924</v>
      </c>
      <c r="F66" s="11">
        <v>24876</v>
      </c>
      <c r="G66" s="11">
        <v>7846</v>
      </c>
      <c r="H66" s="119">
        <f>_xlfn.XLOOKUP(Table1[[#This Row],[Shipment Number]], 'pivot '!A:A,'pivot '!G:G, "NF")</f>
        <v>2.9237689017997326</v>
      </c>
      <c r="I66" s="120">
        <f>Table1[[#This Row],[Tiyaar/gaz]]/1.0936</f>
        <v>7174.4696415508415</v>
      </c>
      <c r="J66" s="120"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8"/>
      <c r="S66"/>
    </row>
    <row r="67" spans="1:19" x14ac:dyDescent="0.3">
      <c r="A67" s="121">
        <v>46011</v>
      </c>
      <c r="B67" s="123" t="s">
        <v>165</v>
      </c>
      <c r="C67" s="118">
        <v>1263</v>
      </c>
      <c r="D67" s="118" t="s">
        <v>257</v>
      </c>
      <c r="E67" s="11">
        <v>1835</v>
      </c>
      <c r="F67" s="11">
        <v>50010</v>
      </c>
      <c r="G67" s="11">
        <v>25414</v>
      </c>
      <c r="H67" s="119">
        <f>_xlfn.XLOOKUP(Table1[[#This Row],[Shipment Number]], 'pivot '!A:A,'pivot '!G:G, "NF")</f>
        <v>7.1820602960607403</v>
      </c>
      <c r="I67" s="120">
        <f>Table1[[#This Row],[Tiyaar/gaz]]/1.0936</f>
        <v>23238.844184345282</v>
      </c>
      <c r="J67" s="120"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8"/>
      <c r="S67"/>
    </row>
    <row r="68" spans="1:19" x14ac:dyDescent="0.3">
      <c r="A68" s="121">
        <v>46013</v>
      </c>
      <c r="B68" s="123" t="s">
        <v>21</v>
      </c>
      <c r="C68" s="118">
        <v>1264</v>
      </c>
      <c r="D68" s="118" t="s">
        <v>257</v>
      </c>
      <c r="E68" s="11">
        <v>1628</v>
      </c>
      <c r="F68" s="11">
        <v>48198</v>
      </c>
      <c r="G68" s="11">
        <v>10049</v>
      </c>
      <c r="H68" s="119">
        <f>_xlfn.XLOOKUP(Table1[[#This Row],[Shipment Number]], 'pivot '!A:A,'pivot '!G:G, "NF")</f>
        <v>20.99845209954924</v>
      </c>
      <c r="I68" s="120">
        <f>Table1[[#This Row],[Tiyaar/gaz]]/1.0936</f>
        <v>9188.9173372348214</v>
      </c>
      <c r="J68" s="120"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8"/>
      <c r="S68"/>
    </row>
    <row r="69" spans="1:19" x14ac:dyDescent="0.3">
      <c r="A69" s="121">
        <v>46013</v>
      </c>
      <c r="B69" s="123" t="s">
        <v>165</v>
      </c>
      <c r="C69" s="118">
        <v>1265</v>
      </c>
      <c r="D69" s="118" t="s">
        <v>257</v>
      </c>
      <c r="E69" s="11">
        <v>1835</v>
      </c>
      <c r="F69" s="11">
        <v>50010</v>
      </c>
      <c r="G69" s="11">
        <v>25349</v>
      </c>
      <c r="H69" s="119">
        <f>_xlfn.XLOOKUP(Table1[[#This Row],[Shipment Number]], 'pivot '!A:A,'pivot '!G:G, "NF")</f>
        <v>7.1820602960607403</v>
      </c>
      <c r="I69" s="120">
        <f>Table1[[#This Row],[Tiyaar/gaz]]/1.0936</f>
        <v>23179.407461594736</v>
      </c>
      <c r="J69" s="120"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8"/>
      <c r="S69"/>
    </row>
    <row r="70" spans="1:19" x14ac:dyDescent="0.3">
      <c r="A70" s="121">
        <v>46014</v>
      </c>
      <c r="B70" s="123" t="s">
        <v>21</v>
      </c>
      <c r="C70" s="118">
        <v>1266</v>
      </c>
      <c r="D70" s="118" t="s">
        <v>257</v>
      </c>
      <c r="E70" s="11">
        <v>1628</v>
      </c>
      <c r="F70" s="11">
        <v>48198</v>
      </c>
      <c r="G70" s="11">
        <v>2439</v>
      </c>
      <c r="H70" s="119">
        <f>_xlfn.XLOOKUP(Table1[[#This Row],[Shipment Number]], 'pivot '!A:A,'pivot '!G:G, "NF")</f>
        <v>20.99845209954924</v>
      </c>
      <c r="I70" s="120">
        <f>Table1[[#This Row],[Tiyaar/gaz]]/1.0936</f>
        <v>2230.2487198244335</v>
      </c>
      <c r="J70" s="120"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8"/>
      <c r="S70"/>
    </row>
    <row r="71" spans="1:19" x14ac:dyDescent="0.3">
      <c r="A71" s="121">
        <v>46014</v>
      </c>
      <c r="B71" s="123" t="s">
        <v>21</v>
      </c>
      <c r="C71" s="118">
        <v>1267</v>
      </c>
      <c r="D71" s="118" t="s">
        <v>85</v>
      </c>
      <c r="E71" s="11">
        <v>1958</v>
      </c>
      <c r="F71" s="11">
        <v>80202</v>
      </c>
      <c r="G71" s="11">
        <v>43569</v>
      </c>
      <c r="H71" s="119">
        <f>_xlfn.XLOOKUP(Table1[[#This Row],[Shipment Number]], 'pivot '!A:A,'pivot '!G:G, "NF")</f>
        <v>1.0043531815888258</v>
      </c>
      <c r="I71" s="120">
        <f>Table1[[#This Row],[Tiyaar/gaz]]/1.0936</f>
        <v>39839.978054133142</v>
      </c>
      <c r="J71" s="120"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8"/>
      <c r="S71"/>
    </row>
    <row r="72" spans="1:19" x14ac:dyDescent="0.3">
      <c r="A72" s="121">
        <v>46014</v>
      </c>
      <c r="B72" s="123" t="s">
        <v>165</v>
      </c>
      <c r="C72" s="118">
        <v>1268</v>
      </c>
      <c r="D72" s="118" t="s">
        <v>85</v>
      </c>
      <c r="E72" s="11">
        <v>1924</v>
      </c>
      <c r="F72" s="11">
        <v>24876</v>
      </c>
      <c r="G72" s="11">
        <v>2152</v>
      </c>
      <c r="H72" s="119">
        <f>_xlfn.XLOOKUP(Table1[[#This Row],[Shipment Number]], 'pivot '!A:A,'pivot '!G:G, "NF")</f>
        <v>2.9237689017997326</v>
      </c>
      <c r="I72" s="120">
        <f>Table1[[#This Row],[Tiyaar/gaz]]/1.0936</f>
        <v>1967.81272860278</v>
      </c>
      <c r="J72" s="120"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8"/>
      <c r="S72"/>
    </row>
    <row r="73" spans="1:19" x14ac:dyDescent="0.3">
      <c r="A73" s="121">
        <v>46014</v>
      </c>
      <c r="B73" s="123" t="s">
        <v>21</v>
      </c>
      <c r="C73" s="118">
        <v>1269</v>
      </c>
      <c r="D73" s="118" t="s">
        <v>85</v>
      </c>
      <c r="E73" s="11">
        <v>1958</v>
      </c>
      <c r="F73" s="11">
        <v>80202</v>
      </c>
      <c r="G73" s="11">
        <v>43259</v>
      </c>
      <c r="H73" s="119">
        <f>_xlfn.XLOOKUP(Table1[[#This Row],[Shipment Number]], 'pivot '!A:A,'pivot '!G:G, "NF")</f>
        <v>1.0043531815888258</v>
      </c>
      <c r="I73" s="120">
        <f>Table1[[#This Row],[Tiyaar/gaz]]/1.0936</f>
        <v>39556.510607168988</v>
      </c>
      <c r="J73" s="120"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8"/>
    </row>
    <row r="74" spans="1:19" x14ac:dyDescent="0.3">
      <c r="A74" s="121">
        <v>46015</v>
      </c>
      <c r="B74" s="123" t="s">
        <v>9</v>
      </c>
      <c r="C74" s="118">
        <v>1270</v>
      </c>
      <c r="D74" s="118" t="s">
        <v>85</v>
      </c>
      <c r="E74" s="11">
        <v>1951</v>
      </c>
      <c r="F74" s="11">
        <v>54197</v>
      </c>
      <c r="G74" s="11">
        <v>19274</v>
      </c>
      <c r="H74" s="119">
        <f>_xlfn.XLOOKUP(Table1[[#This Row],[Shipment Number]], 'pivot '!A:A,'pivot '!G:G, "NF")</f>
        <v>1.6396859062171956</v>
      </c>
      <c r="I74" s="120">
        <f>Table1[[#This Row],[Tiyaar/gaz]]/1.0936</f>
        <v>17624.359912216532</v>
      </c>
      <c r="J74" s="120"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8"/>
    </row>
    <row r="75" spans="1:19" x14ac:dyDescent="0.3">
      <c r="A75" s="121">
        <v>46015</v>
      </c>
      <c r="B75" s="123" t="s">
        <v>21</v>
      </c>
      <c r="C75" s="118">
        <v>1271</v>
      </c>
      <c r="D75" s="118" t="s">
        <v>85</v>
      </c>
      <c r="E75" s="11">
        <v>1987</v>
      </c>
      <c r="F75" s="11">
        <v>5613</v>
      </c>
      <c r="G75" s="11">
        <v>1684</v>
      </c>
      <c r="H75" s="119">
        <f>_xlfn.XLOOKUP(Table1[[#This Row],[Shipment Number]], 'pivot '!A:A,'pivot '!G:G, "NF")</f>
        <v>5.5939348656471992</v>
      </c>
      <c r="I75" s="120">
        <f>Table1[[#This Row],[Tiyaar/gaz]]/1.0936</f>
        <v>1539.8683247988297</v>
      </c>
      <c r="J75" s="120"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8"/>
    </row>
    <row r="76" spans="1:19" x14ac:dyDescent="0.3">
      <c r="A76" s="121">
        <v>46015</v>
      </c>
      <c r="B76" s="123" t="s">
        <v>151</v>
      </c>
      <c r="C76" s="118">
        <v>1272</v>
      </c>
      <c r="D76" s="118" t="s">
        <v>85</v>
      </c>
      <c r="E76" s="11">
        <v>1974</v>
      </c>
      <c r="F76" s="11">
        <v>50497</v>
      </c>
      <c r="G76" s="11">
        <v>1495</v>
      </c>
      <c r="H76" s="119">
        <f>_xlfn.XLOOKUP(Table1[[#This Row],[Shipment Number]], 'pivot '!A:A,'pivot '!G:G, "NF")</f>
        <v>2.2680901509804556</v>
      </c>
      <c r="I76" s="120">
        <f>Table1[[#This Row],[Tiyaar/gaz]]/1.0936</f>
        <v>1367.0446232626191</v>
      </c>
      <c r="J76" s="120"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8"/>
    </row>
    <row r="77" spans="1:19" x14ac:dyDescent="0.3">
      <c r="A77" s="121">
        <v>46017</v>
      </c>
      <c r="B77" s="123" t="s">
        <v>22</v>
      </c>
      <c r="C77" s="118">
        <v>1273</v>
      </c>
      <c r="D77" s="118" t="s">
        <v>86</v>
      </c>
      <c r="E77" s="11">
        <v>1972</v>
      </c>
      <c r="F77" s="11">
        <v>25068</v>
      </c>
      <c r="G77" s="11">
        <v>23918</v>
      </c>
      <c r="H77" s="119">
        <f>_xlfn.XLOOKUP(Table1[[#This Row],[Shipment Number]], 'pivot '!A:A,'pivot '!G:G, "NF")</f>
        <v>1.3035676828813507</v>
      </c>
      <c r="I77" s="120">
        <f>Table1[[#This Row],[Tiyaar/gaz]]/1.0936</f>
        <v>21870.885149963426</v>
      </c>
      <c r="J77" s="120"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8"/>
    </row>
    <row r="78" spans="1:19" x14ac:dyDescent="0.3">
      <c r="A78" s="121">
        <v>46017</v>
      </c>
      <c r="B78" s="123" t="s">
        <v>22</v>
      </c>
      <c r="C78" s="118">
        <v>1274</v>
      </c>
      <c r="D78" s="118" t="s">
        <v>86</v>
      </c>
      <c r="E78" s="11">
        <v>1972</v>
      </c>
      <c r="F78" s="11">
        <v>25068</v>
      </c>
      <c r="G78" s="11">
        <v>3139</v>
      </c>
      <c r="H78" s="119">
        <f>_xlfn.XLOOKUP(Table1[[#This Row],[Shipment Number]], 'pivot '!A:A,'pivot '!G:G, "NF")</f>
        <v>1.3035676828813507</v>
      </c>
      <c r="I78" s="120">
        <f>Table1[[#This Row],[Tiyaar/gaz]]/1.0936</f>
        <v>2870.3365032918805</v>
      </c>
      <c r="J78" s="120"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8"/>
    </row>
    <row r="79" spans="1:19" x14ac:dyDescent="0.3">
      <c r="A79" s="121">
        <v>46017</v>
      </c>
      <c r="B79" s="123" t="s">
        <v>22</v>
      </c>
      <c r="C79" s="118">
        <v>1275</v>
      </c>
      <c r="D79" s="118" t="s">
        <v>86</v>
      </c>
      <c r="E79" s="11">
        <v>1982</v>
      </c>
      <c r="F79" s="11">
        <v>9556</v>
      </c>
      <c r="G79" s="11">
        <v>10218</v>
      </c>
      <c r="H79" s="119">
        <f>_xlfn.XLOOKUP(Table1[[#This Row],[Shipment Number]], 'pivot '!A:A,'pivot '!G:G, "NF")</f>
        <v>2.2242275388630333</v>
      </c>
      <c r="I79" s="120">
        <f>Table1[[#This Row],[Tiyaar/gaz]]/1.0936</f>
        <v>9343.4528163862487</v>
      </c>
      <c r="J79" s="120"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8"/>
    </row>
    <row r="80" spans="1:19" x14ac:dyDescent="0.3">
      <c r="A80" s="121">
        <v>46017</v>
      </c>
      <c r="B80" s="123" t="s">
        <v>151</v>
      </c>
      <c r="C80" s="118">
        <v>1276</v>
      </c>
      <c r="D80" s="118" t="s">
        <v>85</v>
      </c>
      <c r="E80" s="11">
        <v>1974</v>
      </c>
      <c r="F80" s="11">
        <v>50497</v>
      </c>
      <c r="G80" s="11">
        <v>52476</v>
      </c>
      <c r="H80" s="119">
        <f>_xlfn.XLOOKUP(Table1[[#This Row],[Shipment Number]], 'pivot '!A:A,'pivot '!G:G, "NF")</f>
        <v>2.2680901509804556</v>
      </c>
      <c r="I80" s="120">
        <f>Table1[[#This Row],[Tiyaar/gaz]]/1.0936</f>
        <v>47984.637893196785</v>
      </c>
      <c r="J80" s="120"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8"/>
    </row>
    <row r="81" spans="1:17" x14ac:dyDescent="0.3">
      <c r="A81" s="121">
        <v>46017</v>
      </c>
      <c r="B81" s="123" t="s">
        <v>21</v>
      </c>
      <c r="C81" s="118">
        <v>1277</v>
      </c>
      <c r="D81" s="118" t="s">
        <v>85</v>
      </c>
      <c r="E81" s="11">
        <v>1986</v>
      </c>
      <c r="F81" s="11">
        <v>25579</v>
      </c>
      <c r="G81" s="11">
        <v>27905</v>
      </c>
      <c r="H81" s="119">
        <f>_xlfn.XLOOKUP(Table1[[#This Row],[Shipment Number]], 'pivot '!A:A,'pivot '!G:G, "NF")</f>
        <v>0.24378481422199627</v>
      </c>
      <c r="I81" s="120">
        <f>Table1[[#This Row],[Tiyaar/gaz]]/1.0936</f>
        <v>25516.642282370154</v>
      </c>
      <c r="J81" s="120"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8"/>
    </row>
    <row r="82" spans="1:17" x14ac:dyDescent="0.3">
      <c r="A82" s="121">
        <v>46017</v>
      </c>
      <c r="B82" s="123" t="s">
        <v>21</v>
      </c>
      <c r="C82" s="118">
        <v>1278</v>
      </c>
      <c r="D82" s="118" t="s">
        <v>85</v>
      </c>
      <c r="E82" s="11">
        <v>1987</v>
      </c>
      <c r="F82" s="11">
        <v>5613</v>
      </c>
      <c r="G82" s="11">
        <v>4111</v>
      </c>
      <c r="H82" s="119">
        <f>_xlfn.XLOOKUP(Table1[[#This Row],[Shipment Number]], 'pivot '!A:A,'pivot '!G:G, "NF")</f>
        <v>5.5939348656471992</v>
      </c>
      <c r="I82" s="120">
        <f>Table1[[#This Row],[Tiyaar/gaz]]/1.0936</f>
        <v>3759.1441111923923</v>
      </c>
      <c r="J82" s="12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8"/>
    </row>
    <row r="83" spans="1:17" x14ac:dyDescent="0.3">
      <c r="A83" s="121">
        <v>46017</v>
      </c>
      <c r="B83" s="123" t="s">
        <v>27</v>
      </c>
      <c r="C83" s="118">
        <v>1279</v>
      </c>
      <c r="D83" s="118" t="s">
        <v>85</v>
      </c>
      <c r="E83" s="11">
        <v>1981</v>
      </c>
      <c r="F83" s="11">
        <v>27113</v>
      </c>
      <c r="G83" s="11">
        <v>29187</v>
      </c>
      <c r="H83" s="119">
        <f>_xlfn.XLOOKUP(Table1[[#This Row],[Shipment Number]], 'pivot '!A:A,'pivot '!G:G, "NF")</f>
        <v>1.5641303535764166</v>
      </c>
      <c r="I83" s="120">
        <f>Table1[[#This Row],[Tiyaar/gaz]]/1.0936</f>
        <v>26688.917337234823</v>
      </c>
      <c r="J83" s="120"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8"/>
    </row>
    <row r="84" spans="1:17" x14ac:dyDescent="0.3">
      <c r="A84" s="121">
        <v>46017</v>
      </c>
      <c r="B84" s="123" t="s">
        <v>9</v>
      </c>
      <c r="C84" s="118">
        <v>1280</v>
      </c>
      <c r="D84" s="118" t="s">
        <v>86</v>
      </c>
      <c r="E84" s="11">
        <v>1954</v>
      </c>
      <c r="F84" s="11">
        <v>10254</v>
      </c>
      <c r="G84" s="11">
        <v>4842</v>
      </c>
      <c r="H84" s="119">
        <f>_xlfn.XLOOKUP(Table1[[#This Row],[Shipment Number]], 'pivot '!A:A,'pivot '!G:G, "NF")</f>
        <v>1.7369209781855233</v>
      </c>
      <c r="I84" s="120">
        <f>Table1[[#This Row],[Tiyaar/gaz]]/1.0936</f>
        <v>4427.5786393562548</v>
      </c>
      <c r="J84" s="12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8"/>
    </row>
    <row r="85" spans="1:17" x14ac:dyDescent="0.3">
      <c r="A85" s="121">
        <v>46017</v>
      </c>
      <c r="B85" s="123" t="s">
        <v>9</v>
      </c>
      <c r="C85" s="118">
        <v>1281</v>
      </c>
      <c r="D85" s="118" t="s">
        <v>86</v>
      </c>
      <c r="E85" s="11">
        <v>1948</v>
      </c>
      <c r="F85" s="11">
        <v>20882</v>
      </c>
      <c r="G85" s="11">
        <v>3112</v>
      </c>
      <c r="H85" s="119">
        <f>_xlfn.XLOOKUP(Table1[[#This Row],[Shipment Number]], 'pivot '!A:A,'pivot '!G:G, "NF")</f>
        <v>2.8356080605362024</v>
      </c>
      <c r="I85" s="120">
        <f>Table1[[#This Row],[Tiyaar/gaz]]/1.0936</f>
        <v>2845.6474030724216</v>
      </c>
      <c r="J85" s="120"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8"/>
    </row>
    <row r="86" spans="1:17" x14ac:dyDescent="0.3">
      <c r="A86" s="121">
        <v>46017</v>
      </c>
      <c r="B86" s="123" t="s">
        <v>9</v>
      </c>
      <c r="C86" s="118">
        <v>1282</v>
      </c>
      <c r="D86" s="118" t="s">
        <v>86</v>
      </c>
      <c r="E86" s="11">
        <v>1947</v>
      </c>
      <c r="F86" s="11">
        <v>11427</v>
      </c>
      <c r="G86" s="11">
        <v>6074</v>
      </c>
      <c r="H86" s="119">
        <f>_xlfn.XLOOKUP(Table1[[#This Row],[Shipment Number]], 'pivot '!A:A,'pivot '!G:G, "NF")</f>
        <v>3.6215321596478134</v>
      </c>
      <c r="I86" s="120">
        <f>Table1[[#This Row],[Tiyaar/gaz]]/1.0936</f>
        <v>5554.1331382589615</v>
      </c>
      <c r="J86" s="12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8"/>
    </row>
    <row r="87" spans="1:17" x14ac:dyDescent="0.3">
      <c r="A87" s="121">
        <v>46017</v>
      </c>
      <c r="B87" s="123" t="s">
        <v>192</v>
      </c>
      <c r="C87" s="118">
        <v>1283</v>
      </c>
      <c r="D87" s="118" t="s">
        <v>85</v>
      </c>
      <c r="E87" s="11">
        <v>1985</v>
      </c>
      <c r="F87" s="11">
        <v>28429</v>
      </c>
      <c r="G87" s="11">
        <v>4538</v>
      </c>
      <c r="H87" s="119">
        <f>_xlfn.XLOOKUP(Table1[[#This Row],[Shipment Number]], 'pivot '!A:A,'pivot '!G:G, "NF")</f>
        <v>1.0452070653406906</v>
      </c>
      <c r="I87" s="120">
        <f>Table1[[#This Row],[Tiyaar/gaz]]/1.0936</f>
        <v>4149.597659107535</v>
      </c>
      <c r="J87" s="120"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8"/>
    </row>
    <row r="88" spans="1:17" x14ac:dyDescent="0.3">
      <c r="A88" s="121">
        <v>46018</v>
      </c>
      <c r="B88" s="123" t="s">
        <v>192</v>
      </c>
      <c r="C88" s="118">
        <v>1284</v>
      </c>
      <c r="D88" s="118" t="s">
        <v>85</v>
      </c>
      <c r="E88" s="11">
        <v>1985</v>
      </c>
      <c r="F88" s="11">
        <v>28429</v>
      </c>
      <c r="G88" s="11">
        <v>21699</v>
      </c>
      <c r="H88" s="119">
        <f>_xlfn.XLOOKUP(Table1[[#This Row],[Shipment Number]], 'pivot '!A:A,'pivot '!G:G, "NF")</f>
        <v>1.0452070653406906</v>
      </c>
      <c r="I88" s="120">
        <f>Table1[[#This Row],[Tiyaar/gaz]]/1.0936</f>
        <v>19841.806876371618</v>
      </c>
      <c r="J88" s="12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8"/>
    </row>
    <row r="89" spans="1:17" x14ac:dyDescent="0.3">
      <c r="A89" s="121">
        <v>46018</v>
      </c>
      <c r="B89" s="123" t="s">
        <v>192</v>
      </c>
      <c r="C89" s="118">
        <v>1285</v>
      </c>
      <c r="D89" s="118" t="s">
        <v>85</v>
      </c>
      <c r="E89" s="11">
        <v>1983</v>
      </c>
      <c r="F89" s="11">
        <v>24158</v>
      </c>
      <c r="G89" s="11">
        <v>21623</v>
      </c>
      <c r="H89" s="119">
        <f>_xlfn.XLOOKUP(Table1[[#This Row],[Shipment Number]], 'pivot '!A:A,'pivot '!G:G, "NF")</f>
        <v>1.378501068889733</v>
      </c>
      <c r="I89" s="120">
        <f>Table1[[#This Row],[Tiyaar/gaz]]/1.0936</f>
        <v>19772.31163130944</v>
      </c>
      <c r="J89" s="120"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8"/>
    </row>
    <row r="90" spans="1:17" x14ac:dyDescent="0.3">
      <c r="A90" s="121">
        <v>46018</v>
      </c>
      <c r="B90" s="123" t="s">
        <v>192</v>
      </c>
      <c r="C90" s="118">
        <v>1286</v>
      </c>
      <c r="D90" s="118" t="s">
        <v>85</v>
      </c>
      <c r="E90" s="11">
        <v>1984</v>
      </c>
      <c r="F90" s="11">
        <v>28662</v>
      </c>
      <c r="G90" s="11">
        <v>22261</v>
      </c>
      <c r="H90" s="119">
        <f>_xlfn.XLOOKUP(Table1[[#This Row],[Shipment Number]], 'pivot '!A:A,'pivot '!G:G, "NF")</f>
        <v>1.5178395094718695</v>
      </c>
      <c r="I90" s="120">
        <f>Table1[[#This Row],[Tiyaar/gaz]]/1.0936</f>
        <v>20355.705925384056</v>
      </c>
      <c r="J90" s="120"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8"/>
    </row>
    <row r="91" spans="1:17" x14ac:dyDescent="0.3">
      <c r="A91" s="121">
        <v>46018</v>
      </c>
      <c r="B91" s="123" t="s">
        <v>192</v>
      </c>
      <c r="C91" s="118">
        <v>1287</v>
      </c>
      <c r="D91" s="118" t="s">
        <v>85</v>
      </c>
      <c r="E91" s="11">
        <v>1983</v>
      </c>
      <c r="F91" s="11">
        <v>24158</v>
      </c>
      <c r="G91" s="11">
        <v>4432</v>
      </c>
      <c r="H91" s="119">
        <f>_xlfn.XLOOKUP(Table1[[#This Row],[Shipment Number]], 'pivot '!A:A,'pivot '!G:G, "NF")</f>
        <v>1.378501068889733</v>
      </c>
      <c r="I91" s="120">
        <f>Table1[[#This Row],[Tiyaar/gaz]]/1.0936</f>
        <v>4052.6700804681786</v>
      </c>
      <c r="J91" s="120"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8"/>
    </row>
    <row r="92" spans="1:17" x14ac:dyDescent="0.3">
      <c r="A92" s="121">
        <v>46018</v>
      </c>
      <c r="B92" s="123" t="s">
        <v>192</v>
      </c>
      <c r="C92" s="118">
        <v>1288</v>
      </c>
      <c r="D92" s="118" t="s">
        <v>85</v>
      </c>
      <c r="E92" s="11">
        <v>1985</v>
      </c>
      <c r="F92" s="11">
        <v>28429</v>
      </c>
      <c r="G92" s="11">
        <v>2277</v>
      </c>
      <c r="H92" s="119">
        <f>_xlfn.XLOOKUP(Table1[[#This Row],[Shipment Number]], 'pivot '!A:A,'pivot '!G:G, "NF")</f>
        <v>1.0452070653406906</v>
      </c>
      <c r="I92" s="120">
        <f>Table1[[#This Row],[Tiyaar/gaz]]/1.0936</f>
        <v>2082.1141185076813</v>
      </c>
      <c r="J92" s="120"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8"/>
    </row>
    <row r="93" spans="1:17" x14ac:dyDescent="0.3">
      <c r="A93" s="121">
        <v>46018</v>
      </c>
      <c r="B93" s="123" t="s">
        <v>21</v>
      </c>
      <c r="C93" s="118">
        <v>1289</v>
      </c>
      <c r="D93" s="118" t="s">
        <v>257</v>
      </c>
      <c r="E93" s="11">
        <v>1628</v>
      </c>
      <c r="F93" s="11">
        <v>48198</v>
      </c>
      <c r="G93" s="11">
        <f>649*1.0936</f>
        <v>709.74639999999999</v>
      </c>
      <c r="H93" s="119">
        <f>_xlfn.XLOOKUP(Table1[[#This Row],[Shipment Number]], 'pivot '!A:A,'pivot '!G:G, "NF")</f>
        <v>20.99845209954924</v>
      </c>
      <c r="I93" s="120">
        <f>Table1[[#This Row],[Tiyaar/gaz]]/1.0936</f>
        <v>649</v>
      </c>
      <c r="J93" s="120"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8"/>
    </row>
    <row r="94" spans="1:17" x14ac:dyDescent="0.3">
      <c r="A94" s="121">
        <v>46018</v>
      </c>
      <c r="B94" s="123" t="s">
        <v>183</v>
      </c>
      <c r="C94" s="118">
        <v>1290</v>
      </c>
      <c r="D94" s="118" t="s">
        <v>85</v>
      </c>
      <c r="E94" s="11" t="s">
        <v>330</v>
      </c>
      <c r="F94" s="11">
        <f>12066+14564</f>
        <v>26630</v>
      </c>
      <c r="G94" s="11">
        <v>8977</v>
      </c>
      <c r="H94" s="119">
        <f>_xlfn.XLOOKUP(Table1[[#This Row],[Shipment Number]], 'pivot '!A:A,'pivot '!G:G, "NF")</f>
        <v>2.3025716688171087</v>
      </c>
      <c r="I94" s="120">
        <f>Table1[[#This Row],[Tiyaar/gaz]]/1.0936</f>
        <v>8208.6686174103888</v>
      </c>
      <c r="J94" s="120"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8"/>
    </row>
    <row r="95" spans="1:17" x14ac:dyDescent="0.3">
      <c r="A95" s="121">
        <v>46018</v>
      </c>
      <c r="B95" s="123" t="s">
        <v>207</v>
      </c>
      <c r="C95" s="118">
        <v>1291</v>
      </c>
      <c r="D95" s="118" t="s">
        <v>208</v>
      </c>
      <c r="E95" s="11">
        <v>1993</v>
      </c>
      <c r="F95" s="11">
        <v>7587</v>
      </c>
      <c r="G95" s="11">
        <v>8188</v>
      </c>
      <c r="H95" s="119">
        <f>_xlfn.XLOOKUP(Table1[[#This Row],[Shipment Number]], 'pivot '!A:A,'pivot '!G:G, "NF")</f>
        <v>1.3154310751199034</v>
      </c>
      <c r="I95" s="120">
        <f>Table1[[#This Row],[Tiyaar/gaz]]/1.0936</f>
        <v>7487.1982443306515</v>
      </c>
      <c r="J95" s="120"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8"/>
    </row>
    <row r="96" spans="1:17" x14ac:dyDescent="0.3">
      <c r="A96" s="121">
        <v>46020</v>
      </c>
      <c r="B96" s="123" t="s">
        <v>21</v>
      </c>
      <c r="C96" s="118">
        <v>1292</v>
      </c>
      <c r="D96" s="118" t="s">
        <v>257</v>
      </c>
      <c r="E96" s="11">
        <v>1628</v>
      </c>
      <c r="F96" s="11">
        <v>48198</v>
      </c>
      <c r="G96" s="11">
        <f>26009*1.0936</f>
        <v>28443.442399999996</v>
      </c>
      <c r="H96" s="119">
        <f>_xlfn.XLOOKUP(Table1[[#This Row],[Shipment Number]], 'pivot '!A:A,'pivot '!G:G, "NF")</f>
        <v>20.99845209954924</v>
      </c>
      <c r="I96" s="120">
        <f>Table1[[#This Row],[Tiyaar/gaz]]/1.0936</f>
        <v>26009</v>
      </c>
      <c r="J96" s="120"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8"/>
      <c r="O96"/>
      <c r="P96"/>
      <c r="Q96"/>
    </row>
    <row r="97" spans="1:18" x14ac:dyDescent="0.3">
      <c r="A97" s="121">
        <v>46020</v>
      </c>
      <c r="B97" s="123" t="s">
        <v>21</v>
      </c>
      <c r="C97" s="118">
        <v>1293</v>
      </c>
      <c r="D97" s="118" t="s">
        <v>257</v>
      </c>
      <c r="E97" s="11">
        <v>1775</v>
      </c>
      <c r="F97" s="11">
        <v>0</v>
      </c>
      <c r="G97" s="11">
        <f>2469*1.0936</f>
        <v>2700.0983999999999</v>
      </c>
      <c r="H97" s="119" t="e">
        <f>_xlfn.XLOOKUP(Table1[[#This Row],[Shipment Number]], 'pivot '!A:A,'pivot '!G:G, "NF")</f>
        <v>#DIV/0!</v>
      </c>
      <c r="I97" s="120">
        <f>Table1[[#This Row],[Tiyaar/gaz]]/1.0936</f>
        <v>2469</v>
      </c>
      <c r="J97" s="120"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8"/>
      <c r="O97"/>
      <c r="P97"/>
      <c r="Q97"/>
    </row>
    <row r="98" spans="1:18" x14ac:dyDescent="0.3">
      <c r="A98" s="121">
        <v>46020</v>
      </c>
      <c r="B98" s="123" t="s">
        <v>21</v>
      </c>
      <c r="C98" s="118">
        <v>1294</v>
      </c>
      <c r="D98" s="118" t="s">
        <v>257</v>
      </c>
      <c r="E98" s="11">
        <v>1775</v>
      </c>
      <c r="F98" s="11">
        <v>0</v>
      </c>
      <c r="G98" s="11">
        <f>2282*1.0936</f>
        <v>2495.5951999999997</v>
      </c>
      <c r="H98" s="119" t="e">
        <f>_xlfn.XLOOKUP(Table1[[#This Row],[Shipment Number]], 'pivot '!A:A,'pivot '!G:G, "NF")</f>
        <v>#DIV/0!</v>
      </c>
      <c r="I98" s="120">
        <f>Table1[[#This Row],[Tiyaar/gaz]]/1.0936</f>
        <v>2282</v>
      </c>
      <c r="J98" s="120"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8"/>
      <c r="L98"/>
      <c r="M98"/>
      <c r="O98"/>
      <c r="P98"/>
      <c r="Q98"/>
    </row>
    <row r="99" spans="1:18" x14ac:dyDescent="0.3">
      <c r="A99" s="121">
        <v>46020</v>
      </c>
      <c r="B99" s="123" t="s">
        <v>183</v>
      </c>
      <c r="C99" s="118">
        <v>1295</v>
      </c>
      <c r="D99" s="118" t="s">
        <v>85</v>
      </c>
      <c r="E99" s="11" t="s">
        <v>330</v>
      </c>
      <c r="F99" s="11">
        <v>26630</v>
      </c>
      <c r="G99" s="11">
        <v>19475</v>
      </c>
      <c r="H99" s="119">
        <f>_xlfn.XLOOKUP(Table1[[#This Row],[Shipment Number]], 'pivot '!A:A,'pivot '!G:G, "NF")</f>
        <v>2.3025716688171087</v>
      </c>
      <c r="I99" s="120">
        <f>Table1[[#This Row],[Tiyaar/gaz]]/1.0936</f>
        <v>17808.156547183615</v>
      </c>
      <c r="J99" s="120"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8"/>
      <c r="M99"/>
      <c r="P99"/>
      <c r="Q99"/>
      <c r="R99"/>
    </row>
    <row r="100" spans="1:18" x14ac:dyDescent="0.3">
      <c r="A100" s="121">
        <v>46020</v>
      </c>
      <c r="B100" s="123" t="s">
        <v>192</v>
      </c>
      <c r="C100" s="118" t="s">
        <v>331</v>
      </c>
      <c r="D100" s="118" t="s">
        <v>202</v>
      </c>
      <c r="E100" s="11">
        <v>1984</v>
      </c>
      <c r="F100" s="11">
        <v>28662</v>
      </c>
      <c r="G100" s="11">
        <f>4332/2</f>
        <v>2166</v>
      </c>
      <c r="H100" s="119">
        <f>_xlfn.XLOOKUP(Table1[[#This Row],[Shipment Number]], 'pivot '!A:A,'pivot '!G:G, "NF")</f>
        <v>1.5178395094718695</v>
      </c>
      <c r="I100" s="120">
        <f>Table1[[#This Row],[Tiyaar/gaz]]/1.0936</f>
        <v>1980.6144842721289</v>
      </c>
      <c r="J100" s="120"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8"/>
      <c r="M100"/>
      <c r="P100"/>
      <c r="Q100"/>
      <c r="R100"/>
    </row>
    <row r="101" spans="1:18" x14ac:dyDescent="0.3">
      <c r="A101" s="121">
        <v>46020</v>
      </c>
      <c r="B101" s="123" t="s">
        <v>192</v>
      </c>
      <c r="C101" s="118" t="s">
        <v>332</v>
      </c>
      <c r="D101" s="118" t="s">
        <v>85</v>
      </c>
      <c r="E101" s="11">
        <v>1984</v>
      </c>
      <c r="F101" s="11">
        <v>28662</v>
      </c>
      <c r="G101" s="11">
        <f>4276+2166</f>
        <v>6442</v>
      </c>
      <c r="H101" s="119">
        <f>_xlfn.XLOOKUP(Table1[[#This Row],[Shipment Number]], 'pivot '!A:A,'pivot '!G:G, "NF")</f>
        <v>1.5178395094718695</v>
      </c>
      <c r="I101" s="120">
        <f>Table1[[#This Row],[Tiyaar/gaz]]/1.0936</f>
        <v>5890.6364301389913</v>
      </c>
      <c r="J101" s="120"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8"/>
      <c r="M101"/>
      <c r="P101"/>
      <c r="Q101"/>
      <c r="R101"/>
    </row>
    <row r="102" spans="1:18" x14ac:dyDescent="0.3">
      <c r="A102" s="121">
        <v>46020</v>
      </c>
      <c r="B102" s="123" t="s">
        <v>26</v>
      </c>
      <c r="C102" s="118">
        <v>1297</v>
      </c>
      <c r="D102" s="118" t="s">
        <v>85</v>
      </c>
      <c r="E102" s="11">
        <v>1941</v>
      </c>
      <c r="F102" s="11">
        <v>23896</v>
      </c>
      <c r="G102" s="11">
        <v>22958</v>
      </c>
      <c r="H102" s="119">
        <f>_xlfn.XLOOKUP(Table1[[#This Row],[Shipment Number]], 'pivot '!A:A,'pivot '!G:G, "NF")</f>
        <v>2.700320016340001</v>
      </c>
      <c r="I102" s="120">
        <f>Table1[[#This Row],[Tiyaar/gaz]]/1.0936</f>
        <v>20993.050475493783</v>
      </c>
      <c r="J102" s="120"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8"/>
      <c r="M102"/>
      <c r="P102"/>
      <c r="Q102"/>
      <c r="R102"/>
    </row>
    <row r="103" spans="1:18" x14ac:dyDescent="0.3">
      <c r="A103" s="121">
        <v>46020</v>
      </c>
      <c r="B103" s="123" t="s">
        <v>21</v>
      </c>
      <c r="C103" s="118">
        <v>1298</v>
      </c>
      <c r="D103" s="118" t="s">
        <v>85</v>
      </c>
      <c r="E103" s="11">
        <v>2000</v>
      </c>
      <c r="F103" s="11">
        <v>7853</v>
      </c>
      <c r="G103" s="11">
        <v>8579</v>
      </c>
      <c r="H103" s="119">
        <f>_xlfn.XLOOKUP(Table1[[#This Row],[Shipment Number]], 'pivot '!A:A,'pivot '!G:G, "NF")</f>
        <v>0.1052719730907512</v>
      </c>
      <c r="I103" s="120">
        <f>Table1[[#This Row],[Tiyaar/gaz]]/1.0936</f>
        <v>7844.732991953183</v>
      </c>
      <c r="J103" s="120"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8"/>
      <c r="M103"/>
      <c r="P103"/>
      <c r="Q103"/>
      <c r="R103"/>
    </row>
    <row r="104" spans="1:18" x14ac:dyDescent="0.3">
      <c r="A104" s="125">
        <v>46020</v>
      </c>
      <c r="B104" s="123" t="s">
        <v>26</v>
      </c>
      <c r="C104" s="118">
        <v>1299</v>
      </c>
      <c r="D104" s="118" t="s">
        <v>85</v>
      </c>
      <c r="E104" s="11">
        <v>1941</v>
      </c>
      <c r="F104" s="11">
        <v>23896</v>
      </c>
      <c r="G104" s="11">
        <v>2469</v>
      </c>
      <c r="H104" s="119">
        <f>_xlfn.XLOOKUP(Table1[[#This Row],[Shipment Number]], 'pivot '!A:A,'pivot '!G:G, "NF")</f>
        <v>2.700320016340001</v>
      </c>
      <c r="I104" s="120">
        <f>Table1[[#This Row],[Tiyaar/gaz]]/1.0936</f>
        <v>2257.6810534016095</v>
      </c>
      <c r="J104" s="120"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8"/>
      <c r="M104"/>
      <c r="P104"/>
      <c r="Q104"/>
      <c r="R104"/>
    </row>
    <row r="105" spans="1:18" x14ac:dyDescent="0.3">
      <c r="A105" s="121">
        <v>46020</v>
      </c>
      <c r="B105" s="123" t="s">
        <v>192</v>
      </c>
      <c r="C105" s="118">
        <v>1300</v>
      </c>
      <c r="D105" s="118" t="s">
        <v>85</v>
      </c>
      <c r="E105" s="11">
        <v>1985</v>
      </c>
      <c r="F105" s="11">
        <v>28429</v>
      </c>
      <c r="G105" s="11">
        <v>2251</v>
      </c>
      <c r="H105" s="119">
        <f>_xlfn.XLOOKUP(Table1[[#This Row],[Shipment Number]], 'pivot '!A:A,'pivot '!G:G, "NF")</f>
        <v>1.0452070653406906</v>
      </c>
      <c r="I105" s="120">
        <f>Table1[[#This Row],[Tiyaar/gaz]]/1.0936</f>
        <v>2058.3394294074619</v>
      </c>
      <c r="J105" s="120"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8"/>
      <c r="M105"/>
      <c r="P105"/>
      <c r="Q105"/>
      <c r="R105"/>
    </row>
    <row r="106" spans="1:18" x14ac:dyDescent="0.3">
      <c r="A106" s="121">
        <v>46020</v>
      </c>
      <c r="B106" s="123" t="s">
        <v>27</v>
      </c>
      <c r="C106" s="118">
        <v>1301</v>
      </c>
      <c r="D106" s="118" t="s">
        <v>85</v>
      </c>
      <c r="E106" s="11">
        <v>1995</v>
      </c>
      <c r="F106" s="11">
        <v>23540</v>
      </c>
      <c r="G106" s="11">
        <v>23101</v>
      </c>
      <c r="H106" s="119">
        <f>_xlfn.XLOOKUP(Table1[[#This Row],[Shipment Number]], 'pivot '!A:A,'pivot '!G:G, "NF")</f>
        <v>1.3609109989751005</v>
      </c>
      <c r="I106" s="120">
        <f>Table1[[#This Row],[Tiyaar/gaz]]/1.0936</f>
        <v>21123.811265544991</v>
      </c>
      <c r="J106" s="120"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8"/>
      <c r="P106"/>
      <c r="Q106"/>
      <c r="R106"/>
    </row>
    <row r="107" spans="1:18" x14ac:dyDescent="0.3">
      <c r="A107" s="121">
        <v>46020</v>
      </c>
      <c r="B107" s="123" t="s">
        <v>27</v>
      </c>
      <c r="C107" s="118">
        <v>1302</v>
      </c>
      <c r="D107" s="118" t="s">
        <v>85</v>
      </c>
      <c r="E107" s="11">
        <v>1992</v>
      </c>
      <c r="F107" s="11">
        <v>27665</v>
      </c>
      <c r="G107" s="11">
        <v>16213</v>
      </c>
      <c r="H107" s="119">
        <f>_xlfn.XLOOKUP(Table1[[#This Row],[Shipment Number]], 'pivot '!A:A,'pivot '!G:G, "NF")</f>
        <v>1.3202820716189478</v>
      </c>
      <c r="I107" s="120">
        <f>Table1[[#This Row],[Tiyaar/gaz]]/1.0936</f>
        <v>14825.347476225312</v>
      </c>
      <c r="J107" s="120"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8"/>
      <c r="L107"/>
      <c r="P107"/>
      <c r="Q107"/>
      <c r="R107"/>
    </row>
    <row r="108" spans="1:18" x14ac:dyDescent="0.3">
      <c r="A108" s="121">
        <v>46021</v>
      </c>
      <c r="B108" s="123" t="s">
        <v>27</v>
      </c>
      <c r="C108" s="118">
        <v>1303</v>
      </c>
      <c r="D108" s="118" t="s">
        <v>85</v>
      </c>
      <c r="E108" s="11">
        <v>1992</v>
      </c>
      <c r="F108" s="11">
        <v>27665</v>
      </c>
      <c r="G108" s="11">
        <v>13642</v>
      </c>
      <c r="H108" s="119">
        <f>_xlfn.XLOOKUP(Table1[[#This Row],[Shipment Number]], 'pivot '!A:A,'pivot '!G:G, "NF")</f>
        <v>1.3202820716189478</v>
      </c>
      <c r="I108" s="120">
        <f>Table1[[#This Row],[Tiyaar/gaz]]/1.0936</f>
        <v>12474.396488661303</v>
      </c>
      <c r="J108" s="120"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8"/>
      <c r="L108"/>
      <c r="P108"/>
      <c r="Q108"/>
      <c r="R108"/>
    </row>
    <row r="109" spans="1:18" x14ac:dyDescent="0.3">
      <c r="A109" s="121">
        <v>46021</v>
      </c>
      <c r="B109" s="123" t="s">
        <v>27</v>
      </c>
      <c r="C109" s="118">
        <v>1304</v>
      </c>
      <c r="D109" s="118" t="s">
        <v>85</v>
      </c>
      <c r="E109" s="11">
        <v>1995</v>
      </c>
      <c r="F109" s="11">
        <v>23540</v>
      </c>
      <c r="G109" s="11">
        <v>2292</v>
      </c>
      <c r="H109" s="119">
        <f>_xlfn.XLOOKUP(Table1[[#This Row],[Shipment Number]], 'pivot '!A:A,'pivot '!G:G, "NF")</f>
        <v>1.3609109989751005</v>
      </c>
      <c r="I109" s="120">
        <f>Table1[[#This Row],[Tiyaar/gaz]]/1.0936</f>
        <v>2095.8302852962693</v>
      </c>
      <c r="J109" s="120"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8"/>
      <c r="L109"/>
      <c r="O109"/>
      <c r="P109"/>
      <c r="Q109"/>
    </row>
    <row r="110" spans="1:18" x14ac:dyDescent="0.3">
      <c r="A110" s="121">
        <v>46021</v>
      </c>
      <c r="B110" s="123" t="s">
        <v>24</v>
      </c>
      <c r="C110" s="118">
        <v>1305</v>
      </c>
      <c r="D110" s="118" t="s">
        <v>185</v>
      </c>
      <c r="E110" s="11">
        <v>1718</v>
      </c>
      <c r="F110" s="11">
        <f>26310-278</f>
        <v>26032</v>
      </c>
      <c r="G110" s="11">
        <v>26242</v>
      </c>
      <c r="H110" s="119">
        <f>_xlfn.XLOOKUP(Table1[[#This Row],[Shipment Number]], 'pivot '!A:A,'pivot '!G:G, "NF")</f>
        <v>7.8212331320092545</v>
      </c>
      <c r="I110" s="120">
        <f>Table1[[#This Row],[Tiyaar/gaz]]/1.0936</f>
        <v>23995.976591075349</v>
      </c>
      <c r="J110" s="120"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8"/>
      <c r="L110"/>
      <c r="O110"/>
      <c r="P110"/>
      <c r="Q110"/>
    </row>
    <row r="111" spans="1:18" x14ac:dyDescent="0.3">
      <c r="A111" s="121">
        <v>46021</v>
      </c>
      <c r="B111" s="123" t="s">
        <v>21</v>
      </c>
      <c r="C111" s="118">
        <v>1306</v>
      </c>
      <c r="D111" s="118" t="s">
        <v>85</v>
      </c>
      <c r="E111" s="11">
        <v>1990</v>
      </c>
      <c r="F111" s="11">
        <v>45681</v>
      </c>
      <c r="G111" s="11">
        <v>35092</v>
      </c>
      <c r="H111" s="119">
        <f>_xlfn.XLOOKUP(Table1[[#This Row],[Shipment Number]], 'pivot '!A:A,'pivot '!G:G, "NF")</f>
        <v>0.27372001379688982</v>
      </c>
      <c r="I111" s="120">
        <f>Table1[[#This Row],[Tiyaar/gaz]]/1.0936</f>
        <v>32088.514996342357</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8"/>
      <c r="L111"/>
      <c r="O111"/>
      <c r="P111"/>
      <c r="Q111"/>
    </row>
    <row r="112" spans="1:18" x14ac:dyDescent="0.3">
      <c r="A112" s="121">
        <v>46021</v>
      </c>
      <c r="B112" s="123" t="s">
        <v>350</v>
      </c>
      <c r="C112" s="118">
        <v>1307</v>
      </c>
      <c r="D112" s="118" t="s">
        <v>85</v>
      </c>
      <c r="E112" s="11">
        <v>1989</v>
      </c>
      <c r="F112" s="11">
        <f>61388-17127</f>
        <v>44261</v>
      </c>
      <c r="G112" s="11">
        <v>8547</v>
      </c>
      <c r="H112" s="119">
        <f>_xlfn.XLOOKUP(Table1[[#This Row],[Shipment Number]], 'pivot '!A:A,'pivot '!G:G, "NF")</f>
        <v>3.5014370020011683</v>
      </c>
      <c r="I112" s="120">
        <f>Table1[[#This Row],[Tiyaar/gaz]]/1.0936</f>
        <v>7815.471836137528</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8"/>
      <c r="L112"/>
      <c r="O112"/>
      <c r="P112"/>
      <c r="Q112"/>
    </row>
    <row r="113" spans="1:17" x14ac:dyDescent="0.3">
      <c r="A113" s="121">
        <v>46021</v>
      </c>
      <c r="B113" s="123" t="s">
        <v>23</v>
      </c>
      <c r="C113" s="118">
        <v>1308</v>
      </c>
      <c r="D113" s="118" t="s">
        <v>85</v>
      </c>
      <c r="E113" s="11">
        <v>2001</v>
      </c>
      <c r="F113" s="11">
        <v>8245</v>
      </c>
      <c r="G113" s="11">
        <v>8850</v>
      </c>
      <c r="H113" s="119">
        <f>_xlfn.XLOOKUP(Table1[[#This Row],[Shipment Number]], 'pivot '!A:A,'pivot '!G:G, "NF")</f>
        <v>1.8491400210186981</v>
      </c>
      <c r="I113" s="120">
        <f>Table1[[#This Row],[Tiyaar/gaz]]/1.0936</f>
        <v>8092.5384052670088</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8"/>
      <c r="O113"/>
      <c r="P113"/>
      <c r="Q113"/>
    </row>
    <row r="114" spans="1:17" x14ac:dyDescent="0.3">
      <c r="A114" s="121">
        <v>46023</v>
      </c>
      <c r="B114" s="123" t="s">
        <v>21</v>
      </c>
      <c r="C114" s="118">
        <v>1309</v>
      </c>
      <c r="D114" s="118" t="s">
        <v>85</v>
      </c>
      <c r="E114" s="11">
        <v>1990</v>
      </c>
      <c r="F114" s="11">
        <v>45681</v>
      </c>
      <c r="G114" s="11">
        <v>14728</v>
      </c>
      <c r="H114" s="119">
        <f>_xlfn.XLOOKUP(Table1[[#This Row],[Shipment Number]], 'pivot '!A:A,'pivot '!G:G, "NF")</f>
        <v>0.27372001379688982</v>
      </c>
      <c r="I114" s="120">
        <f>Table1[[#This Row],[Tiyaar/gaz]]/1.0936</f>
        <v>13467.446964155086</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8"/>
      <c r="O114"/>
      <c r="P114"/>
      <c r="Q114"/>
    </row>
    <row r="115" spans="1:17" x14ac:dyDescent="0.3">
      <c r="A115" s="121">
        <v>46023</v>
      </c>
      <c r="B115" s="123" t="s">
        <v>165</v>
      </c>
      <c r="C115" s="118">
        <v>1310</v>
      </c>
      <c r="D115" s="118" t="s">
        <v>85</v>
      </c>
      <c r="E115" s="11" t="s">
        <v>377</v>
      </c>
      <c r="F115" s="11">
        <f>17127+489</f>
        <v>17616</v>
      </c>
      <c r="G115" s="11">
        <v>18976</v>
      </c>
      <c r="H115" s="119">
        <f>_xlfn.XLOOKUP(Table1[[#This Row],[Shipment Number]], 'pivot '!A:A,'pivot '!G:G, "NF")</f>
        <v>1.4994016877653848</v>
      </c>
      <c r="I115" s="120">
        <f>Table1[[#This Row],[Tiyaar/gaz]]/1.0936</f>
        <v>17351.865398683251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8"/>
      <c r="O115"/>
      <c r="P115"/>
      <c r="Q115"/>
    </row>
    <row r="116" spans="1:17" x14ac:dyDescent="0.3">
      <c r="A116" s="121">
        <v>46024</v>
      </c>
      <c r="B116" s="123" t="s">
        <v>21</v>
      </c>
      <c r="C116" s="118">
        <v>1311</v>
      </c>
      <c r="D116" s="118" t="s">
        <v>85</v>
      </c>
      <c r="E116" s="11">
        <v>1989</v>
      </c>
      <c r="F116" s="11">
        <f>61388-17127</f>
        <v>44261</v>
      </c>
      <c r="G116" s="11">
        <v>37510</v>
      </c>
      <c r="H116" s="119">
        <f>_xlfn.XLOOKUP(Table1[[#This Row],[Shipment Number]], 'pivot '!A:A,'pivot '!G:G, "NF")</f>
        <v>3.5014370020011683</v>
      </c>
      <c r="I116" s="120">
        <f>Table1[[#This Row],[Tiyaar/gaz]]/1.0936</f>
        <v>34299.561082662767</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8"/>
      <c r="O116"/>
      <c r="P116"/>
      <c r="Q116"/>
    </row>
    <row r="117" spans="1:17" x14ac:dyDescent="0.3">
      <c r="A117" s="121">
        <v>46024</v>
      </c>
      <c r="B117" s="123" t="s">
        <v>183</v>
      </c>
      <c r="C117" s="118">
        <v>1312</v>
      </c>
      <c r="D117" s="118" t="s">
        <v>85</v>
      </c>
      <c r="E117" s="11">
        <v>2004</v>
      </c>
      <c r="F117" s="11">
        <v>12579</v>
      </c>
      <c r="G117" s="11">
        <v>13390</v>
      </c>
      <c r="H117" s="119">
        <f>_xlfn.XLOOKUP(Table1[[#This Row],[Shipment Number]], 'pivot '!A:A,'pivot '!G:G, "NF")</f>
        <v>2.663447916265028</v>
      </c>
      <c r="I117" s="120">
        <f>Table1[[#This Row],[Tiyaar/gaz]]/1.0936</f>
        <v>12243.964886613023</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8"/>
      <c r="O117"/>
      <c r="P117"/>
      <c r="Q117"/>
    </row>
    <row r="118" spans="1:17" x14ac:dyDescent="0.3">
      <c r="A118" s="121">
        <v>46025</v>
      </c>
      <c r="B118" s="123" t="s">
        <v>21</v>
      </c>
      <c r="C118" s="118">
        <v>1313</v>
      </c>
      <c r="D118" s="118" t="s">
        <v>86</v>
      </c>
      <c r="E118" s="11">
        <v>2005</v>
      </c>
      <c r="F118" s="11">
        <v>11805</v>
      </c>
      <c r="G118" s="11">
        <v>12520</v>
      </c>
      <c r="H118" s="119">
        <f>_xlfn.XLOOKUP(Table1[[#This Row],[Shipment Number]], 'pivot '!A:A,'pivot '!G:G, "NF")</f>
        <v>3.0205233979253734</v>
      </c>
      <c r="I118" s="120">
        <f>Table1[[#This Row],[Tiyaar/gaz]]/1.0936</f>
        <v>11448.427212874909</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8"/>
      <c r="O118"/>
      <c r="P118"/>
      <c r="Q118"/>
    </row>
    <row r="119" spans="1:17" x14ac:dyDescent="0.3">
      <c r="A119" s="121">
        <v>46025</v>
      </c>
      <c r="B119" s="123" t="s">
        <v>21</v>
      </c>
      <c r="C119" s="118">
        <v>1314</v>
      </c>
      <c r="D119" s="118" t="s">
        <v>86</v>
      </c>
      <c r="E119" s="11">
        <v>2006</v>
      </c>
      <c r="F119" s="11">
        <v>24208</v>
      </c>
      <c r="G119" s="11">
        <v>12918</v>
      </c>
      <c r="H119" s="119">
        <f>_xlfn.XLOOKUP(Table1[[#This Row],[Shipment Number]], 'pivot '!A:A,'pivot '!G:G, "NF")</f>
        <v>40.854885554165762</v>
      </c>
      <c r="I119" s="120">
        <f>Table1[[#This Row],[Tiyaar/gaz]]/1.0936</f>
        <v>11812.362838332116</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8"/>
      <c r="O119"/>
      <c r="P119"/>
      <c r="Q119"/>
    </row>
    <row r="120" spans="1:17" x14ac:dyDescent="0.3">
      <c r="A120" s="121">
        <v>46025</v>
      </c>
      <c r="B120" s="123" t="s">
        <v>21</v>
      </c>
      <c r="C120" s="118">
        <v>1315</v>
      </c>
      <c r="D120" s="118" t="s">
        <v>86</v>
      </c>
      <c r="E120" s="11">
        <v>2003</v>
      </c>
      <c r="F120" s="11">
        <v>12005</v>
      </c>
      <c r="G120" s="11">
        <v>9524</v>
      </c>
      <c r="H120" s="119">
        <f>_xlfn.XLOOKUP(Table1[[#This Row],[Shipment Number]], 'pivot '!A:A,'pivot '!G:G, "NF")</f>
        <v>-1.2821711996982401</v>
      </c>
      <c r="I120" s="120">
        <f>Table1[[#This Row],[Tiyaar/gaz]]/1.0936</f>
        <v>8708.8514996342365</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8"/>
      <c r="P120"/>
      <c r="Q120"/>
    </row>
    <row r="121" spans="1:17" x14ac:dyDescent="0.3">
      <c r="A121" s="121">
        <v>46025</v>
      </c>
      <c r="B121" s="123" t="s">
        <v>21</v>
      </c>
      <c r="C121" s="118">
        <v>1316</v>
      </c>
      <c r="D121" s="118" t="s">
        <v>86</v>
      </c>
      <c r="E121" s="11">
        <v>2008</v>
      </c>
      <c r="F121" s="11"/>
      <c r="G121" s="11">
        <v>6008</v>
      </c>
      <c r="H121" s="119">
        <f>_xlfn.XLOOKUP(Table1[[#This Row],[Shipment Number]], 'pivot '!A:A,'pivot '!G:G, "NF")</f>
        <v>1.3065122083183383</v>
      </c>
      <c r="I121" s="120">
        <f>Table1[[#This Row],[Tiyaar/gaz]]/1.0936</f>
        <v>5493.7820043891743</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8"/>
      <c r="P121"/>
      <c r="Q121"/>
    </row>
    <row r="122" spans="1:17" x14ac:dyDescent="0.3">
      <c r="A122" s="121">
        <v>46025</v>
      </c>
      <c r="B122" s="123" t="s">
        <v>21</v>
      </c>
      <c r="C122" s="118">
        <v>1317</v>
      </c>
      <c r="D122" s="118" t="s">
        <v>85</v>
      </c>
      <c r="E122" s="11">
        <v>2009</v>
      </c>
      <c r="F122" s="11">
        <v>12335</v>
      </c>
      <c r="G122" s="11">
        <v>13230</v>
      </c>
      <c r="H122" s="119">
        <f>_xlfn.XLOOKUP(Table1[[#This Row],[Shipment Number]], 'pivot '!A:A,'pivot '!G:G, "NF")</f>
        <v>1.9241255976104696</v>
      </c>
      <c r="I122" s="120">
        <f>Table1[[#This Row],[Tiyaar/gaz]]/1.0936</f>
        <v>12097.659107534748</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8"/>
      <c r="P122"/>
      <c r="Q122"/>
    </row>
    <row r="123" spans="1:17" x14ac:dyDescent="0.3">
      <c r="A123" s="121">
        <v>46025</v>
      </c>
      <c r="B123" s="123" t="s">
        <v>21</v>
      </c>
      <c r="C123" s="118">
        <v>1318</v>
      </c>
      <c r="D123" s="118" t="s">
        <v>85</v>
      </c>
      <c r="E123" s="11">
        <v>2007</v>
      </c>
      <c r="F123" s="11">
        <v>51307</v>
      </c>
      <c r="G123" s="11">
        <v>13287</v>
      </c>
      <c r="H123" s="119">
        <f>_xlfn.XLOOKUP(Table1[[#This Row],[Shipment Number]], 'pivot '!A:A,'pivot '!G:G, "NF")</f>
        <v>32.235875074135606</v>
      </c>
      <c r="I123" s="120">
        <f>Table1[[#This Row],[Tiyaar/gaz]]/1.0936</f>
        <v>12149.780541331384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8"/>
      <c r="P123"/>
      <c r="Q123"/>
    </row>
    <row r="124" spans="1:17" x14ac:dyDescent="0.3">
      <c r="A124" s="121">
        <v>46025</v>
      </c>
      <c r="B124" s="123" t="s">
        <v>21</v>
      </c>
      <c r="C124" s="118">
        <v>1319</v>
      </c>
      <c r="D124" s="118" t="s">
        <v>85</v>
      </c>
      <c r="E124" s="11">
        <v>1989</v>
      </c>
      <c r="F124" s="11">
        <f>61388-17127</f>
        <v>44261</v>
      </c>
      <c r="G124" s="11">
        <v>652</v>
      </c>
      <c r="H124" s="119">
        <f>_xlfn.XLOOKUP(Table1[[#This Row],[Shipment Number]], 'pivot '!A:A,'pivot '!G:G, "NF")</f>
        <v>3.5014370020011683</v>
      </c>
      <c r="I124" s="120">
        <f>Table1[[#This Row],[Tiyaar/gaz]]/1.0936</f>
        <v>596.19604974396498</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8"/>
      <c r="P124"/>
      <c r="Q124"/>
    </row>
    <row r="125" spans="1:17" x14ac:dyDescent="0.3">
      <c r="A125" s="121">
        <v>46025</v>
      </c>
      <c r="B125" s="123" t="s">
        <v>21</v>
      </c>
      <c r="C125" s="118">
        <v>1320</v>
      </c>
      <c r="D125" s="118" t="s">
        <v>85</v>
      </c>
      <c r="E125" s="11">
        <v>2007</v>
      </c>
      <c r="F125" s="11">
        <v>51307</v>
      </c>
      <c r="G125" s="11">
        <v>24735</v>
      </c>
      <c r="H125" s="119">
        <f>_xlfn.XLOOKUP(Table1[[#This Row],[Shipment Number]], 'pivot '!A:A,'pivot '!G:G, "NF")</f>
        <v>32.235875074135606</v>
      </c>
      <c r="I125" s="120">
        <f>Table1[[#This Row],[Tiyaar/gaz]]/1.0936</f>
        <v>22617.95903438186</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8"/>
      <c r="P125"/>
      <c r="Q125"/>
    </row>
    <row r="126" spans="1:17" x14ac:dyDescent="0.3">
      <c r="A126" s="127">
        <v>46025</v>
      </c>
      <c r="B126" s="128" t="s">
        <v>21</v>
      </c>
      <c r="C126" s="129">
        <v>1321</v>
      </c>
      <c r="D126" s="129" t="s">
        <v>85</v>
      </c>
      <c r="E126" s="130">
        <v>1976</v>
      </c>
      <c r="F126" s="130">
        <v>22604</v>
      </c>
      <c r="G126" s="130">
        <v>24276</v>
      </c>
      <c r="H126" s="131">
        <f>_xlfn.XLOOKUP(Table1[[#This Row],[Shipment Number]], 'pivot '!A:A,'pivot '!G:G, "NF")</f>
        <v>1.7950613579407957</v>
      </c>
      <c r="I126" s="132">
        <f>Table1[[#This Row],[Tiyaar/gaz]]/1.0936</f>
        <v>22198.244330651061</v>
      </c>
      <c r="J126" s="132"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29"/>
      <c r="P126"/>
      <c r="Q126"/>
    </row>
    <row r="127" spans="1:17" x14ac:dyDescent="0.3">
      <c r="A127" s="121">
        <v>46027</v>
      </c>
      <c r="B127" s="123" t="s">
        <v>9</v>
      </c>
      <c r="C127" s="118">
        <v>1322</v>
      </c>
      <c r="D127" s="118" t="s">
        <v>85</v>
      </c>
      <c r="E127" s="11">
        <v>1998</v>
      </c>
      <c r="F127" s="11">
        <v>51009</v>
      </c>
      <c r="G127" s="11">
        <v>46821</v>
      </c>
      <c r="H127" s="119">
        <f>_xlfn.XLOOKUP(Table1[[#This Row],[Shipment Number]], 'pivot '!A:A,'pivot '!G:G, "NF")</f>
        <v>1.4116059642816055</v>
      </c>
      <c r="I127" s="120">
        <f>Table1[[#This Row],[Tiyaar/gaz]]/1.0936</f>
        <v>42813.643013899054</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8"/>
      <c r="P127"/>
      <c r="Q127"/>
    </row>
    <row r="128" spans="1:17" x14ac:dyDescent="0.3">
      <c r="A128" s="121">
        <v>46027</v>
      </c>
      <c r="B128" s="123" t="s">
        <v>9</v>
      </c>
      <c r="C128" s="118">
        <v>1323</v>
      </c>
      <c r="D128" s="118" t="s">
        <v>85</v>
      </c>
      <c r="E128" s="11">
        <v>1998</v>
      </c>
      <c r="F128" s="11">
        <v>51009</v>
      </c>
      <c r="G128" s="11">
        <v>8175</v>
      </c>
      <c r="H128" s="119">
        <f>_xlfn.XLOOKUP(Table1[[#This Row],[Shipment Number]], 'pivot '!A:A,'pivot '!G:G, "NF")</f>
        <v>1.4116059642816055</v>
      </c>
      <c r="I128" s="120">
        <f>Table1[[#This Row],[Tiyaar/gaz]]/1.0936</f>
        <v>7475.3108997805421</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8"/>
      <c r="P128"/>
      <c r="Q128"/>
    </row>
    <row r="129" spans="1:17" x14ac:dyDescent="0.3">
      <c r="A129" s="121">
        <v>46027</v>
      </c>
      <c r="B129" s="123" t="s">
        <v>27</v>
      </c>
      <c r="C129" s="118">
        <v>1324</v>
      </c>
      <c r="D129" s="118" t="s">
        <v>85</v>
      </c>
      <c r="E129" s="11">
        <v>1991</v>
      </c>
      <c r="F129" s="11">
        <v>25470</v>
      </c>
      <c r="G129" s="11">
        <v>13785</v>
      </c>
      <c r="H129" s="119">
        <f>_xlfn.XLOOKUP(Table1[[#This Row],[Shipment Number]], 'pivot '!A:A,'pivot '!G:G, "NF")</f>
        <v>0.64619821819435685</v>
      </c>
      <c r="I129" s="120">
        <f>Table1[[#This Row],[Tiyaar/gaz]]/1.0936</f>
        <v>12605.15727871251</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8"/>
      <c r="P129"/>
      <c r="Q129"/>
    </row>
    <row r="130" spans="1:17" x14ac:dyDescent="0.3">
      <c r="A130" s="121">
        <v>46028</v>
      </c>
      <c r="B130" s="123" t="s">
        <v>21</v>
      </c>
      <c r="C130" s="118">
        <v>1325</v>
      </c>
      <c r="D130" s="118" t="s">
        <v>86</v>
      </c>
      <c r="E130" s="11">
        <v>2008</v>
      </c>
      <c r="F130" s="11"/>
      <c r="G130" s="11">
        <v>39807</v>
      </c>
      <c r="H130" s="119">
        <f>_xlfn.XLOOKUP(Table1[[#This Row],[Shipment Number]], 'pivot '!A:A,'pivot '!G:G, "NF")</f>
        <v>1.3065122083183383</v>
      </c>
      <c r="I130" s="120">
        <f>Table1[[#This Row],[Tiyaar/gaz]]/1.0936</f>
        <v>36399.963423555237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8"/>
      <c r="P130"/>
      <c r="Q130"/>
    </row>
    <row r="131" spans="1:17" x14ac:dyDescent="0.3">
      <c r="A131" s="121">
        <v>46028</v>
      </c>
      <c r="B131" s="123" t="s">
        <v>21</v>
      </c>
      <c r="C131" s="118">
        <v>1326</v>
      </c>
      <c r="D131" s="118" t="s">
        <v>86</v>
      </c>
      <c r="E131" s="11">
        <v>2003</v>
      </c>
      <c r="F131" s="11">
        <v>12005</v>
      </c>
      <c r="G131" s="11">
        <v>3773</v>
      </c>
      <c r="H131" s="119">
        <f>_xlfn.XLOOKUP(Table1[[#This Row],[Shipment Number]], 'pivot '!A:A,'pivot '!G:G, "NF")</f>
        <v>-1.2821711996982401</v>
      </c>
      <c r="I131" s="120">
        <f>Table1[[#This Row],[Tiyaar/gaz]]/1.0936</f>
        <v>3450.0731528895394</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8"/>
      <c r="O131"/>
      <c r="P131"/>
      <c r="Q131"/>
    </row>
    <row r="132" spans="1:17" x14ac:dyDescent="0.3">
      <c r="A132" s="121">
        <v>46028</v>
      </c>
      <c r="B132" s="123" t="s">
        <v>27</v>
      </c>
      <c r="C132" s="118">
        <v>1327</v>
      </c>
      <c r="D132" s="118" t="s">
        <v>85</v>
      </c>
      <c r="E132" s="11">
        <v>1991</v>
      </c>
      <c r="F132" s="11">
        <v>25470</v>
      </c>
      <c r="G132" s="11">
        <v>6942</v>
      </c>
      <c r="H132" s="119">
        <f>_xlfn.XLOOKUP(Table1[[#This Row],[Shipment Number]], 'pivot '!A:A,'pivot '!G:G, "NF")</f>
        <v>0.64619821819435685</v>
      </c>
      <c r="I132" s="120">
        <f>Table1[[#This Row],[Tiyaar/gaz]]/1.0936</f>
        <v>6347.8419897585964</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8"/>
      <c r="M132"/>
      <c r="N132"/>
    </row>
    <row r="133" spans="1:17" x14ac:dyDescent="0.3">
      <c r="A133" s="121">
        <v>46028</v>
      </c>
      <c r="B133" s="123" t="s">
        <v>165</v>
      </c>
      <c r="C133" s="118">
        <v>1328</v>
      </c>
      <c r="D133" s="118" t="s">
        <v>86</v>
      </c>
      <c r="E133" s="11">
        <v>1999</v>
      </c>
      <c r="F133" s="11">
        <v>25064</v>
      </c>
      <c r="G133" s="11">
        <v>26532</v>
      </c>
      <c r="H133" s="119">
        <f>_xlfn.XLOOKUP(Table1[[#This Row],[Shipment Number]], 'pivot '!A:A,'pivot '!G:G, "NF")</f>
        <v>3.2031766052716364</v>
      </c>
      <c r="I133" s="120">
        <f>Table1[[#This Row],[Tiyaar/gaz]]/1.0936</f>
        <v>24261.155815654722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8"/>
    </row>
    <row r="134" spans="1:17" x14ac:dyDescent="0.3">
      <c r="A134" s="121">
        <v>46028</v>
      </c>
      <c r="B134" s="123" t="s">
        <v>27</v>
      </c>
      <c r="C134" s="118">
        <v>1329</v>
      </c>
      <c r="D134" s="118" t="s">
        <v>85</v>
      </c>
      <c r="E134" s="11">
        <v>1991</v>
      </c>
      <c r="F134" s="11">
        <v>25470</v>
      </c>
      <c r="G134" s="11">
        <v>6947</v>
      </c>
      <c r="H134" s="119">
        <f>_xlfn.XLOOKUP(Table1[[#This Row],[Shipment Number]], 'pivot '!A:A,'pivot '!G:G, "NF")</f>
        <v>0.64619821819435685</v>
      </c>
      <c r="I134" s="120">
        <f>Table1[[#This Row],[Tiyaar/gaz]]/1.0936</f>
        <v>6352.4140453547925</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8"/>
    </row>
    <row r="135" spans="1:17" x14ac:dyDescent="0.3">
      <c r="A135" s="121">
        <v>46031</v>
      </c>
      <c r="B135" s="123" t="s">
        <v>21</v>
      </c>
      <c r="C135" s="118">
        <v>1330</v>
      </c>
      <c r="D135" s="118" t="s">
        <v>86</v>
      </c>
      <c r="E135" s="11">
        <v>2008</v>
      </c>
      <c r="F135" s="11">
        <v>48429</v>
      </c>
      <c r="G135" s="11">
        <v>6455</v>
      </c>
      <c r="H135" s="119">
        <f>_xlfn.XLOOKUP(Table1[[#This Row],[Shipment Number]], 'pivot '!A:A,'pivot '!G:G, "NF")</f>
        <v>1.3065122083183383</v>
      </c>
      <c r="I135" s="120">
        <f>Table1[[#This Row],[Tiyaar/gaz]]/1.0936</f>
        <v>5902.5237746891007</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8"/>
    </row>
    <row r="136" spans="1:17" x14ac:dyDescent="0.3">
      <c r="A136" s="121">
        <v>46031</v>
      </c>
      <c r="B136" s="123" t="s">
        <v>21</v>
      </c>
      <c r="C136" s="118">
        <v>1331</v>
      </c>
      <c r="D136" s="118" t="s">
        <v>86</v>
      </c>
      <c r="E136" s="11">
        <v>2006</v>
      </c>
      <c r="F136" s="11"/>
      <c r="G136" s="11">
        <v>2740</v>
      </c>
      <c r="H136" s="119">
        <f>_xlfn.XLOOKUP(Table1[[#This Row],[Shipment Number]], 'pivot '!A:A,'pivot '!G:G, "NF")</f>
        <v>40.854885554165762</v>
      </c>
      <c r="I136" s="120">
        <f>Table1[[#This Row],[Tiyaar/gaz]]/1.0936</f>
        <v>2505.4864667154357</v>
      </c>
      <c r="J136" s="120"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8"/>
    </row>
    <row r="137" spans="1:17" x14ac:dyDescent="0.3">
      <c r="A137" s="121">
        <v>46031</v>
      </c>
      <c r="B137" s="123" t="s">
        <v>21</v>
      </c>
      <c r="C137" s="118">
        <v>1332</v>
      </c>
      <c r="D137" s="118" t="s">
        <v>86</v>
      </c>
      <c r="E137" s="11">
        <v>2002</v>
      </c>
      <c r="F137" s="11">
        <v>12052</v>
      </c>
      <c r="G137" s="11">
        <v>12842</v>
      </c>
      <c r="H137" s="119">
        <f>_xlfn.XLOOKUP(Table1[[#This Row],[Shipment Number]], 'pivot '!A:A,'pivot '!G:G, "NF")</f>
        <v>2.5649884395126605</v>
      </c>
      <c r="I137" s="120">
        <f>Table1[[#This Row],[Tiyaar/gaz]]/1.0936</f>
        <v>11742.867593269935</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8"/>
    </row>
    <row r="138" spans="1:17" x14ac:dyDescent="0.3">
      <c r="A138" s="121">
        <v>46031</v>
      </c>
      <c r="B138" s="123" t="s">
        <v>9</v>
      </c>
      <c r="C138" s="118">
        <v>1333</v>
      </c>
      <c r="D138" s="118" t="s">
        <v>86</v>
      </c>
      <c r="E138" s="11">
        <v>1948</v>
      </c>
      <c r="F138" s="11">
        <v>20882</v>
      </c>
      <c r="G138" s="11">
        <v>19077</v>
      </c>
      <c r="H138" s="119">
        <f>_xlfn.XLOOKUP(Table1[[#This Row],[Shipment Number]], 'pivot '!A:A,'pivot '!G:G, "NF")</f>
        <v>2.8356080605362024</v>
      </c>
      <c r="I138" s="120">
        <f>Table1[[#This Row],[Tiyaar/gaz]]/1.0936</f>
        <v>17444.22092172641</v>
      </c>
      <c r="J138" s="120"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8"/>
    </row>
    <row r="139" spans="1:17" x14ac:dyDescent="0.3">
      <c r="A139" s="121">
        <v>46031</v>
      </c>
      <c r="B139" s="123" t="s">
        <v>9</v>
      </c>
      <c r="C139" s="118">
        <v>1334</v>
      </c>
      <c r="D139" s="118" t="s">
        <v>86</v>
      </c>
      <c r="E139" s="11">
        <v>1947</v>
      </c>
      <c r="F139" s="11">
        <v>11427</v>
      </c>
      <c r="G139" s="11">
        <v>5970</v>
      </c>
      <c r="H139" s="119">
        <f>_xlfn.XLOOKUP(Table1[[#This Row],[Shipment Number]], 'pivot '!A:A,'pivot '!G:G, "NF")</f>
        <v>3.6215321596478134</v>
      </c>
      <c r="I139" s="120">
        <f>Table1[[#This Row],[Tiyaar/gaz]]/1.0936</f>
        <v>5459.0343818580841</v>
      </c>
      <c r="J139" s="120"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8"/>
    </row>
    <row r="140" spans="1:17" x14ac:dyDescent="0.3">
      <c r="A140" s="121">
        <v>46031</v>
      </c>
      <c r="B140" s="123" t="s">
        <v>9</v>
      </c>
      <c r="C140" s="118">
        <v>1335</v>
      </c>
      <c r="D140" s="118" t="s">
        <v>86</v>
      </c>
      <c r="E140" s="11">
        <v>1954</v>
      </c>
      <c r="F140" s="11">
        <v>10254</v>
      </c>
      <c r="G140" s="11">
        <v>6177</v>
      </c>
      <c r="H140" s="119">
        <f>_xlfn.XLOOKUP(Table1[[#This Row],[Shipment Number]], 'pivot '!A:A,'pivot '!G:G, "NF")</f>
        <v>1.7369209781855233</v>
      </c>
      <c r="I140" s="120">
        <f>Table1[[#This Row],[Tiyaar/gaz]]/1.0936</f>
        <v>5648.3174835406007</v>
      </c>
      <c r="J140" s="120"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8"/>
    </row>
    <row r="141" spans="1:17" x14ac:dyDescent="0.3">
      <c r="A141" s="121">
        <v>46031</v>
      </c>
      <c r="B141" s="123" t="s">
        <v>9</v>
      </c>
      <c r="C141" s="118">
        <v>1336</v>
      </c>
      <c r="D141" s="118" t="s">
        <v>86</v>
      </c>
      <c r="E141" s="11">
        <v>1969</v>
      </c>
      <c r="F141" s="11">
        <v>7371</v>
      </c>
      <c r="G141" s="11">
        <v>7883</v>
      </c>
      <c r="H141" s="119">
        <f>_xlfn.XLOOKUP(Table1[[#This Row],[Shipment Number]], 'pivot '!A:A,'pivot '!G:G, "NF")</f>
        <v>2.2072601687329723</v>
      </c>
      <c r="I141" s="120">
        <f>Table1[[#This Row],[Tiyaar/gaz]]/1.0936</f>
        <v>7208.3028529626927</v>
      </c>
      <c r="J141" s="120"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8"/>
    </row>
    <row r="142" spans="1:17" x14ac:dyDescent="0.3">
      <c r="A142" s="121">
        <v>46031</v>
      </c>
      <c r="B142" s="123" t="s">
        <v>22</v>
      </c>
      <c r="C142" s="118">
        <v>1337</v>
      </c>
      <c r="D142" s="118" t="s">
        <v>86</v>
      </c>
      <c r="E142" s="11">
        <v>1994</v>
      </c>
      <c r="F142" s="11">
        <v>45911</v>
      </c>
      <c r="G142" s="11">
        <v>2736</v>
      </c>
      <c r="H142" s="119">
        <f>_xlfn.XLOOKUP(Table1[[#This Row],[Shipment Number]], 'pivot '!A:A,'pivot '!G:G, "NF")</f>
        <v>2.924358102156134</v>
      </c>
      <c r="I142" s="120">
        <f>Table1[[#This Row],[Tiyaar/gaz]]/1.0936</f>
        <v>2501.8288222384786</v>
      </c>
      <c r="J142" s="120"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8"/>
    </row>
    <row r="143" spans="1:17" x14ac:dyDescent="0.3">
      <c r="A143" s="121">
        <v>46032</v>
      </c>
      <c r="B143" s="123" t="s">
        <v>22</v>
      </c>
      <c r="C143" s="118">
        <v>1338</v>
      </c>
      <c r="D143" s="118" t="s">
        <v>86</v>
      </c>
      <c r="E143" s="11">
        <v>1994</v>
      </c>
      <c r="F143" s="11">
        <v>45911</v>
      </c>
      <c r="G143" s="11">
        <v>28328</v>
      </c>
      <c r="H143" s="119">
        <f>_xlfn.XLOOKUP(Table1[[#This Row],[Shipment Number]], 'pivot '!A:A,'pivot '!G:G, "NF")</f>
        <v>2.924358102156134</v>
      </c>
      <c r="I143" s="120">
        <f>Table1[[#This Row],[Tiyaar/gaz]]/1.0936</f>
        <v>25903.438185808343</v>
      </c>
      <c r="J143" s="120"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8"/>
    </row>
    <row r="144" spans="1:17" x14ac:dyDescent="0.3">
      <c r="A144" s="121">
        <v>46032</v>
      </c>
      <c r="B144" s="123" t="s">
        <v>183</v>
      </c>
      <c r="C144" s="118">
        <v>1339</v>
      </c>
      <c r="D144" s="118" t="s">
        <v>211</v>
      </c>
      <c r="E144" s="11">
        <v>2011</v>
      </c>
      <c r="F144" s="11">
        <v>30098</v>
      </c>
      <c r="G144" s="11">
        <v>31138</v>
      </c>
      <c r="H144" s="119">
        <f>_xlfn.XLOOKUP(Table1[[#This Row],[Shipment Number]], 'pivot '!A:A,'pivot '!G:G, "NF")</f>
        <v>5.3992510104640843</v>
      </c>
      <c r="I144" s="120">
        <f>Table1[[#This Row],[Tiyaar/gaz]]/1.0936</f>
        <v>28472.933430870522</v>
      </c>
      <c r="J144" s="120"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8"/>
    </row>
    <row r="145" spans="1:11" x14ac:dyDescent="0.3">
      <c r="A145" s="121">
        <v>46032</v>
      </c>
      <c r="B145" s="123" t="s">
        <v>183</v>
      </c>
      <c r="C145" s="118">
        <v>1340</v>
      </c>
      <c r="D145" s="118" t="s">
        <v>211</v>
      </c>
      <c r="E145" s="11">
        <v>2010</v>
      </c>
      <c r="F145" s="11">
        <v>32275</v>
      </c>
      <c r="G145" s="11">
        <v>16568</v>
      </c>
      <c r="H145" s="119">
        <f>_xlfn.XLOOKUP(Table1[[#This Row],[Shipment Number]], 'pivot '!A:A,'pivot '!G:G, "NF")</f>
        <v>4.2921083841370802</v>
      </c>
      <c r="I145" s="120">
        <f>Table1[[#This Row],[Tiyaar/gaz]]/1.0936</f>
        <v>15149.963423555231</v>
      </c>
      <c r="J145" s="120"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8"/>
    </row>
    <row r="146" spans="1:11" x14ac:dyDescent="0.3">
      <c r="A146" s="121">
        <v>46032</v>
      </c>
      <c r="B146" s="123" t="s">
        <v>22</v>
      </c>
      <c r="C146" s="118">
        <v>1341</v>
      </c>
      <c r="D146" s="118" t="s">
        <v>86</v>
      </c>
      <c r="E146" s="11">
        <v>1994</v>
      </c>
      <c r="F146" s="11">
        <v>45911</v>
      </c>
      <c r="G146" s="11">
        <v>17676</v>
      </c>
      <c r="H146" s="119">
        <f>_xlfn.XLOOKUP(Table1[[#This Row],[Shipment Number]], 'pivot '!A:A,'pivot '!G:G, "NF")</f>
        <v>2.924358102156134</v>
      </c>
      <c r="I146" s="120">
        <f>Table1[[#This Row],[Tiyaar/gaz]]/1.0936</f>
        <v>16163.130943672277</v>
      </c>
      <c r="J146" s="120"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8"/>
    </row>
    <row r="147" spans="1:11" x14ac:dyDescent="0.3">
      <c r="A147" s="121">
        <v>46032</v>
      </c>
      <c r="B147" s="123" t="s">
        <v>183</v>
      </c>
      <c r="C147" s="118">
        <v>1342</v>
      </c>
      <c r="D147" s="118" t="s">
        <v>211</v>
      </c>
      <c r="E147" s="11">
        <v>2010</v>
      </c>
      <c r="F147" s="11">
        <v>32275</v>
      </c>
      <c r="G147" s="11">
        <v>12698</v>
      </c>
      <c r="H147" s="119">
        <f>_xlfn.XLOOKUP(Table1[[#This Row],[Shipment Number]], 'pivot '!A:A,'pivot '!G:G, "NF")</f>
        <v>4.2921083841370802</v>
      </c>
      <c r="I147" s="120">
        <f>Table1[[#This Row],[Tiyaar/gaz]]/1.0936</f>
        <v>11611.192392099489</v>
      </c>
      <c r="J147" s="120"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8"/>
    </row>
    <row r="148" spans="1:11" x14ac:dyDescent="0.3">
      <c r="A148" s="121">
        <v>46034</v>
      </c>
      <c r="B148" s="123" t="s">
        <v>21</v>
      </c>
      <c r="C148" s="118">
        <v>1343</v>
      </c>
      <c r="D148" s="118" t="s">
        <v>85</v>
      </c>
      <c r="E148" s="11">
        <v>2022</v>
      </c>
      <c r="F148" s="11">
        <v>44988</v>
      </c>
      <c r="G148" s="11">
        <v>19339</v>
      </c>
      <c r="H148" s="119">
        <f>_xlfn.XLOOKUP(Table1[[#This Row],[Shipment Number]], 'pivot '!A:A,'pivot '!G:G, "NF")</f>
        <v>4.1502508447509854</v>
      </c>
      <c r="I148" s="120">
        <f>Table1[[#This Row],[Tiyaar/gaz]]/1.0936</f>
        <v>17683.796634967082</v>
      </c>
      <c r="J148" s="120"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8"/>
    </row>
    <row r="149" spans="1:11" x14ac:dyDescent="0.3">
      <c r="A149" s="121">
        <v>46034</v>
      </c>
      <c r="B149" s="123" t="s">
        <v>21</v>
      </c>
      <c r="C149" s="118" t="s">
        <v>477</v>
      </c>
      <c r="D149" s="118" t="s">
        <v>85</v>
      </c>
      <c r="E149" s="11">
        <v>2027</v>
      </c>
      <c r="F149" s="11">
        <v>11450</v>
      </c>
      <c r="G149" s="11">
        <v>300</v>
      </c>
      <c r="H149" s="119">
        <f>_xlfn.XLOOKUP(Table1[[#This Row],[Shipment Number]], 'pivot '!A:A,'pivot '!G:G, "NF")</f>
        <v>1.3394326019109144</v>
      </c>
      <c r="I149" s="120">
        <f>Table1[[#This Row],[Tiyaar/gaz]]/1.0936</f>
        <v>274.32333577176303</v>
      </c>
      <c r="J149" s="120"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8"/>
    </row>
    <row r="150" spans="1:11" x14ac:dyDescent="0.3">
      <c r="A150" s="121">
        <v>46034</v>
      </c>
      <c r="B150" s="123" t="s">
        <v>21</v>
      </c>
      <c r="C150" s="118" t="s">
        <v>478</v>
      </c>
      <c r="D150" s="118" t="s">
        <v>85</v>
      </c>
      <c r="E150" s="11">
        <v>2028</v>
      </c>
      <c r="F150" s="11">
        <v>6629</v>
      </c>
      <c r="G150" s="11">
        <v>930</v>
      </c>
      <c r="H150" s="119">
        <f>_xlfn.XLOOKUP(Table1[[#This Row],[Shipment Number]], 'pivot '!A:A,'pivot '!G:G, "NF")</f>
        <v>5.1103622077760491</v>
      </c>
      <c r="I150" s="120">
        <f>Table1[[#This Row],[Tiyaar/gaz]]/1.0936</f>
        <v>850.4023408924653</v>
      </c>
      <c r="J150" s="120"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8"/>
    </row>
    <row r="151" spans="1:11" x14ac:dyDescent="0.3">
      <c r="A151" s="121">
        <v>46034</v>
      </c>
      <c r="B151" s="123" t="s">
        <v>21</v>
      </c>
      <c r="C151" s="118" t="s">
        <v>479</v>
      </c>
      <c r="D151" s="118" t="s">
        <v>85</v>
      </c>
      <c r="E151" s="11">
        <v>2029</v>
      </c>
      <c r="F151" s="11">
        <v>12001</v>
      </c>
      <c r="G151" s="11">
        <v>928</v>
      </c>
      <c r="H151" s="119">
        <f>_xlfn.XLOOKUP(Table1[[#This Row],[Shipment Number]], 'pivot '!A:A,'pivot '!G:G, "NF")</f>
        <v>1.7775707181680218</v>
      </c>
      <c r="I151" s="120">
        <f>Table1[[#This Row],[Tiyaar/gaz]]/1.0936</f>
        <v>848.57351865398687</v>
      </c>
      <c r="J151" s="120"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8"/>
    </row>
    <row r="152" spans="1:11" x14ac:dyDescent="0.3">
      <c r="A152" s="121">
        <v>46034</v>
      </c>
      <c r="B152" s="123" t="s">
        <v>436</v>
      </c>
      <c r="C152" s="118">
        <v>1345</v>
      </c>
      <c r="D152" s="118" t="s">
        <v>85</v>
      </c>
      <c r="E152" s="11" t="s">
        <v>480</v>
      </c>
      <c r="F152" s="11">
        <v>51307</v>
      </c>
      <c r="G152" s="11">
        <v>29817</v>
      </c>
      <c r="H152" s="119">
        <f>_xlfn.XLOOKUP(Table1[[#This Row],[Shipment Number]], 'pivot '!A:A,'pivot '!G:G, "NF")</f>
        <v>1.7543162764117</v>
      </c>
      <c r="I152" s="120">
        <f>Table1[[#This Row],[Tiyaar/gaz]]/1.0936</f>
        <v>27264.996342355524</v>
      </c>
      <c r="J152" s="120"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8"/>
    </row>
    <row r="153" spans="1:11" x14ac:dyDescent="0.3">
      <c r="A153" s="121">
        <v>46034</v>
      </c>
      <c r="B153" s="123" t="s">
        <v>21</v>
      </c>
      <c r="C153" s="118">
        <v>1346</v>
      </c>
      <c r="D153" s="118" t="s">
        <v>85</v>
      </c>
      <c r="E153" s="11">
        <v>2027</v>
      </c>
      <c r="F153" s="11">
        <v>11450</v>
      </c>
      <c r="G153" s="11">
        <f>12354-300</f>
        <v>12054</v>
      </c>
      <c r="H153" s="119">
        <f>_xlfn.XLOOKUP(Table1[[#This Row],[Shipment Number]], 'pivot '!A:A,'pivot '!G:G, "NF")</f>
        <v>1.3394326019109144</v>
      </c>
      <c r="I153" s="120">
        <f>Table1[[#This Row],[Tiyaar/gaz]]/1.0936</f>
        <v>11022.311631309438</v>
      </c>
      <c r="J153" s="120"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8"/>
    </row>
    <row r="154" spans="1:11" x14ac:dyDescent="0.3">
      <c r="A154" s="121">
        <v>46034</v>
      </c>
      <c r="B154" s="123" t="s">
        <v>21</v>
      </c>
      <c r="C154" s="118">
        <v>1347</v>
      </c>
      <c r="D154" s="118" t="s">
        <v>85</v>
      </c>
      <c r="E154" s="11">
        <v>2022</v>
      </c>
      <c r="F154" s="11">
        <v>44988</v>
      </c>
      <c r="G154" s="11">
        <v>20583</v>
      </c>
      <c r="H154" s="119">
        <f>_xlfn.XLOOKUP(Table1[[#This Row],[Shipment Number]], 'pivot '!A:A,'pivot '!G:G, "NF")</f>
        <v>4.1502508447509854</v>
      </c>
      <c r="I154" s="120">
        <f>Table1[[#This Row],[Tiyaar/gaz]]/1.0936</f>
        <v>18821.324067300658</v>
      </c>
      <c r="J154" s="120"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8"/>
    </row>
    <row r="155" spans="1:11" x14ac:dyDescent="0.3">
      <c r="A155" s="121">
        <v>46034</v>
      </c>
      <c r="B155" s="123" t="s">
        <v>21</v>
      </c>
      <c r="C155" s="118">
        <v>1348</v>
      </c>
      <c r="D155" s="118" t="s">
        <v>85</v>
      </c>
      <c r="E155" s="11" t="s">
        <v>562</v>
      </c>
      <c r="F155" s="11">
        <v>28441</v>
      </c>
      <c r="G155" s="11">
        <v>30546</v>
      </c>
      <c r="H155" s="119">
        <f>_xlfn.XLOOKUP(Table1[[#This Row],[Shipment Number]], 'pivot '!A:A,'pivot '!G:G, "NF")</f>
        <v>1.7910690612815756</v>
      </c>
      <c r="I155" s="120">
        <f>Table1[[#This Row],[Tiyaar/gaz]]/1.0936</f>
        <v>27931.602048280911</v>
      </c>
      <c r="J155" s="120"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8"/>
    </row>
    <row r="156" spans="1:11" x14ac:dyDescent="0.3">
      <c r="A156" s="121">
        <v>46034</v>
      </c>
      <c r="B156" s="123" t="s">
        <v>21</v>
      </c>
      <c r="C156" s="118">
        <v>1349</v>
      </c>
      <c r="D156" s="118" t="s">
        <v>85</v>
      </c>
      <c r="E156" s="11">
        <v>2029</v>
      </c>
      <c r="F156" s="11">
        <v>12001</v>
      </c>
      <c r="G156" s="11">
        <v>11963</v>
      </c>
      <c r="H156" s="119">
        <f>_xlfn.XLOOKUP(Table1[[#This Row],[Shipment Number]], 'pivot '!A:A,'pivot '!G:G, "NF")</f>
        <v>1.7775707181680218</v>
      </c>
      <c r="I156" s="120">
        <f>Table1[[#This Row],[Tiyaar/gaz]]/1.0936</f>
        <v>10939.100219458669</v>
      </c>
      <c r="J156" s="120"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8"/>
    </row>
    <row r="157" spans="1:11" x14ac:dyDescent="0.3">
      <c r="A157" s="121">
        <v>46034</v>
      </c>
      <c r="B157" s="123" t="s">
        <v>21</v>
      </c>
      <c r="C157" s="118">
        <v>1350</v>
      </c>
      <c r="D157" s="118" t="s">
        <v>85</v>
      </c>
      <c r="E157" s="11">
        <v>2028</v>
      </c>
      <c r="F157" s="11">
        <v>6629</v>
      </c>
      <c r="G157" s="11">
        <v>5949</v>
      </c>
      <c r="H157" s="119">
        <f>_xlfn.XLOOKUP(Table1[[#This Row],[Shipment Number]], 'pivot '!A:A,'pivot '!G:G, "NF")</f>
        <v>5.1103622077760491</v>
      </c>
      <c r="I157" s="120">
        <f>Table1[[#This Row],[Tiyaar/gaz]]/1.0936</f>
        <v>5439.8317483540604</v>
      </c>
      <c r="J157" s="120"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8"/>
    </row>
    <row r="158" spans="1:11" x14ac:dyDescent="0.3">
      <c r="A158" s="121">
        <v>46034</v>
      </c>
      <c r="B158" s="123" t="s">
        <v>21</v>
      </c>
      <c r="C158" s="118">
        <v>1351</v>
      </c>
      <c r="D158" s="118" t="s">
        <v>85</v>
      </c>
      <c r="E158" s="11">
        <v>2022</v>
      </c>
      <c r="F158" s="11">
        <v>44988</v>
      </c>
      <c r="G158" s="11">
        <v>7235</v>
      </c>
      <c r="H158" s="119">
        <f>_xlfn.XLOOKUP(Table1[[#This Row],[Shipment Number]], 'pivot '!A:A,'pivot '!G:G, "NF")</f>
        <v>4.1502508447509854</v>
      </c>
      <c r="I158" s="120">
        <f>Table1[[#This Row],[Tiyaar/gaz]]/1.0936</f>
        <v>6615.7644476956848</v>
      </c>
      <c r="J158" s="120"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8"/>
    </row>
    <row r="159" spans="1:11" x14ac:dyDescent="0.3">
      <c r="A159" s="121">
        <v>46035</v>
      </c>
      <c r="B159" s="123" t="s">
        <v>436</v>
      </c>
      <c r="C159" s="118">
        <v>1352</v>
      </c>
      <c r="D159" s="118" t="s">
        <v>85</v>
      </c>
      <c r="E159" s="11" t="s">
        <v>480</v>
      </c>
      <c r="F159" s="11">
        <v>51307</v>
      </c>
      <c r="G159" s="11">
        <v>25308</v>
      </c>
      <c r="H159" s="119">
        <f>_xlfn.XLOOKUP(Table1[[#This Row],[Shipment Number]], 'pivot '!A:A,'pivot '!G:G, "NF")</f>
        <v>1.7543162764117</v>
      </c>
      <c r="I159" s="120">
        <f>Table1[[#This Row],[Tiyaar/gaz]]/1.0936</f>
        <v>23141.916605705926</v>
      </c>
      <c r="J159" s="120"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231419.16605705925</v>
      </c>
      <c r="K159" s="118"/>
    </row>
    <row r="160" spans="1:11" x14ac:dyDescent="0.3">
      <c r="A160" s="125">
        <v>46035</v>
      </c>
      <c r="B160" s="123" t="s">
        <v>192</v>
      </c>
      <c r="C160" s="118">
        <v>1353</v>
      </c>
      <c r="D160" s="118" t="s">
        <v>85</v>
      </c>
      <c r="E160" s="11">
        <v>2018</v>
      </c>
      <c r="F160" s="11">
        <v>48184</v>
      </c>
      <c r="G160" s="11">
        <v>23397</v>
      </c>
      <c r="H160" s="119">
        <f>_xlfn.XLOOKUP(Table1[[#This Row],[Shipment Number]], 'pivot '!A:A,'pivot '!G:G, "NF")</f>
        <v>1.9053819660576892</v>
      </c>
      <c r="I160" s="120">
        <f>Table1[[#This Row],[Tiyaar/gaz]]/1.0936</f>
        <v>21394.476956839797</v>
      </c>
      <c r="J160" s="120"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213944.76956839795</v>
      </c>
      <c r="K160" s="118"/>
    </row>
    <row r="161" spans="1:12" x14ac:dyDescent="0.3">
      <c r="A161" s="121">
        <v>46036</v>
      </c>
      <c r="B161" s="123" t="s">
        <v>35</v>
      </c>
      <c r="C161" s="118">
        <v>1354</v>
      </c>
      <c r="D161" s="118" t="s">
        <v>86</v>
      </c>
      <c r="E161" s="11">
        <v>2030</v>
      </c>
      <c r="F161" s="11">
        <v>24735</v>
      </c>
      <c r="G161" s="11">
        <v>26408</v>
      </c>
      <c r="H161" s="119">
        <f>_xlfn.XLOOKUP(Table1[[#This Row],[Shipment Number]], 'pivot '!A:A,'pivot '!G:G, "NF")</f>
        <v>2.3740900065936614</v>
      </c>
      <c r="I161" s="120">
        <f>Table1[[#This Row],[Tiyaar/gaz]]/1.0936</f>
        <v>24147.768836869058</v>
      </c>
      <c r="J161" s="120"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313920.99487929774</v>
      </c>
      <c r="K161" s="118"/>
    </row>
    <row r="162" spans="1:12" x14ac:dyDescent="0.3">
      <c r="A162" s="121">
        <v>46036</v>
      </c>
      <c r="B162" s="123" t="s">
        <v>35</v>
      </c>
      <c r="C162" s="118">
        <v>1355</v>
      </c>
      <c r="D162" s="118" t="s">
        <v>86</v>
      </c>
      <c r="E162" s="11">
        <v>2037</v>
      </c>
      <c r="F162" s="11">
        <v>14961</v>
      </c>
      <c r="G162" s="11">
        <v>14290</v>
      </c>
      <c r="H162" s="119">
        <f>_xlfn.XLOOKUP(Table1[[#This Row],[Shipment Number]], 'pivot '!A:A,'pivot '!G:G, "NF")</f>
        <v>12.6600167506964</v>
      </c>
      <c r="I162" s="120">
        <f>Table1[[#This Row],[Tiyaar/gaz]]/1.0936</f>
        <v>13066.934893928312</v>
      </c>
      <c r="J162" s="120"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169870.15362106805</v>
      </c>
      <c r="K162" s="118"/>
    </row>
    <row r="163" spans="1:12" x14ac:dyDescent="0.3">
      <c r="A163" s="121">
        <v>46036</v>
      </c>
      <c r="B163" s="123" t="s">
        <v>192</v>
      </c>
      <c r="C163" s="118">
        <v>1356</v>
      </c>
      <c r="D163" s="118" t="s">
        <v>85</v>
      </c>
      <c r="E163" s="11">
        <v>2018</v>
      </c>
      <c r="F163" s="11">
        <v>23397</v>
      </c>
      <c r="G163" s="11">
        <v>6055</v>
      </c>
      <c r="H163" s="119">
        <f>_xlfn.XLOOKUP(Table1[[#This Row],[Shipment Number]], 'pivot '!A:A,'pivot '!G:G, "NF")</f>
        <v>1.9053819660576892</v>
      </c>
      <c r="I163" s="120">
        <f>Table1[[#This Row],[Tiyaar/gaz]]/1.0936</f>
        <v>5536.7593269934168</v>
      </c>
      <c r="J163" s="120"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55367.593269934165</v>
      </c>
      <c r="K163" s="118"/>
      <c r="L163"/>
    </row>
    <row r="164" spans="1:12" x14ac:dyDescent="0.3">
      <c r="A164" s="121">
        <v>46037</v>
      </c>
      <c r="B164" s="123" t="s">
        <v>151</v>
      </c>
      <c r="C164" s="118">
        <v>1357</v>
      </c>
      <c r="D164" s="118" t="s">
        <v>86</v>
      </c>
      <c r="E164" s="11">
        <v>2026</v>
      </c>
      <c r="F164" s="11">
        <v>70035</v>
      </c>
      <c r="G164" s="11">
        <v>48955</v>
      </c>
      <c r="H164" s="119">
        <f>_xlfn.XLOOKUP(Table1[[#This Row],[Shipment Number]], 'pivot '!A:A,'pivot '!G:G, "NF")</f>
        <v>12.373993795243663</v>
      </c>
      <c r="I164" s="120">
        <f>Table1[[#This Row],[Tiyaar/gaz]]/1.0936</f>
        <v>44764.996342355524</v>
      </c>
      <c r="J164" s="120"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581944.95245062176</v>
      </c>
      <c r="K164" s="118"/>
    </row>
    <row r="165" spans="1:12" x14ac:dyDescent="0.3">
      <c r="A165" s="121">
        <v>46038</v>
      </c>
      <c r="B165" s="123" t="s">
        <v>183</v>
      </c>
      <c r="C165" s="118">
        <v>1358</v>
      </c>
      <c r="D165" s="118" t="s">
        <v>211</v>
      </c>
      <c r="E165" s="11">
        <v>2016</v>
      </c>
      <c r="F165" s="11">
        <v>29033</v>
      </c>
      <c r="G165" s="11">
        <v>26454</v>
      </c>
      <c r="H165" s="119">
        <f>_xlfn.XLOOKUP(Table1[[#This Row],[Shipment Number]], 'pivot '!A:A,'pivot '!G:G, "NF")</f>
        <v>2.703860105611966</v>
      </c>
      <c r="I165" s="120">
        <f>Table1[[#This Row],[Tiyaar/gaz]]/1.0936</f>
        <v>24189.831748354063</v>
      </c>
      <c r="J165" s="120"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241898.31748354062</v>
      </c>
      <c r="K165" s="118"/>
    </row>
    <row r="166" spans="1:12" x14ac:dyDescent="0.3">
      <c r="A166" s="121">
        <v>46038</v>
      </c>
      <c r="B166" s="123" t="s">
        <v>183</v>
      </c>
      <c r="C166" s="118">
        <v>1359</v>
      </c>
      <c r="D166" s="118" t="s">
        <v>211</v>
      </c>
      <c r="E166" s="11">
        <v>2012</v>
      </c>
      <c r="F166" s="11">
        <v>28546</v>
      </c>
      <c r="G166" s="11">
        <v>2148</v>
      </c>
      <c r="H166" s="119">
        <f>_xlfn.XLOOKUP(Table1[[#This Row],[Shipment Number]], 'pivot '!A:A,'pivot '!G:G, "NF")</f>
        <v>51.639933205512669</v>
      </c>
      <c r="I166" s="120">
        <f>Table1[[#This Row],[Tiyaar/gaz]]/1.0936</f>
        <v>1964.1550841258231</v>
      </c>
      <c r="J166" s="120"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19641.550841258231</v>
      </c>
      <c r="K166" s="118"/>
    </row>
    <row r="167" spans="1:12" x14ac:dyDescent="0.3">
      <c r="A167" s="121">
        <v>46038</v>
      </c>
      <c r="B167" s="123" t="s">
        <v>151</v>
      </c>
      <c r="C167" s="118">
        <v>1360</v>
      </c>
      <c r="D167" s="118" t="s">
        <v>86</v>
      </c>
      <c r="E167" s="11">
        <v>2026</v>
      </c>
      <c r="F167" s="11">
        <v>70035</v>
      </c>
      <c r="G167" s="11">
        <v>18158</v>
      </c>
      <c r="H167" s="119">
        <f>_xlfn.XLOOKUP(Table1[[#This Row],[Shipment Number]], 'pivot '!A:A,'pivot '!G:G, "NF")</f>
        <v>12.373993795243663</v>
      </c>
      <c r="I167" s="120">
        <f>Table1[[#This Row],[Tiyaar/gaz]]/1.0936</f>
        <v>16603.877103145576</v>
      </c>
      <c r="J167" s="120"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215850.4023408925</v>
      </c>
      <c r="K167" s="118"/>
    </row>
    <row r="168" spans="1:12" x14ac:dyDescent="0.3">
      <c r="A168" s="121">
        <v>46039</v>
      </c>
      <c r="B168" s="123" t="s">
        <v>183</v>
      </c>
      <c r="C168" s="118">
        <v>1361</v>
      </c>
      <c r="D168" s="118" t="s">
        <v>211</v>
      </c>
      <c r="E168" s="11">
        <v>2014</v>
      </c>
      <c r="F168" s="11">
        <v>28559</v>
      </c>
      <c r="G168" s="11">
        <v>29748</v>
      </c>
      <c r="H168" s="119">
        <f>_xlfn.XLOOKUP(Table1[[#This Row],[Shipment Number]], 'pivot '!A:A,'pivot '!G:G, "NF")</f>
        <v>4.751910167974998</v>
      </c>
      <c r="I168" s="120">
        <f>Table1[[#This Row],[Tiyaar/gaz]]/1.0936</f>
        <v>27201.901975128021</v>
      </c>
      <c r="J168" s="120"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272019.0197512802</v>
      </c>
      <c r="K168" s="118"/>
    </row>
    <row r="169" spans="1:12" x14ac:dyDescent="0.3">
      <c r="A169" s="121">
        <v>46039</v>
      </c>
      <c r="B169" s="123" t="s">
        <v>183</v>
      </c>
      <c r="C169" s="118">
        <v>1362</v>
      </c>
      <c r="D169" s="118" t="s">
        <v>211</v>
      </c>
      <c r="E169" s="11">
        <v>2016</v>
      </c>
      <c r="F169" s="11">
        <v>29033</v>
      </c>
      <c r="G169" s="11">
        <v>4438</v>
      </c>
      <c r="H169" s="119">
        <f>_xlfn.XLOOKUP(Table1[[#This Row],[Shipment Number]], 'pivot '!A:A,'pivot '!G:G, "NF")</f>
        <v>2.703860105611966</v>
      </c>
      <c r="I169" s="120">
        <f>Table1[[#This Row],[Tiyaar/gaz]]/1.0936</f>
        <v>4058.1565471836143</v>
      </c>
      <c r="J169" s="120"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40581.56547183614</v>
      </c>
      <c r="K169" s="118"/>
    </row>
    <row r="170" spans="1:12" x14ac:dyDescent="0.3">
      <c r="A170" s="121">
        <v>46039</v>
      </c>
      <c r="B170" s="123" t="s">
        <v>183</v>
      </c>
      <c r="C170" s="118">
        <v>1363</v>
      </c>
      <c r="D170" s="118" t="s">
        <v>211</v>
      </c>
      <c r="E170" s="11">
        <v>2010</v>
      </c>
      <c r="F170" s="11">
        <v>32275</v>
      </c>
      <c r="G170" s="11">
        <v>4515</v>
      </c>
      <c r="H170" s="119">
        <f>_xlfn.XLOOKUP(Table1[[#This Row],[Shipment Number]], 'pivot '!A:A,'pivot '!G:G, "NF")</f>
        <v>4.2921083841370802</v>
      </c>
      <c r="I170" s="120">
        <f>Table1[[#This Row],[Tiyaar/gaz]]/1.0936</f>
        <v>4128.5662033650333</v>
      </c>
      <c r="J170" s="120"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41285.662033650333</v>
      </c>
      <c r="K170" s="118"/>
    </row>
    <row r="171" spans="1:12" x14ac:dyDescent="0.3">
      <c r="A171" s="121">
        <v>46039</v>
      </c>
      <c r="B171" s="123" t="s">
        <v>183</v>
      </c>
      <c r="C171" s="118">
        <v>1364</v>
      </c>
      <c r="D171" s="118" t="s">
        <v>211</v>
      </c>
      <c r="E171" s="11">
        <v>2013</v>
      </c>
      <c r="F171" s="11">
        <v>26975</v>
      </c>
      <c r="G171" s="11">
        <v>11059</v>
      </c>
      <c r="H171" s="119">
        <f>_xlfn.XLOOKUP(Table1[[#This Row],[Shipment Number]], 'pivot '!A:A,'pivot '!G:G, "NF")</f>
        <v>3.8029333020563456</v>
      </c>
      <c r="I171" s="120">
        <f>Table1[[#This Row],[Tiyaar/gaz]]/1.0936</f>
        <v>10112.472567666424</v>
      </c>
      <c r="J171" s="120"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101124.72567666424</v>
      </c>
      <c r="K171" s="118"/>
    </row>
    <row r="172" spans="1:12" x14ac:dyDescent="0.3">
      <c r="A172" s="121">
        <v>46039</v>
      </c>
      <c r="B172" s="123" t="s">
        <v>183</v>
      </c>
      <c r="C172" s="118">
        <v>1365</v>
      </c>
      <c r="D172" s="118" t="s">
        <v>211</v>
      </c>
      <c r="E172" s="11">
        <v>2013</v>
      </c>
      <c r="F172" s="11">
        <v>26975</v>
      </c>
      <c r="G172" s="11">
        <v>17319</v>
      </c>
      <c r="H172" s="119">
        <f>_xlfn.XLOOKUP(Table1[[#This Row],[Shipment Number]], 'pivot '!A:A,'pivot '!G:G, "NF")</f>
        <v>3.8029333020563456</v>
      </c>
      <c r="I172" s="120">
        <f>Table1[[#This Row],[Tiyaar/gaz]]/1.0936</f>
        <v>15836.686174103879</v>
      </c>
      <c r="J172" s="120"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158366.8617410388</v>
      </c>
      <c r="K172" s="118"/>
    </row>
    <row r="173" spans="1:12" x14ac:dyDescent="0.3">
      <c r="A173" s="121">
        <v>46039</v>
      </c>
      <c r="B173" s="123" t="s">
        <v>183</v>
      </c>
      <c r="C173" s="118">
        <v>1366</v>
      </c>
      <c r="D173" s="118" t="s">
        <v>211</v>
      </c>
      <c r="E173" s="11">
        <v>2012</v>
      </c>
      <c r="F173" s="11">
        <v>28546</v>
      </c>
      <c r="G173" s="11">
        <v>12949</v>
      </c>
      <c r="H173" s="119">
        <f>_xlfn.XLOOKUP(Table1[[#This Row],[Shipment Number]], 'pivot '!A:A,'pivot '!G:G, "NF")</f>
        <v>51.639933205512669</v>
      </c>
      <c r="I173" s="120">
        <f>Table1[[#This Row],[Tiyaar/gaz]]/1.0936</f>
        <v>11840.709583028531</v>
      </c>
      <c r="J173" s="120"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118407.09583028531</v>
      </c>
      <c r="K173" s="118"/>
    </row>
    <row r="174" spans="1:12" x14ac:dyDescent="0.3">
      <c r="A174" s="121">
        <v>46039</v>
      </c>
      <c r="B174" s="123" t="s">
        <v>178</v>
      </c>
      <c r="C174" s="118">
        <v>1367</v>
      </c>
      <c r="D174" s="118" t="s">
        <v>85</v>
      </c>
      <c r="E174" s="11">
        <v>2031</v>
      </c>
      <c r="F174" s="11">
        <v>36016</v>
      </c>
      <c r="G174" s="11">
        <v>17259</v>
      </c>
      <c r="H174" s="119">
        <f>_xlfn.XLOOKUP(Table1[[#This Row],[Shipment Number]], 'pivot '!A:A,'pivot '!G:G, "NF")</f>
        <v>1.7470127070241261</v>
      </c>
      <c r="I174" s="120">
        <f>Table1[[#This Row],[Tiyaar/gaz]]/1.0936</f>
        <v>15781.821506949525</v>
      </c>
      <c r="J174" s="120"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157818.21506949526</v>
      </c>
      <c r="K174" s="118"/>
    </row>
    <row r="175" spans="1:12" x14ac:dyDescent="0.3">
      <c r="A175" s="121">
        <v>46041</v>
      </c>
      <c r="B175" s="123" t="s">
        <v>178</v>
      </c>
      <c r="C175" s="118">
        <v>1368</v>
      </c>
      <c r="D175" s="118" t="s">
        <v>85</v>
      </c>
      <c r="E175" s="11">
        <v>2031</v>
      </c>
      <c r="F175" s="11">
        <v>36016</v>
      </c>
      <c r="G175" s="11">
        <v>21440</v>
      </c>
      <c r="H175" s="119">
        <f>_xlfn.XLOOKUP(Table1[[#This Row],[Shipment Number]], 'pivot '!A:A,'pivot '!G:G, "NF")</f>
        <v>1.7470127070241261</v>
      </c>
      <c r="I175" s="120">
        <f>Table1[[#This Row],[Tiyaar/gaz]]/1.0936</f>
        <v>19604.974396488662</v>
      </c>
      <c r="J175" s="120" cm="1">
        <f t="array" ref="J1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196049.74396488661</v>
      </c>
      <c r="K175" s="118"/>
    </row>
    <row r="176" spans="1:12" x14ac:dyDescent="0.3">
      <c r="A176" s="121">
        <v>46041</v>
      </c>
      <c r="B176" s="123" t="s">
        <v>25</v>
      </c>
      <c r="C176" s="118">
        <v>1369</v>
      </c>
      <c r="D176" s="118" t="s">
        <v>85</v>
      </c>
      <c r="E176" s="11">
        <v>2019</v>
      </c>
      <c r="F176" s="11">
        <v>52178</v>
      </c>
      <c r="G176" s="11">
        <v>24313</v>
      </c>
      <c r="H176" s="119">
        <f>_xlfn.XLOOKUP(Table1[[#This Row],[Shipment Number]], 'pivot '!A:A,'pivot '!G:G, "NF")</f>
        <v>0.57807578542899307</v>
      </c>
      <c r="I176" s="120">
        <f>Table1[[#This Row],[Tiyaar/gaz]]/1.0936</f>
        <v>22232.077542062914</v>
      </c>
      <c r="J176" s="120" cm="1">
        <f t="array" ref="J1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222320.77542062913</v>
      </c>
      <c r="K176" s="118"/>
    </row>
    <row r="177" spans="1:11" x14ac:dyDescent="0.3">
      <c r="A177" s="121">
        <v>46042</v>
      </c>
      <c r="B177" s="123" t="s">
        <v>25</v>
      </c>
      <c r="C177" s="118">
        <v>1370</v>
      </c>
      <c r="D177" s="118" t="s">
        <v>85</v>
      </c>
      <c r="E177" s="11">
        <v>2019</v>
      </c>
      <c r="F177" s="11">
        <v>52178</v>
      </c>
      <c r="G177" s="11">
        <v>32419</v>
      </c>
      <c r="H177" s="119">
        <f>_xlfn.XLOOKUP(Table1[[#This Row],[Shipment Number]], 'pivot '!A:A,'pivot '!G:G, "NF")</f>
        <v>0.57807578542899307</v>
      </c>
      <c r="I177" s="120">
        <f>Table1[[#This Row],[Tiyaar/gaz]]/1.0936</f>
        <v>29644.294074615951</v>
      </c>
      <c r="J177" s="120" cm="1">
        <f t="array" ref="J1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296442.94074615953</v>
      </c>
      <c r="K177" s="118"/>
    </row>
    <row r="178" spans="1:11" x14ac:dyDescent="0.3">
      <c r="A178" s="121">
        <v>46042</v>
      </c>
      <c r="B178" s="123" t="s">
        <v>21</v>
      </c>
      <c r="C178" s="118">
        <v>1371</v>
      </c>
      <c r="D178" s="118" t="s">
        <v>85</v>
      </c>
      <c r="E178" s="11" t="s">
        <v>561</v>
      </c>
      <c r="F178" s="11">
        <v>57352</v>
      </c>
      <c r="G178" s="11">
        <v>15219</v>
      </c>
      <c r="H178" s="119">
        <f>_xlfn.XLOOKUP(Table1[[#This Row],[Shipment Number]], 'pivot '!A:A,'pivot '!G:G, "NF")</f>
        <v>75.735069703407845</v>
      </c>
      <c r="I178" s="120">
        <f>Table1[[#This Row],[Tiyaar/gaz]]/1.0936</f>
        <v>13916.422823701538</v>
      </c>
      <c r="J178" s="120" cm="1">
        <f t="array" ref="J1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139164.22823701537</v>
      </c>
      <c r="K178" s="118"/>
    </row>
    <row r="179" spans="1:11" x14ac:dyDescent="0.3">
      <c r="A179" s="121">
        <v>46042</v>
      </c>
      <c r="B179" s="123" t="s">
        <v>192</v>
      </c>
      <c r="C179" s="118">
        <v>1372</v>
      </c>
      <c r="D179" s="118" t="s">
        <v>85</v>
      </c>
      <c r="E179" s="11">
        <v>2018</v>
      </c>
      <c r="F179" s="11">
        <v>23397</v>
      </c>
      <c r="G179" s="11">
        <v>22238</v>
      </c>
      <c r="H179" s="119">
        <f>_xlfn.XLOOKUP(Table1[[#This Row],[Shipment Number]], 'pivot '!A:A,'pivot '!G:G, "NF")</f>
        <v>1.9053819660576892</v>
      </c>
      <c r="I179" s="120">
        <f>Table1[[#This Row],[Tiyaar/gaz]]/1.0936</f>
        <v>20334.674469641552</v>
      </c>
      <c r="J179" s="120" cm="1">
        <f t="array" ref="J1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203346.74469641552</v>
      </c>
      <c r="K179" s="118"/>
    </row>
    <row r="180" spans="1:11" x14ac:dyDescent="0.3">
      <c r="A180" s="121">
        <v>46042</v>
      </c>
      <c r="B180" s="123" t="s">
        <v>35</v>
      </c>
      <c r="C180" s="118">
        <v>1373</v>
      </c>
      <c r="D180" s="118" t="s">
        <v>86</v>
      </c>
      <c r="E180" s="11">
        <v>2039</v>
      </c>
      <c r="F180" s="11">
        <v>31746</v>
      </c>
      <c r="G180" s="11">
        <v>18900</v>
      </c>
      <c r="H180" s="119">
        <f>_xlfn.XLOOKUP(Table1[[#This Row],[Shipment Number]], 'pivot '!A:A,'pivot '!G:G, "NF")</f>
        <v>45.560479576573208</v>
      </c>
      <c r="I180" s="120">
        <f>Table1[[#This Row],[Tiyaar/gaz]]/1.0936</f>
        <v>17282.370153621068</v>
      </c>
      <c r="J180" s="120" cm="1">
        <f t="array" ref="J1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224670.81199707388</v>
      </c>
      <c r="K180" s="118"/>
    </row>
    <row r="181" spans="1:11" x14ac:dyDescent="0.3">
      <c r="A181" s="134">
        <v>46042</v>
      </c>
      <c r="B181" s="135" t="s">
        <v>151</v>
      </c>
      <c r="C181" s="136">
        <v>1374</v>
      </c>
      <c r="D181" s="136" t="s">
        <v>86</v>
      </c>
      <c r="E181" s="137">
        <v>2023</v>
      </c>
      <c r="F181" s="137">
        <v>20503</v>
      </c>
      <c r="G181" s="137">
        <v>11000</v>
      </c>
      <c r="H181" s="138">
        <f>_xlfn.XLOOKUP(Table1[[#This Row],[Shipment Number]], 'pivot '!A:A,'pivot '!G:G, "NF")</f>
        <v>50.941216838358734</v>
      </c>
      <c r="I181" s="139">
        <f>Table1[[#This Row],[Tiyaar/gaz]]/1.0936</f>
        <v>10058.52231163131</v>
      </c>
      <c r="J181" s="139" cm="1">
        <f t="array" ref="J1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130760.79005120703</v>
      </c>
      <c r="K181" s="118"/>
    </row>
    <row r="182" spans="1:11" x14ac:dyDescent="0.3">
      <c r="A182" s="121"/>
      <c r="B182" s="123"/>
      <c r="C182" s="118"/>
      <c r="D182" s="118"/>
      <c r="E182" s="11"/>
      <c r="F182" s="11"/>
      <c r="G182" s="11"/>
      <c r="H182" s="119"/>
      <c r="I182" s="120"/>
      <c r="J182" s="120"/>
      <c r="K182" s="118"/>
    </row>
    <row r="183" spans="1:11" x14ac:dyDescent="0.3">
      <c r="A183" s="121"/>
      <c r="B183" s="123"/>
      <c r="C183" s="118"/>
      <c r="D183" s="118"/>
      <c r="E183" s="11"/>
      <c r="F183" s="11"/>
      <c r="G183" s="11"/>
      <c r="H183" s="119"/>
      <c r="I183" s="120"/>
      <c r="J183" s="120"/>
      <c r="K183" s="118"/>
    </row>
    <row r="184" spans="1:11" x14ac:dyDescent="0.3">
      <c r="A184" s="121"/>
      <c r="B184" s="123"/>
      <c r="C184" s="118"/>
      <c r="D184" s="118"/>
      <c r="E184" s="11"/>
      <c r="F184" s="11"/>
      <c r="G184" s="11"/>
      <c r="H184" s="119"/>
      <c r="I184" s="120"/>
      <c r="J184" s="120"/>
      <c r="K184" s="118"/>
    </row>
    <row r="185" spans="1:11" x14ac:dyDescent="0.3">
      <c r="A185" s="121"/>
      <c r="B185" s="123"/>
      <c r="C185" s="118"/>
      <c r="D185" s="118"/>
      <c r="E185" s="11"/>
      <c r="F185" s="11"/>
      <c r="G185" s="11"/>
      <c r="H185" s="119"/>
      <c r="I185" s="120"/>
      <c r="J185" s="120"/>
      <c r="K185" s="118"/>
    </row>
    <row r="186" spans="1:11" x14ac:dyDescent="0.3">
      <c r="A186" s="121"/>
      <c r="B186" s="123"/>
      <c r="C186" s="118"/>
      <c r="D186" s="118"/>
      <c r="E186" s="11"/>
      <c r="F186" s="11"/>
      <c r="G186" s="11"/>
      <c r="H186" s="119"/>
      <c r="I186" s="120"/>
      <c r="J186" s="120"/>
      <c r="K186" s="118"/>
    </row>
    <row r="187" spans="1:11" x14ac:dyDescent="0.3">
      <c r="A187" s="121"/>
      <c r="B187" s="123"/>
      <c r="C187" s="118"/>
      <c r="D187" s="118"/>
      <c r="E187" s="11"/>
      <c r="F187" s="11"/>
      <c r="G187" s="11"/>
      <c r="H187" s="119"/>
      <c r="I187" s="120"/>
      <c r="J187" s="120"/>
      <c r="K187" s="118"/>
    </row>
    <row r="188" spans="1:11" x14ac:dyDescent="0.3">
      <c r="A188" s="121"/>
      <c r="B188" s="123"/>
      <c r="C188" s="118"/>
      <c r="D188" s="118"/>
      <c r="E188" s="11"/>
      <c r="F188" s="11"/>
      <c r="G188" s="11"/>
      <c r="H188" s="119"/>
      <c r="I188" s="120"/>
      <c r="J188" s="120"/>
      <c r="K188" s="118"/>
    </row>
    <row r="189" spans="1:11" x14ac:dyDescent="0.3">
      <c r="A189" s="121"/>
      <c r="B189" s="123"/>
      <c r="C189" s="118"/>
      <c r="D189" s="118"/>
      <c r="E189" s="11"/>
      <c r="F189" s="11"/>
      <c r="G189" s="11"/>
      <c r="H189" s="119"/>
      <c r="I189" s="120"/>
      <c r="J189" s="120"/>
      <c r="K189" s="118"/>
    </row>
    <row r="190" spans="1:11" x14ac:dyDescent="0.3">
      <c r="A190" s="121"/>
      <c r="B190" s="123"/>
      <c r="C190" s="118"/>
      <c r="D190" s="118"/>
      <c r="E190" s="11"/>
      <c r="F190" s="11"/>
      <c r="G190" s="11"/>
      <c r="H190" s="119"/>
      <c r="I190" s="120"/>
      <c r="J190" s="120"/>
      <c r="K190" s="118"/>
    </row>
    <row r="191" spans="1:11" x14ac:dyDescent="0.3">
      <c r="A191" s="121"/>
      <c r="B191" s="123"/>
      <c r="C191" s="118"/>
      <c r="D191" s="118"/>
      <c r="E191" s="11"/>
      <c r="F191" s="11"/>
      <c r="G191" s="11"/>
      <c r="H191" s="119"/>
      <c r="I191" s="120"/>
      <c r="J191" s="120"/>
      <c r="K191" s="118"/>
    </row>
    <row r="192" spans="1:11" x14ac:dyDescent="0.3">
      <c r="A192" s="121"/>
      <c r="B192" s="123"/>
      <c r="C192" s="118"/>
      <c r="D192" s="118"/>
      <c r="E192" s="11"/>
      <c r="F192" s="11"/>
      <c r="G192" s="11"/>
      <c r="H192" s="119"/>
      <c r="I192" s="120"/>
      <c r="J192" s="120"/>
      <c r="K192" s="118"/>
    </row>
    <row r="193" spans="1:11" x14ac:dyDescent="0.3">
      <c r="A193" s="121"/>
      <c r="B193" s="123"/>
      <c r="C193" s="118"/>
      <c r="D193" s="118"/>
      <c r="E193" s="11"/>
      <c r="F193" s="11"/>
      <c r="G193" s="11"/>
      <c r="H193" s="119"/>
      <c r="I193" s="120"/>
      <c r="J193" s="120"/>
      <c r="K193" s="118"/>
    </row>
    <row r="194" spans="1:11" x14ac:dyDescent="0.3">
      <c r="A194" s="121"/>
      <c r="B194" s="123"/>
      <c r="C194" s="118"/>
      <c r="D194" s="118"/>
      <c r="E194" s="11"/>
      <c r="F194" s="11"/>
      <c r="G194" s="11"/>
      <c r="H194" s="119"/>
      <c r="I194" s="120"/>
      <c r="J194" s="120"/>
      <c r="K194" s="118"/>
    </row>
    <row r="195" spans="1:11" x14ac:dyDescent="0.3">
      <c r="A195" s="121"/>
      <c r="B195" s="123"/>
      <c r="C195" s="118"/>
      <c r="D195" s="118"/>
      <c r="E195" s="11"/>
      <c r="F195" s="11"/>
      <c r="G195" s="11"/>
      <c r="H195" s="119"/>
      <c r="I195" s="120"/>
      <c r="J195" s="120"/>
      <c r="K195" s="118"/>
    </row>
    <row r="196" spans="1:11" x14ac:dyDescent="0.3">
      <c r="A196" s="121"/>
      <c r="B196" s="123"/>
      <c r="C196" s="118"/>
      <c r="D196" s="118"/>
      <c r="E196" s="11"/>
      <c r="F196" s="11"/>
      <c r="G196" s="11"/>
      <c r="H196" s="119"/>
      <c r="I196" s="120"/>
      <c r="J196" s="120"/>
      <c r="K196" s="118"/>
    </row>
    <row r="197" spans="1:11" x14ac:dyDescent="0.3">
      <c r="A197" s="121"/>
      <c r="B197" s="123"/>
      <c r="C197" s="118"/>
      <c r="D197" s="118"/>
      <c r="E197" s="11"/>
      <c r="F197" s="11"/>
      <c r="G197" s="11"/>
      <c r="H197" s="119"/>
      <c r="I197" s="120"/>
      <c r="J197" s="120"/>
      <c r="K197" s="118"/>
    </row>
    <row r="198" spans="1:11" x14ac:dyDescent="0.3">
      <c r="A198" s="121"/>
      <c r="B198" s="123"/>
      <c r="C198" s="118"/>
      <c r="D198" s="118"/>
      <c r="E198" s="11"/>
      <c r="F198" s="11"/>
      <c r="G198" s="11"/>
      <c r="H198" s="119"/>
      <c r="I198" s="120"/>
      <c r="J198" s="120"/>
      <c r="K198" s="118"/>
    </row>
    <row r="199" spans="1:11" x14ac:dyDescent="0.3">
      <c r="A199" s="121"/>
      <c r="B199" s="123"/>
      <c r="C199" s="118"/>
      <c r="D199" s="118"/>
      <c r="E199" s="11"/>
      <c r="F199" s="11"/>
      <c r="G199" s="11"/>
      <c r="H199" s="119"/>
      <c r="I199" s="120"/>
      <c r="J199" s="120"/>
      <c r="K199" s="118"/>
    </row>
    <row r="200" spans="1:11" x14ac:dyDescent="0.3">
      <c r="A200" s="121"/>
      <c r="B200" s="123"/>
      <c r="C200" s="118"/>
      <c r="D200" s="118"/>
      <c r="E200" s="11"/>
      <c r="F200" s="11"/>
      <c r="G200" s="11"/>
      <c r="H200" s="119"/>
      <c r="I200" s="120"/>
      <c r="J200" s="120"/>
      <c r="K200" s="118"/>
    </row>
    <row r="201" spans="1:11" x14ac:dyDescent="0.3">
      <c r="A201" s="121"/>
      <c r="B201" s="123"/>
      <c r="C201" s="118"/>
      <c r="D201" s="118"/>
      <c r="E201" s="11"/>
      <c r="F201" s="11"/>
      <c r="G201" s="11"/>
      <c r="H201" s="119"/>
      <c r="I201" s="133"/>
      <c r="J201" s="120"/>
      <c r="K201" s="118"/>
    </row>
    <row r="202" spans="1:11" x14ac:dyDescent="0.3">
      <c r="A202"/>
      <c r="B202"/>
      <c r="C202"/>
      <c r="D202"/>
      <c r="E202" s="14"/>
      <c r="F202" s="14"/>
      <c r="G202" s="14"/>
      <c r="H202" s="42"/>
      <c r="I202" s="93" cm="1">
        <f t="array" aca="1" ref="I202" ca="1">SUMPRODUCT( SUBTOTAL(109, OFFSET(Table1[tiyar/meters], ROW(Table1[tiyar/meters])-MIN(ROW(Table1[tiyar/meters])), 0, 1)), --(Table1[Bill Number]&lt;&gt;"November Closing CF") )</f>
        <v>1754790.4923189464</v>
      </c>
      <c r="J202" s="42" cm="1">
        <f t="array" aca="1" ref="J202" ca="1">SUMPRODUCT( SUBTOTAL(109, OFFSET(Table1[billing], ROW(Table1[billing])-MIN(ROW(Table1[billing])), 0, 1)), --(Table1[Bill Number]&lt;&gt;"November Closing CF") )</f>
        <v>18749463.079736654</v>
      </c>
      <c r="K202" s="14">
        <f>SUMIFS(Table1[billing], Table1[Bill Number], "&lt;&gt;November Closing CF")</f>
        <v>18749463.079736654</v>
      </c>
    </row>
  </sheetData>
  <phoneticPr fontId="7" alignment="center"/>
  <conditionalFormatting sqref="H2:H202">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O233"/>
  <sheetViews>
    <sheetView tabSelected="1" topLeftCell="K2" zoomScale="118" zoomScaleNormal="90" workbookViewId="0">
      <selection activeCell="O5" sqref="O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15.21875" bestFit="1" customWidth="1"/>
    <col min="13" max="13" width="11.21875" bestFit="1" customWidth="1"/>
    <col min="14" max="14" width="11.109375" bestFit="1" customWidth="1"/>
    <col min="15" max="15" width="14.33203125" bestFit="1" customWidth="1"/>
    <col min="16" max="16" width="13.6640625" bestFit="1" customWidth="1"/>
  </cols>
  <sheetData>
    <row r="1" spans="1:15" x14ac:dyDescent="0.3">
      <c r="A1" s="8" t="s">
        <v>75</v>
      </c>
      <c r="B1" s="8" t="s">
        <v>2</v>
      </c>
      <c r="C1" s="8" t="s">
        <v>89</v>
      </c>
      <c r="D1" s="12" t="s">
        <v>90</v>
      </c>
      <c r="E1" s="12" t="s">
        <v>4</v>
      </c>
      <c r="F1" s="12" t="s">
        <v>91</v>
      </c>
      <c r="G1" s="12" t="s">
        <v>5</v>
      </c>
      <c r="H1" s="12" t="s">
        <v>92</v>
      </c>
      <c r="I1" s="13" t="s">
        <v>93</v>
      </c>
    </row>
    <row r="2" spans="1:15" x14ac:dyDescent="0.3">
      <c r="A2" s="84">
        <v>46008</v>
      </c>
      <c r="B2" s="81" t="s">
        <v>94</v>
      </c>
      <c r="C2" s="81" t="s">
        <v>95</v>
      </c>
      <c r="D2" s="82"/>
      <c r="E2" s="82"/>
      <c r="F2" s="82"/>
      <c r="G2" s="82">
        <f>D2*E2</f>
        <v>0</v>
      </c>
      <c r="H2" s="11"/>
      <c r="I2" s="83">
        <v>1546255</v>
      </c>
    </row>
    <row r="3" spans="1:15" x14ac:dyDescent="0.3">
      <c r="A3" s="84">
        <v>46008</v>
      </c>
      <c r="B3" s="81" t="s">
        <v>96</v>
      </c>
      <c r="C3" s="81" t="s">
        <v>95</v>
      </c>
      <c r="D3" s="82"/>
      <c r="E3" s="82"/>
      <c r="F3" s="82"/>
      <c r="G3" s="82">
        <f>D3*E3</f>
        <v>0</v>
      </c>
      <c r="H3" s="11">
        <v>0</v>
      </c>
      <c r="I3" s="83">
        <v>0</v>
      </c>
    </row>
    <row r="4" spans="1:15" x14ac:dyDescent="0.3">
      <c r="A4" s="84">
        <v>46008</v>
      </c>
      <c r="B4" s="81" t="s">
        <v>148</v>
      </c>
      <c r="C4" s="81" t="s">
        <v>95</v>
      </c>
      <c r="D4" s="11"/>
      <c r="E4" s="11"/>
      <c r="F4" s="11"/>
      <c r="G4" s="11">
        <f>D4*E4</f>
        <v>0</v>
      </c>
      <c r="H4" s="11">
        <v>0</v>
      </c>
      <c r="I4" s="86">
        <v>136060</v>
      </c>
    </row>
    <row r="5" spans="1:15" ht="15" thickBot="1" x14ac:dyDescent="0.35">
      <c r="A5" s="84">
        <v>46008</v>
      </c>
      <c r="B5" s="81" t="s">
        <v>168</v>
      </c>
      <c r="C5" s="81" t="s">
        <v>95</v>
      </c>
      <c r="D5" s="11"/>
      <c r="E5" s="11"/>
      <c r="F5" s="11"/>
      <c r="G5" s="11">
        <f t="shared" ref="G5:G6" si="0">D5*E5</f>
        <v>0</v>
      </c>
      <c r="H5" s="11"/>
      <c r="I5" s="86">
        <v>650823</v>
      </c>
    </row>
    <row r="6" spans="1:15" ht="15" thickTop="1" x14ac:dyDescent="0.3">
      <c r="A6" s="84">
        <v>46008</v>
      </c>
      <c r="B6" s="81" t="s">
        <v>171</v>
      </c>
      <c r="C6" s="81" t="s">
        <v>95</v>
      </c>
      <c r="D6" s="11"/>
      <c r="E6" s="11"/>
      <c r="F6" s="11"/>
      <c r="G6" s="11">
        <f t="shared" si="0"/>
        <v>0</v>
      </c>
      <c r="H6" s="11"/>
      <c r="I6" s="11">
        <v>97520</v>
      </c>
      <c r="K6" s="17">
        <f>SUM(Table3[Total])</f>
        <v>8739690</v>
      </c>
    </row>
    <row r="7" spans="1:15" x14ac:dyDescent="0.3">
      <c r="A7" s="84">
        <v>46008</v>
      </c>
      <c r="B7" s="81" t="s">
        <v>181</v>
      </c>
      <c r="C7" s="81" t="s">
        <v>95</v>
      </c>
      <c r="D7" s="11"/>
      <c r="E7" s="11"/>
      <c r="F7" s="11"/>
      <c r="G7" s="11">
        <f>D7*E7</f>
        <v>0</v>
      </c>
      <c r="H7" s="11"/>
      <c r="I7" s="11">
        <v>326400</v>
      </c>
    </row>
    <row r="8" spans="1:15" x14ac:dyDescent="0.3">
      <c r="A8" s="84">
        <v>46008</v>
      </c>
      <c r="B8" s="81" t="s">
        <v>199</v>
      </c>
      <c r="C8" s="81" t="s">
        <v>95</v>
      </c>
      <c r="D8" s="11"/>
      <c r="E8" s="11"/>
      <c r="F8" s="11"/>
      <c r="G8" s="11">
        <f t="shared" ref="G8:G12" si="1">D8*E8</f>
        <v>0</v>
      </c>
      <c r="H8" s="11"/>
      <c r="I8" s="11">
        <v>457410</v>
      </c>
      <c r="K8" s="11"/>
      <c r="L8" s="3" t="s">
        <v>98</v>
      </c>
      <c r="M8" t="s">
        <v>99</v>
      </c>
      <c r="N8" t="s">
        <v>100</v>
      </c>
      <c r="O8" t="s">
        <v>101</v>
      </c>
    </row>
    <row r="9" spans="1:15" x14ac:dyDescent="0.3">
      <c r="A9" s="84">
        <v>46008</v>
      </c>
      <c r="B9" s="81" t="s">
        <v>201</v>
      </c>
      <c r="C9" s="81" t="s">
        <v>95</v>
      </c>
      <c r="D9" s="11"/>
      <c r="E9" s="11"/>
      <c r="F9" s="11"/>
      <c r="G9" s="11">
        <f t="shared" si="1"/>
        <v>0</v>
      </c>
      <c r="H9" s="11"/>
      <c r="I9" s="11">
        <v>106960</v>
      </c>
      <c r="K9" s="11"/>
      <c r="L9" s="4" t="s">
        <v>96</v>
      </c>
      <c r="M9" s="14">
        <v>0</v>
      </c>
      <c r="N9" s="14">
        <v>0</v>
      </c>
      <c r="O9" s="14">
        <v>0</v>
      </c>
    </row>
    <row r="10" spans="1:15" ht="18" x14ac:dyDescent="0.35">
      <c r="A10" s="1">
        <v>46009</v>
      </c>
      <c r="B10" t="s">
        <v>94</v>
      </c>
      <c r="C10" t="s">
        <v>190</v>
      </c>
      <c r="D10" s="11">
        <v>250</v>
      </c>
      <c r="E10" s="11">
        <v>810</v>
      </c>
      <c r="F10" s="11">
        <v>53250</v>
      </c>
      <c r="G10" s="11">
        <f t="shared" si="1"/>
        <v>202500</v>
      </c>
      <c r="H10" s="11"/>
      <c r="I10" s="11">
        <f>(D10*E10)-Table3[[#This Row],[Paid]]</f>
        <v>202500</v>
      </c>
      <c r="K10" s="11"/>
      <c r="L10" s="141" t="s">
        <v>94</v>
      </c>
      <c r="M10" s="14">
        <v>917350</v>
      </c>
      <c r="N10" s="14">
        <v>1415115</v>
      </c>
      <c r="O10" s="14">
        <v>1048490</v>
      </c>
    </row>
    <row r="11" spans="1:15" x14ac:dyDescent="0.3">
      <c r="A11" s="1">
        <v>46008</v>
      </c>
      <c r="B11" t="s">
        <v>168</v>
      </c>
      <c r="C11">
        <v>9662</v>
      </c>
      <c r="D11" s="11">
        <v>140</v>
      </c>
      <c r="E11" s="11">
        <v>775</v>
      </c>
      <c r="F11" s="11"/>
      <c r="G11" s="11">
        <f t="shared" si="1"/>
        <v>108500</v>
      </c>
      <c r="H11" s="11"/>
      <c r="I11" s="11">
        <f>(D11*E11)-Table3[[#This Row],[Paid]]</f>
        <v>108500</v>
      </c>
      <c r="L11" s="4" t="s">
        <v>102</v>
      </c>
      <c r="M11" s="14">
        <v>0</v>
      </c>
      <c r="N11" s="14">
        <v>0</v>
      </c>
      <c r="O11" s="14">
        <v>0</v>
      </c>
    </row>
    <row r="12" spans="1:15" x14ac:dyDescent="0.3">
      <c r="A12" s="1">
        <v>46009</v>
      </c>
      <c r="B12" t="s">
        <v>168</v>
      </c>
      <c r="C12">
        <v>9662</v>
      </c>
      <c r="D12" s="11">
        <v>102</v>
      </c>
      <c r="E12" s="11">
        <v>775</v>
      </c>
      <c r="F12" s="11"/>
      <c r="G12" s="11">
        <f t="shared" si="1"/>
        <v>79050</v>
      </c>
      <c r="H12" s="11"/>
      <c r="I12" s="11">
        <f>(D12*E12)-Table3[[#This Row],[Paid]]</f>
        <v>79050</v>
      </c>
      <c r="K12" s="11"/>
      <c r="L12" s="4" t="s">
        <v>148</v>
      </c>
      <c r="M12" s="14">
        <v>0</v>
      </c>
      <c r="N12" s="14">
        <v>80000</v>
      </c>
      <c r="O12" s="14">
        <v>56060</v>
      </c>
    </row>
    <row r="13" spans="1:15" x14ac:dyDescent="0.3">
      <c r="A13" s="1">
        <v>46009</v>
      </c>
      <c r="B13" t="s">
        <v>168</v>
      </c>
      <c r="C13">
        <v>9662</v>
      </c>
      <c r="D13" s="11">
        <v>33</v>
      </c>
      <c r="E13" s="11">
        <v>580</v>
      </c>
      <c r="F13" s="11"/>
      <c r="G13" s="11">
        <f t="shared" ref="G13:G20" si="2">D13*E13</f>
        <v>19140</v>
      </c>
      <c r="H13" s="11"/>
      <c r="I13" s="11">
        <f>(D13*E13)-Table3[[#This Row],[Paid]]</f>
        <v>19140</v>
      </c>
      <c r="K13" s="11"/>
      <c r="L13" s="4" t="s">
        <v>168</v>
      </c>
      <c r="M13" s="14">
        <v>2572120</v>
      </c>
      <c r="N13" s="14">
        <v>2095595</v>
      </c>
      <c r="O13" s="14">
        <v>1127348</v>
      </c>
    </row>
    <row r="14" spans="1:15" x14ac:dyDescent="0.3">
      <c r="A14" s="1">
        <v>46010</v>
      </c>
      <c r="B14" t="s">
        <v>199</v>
      </c>
      <c r="C14" t="s">
        <v>239</v>
      </c>
      <c r="D14" s="11">
        <v>173</v>
      </c>
      <c r="E14" s="11">
        <v>810</v>
      </c>
      <c r="F14" s="11"/>
      <c r="G14" s="11">
        <f t="shared" si="2"/>
        <v>140130</v>
      </c>
      <c r="H14" s="11"/>
      <c r="I14" s="11">
        <f>(D14*E14)-Table3[[#This Row],[Paid]]</f>
        <v>140130</v>
      </c>
      <c r="K14" s="11"/>
      <c r="L14" s="4" t="s">
        <v>171</v>
      </c>
      <c r="M14" s="14">
        <v>0</v>
      </c>
      <c r="N14" s="14"/>
      <c r="O14" s="14">
        <v>97520</v>
      </c>
    </row>
    <row r="15" spans="1:15" x14ac:dyDescent="0.3">
      <c r="A15" s="1">
        <v>46010</v>
      </c>
      <c r="B15" t="s">
        <v>240</v>
      </c>
      <c r="C15" t="s">
        <v>241</v>
      </c>
      <c r="D15" s="11">
        <v>55</v>
      </c>
      <c r="E15" s="11">
        <v>720</v>
      </c>
      <c r="F15" s="11"/>
      <c r="G15" s="11">
        <f t="shared" si="2"/>
        <v>39600</v>
      </c>
      <c r="H15" s="11"/>
      <c r="I15" s="11">
        <f>(D15*E15)-Table3[[#This Row],[Paid]]</f>
        <v>39600</v>
      </c>
      <c r="K15" s="11"/>
      <c r="L15" s="4" t="s">
        <v>181</v>
      </c>
      <c r="M15" s="14">
        <v>0</v>
      </c>
      <c r="N15" s="14"/>
      <c r="O15" s="14">
        <v>326400</v>
      </c>
    </row>
    <row r="16" spans="1:15" x14ac:dyDescent="0.3">
      <c r="A16" s="1">
        <v>46010</v>
      </c>
      <c r="B16" t="s">
        <v>240</v>
      </c>
      <c r="C16" t="s">
        <v>242</v>
      </c>
      <c r="D16" s="11">
        <v>47</v>
      </c>
      <c r="E16" s="11">
        <v>580</v>
      </c>
      <c r="F16" s="11"/>
      <c r="G16" s="11">
        <f t="shared" si="2"/>
        <v>27260</v>
      </c>
      <c r="H16" s="11"/>
      <c r="I16" s="11">
        <f>(D16*E16)-Table3[[#This Row],[Paid]]</f>
        <v>27260</v>
      </c>
      <c r="K16" s="11"/>
      <c r="L16" s="4" t="s">
        <v>199</v>
      </c>
      <c r="M16" s="14">
        <v>3730560</v>
      </c>
      <c r="N16" s="14">
        <v>3270266</v>
      </c>
      <c r="O16" s="14">
        <v>917704</v>
      </c>
    </row>
    <row r="17" spans="1:15" x14ac:dyDescent="0.3">
      <c r="A17" s="1">
        <v>46010</v>
      </c>
      <c r="B17" t="s">
        <v>94</v>
      </c>
      <c r="D17" s="11"/>
      <c r="E17" s="11"/>
      <c r="F17" s="11"/>
      <c r="G17" s="11">
        <f t="shared" si="2"/>
        <v>0</v>
      </c>
      <c r="H17" s="11"/>
      <c r="I17" s="11">
        <f>(D17*E17)-Table3[[#This Row],[Paid]]</f>
        <v>0</v>
      </c>
      <c r="K17" s="11"/>
      <c r="L17" s="4" t="s">
        <v>201</v>
      </c>
      <c r="M17" s="14">
        <v>206400</v>
      </c>
      <c r="N17" s="14">
        <v>232000</v>
      </c>
      <c r="O17" s="14">
        <v>81360</v>
      </c>
    </row>
    <row r="18" spans="1:15" x14ac:dyDescent="0.3">
      <c r="A18" s="1">
        <v>46010</v>
      </c>
      <c r="B18" t="s">
        <v>168</v>
      </c>
      <c r="D18" s="11"/>
      <c r="E18" s="11"/>
      <c r="F18" s="11"/>
      <c r="G18" s="11">
        <f t="shared" si="2"/>
        <v>0</v>
      </c>
      <c r="H18" s="11"/>
      <c r="I18" s="11">
        <f>(D18*E18)-Table3[[#This Row],[Paid]]</f>
        <v>0</v>
      </c>
      <c r="L18" s="4" t="s">
        <v>240</v>
      </c>
      <c r="M18" s="14">
        <v>66860</v>
      </c>
      <c r="N18" s="14">
        <v>66850</v>
      </c>
      <c r="O18" s="14">
        <v>10</v>
      </c>
    </row>
    <row r="19" spans="1:15" x14ac:dyDescent="0.3">
      <c r="A19" s="1">
        <v>46010</v>
      </c>
      <c r="B19" t="s">
        <v>201</v>
      </c>
      <c r="D19" s="11"/>
      <c r="E19" s="11"/>
      <c r="F19" s="11"/>
      <c r="G19" s="11">
        <f t="shared" si="2"/>
        <v>0</v>
      </c>
      <c r="H19" s="11"/>
      <c r="I19" s="11">
        <f>(D19*E19)-Table3[[#This Row],[Paid]]</f>
        <v>0</v>
      </c>
      <c r="L19" s="4" t="s">
        <v>423</v>
      </c>
      <c r="M19" s="14">
        <v>1246400</v>
      </c>
      <c r="N19" s="14">
        <v>695284</v>
      </c>
      <c r="O19" s="14">
        <v>551116</v>
      </c>
    </row>
    <row r="20" spans="1:15" x14ac:dyDescent="0.3">
      <c r="A20" s="1">
        <v>46010</v>
      </c>
      <c r="B20" t="s">
        <v>148</v>
      </c>
      <c r="D20" s="11"/>
      <c r="E20" s="11"/>
      <c r="F20" s="11"/>
      <c r="G20" s="11">
        <f t="shared" si="2"/>
        <v>0</v>
      </c>
      <c r="H20" s="11"/>
      <c r="I20" s="11">
        <f>(D20*E20)-Table3[[#This Row],[Paid]]</f>
        <v>0</v>
      </c>
      <c r="L20" s="4" t="s">
        <v>28</v>
      </c>
      <c r="M20" s="14">
        <v>8739690</v>
      </c>
      <c r="N20" s="14">
        <v>7855110</v>
      </c>
      <c r="O20" s="14">
        <v>4206008</v>
      </c>
    </row>
    <row r="21" spans="1:15" x14ac:dyDescent="0.3">
      <c r="A21" s="1">
        <v>46011</v>
      </c>
      <c r="B21" t="s">
        <v>199</v>
      </c>
      <c r="C21">
        <v>2223</v>
      </c>
      <c r="D21" s="11">
        <v>174</v>
      </c>
      <c r="E21" s="11">
        <v>810</v>
      </c>
      <c r="F21" s="11"/>
      <c r="G21" s="11">
        <f t="shared" ref="G21:G24" si="3">D21*E21</f>
        <v>140940</v>
      </c>
      <c r="H21" s="11"/>
      <c r="I21" s="11">
        <f>(D21*E21)-Table3[[#This Row],[Paid]]</f>
        <v>140940</v>
      </c>
    </row>
    <row r="22" spans="1:15" x14ac:dyDescent="0.3">
      <c r="A22" s="1">
        <v>46011</v>
      </c>
      <c r="B22" t="s">
        <v>168</v>
      </c>
      <c r="C22">
        <v>9662</v>
      </c>
      <c r="D22" s="11">
        <v>100</v>
      </c>
      <c r="E22" s="11">
        <v>775</v>
      </c>
      <c r="F22" s="11"/>
      <c r="G22" s="11">
        <f>D22*E22</f>
        <v>77500</v>
      </c>
      <c r="H22" s="11"/>
      <c r="I22" s="11">
        <f>(D22*E22)-Table3[[#This Row],[Paid]]</f>
        <v>77500</v>
      </c>
    </row>
    <row r="23" spans="1:15" x14ac:dyDescent="0.3">
      <c r="A23" s="1">
        <v>46011</v>
      </c>
      <c r="B23" t="s">
        <v>168</v>
      </c>
      <c r="C23">
        <v>9662</v>
      </c>
      <c r="D23" s="11">
        <v>42</v>
      </c>
      <c r="E23" s="11">
        <v>580</v>
      </c>
      <c r="F23" s="11"/>
      <c r="G23" s="11">
        <f t="shared" si="3"/>
        <v>24360</v>
      </c>
      <c r="H23" s="11"/>
      <c r="I23" s="11">
        <f>(D23*E23)-Table3[[#This Row],[Paid]]</f>
        <v>24360</v>
      </c>
    </row>
    <row r="24" spans="1:15" x14ac:dyDescent="0.3">
      <c r="A24" s="1">
        <v>46013</v>
      </c>
      <c r="B24" t="s">
        <v>240</v>
      </c>
      <c r="D24" s="11"/>
      <c r="E24" s="11"/>
      <c r="F24" s="11"/>
      <c r="G24" s="11">
        <f t="shared" si="3"/>
        <v>0</v>
      </c>
      <c r="H24" s="11"/>
      <c r="I24" s="11">
        <f>(D24*E24)-Table3[[#This Row],[Paid]]</f>
        <v>0</v>
      </c>
    </row>
    <row r="25" spans="1:15" x14ac:dyDescent="0.3">
      <c r="A25" s="1">
        <v>46012</v>
      </c>
      <c r="B25" t="s">
        <v>199</v>
      </c>
      <c r="D25" s="11"/>
      <c r="E25" s="11"/>
      <c r="F25" s="11"/>
      <c r="G25" s="11">
        <f>D25*E25</f>
        <v>0</v>
      </c>
      <c r="H25" s="11"/>
      <c r="I25" s="11">
        <f>(D25*E25)-Table3[[#This Row],[Paid]]</f>
        <v>0</v>
      </c>
    </row>
    <row r="26" spans="1:15" x14ac:dyDescent="0.3">
      <c r="A26" s="1">
        <v>46012</v>
      </c>
      <c r="B26" t="s">
        <v>168</v>
      </c>
      <c r="C26">
        <v>9662</v>
      </c>
      <c r="D26" s="11">
        <v>144</v>
      </c>
      <c r="E26" s="11">
        <v>580</v>
      </c>
      <c r="F26" s="11"/>
      <c r="G26" s="11">
        <f>D26*E26</f>
        <v>83520</v>
      </c>
      <c r="H26" s="11"/>
      <c r="I26" s="11">
        <f>(D26*E26)-Table3[[#This Row],[Paid]]</f>
        <v>83520</v>
      </c>
    </row>
    <row r="27" spans="1:15" x14ac:dyDescent="0.3">
      <c r="A27" s="1">
        <v>46013</v>
      </c>
      <c r="B27" t="s">
        <v>168</v>
      </c>
      <c r="D27" s="11"/>
      <c r="E27" s="11"/>
      <c r="F27" s="11"/>
      <c r="G27" s="11">
        <f>D27*E27</f>
        <v>0</v>
      </c>
      <c r="H27" s="11"/>
      <c r="I27" s="11">
        <f>(D27*E27)-Table3[[#This Row],[Paid]]</f>
        <v>0</v>
      </c>
    </row>
    <row r="28" spans="1:15" x14ac:dyDescent="0.3">
      <c r="A28" s="1">
        <v>46014</v>
      </c>
      <c r="B28" t="s">
        <v>168</v>
      </c>
      <c r="C28">
        <v>9662</v>
      </c>
      <c r="D28" s="11">
        <v>109</v>
      </c>
      <c r="E28" s="11">
        <v>775</v>
      </c>
      <c r="F28" s="11"/>
      <c r="G28" s="11">
        <f t="shared" ref="G28:G30" si="4">D28*E28</f>
        <v>84475</v>
      </c>
      <c r="H28" s="11"/>
      <c r="I28" s="11">
        <f>(D28*E28)-Table3[[#This Row],[Paid]]</f>
        <v>84475</v>
      </c>
    </row>
    <row r="29" spans="1:15" x14ac:dyDescent="0.3">
      <c r="A29" s="1">
        <v>46014</v>
      </c>
      <c r="B29" t="s">
        <v>168</v>
      </c>
      <c r="C29">
        <v>9662</v>
      </c>
      <c r="D29" s="11">
        <v>25</v>
      </c>
      <c r="E29" s="11">
        <v>580</v>
      </c>
      <c r="F29" s="11"/>
      <c r="G29" s="11">
        <f t="shared" si="4"/>
        <v>14500</v>
      </c>
      <c r="H29" s="11"/>
      <c r="I29" s="11">
        <f>(D29*E29)-Table3[[#This Row],[Paid]]</f>
        <v>14500</v>
      </c>
      <c r="K29" s="14"/>
    </row>
    <row r="30" spans="1:15" x14ac:dyDescent="0.3">
      <c r="A30" s="1">
        <v>46014</v>
      </c>
      <c r="B30" t="s">
        <v>168</v>
      </c>
      <c r="C30">
        <v>9662</v>
      </c>
      <c r="D30" s="11">
        <v>119</v>
      </c>
      <c r="E30" s="11">
        <v>775</v>
      </c>
      <c r="F30" s="11"/>
      <c r="G30" s="11">
        <f t="shared" si="4"/>
        <v>92225</v>
      </c>
      <c r="H30" s="11"/>
      <c r="I30" s="11">
        <f>(D30*E30)-Table3[[#This Row],[Paid]]</f>
        <v>92225</v>
      </c>
    </row>
    <row r="31" spans="1:15" x14ac:dyDescent="0.3">
      <c r="A31" s="1">
        <v>46014</v>
      </c>
      <c r="B31" t="s">
        <v>199</v>
      </c>
      <c r="D31" s="11"/>
      <c r="E31" s="11"/>
      <c r="F31" s="11"/>
      <c r="G31" s="11">
        <f>D31*E31</f>
        <v>0</v>
      </c>
      <c r="H31" s="11"/>
      <c r="I31" s="11">
        <f>(D31*E31)-Table3[[#This Row],[Paid]]</f>
        <v>0</v>
      </c>
    </row>
    <row r="32" spans="1:15" x14ac:dyDescent="0.3">
      <c r="A32" s="1">
        <v>46015</v>
      </c>
      <c r="B32" t="s">
        <v>199</v>
      </c>
      <c r="C32" t="s">
        <v>296</v>
      </c>
      <c r="D32" s="11">
        <v>212</v>
      </c>
      <c r="E32" s="11">
        <v>810</v>
      </c>
      <c r="F32" s="11"/>
      <c r="G32" s="11">
        <f t="shared" ref="G32:G44" si="5">D32*E32</f>
        <v>171720</v>
      </c>
      <c r="H32" s="11"/>
      <c r="I32" s="11">
        <f>(D32*E32)-Table3[[#This Row],[Paid]]</f>
        <v>171720</v>
      </c>
    </row>
    <row r="33" spans="1:9" x14ac:dyDescent="0.3">
      <c r="A33" s="1">
        <v>46015</v>
      </c>
      <c r="B33" t="s">
        <v>168</v>
      </c>
      <c r="C33">
        <v>9662</v>
      </c>
      <c r="D33" s="11">
        <v>120</v>
      </c>
      <c r="E33" s="126">
        <v>775</v>
      </c>
      <c r="F33" s="11"/>
      <c r="G33" s="11">
        <f t="shared" si="5"/>
        <v>93000</v>
      </c>
      <c r="H33" s="11"/>
      <c r="I33" s="11">
        <f>(D33*E33)-Table3[[#This Row],[Paid]]</f>
        <v>93000</v>
      </c>
    </row>
    <row r="34" spans="1:9" x14ac:dyDescent="0.3">
      <c r="A34" s="1">
        <v>46015</v>
      </c>
      <c r="B34" t="s">
        <v>168</v>
      </c>
      <c r="C34">
        <v>9662</v>
      </c>
      <c r="D34" s="11">
        <v>115</v>
      </c>
      <c r="E34" s="11">
        <v>775</v>
      </c>
      <c r="F34" s="11"/>
      <c r="G34" s="11">
        <f t="shared" si="5"/>
        <v>89125</v>
      </c>
      <c r="H34" s="11"/>
      <c r="I34" s="11">
        <f>(D34*E34)-Table3[[#This Row],[Paid]]</f>
        <v>89125</v>
      </c>
    </row>
    <row r="35" spans="1:9" x14ac:dyDescent="0.3">
      <c r="A35" s="1">
        <v>46016</v>
      </c>
      <c r="B35" t="s">
        <v>168</v>
      </c>
      <c r="C35">
        <v>9662</v>
      </c>
      <c r="D35" s="11">
        <v>117</v>
      </c>
      <c r="E35" s="11">
        <v>775</v>
      </c>
      <c r="F35" s="11"/>
      <c r="G35" s="11">
        <f t="shared" si="5"/>
        <v>90675</v>
      </c>
      <c r="H35" s="11"/>
      <c r="I35" s="11">
        <f>(D35*E35)-Table3[[#This Row],[Paid]]</f>
        <v>90675</v>
      </c>
    </row>
    <row r="36" spans="1:9" x14ac:dyDescent="0.3">
      <c r="A36" s="1">
        <v>46016</v>
      </c>
      <c r="B36" t="s">
        <v>168</v>
      </c>
      <c r="C36">
        <v>9662</v>
      </c>
      <c r="D36" s="11">
        <v>28</v>
      </c>
      <c r="E36" s="11">
        <v>580</v>
      </c>
      <c r="F36" s="11"/>
      <c r="G36" s="11">
        <f t="shared" si="5"/>
        <v>16240</v>
      </c>
      <c r="H36" s="11"/>
      <c r="I36" s="11">
        <f>(D36*E36)-Table3[[#This Row],[Paid]]</f>
        <v>16240</v>
      </c>
    </row>
    <row r="37" spans="1:9" x14ac:dyDescent="0.3">
      <c r="A37" s="1">
        <v>46016</v>
      </c>
      <c r="B37" t="s">
        <v>199</v>
      </c>
      <c r="C37" t="s">
        <v>97</v>
      </c>
      <c r="D37" s="11">
        <v>161</v>
      </c>
      <c r="E37" s="11">
        <v>810</v>
      </c>
      <c r="F37" s="11"/>
      <c r="G37" s="11">
        <f t="shared" ref="G37:G38" si="6">D37*E37</f>
        <v>130410</v>
      </c>
      <c r="H37" s="11"/>
      <c r="I37" s="11">
        <f>(D37*E37)-Table3[[#This Row],[Paid]]</f>
        <v>130410</v>
      </c>
    </row>
    <row r="38" spans="1:9" x14ac:dyDescent="0.3">
      <c r="A38" s="1"/>
      <c r="D38" s="11"/>
      <c r="E38" s="11"/>
      <c r="F38" s="11"/>
      <c r="G38" s="11">
        <f t="shared" si="6"/>
        <v>0</v>
      </c>
      <c r="H38" s="11"/>
      <c r="I38" s="11">
        <f>(D38*E38)-Table3[[#This Row],[Paid]]</f>
        <v>0</v>
      </c>
    </row>
    <row r="39" spans="1:9" x14ac:dyDescent="0.3">
      <c r="A39" s="1">
        <v>46017</v>
      </c>
      <c r="B39" t="s">
        <v>168</v>
      </c>
      <c r="D39" s="11"/>
      <c r="E39" s="11"/>
      <c r="F39" s="11"/>
      <c r="G39" s="11">
        <f t="shared" si="5"/>
        <v>0</v>
      </c>
      <c r="H39" s="11"/>
      <c r="I39" s="11">
        <f>(D39*E39)-Table3[[#This Row],[Paid]]</f>
        <v>0</v>
      </c>
    </row>
    <row r="40" spans="1:9" x14ac:dyDescent="0.3">
      <c r="A40" s="1">
        <v>46017</v>
      </c>
      <c r="B40" t="s">
        <v>94</v>
      </c>
      <c r="D40" s="11"/>
      <c r="E40" s="11"/>
      <c r="F40" s="11"/>
      <c r="G40" s="11">
        <f t="shared" si="5"/>
        <v>0</v>
      </c>
      <c r="H40" s="11"/>
      <c r="I40" s="11">
        <f>(D40*E40)-Table3[[#This Row],[Paid]]</f>
        <v>0</v>
      </c>
    </row>
    <row r="41" spans="1:9" x14ac:dyDescent="0.3">
      <c r="A41" s="1">
        <v>46017</v>
      </c>
      <c r="B41" t="s">
        <v>199</v>
      </c>
      <c r="D41" s="11"/>
      <c r="E41" s="11"/>
      <c r="F41" s="11"/>
      <c r="G41" s="11">
        <f t="shared" si="5"/>
        <v>0</v>
      </c>
      <c r="H41" s="11"/>
      <c r="I41" s="11">
        <f>(D41*E41)-Table3[[#This Row],[Paid]]</f>
        <v>0</v>
      </c>
    </row>
    <row r="42" spans="1:9" x14ac:dyDescent="0.3">
      <c r="A42" s="1">
        <v>46018</v>
      </c>
      <c r="B42" t="s">
        <v>199</v>
      </c>
      <c r="D42" s="11">
        <v>252</v>
      </c>
      <c r="E42" s="11">
        <v>820</v>
      </c>
      <c r="F42" s="11"/>
      <c r="G42" s="11">
        <f t="shared" si="5"/>
        <v>206640</v>
      </c>
      <c r="H42" s="11"/>
      <c r="I42" s="11">
        <f>(D42*E42)-Table3[[#This Row],[Paid]]</f>
        <v>206640</v>
      </c>
    </row>
    <row r="43" spans="1:9" x14ac:dyDescent="0.3">
      <c r="A43" s="1">
        <v>46018</v>
      </c>
      <c r="B43" t="s">
        <v>199</v>
      </c>
      <c r="D43" s="11">
        <v>244</v>
      </c>
      <c r="E43" s="11">
        <v>850</v>
      </c>
      <c r="F43" s="11"/>
      <c r="G43" s="11">
        <f t="shared" si="5"/>
        <v>207400</v>
      </c>
      <c r="H43" s="11"/>
      <c r="I43" s="11">
        <f>(D43*E43)-Table3[[#This Row],[Paid]]</f>
        <v>207400</v>
      </c>
    </row>
    <row r="44" spans="1:9" x14ac:dyDescent="0.3">
      <c r="A44" s="1">
        <v>46018</v>
      </c>
      <c r="B44" t="s">
        <v>168</v>
      </c>
      <c r="C44" t="s">
        <v>333</v>
      </c>
      <c r="D44" s="11"/>
      <c r="E44" s="11"/>
      <c r="F44" s="11"/>
      <c r="G44" s="11">
        <f t="shared" si="5"/>
        <v>0</v>
      </c>
      <c r="H44" s="11"/>
      <c r="I44" s="11">
        <f>(D44*E44)-Table3[[#This Row],[Paid]]</f>
        <v>0</v>
      </c>
    </row>
    <row r="45" spans="1:9" x14ac:dyDescent="0.3">
      <c r="A45" s="1">
        <v>46018</v>
      </c>
      <c r="B45" t="s">
        <v>199</v>
      </c>
      <c r="C45" t="s">
        <v>296</v>
      </c>
      <c r="D45" s="11">
        <v>201</v>
      </c>
      <c r="E45" s="11">
        <v>820</v>
      </c>
      <c r="F45" s="11"/>
      <c r="G45" s="11">
        <f>D45*E45</f>
        <v>164820</v>
      </c>
      <c r="H45" s="11"/>
      <c r="I45" s="11">
        <f>(D45*E45)-Table3[[#This Row],[Paid]]</f>
        <v>164820</v>
      </c>
    </row>
    <row r="46" spans="1:9" x14ac:dyDescent="0.3">
      <c r="A46" s="1">
        <v>46018</v>
      </c>
      <c r="B46" t="s">
        <v>240</v>
      </c>
      <c r="D46" s="11"/>
      <c r="E46" s="11"/>
      <c r="F46" s="11"/>
      <c r="G46" s="11">
        <f t="shared" ref="G46:G47" si="7">D46*E46</f>
        <v>0</v>
      </c>
      <c r="H46" s="11"/>
      <c r="I46" s="11">
        <f>(D46*E46)-Table3[[#This Row],[Paid]]</f>
        <v>0</v>
      </c>
    </row>
    <row r="47" spans="1:9" x14ac:dyDescent="0.3">
      <c r="A47" s="1">
        <v>46018</v>
      </c>
      <c r="B47" t="s">
        <v>201</v>
      </c>
      <c r="D47" s="11"/>
      <c r="E47" s="11"/>
      <c r="F47" s="11"/>
      <c r="G47" s="11">
        <f t="shared" si="7"/>
        <v>0</v>
      </c>
      <c r="H47" s="11"/>
      <c r="I47" s="11">
        <f>(D47*E47)-Table3[[#This Row],[Paid]]</f>
        <v>0</v>
      </c>
    </row>
    <row r="48" spans="1:9" x14ac:dyDescent="0.3">
      <c r="A48" s="1">
        <v>46018</v>
      </c>
      <c r="B48" t="s">
        <v>168</v>
      </c>
      <c r="D48" s="11">
        <v>45</v>
      </c>
      <c r="E48" s="11">
        <v>580</v>
      </c>
      <c r="F48" s="11"/>
      <c r="G48" s="11">
        <f t="shared" ref="G48:G49" si="8">D48*E48</f>
        <v>26100</v>
      </c>
      <c r="H48" s="11"/>
      <c r="I48" s="11">
        <f>(D48*E48)-Table3[[#This Row],[Paid]]</f>
        <v>26100</v>
      </c>
    </row>
    <row r="49" spans="1:9" x14ac:dyDescent="0.3">
      <c r="A49" s="1">
        <v>46018</v>
      </c>
      <c r="B49" t="s">
        <v>168</v>
      </c>
      <c r="D49" s="11">
        <v>90</v>
      </c>
      <c r="E49" s="11">
        <v>775</v>
      </c>
      <c r="F49" s="11"/>
      <c r="G49" s="11">
        <f t="shared" si="8"/>
        <v>69750</v>
      </c>
      <c r="H49" s="11"/>
      <c r="I49" s="11">
        <f>(D49*E49)-Table3[[#This Row],[Paid]]</f>
        <v>69750</v>
      </c>
    </row>
    <row r="50" spans="1:9" x14ac:dyDescent="0.3">
      <c r="A50" s="1">
        <v>46018</v>
      </c>
      <c r="B50" t="s">
        <v>168</v>
      </c>
      <c r="C50" t="s">
        <v>333</v>
      </c>
      <c r="D50" s="11">
        <v>20</v>
      </c>
      <c r="E50" s="11">
        <v>580</v>
      </c>
      <c r="F50" s="11"/>
      <c r="G50" s="11">
        <f>D50*E50</f>
        <v>11600</v>
      </c>
      <c r="H50" s="11"/>
      <c r="I50" s="11">
        <f>(D50*E50)-Table3[[#This Row],[Paid]]</f>
        <v>11600</v>
      </c>
    </row>
    <row r="51" spans="1:9" x14ac:dyDescent="0.3">
      <c r="A51" s="1">
        <v>46018</v>
      </c>
      <c r="B51" t="s">
        <v>168</v>
      </c>
      <c r="C51" t="s">
        <v>333</v>
      </c>
      <c r="D51" s="11">
        <v>108</v>
      </c>
      <c r="E51" s="11">
        <v>775</v>
      </c>
      <c r="F51" s="11"/>
      <c r="G51" s="11">
        <f t="shared" ref="G51:G53" si="9">D51*E51</f>
        <v>83700</v>
      </c>
      <c r="H51" s="11"/>
      <c r="I51" s="11">
        <f>(D51*E51)-Table3[[#This Row],[Paid]]</f>
        <v>83700</v>
      </c>
    </row>
    <row r="52" spans="1:9" x14ac:dyDescent="0.3">
      <c r="A52" s="1">
        <v>46020</v>
      </c>
      <c r="B52" t="s">
        <v>168</v>
      </c>
      <c r="D52" s="11"/>
      <c r="E52" s="11"/>
      <c r="F52" s="11"/>
      <c r="G52" s="11">
        <f t="shared" si="9"/>
        <v>0</v>
      </c>
      <c r="H52" s="11"/>
      <c r="I52" s="11">
        <f>(D52*E52)-Table3[[#This Row],[Paid]]</f>
        <v>0</v>
      </c>
    </row>
    <row r="53" spans="1:9" x14ac:dyDescent="0.3">
      <c r="A53" s="1">
        <v>46019</v>
      </c>
      <c r="B53" t="s">
        <v>199</v>
      </c>
      <c r="D53" s="11"/>
      <c r="E53" s="11"/>
      <c r="F53" s="11"/>
      <c r="G53" s="11">
        <f t="shared" si="9"/>
        <v>0</v>
      </c>
      <c r="H53" s="11"/>
      <c r="I53" s="11">
        <f>(D53*E53)-Table3[[#This Row],[Paid]]</f>
        <v>0</v>
      </c>
    </row>
    <row r="54" spans="1:9" x14ac:dyDescent="0.3">
      <c r="A54" s="1">
        <v>46019</v>
      </c>
      <c r="B54" t="s">
        <v>168</v>
      </c>
      <c r="D54" s="11">
        <v>116</v>
      </c>
      <c r="E54" s="11">
        <v>775</v>
      </c>
      <c r="F54" s="11"/>
      <c r="G54" s="11">
        <f t="shared" ref="G54:G55" si="10">D54*E54</f>
        <v>89900</v>
      </c>
      <c r="H54" s="11"/>
      <c r="I54" s="11">
        <f>(D54*E54)-Table3[[#This Row],[Paid]]</f>
        <v>89900</v>
      </c>
    </row>
    <row r="55" spans="1:9" x14ac:dyDescent="0.3">
      <c r="A55" s="1">
        <v>46019</v>
      </c>
      <c r="B55" t="s">
        <v>168</v>
      </c>
      <c r="D55" s="11">
        <v>20</v>
      </c>
      <c r="E55" s="11">
        <v>580</v>
      </c>
      <c r="F55" s="11"/>
      <c r="G55" s="11">
        <f t="shared" si="10"/>
        <v>11600</v>
      </c>
      <c r="H55" s="11"/>
      <c r="I55" s="11">
        <f>(D55*E55)-Table3[[#This Row],[Paid]]</f>
        <v>11600</v>
      </c>
    </row>
    <row r="56" spans="1:9" x14ac:dyDescent="0.3">
      <c r="A56" s="1">
        <v>46020</v>
      </c>
      <c r="B56" t="s">
        <v>168</v>
      </c>
      <c r="D56" s="11">
        <v>90</v>
      </c>
      <c r="E56" s="11">
        <v>775</v>
      </c>
      <c r="F56" s="11"/>
      <c r="G56" s="11">
        <f t="shared" ref="G56:G62" si="11">D56*E56</f>
        <v>69750</v>
      </c>
      <c r="H56" s="11"/>
      <c r="I56" s="11">
        <f>(D56*E56)-Table3[[#This Row],[Paid]]</f>
        <v>69750</v>
      </c>
    </row>
    <row r="57" spans="1:9" x14ac:dyDescent="0.3">
      <c r="A57" s="1">
        <v>46020</v>
      </c>
      <c r="B57" t="s">
        <v>168</v>
      </c>
      <c r="D57" s="11">
        <v>58</v>
      </c>
      <c r="E57" s="11">
        <v>580</v>
      </c>
      <c r="F57" s="11"/>
      <c r="G57" s="11">
        <f t="shared" si="11"/>
        <v>33640</v>
      </c>
      <c r="H57" s="11"/>
      <c r="I57" s="11">
        <f>(D57*E57)-Table3[[#This Row],[Paid]]</f>
        <v>33640</v>
      </c>
    </row>
    <row r="58" spans="1:9" x14ac:dyDescent="0.3">
      <c r="A58" s="1">
        <v>46021</v>
      </c>
      <c r="B58" t="s">
        <v>168</v>
      </c>
      <c r="D58" s="11"/>
      <c r="E58" s="11"/>
      <c r="F58" s="11"/>
      <c r="G58" s="11">
        <f t="shared" si="11"/>
        <v>0</v>
      </c>
      <c r="H58" s="11"/>
      <c r="I58" s="11">
        <f>(D58*E58)-Table3[[#This Row],[Paid]]</f>
        <v>0</v>
      </c>
    </row>
    <row r="59" spans="1:9" x14ac:dyDescent="0.3">
      <c r="A59" s="1">
        <v>46021</v>
      </c>
      <c r="B59" t="s">
        <v>199</v>
      </c>
      <c r="D59" s="11"/>
      <c r="E59" s="11"/>
      <c r="F59" s="11"/>
      <c r="G59" s="11">
        <f t="shared" si="11"/>
        <v>0</v>
      </c>
      <c r="H59" s="11"/>
      <c r="I59" s="11">
        <f>(D59*E59)-Table3[[#This Row],[Paid]]</f>
        <v>0</v>
      </c>
    </row>
    <row r="60" spans="1:9" x14ac:dyDescent="0.3">
      <c r="A60" s="1">
        <v>46021</v>
      </c>
      <c r="B60" t="s">
        <v>240</v>
      </c>
      <c r="D60" s="11"/>
      <c r="E60" s="11"/>
      <c r="F60" s="11"/>
      <c r="G60" s="11">
        <f t="shared" si="11"/>
        <v>0</v>
      </c>
      <c r="H60" s="11"/>
      <c r="I60" s="11">
        <f>(D60*E60)-Table3[[#This Row],[Paid]]</f>
        <v>0</v>
      </c>
    </row>
    <row r="61" spans="1:9" x14ac:dyDescent="0.3">
      <c r="A61" s="1">
        <v>46021</v>
      </c>
      <c r="B61" t="s">
        <v>201</v>
      </c>
      <c r="D61" s="11"/>
      <c r="E61" s="11"/>
      <c r="F61" s="11"/>
      <c r="G61" s="11">
        <f t="shared" si="11"/>
        <v>0</v>
      </c>
      <c r="H61" s="11"/>
      <c r="I61" s="11">
        <f>(D61*E61)-Table3[[#This Row],[Paid]]</f>
        <v>0</v>
      </c>
    </row>
    <row r="62" spans="1:9" x14ac:dyDescent="0.3">
      <c r="A62" s="1">
        <v>46021</v>
      </c>
      <c r="B62" t="s">
        <v>94</v>
      </c>
      <c r="D62" s="11"/>
      <c r="E62" s="11"/>
      <c r="F62" s="11"/>
      <c r="G62" s="11">
        <f t="shared" si="11"/>
        <v>0</v>
      </c>
      <c r="H62" s="11"/>
      <c r="I62" s="11">
        <f>(D62*E62)-Table3[[#This Row],[Paid]]</f>
        <v>0</v>
      </c>
    </row>
    <row r="63" spans="1:9" x14ac:dyDescent="0.3">
      <c r="A63" s="1">
        <v>46022</v>
      </c>
      <c r="B63" t="s">
        <v>199</v>
      </c>
      <c r="D63" s="11">
        <v>193</v>
      </c>
      <c r="E63" s="11">
        <v>820</v>
      </c>
      <c r="F63" s="11"/>
      <c r="G63" s="11">
        <f t="shared" ref="G63:G82" si="12">D63*E63</f>
        <v>158260</v>
      </c>
      <c r="H63" s="11"/>
      <c r="I63" s="11">
        <f>(D63*E63)-Table3[[#This Row],[Paid]]</f>
        <v>158260</v>
      </c>
    </row>
    <row r="64" spans="1:9" x14ac:dyDescent="0.3">
      <c r="A64" s="1">
        <v>46022</v>
      </c>
      <c r="B64" t="s">
        <v>199</v>
      </c>
      <c r="D64" s="11">
        <v>185</v>
      </c>
      <c r="E64" s="11">
        <v>820</v>
      </c>
      <c r="F64" s="11"/>
      <c r="G64" s="11">
        <f t="shared" si="12"/>
        <v>151700</v>
      </c>
      <c r="H64" s="11"/>
      <c r="I64" s="11">
        <f>(D64*E64)-Table3[[#This Row],[Paid]]</f>
        <v>151700</v>
      </c>
    </row>
    <row r="65" spans="1:9" x14ac:dyDescent="0.3">
      <c r="A65" s="1">
        <v>46023</v>
      </c>
      <c r="B65" t="s">
        <v>199</v>
      </c>
      <c r="D65" s="11">
        <v>202</v>
      </c>
      <c r="E65" s="11">
        <v>820</v>
      </c>
      <c r="F65" s="11"/>
      <c r="G65" s="11">
        <f t="shared" si="12"/>
        <v>165640</v>
      </c>
      <c r="H65" s="11"/>
      <c r="I65" s="11">
        <f>(D65*E65)-Table3[[#This Row],[Paid]]</f>
        <v>165640</v>
      </c>
    </row>
    <row r="66" spans="1:9" x14ac:dyDescent="0.3">
      <c r="A66" s="1">
        <v>46023</v>
      </c>
      <c r="B66" t="s">
        <v>199</v>
      </c>
      <c r="D66" s="11">
        <v>228</v>
      </c>
      <c r="E66" s="11">
        <v>820</v>
      </c>
      <c r="F66" s="11"/>
      <c r="G66" s="11">
        <f t="shared" ref="G66:G67" si="13">D66*E66</f>
        <v>186960</v>
      </c>
      <c r="H66" s="11"/>
      <c r="I66" s="11">
        <f>(D66*E66)-Table3[[#This Row],[Paid]]</f>
        <v>186960</v>
      </c>
    </row>
    <row r="67" spans="1:9" x14ac:dyDescent="0.3">
      <c r="A67" s="1">
        <v>46024</v>
      </c>
      <c r="B67" t="s">
        <v>199</v>
      </c>
      <c r="D67" s="11">
        <v>229</v>
      </c>
      <c r="E67" s="11">
        <v>850</v>
      </c>
      <c r="F67" s="11"/>
      <c r="G67" s="11">
        <f t="shared" si="13"/>
        <v>194650</v>
      </c>
      <c r="H67" s="11"/>
      <c r="I67" s="11">
        <f>(D67*E67)-Table3[[#This Row],[Paid]]</f>
        <v>194650</v>
      </c>
    </row>
    <row r="68" spans="1:9" x14ac:dyDescent="0.3">
      <c r="A68" s="1">
        <v>46024</v>
      </c>
      <c r="B68" t="s">
        <v>199</v>
      </c>
      <c r="D68" s="11">
        <v>244</v>
      </c>
      <c r="E68" s="11">
        <v>850</v>
      </c>
      <c r="F68" s="11"/>
      <c r="G68" s="11">
        <f t="shared" ref="G68:G69" si="14">D68*E68</f>
        <v>207400</v>
      </c>
      <c r="H68" s="11"/>
      <c r="I68" s="11">
        <f>(D68*E68)-Table3[[#This Row],[Paid]]</f>
        <v>207400</v>
      </c>
    </row>
    <row r="69" spans="1:9" x14ac:dyDescent="0.3">
      <c r="A69" s="1">
        <v>46025</v>
      </c>
      <c r="B69" t="s">
        <v>199</v>
      </c>
      <c r="D69" s="11"/>
      <c r="E69" s="11"/>
      <c r="F69" s="11"/>
      <c r="G69" s="11">
        <f t="shared" si="14"/>
        <v>0</v>
      </c>
      <c r="H69" s="11"/>
      <c r="I69" s="11">
        <f>(D69*E69)-Table3[[#This Row],[Paid]]</f>
        <v>0</v>
      </c>
    </row>
    <row r="70" spans="1:9" x14ac:dyDescent="0.3">
      <c r="A70" s="1">
        <v>46027</v>
      </c>
      <c r="B70" t="s">
        <v>199</v>
      </c>
      <c r="D70" s="11"/>
      <c r="E70" s="11"/>
      <c r="F70" s="11"/>
      <c r="G70" s="11">
        <f t="shared" ref="G70:G78" si="15">D70*E70</f>
        <v>0</v>
      </c>
      <c r="H70" s="11"/>
      <c r="I70" s="11">
        <f>(D70*E70)-Table3[[#This Row],[Paid]]</f>
        <v>0</v>
      </c>
    </row>
    <row r="71" spans="1:9" x14ac:dyDescent="0.3">
      <c r="A71" s="1">
        <v>46026</v>
      </c>
      <c r="B71" t="s">
        <v>201</v>
      </c>
      <c r="D71" s="11">
        <v>125</v>
      </c>
      <c r="E71" s="11">
        <v>800</v>
      </c>
      <c r="F71" s="11"/>
      <c r="G71" s="11">
        <f t="shared" ref="G71:G74" si="16">D71*E71</f>
        <v>100000</v>
      </c>
      <c r="H71" s="11"/>
      <c r="I71" s="11">
        <f>(D71*E71)-Table3[[#This Row],[Paid]]</f>
        <v>100000</v>
      </c>
    </row>
    <row r="72" spans="1:9" x14ac:dyDescent="0.3">
      <c r="A72" s="1">
        <v>46022</v>
      </c>
      <c r="B72" t="s">
        <v>94</v>
      </c>
      <c r="D72" s="11"/>
      <c r="E72" s="11"/>
      <c r="F72" s="11"/>
      <c r="G72" s="11">
        <f>D72*E72</f>
        <v>0</v>
      </c>
      <c r="H72" s="11"/>
      <c r="I72" s="11">
        <f>(D72*E72)-Table3[[#This Row],[Paid]]</f>
        <v>0</v>
      </c>
    </row>
    <row r="73" spans="1:9" x14ac:dyDescent="0.3">
      <c r="A73" s="1">
        <v>46022</v>
      </c>
      <c r="B73" t="s">
        <v>168</v>
      </c>
      <c r="D73" s="11">
        <v>260</v>
      </c>
      <c r="E73" s="11">
        <v>775</v>
      </c>
      <c r="F73" s="11"/>
      <c r="G73" s="11">
        <f t="shared" si="16"/>
        <v>201500</v>
      </c>
      <c r="H73" s="11"/>
      <c r="I73" s="11">
        <f>(D73*E73)-Table3[[#This Row],[Paid]]</f>
        <v>201500</v>
      </c>
    </row>
    <row r="74" spans="1:9" x14ac:dyDescent="0.3">
      <c r="A74" s="1">
        <v>46022</v>
      </c>
      <c r="B74" t="s">
        <v>168</v>
      </c>
      <c r="D74" s="11">
        <v>135</v>
      </c>
      <c r="E74" s="11">
        <v>580</v>
      </c>
      <c r="F74" s="11"/>
      <c r="G74" s="11">
        <f t="shared" si="16"/>
        <v>78300</v>
      </c>
      <c r="H74" s="11"/>
      <c r="I74" s="11">
        <f>(D74*E74)-Table3[[#This Row],[Paid]]</f>
        <v>78300</v>
      </c>
    </row>
    <row r="75" spans="1:9" x14ac:dyDescent="0.3">
      <c r="A75" s="1">
        <v>46023</v>
      </c>
      <c r="B75" t="s">
        <v>168</v>
      </c>
      <c r="D75" s="11">
        <v>228</v>
      </c>
      <c r="E75" s="11">
        <v>830</v>
      </c>
      <c r="F75" s="11"/>
      <c r="G75" s="11">
        <f t="shared" ref="G75:G77" si="17">D75*E75</f>
        <v>189240</v>
      </c>
      <c r="H75" s="11"/>
      <c r="I75" s="11">
        <f>(D75*E75)-Table3[[#This Row],[Paid]]</f>
        <v>189240</v>
      </c>
    </row>
    <row r="76" spans="1:9" x14ac:dyDescent="0.3">
      <c r="A76" s="1">
        <v>46025</v>
      </c>
      <c r="B76" t="s">
        <v>168</v>
      </c>
      <c r="D76" s="11">
        <v>30</v>
      </c>
      <c r="E76" s="11">
        <v>580</v>
      </c>
      <c r="F76" s="11"/>
      <c r="G76" s="11">
        <f t="shared" si="17"/>
        <v>17400</v>
      </c>
      <c r="H76" s="11"/>
      <c r="I76" s="11">
        <f>(D76*E76)-Table3[[#This Row],[Paid]]</f>
        <v>17400</v>
      </c>
    </row>
    <row r="77" spans="1:9" x14ac:dyDescent="0.3">
      <c r="A77" s="1">
        <v>46025</v>
      </c>
      <c r="B77" t="s">
        <v>168</v>
      </c>
      <c r="D77" s="11">
        <v>106</v>
      </c>
      <c r="E77" s="11">
        <v>775</v>
      </c>
      <c r="F77" s="11"/>
      <c r="G77" s="11">
        <f t="shared" si="17"/>
        <v>82150</v>
      </c>
      <c r="H77" s="11"/>
      <c r="I77" s="11">
        <f>(D77*E77)-Table3[[#This Row],[Paid]]</f>
        <v>82150</v>
      </c>
    </row>
    <row r="78" spans="1:9" x14ac:dyDescent="0.3">
      <c r="A78" s="1">
        <v>46026</v>
      </c>
      <c r="B78" t="s">
        <v>168</v>
      </c>
      <c r="D78" s="11">
        <v>190</v>
      </c>
      <c r="E78" s="11">
        <v>775</v>
      </c>
      <c r="F78" s="11"/>
      <c r="G78" s="11">
        <f t="shared" si="15"/>
        <v>147250</v>
      </c>
      <c r="H78" s="11"/>
      <c r="I78" s="11">
        <f>(D78*E78)-Table3[[#This Row],[Paid]]</f>
        <v>147250</v>
      </c>
    </row>
    <row r="79" spans="1:9" x14ac:dyDescent="0.3">
      <c r="A79" s="1">
        <v>46026</v>
      </c>
      <c r="B79" t="s">
        <v>168</v>
      </c>
      <c r="D79" s="11">
        <v>35</v>
      </c>
      <c r="E79" s="11">
        <v>580</v>
      </c>
      <c r="F79" s="11"/>
      <c r="G79" s="11">
        <f t="shared" ref="G79:G80" si="18">D79*E79</f>
        <v>20300</v>
      </c>
      <c r="H79" s="11"/>
      <c r="I79" s="11">
        <f>(D79*E79)-Table3[[#This Row],[Paid]]</f>
        <v>20300</v>
      </c>
    </row>
    <row r="80" spans="1:9" x14ac:dyDescent="0.3">
      <c r="A80" s="1">
        <v>46027</v>
      </c>
      <c r="B80" t="s">
        <v>168</v>
      </c>
      <c r="D80" s="11"/>
      <c r="E80" s="11"/>
      <c r="F80" s="11"/>
      <c r="G80" s="11">
        <f t="shared" si="18"/>
        <v>0</v>
      </c>
      <c r="H80" s="11"/>
      <c r="I80" s="11">
        <f>(D80*E80)-Table3[[#This Row],[Paid]]</f>
        <v>0</v>
      </c>
    </row>
    <row r="81" spans="1:9" x14ac:dyDescent="0.3">
      <c r="A81" s="1">
        <v>46025</v>
      </c>
      <c r="B81" t="s">
        <v>94</v>
      </c>
      <c r="C81" t="s">
        <v>393</v>
      </c>
      <c r="D81" s="11">
        <v>319</v>
      </c>
      <c r="E81" s="11">
        <v>850</v>
      </c>
      <c r="F81" s="11">
        <v>60400</v>
      </c>
      <c r="G81" s="11">
        <f t="shared" si="12"/>
        <v>271150</v>
      </c>
      <c r="H81" s="11"/>
      <c r="I81" s="11">
        <f>(D81*E81)-Table3[[#This Row],[Paid]]</f>
        <v>271150</v>
      </c>
    </row>
    <row r="82" spans="1:9" x14ac:dyDescent="0.3">
      <c r="A82" s="1">
        <v>46027</v>
      </c>
      <c r="B82" t="s">
        <v>148</v>
      </c>
      <c r="D82" s="11"/>
      <c r="E82" s="11"/>
      <c r="F82" s="11"/>
      <c r="G82" s="11">
        <f t="shared" si="12"/>
        <v>0</v>
      </c>
      <c r="H82" s="11"/>
      <c r="I82" s="11">
        <f>(D82*E82)-Table3[[#This Row],[Paid]]</f>
        <v>0</v>
      </c>
    </row>
    <row r="83" spans="1:9" x14ac:dyDescent="0.3">
      <c r="A83" s="1">
        <v>46028</v>
      </c>
      <c r="B83" t="s">
        <v>199</v>
      </c>
      <c r="D83" s="11">
        <v>182</v>
      </c>
      <c r="E83" s="11">
        <v>820</v>
      </c>
      <c r="F83" s="11"/>
      <c r="G83" s="11">
        <f t="shared" ref="G83:G90" si="19">D83*E83</f>
        <v>149240</v>
      </c>
      <c r="H83" s="11"/>
      <c r="I83" s="11">
        <f>(D83*E83)-Table3[[#This Row],[Paid]]</f>
        <v>149240</v>
      </c>
    </row>
    <row r="84" spans="1:9" x14ac:dyDescent="0.3">
      <c r="A84" s="1">
        <v>46028</v>
      </c>
      <c r="B84" t="s">
        <v>423</v>
      </c>
      <c r="D84" s="11">
        <v>234</v>
      </c>
      <c r="E84" s="11">
        <v>820</v>
      </c>
      <c r="F84" s="11"/>
      <c r="G84" s="11">
        <f t="shared" si="19"/>
        <v>191880</v>
      </c>
      <c r="H84" s="11"/>
      <c r="I84" s="11">
        <f>(D84*E84)-Table3[[#This Row],[Paid]]</f>
        <v>191880</v>
      </c>
    </row>
    <row r="85" spans="1:9" x14ac:dyDescent="0.3">
      <c r="A85" s="1">
        <v>46029</v>
      </c>
      <c r="B85" t="s">
        <v>423</v>
      </c>
      <c r="D85" s="11">
        <v>216</v>
      </c>
      <c r="E85" s="11">
        <v>820</v>
      </c>
      <c r="F85" s="11"/>
      <c r="G85" s="11">
        <f t="shared" si="19"/>
        <v>177120</v>
      </c>
      <c r="H85" s="11"/>
      <c r="I85" s="11">
        <f>(D85*E85)-Table3[[#This Row],[Paid]]</f>
        <v>177120</v>
      </c>
    </row>
    <row r="86" spans="1:9" x14ac:dyDescent="0.3">
      <c r="A86" s="1">
        <v>46029</v>
      </c>
      <c r="B86" t="s">
        <v>199</v>
      </c>
      <c r="D86" s="11"/>
      <c r="E86" s="11"/>
      <c r="F86" s="11"/>
      <c r="G86" s="11">
        <f t="shared" si="19"/>
        <v>0</v>
      </c>
      <c r="H86" s="11"/>
      <c r="I86" s="11">
        <f>(D86*E86)-Table3[[#This Row],[Paid]]</f>
        <v>0</v>
      </c>
    </row>
    <row r="87" spans="1:9" x14ac:dyDescent="0.3">
      <c r="A87" s="1">
        <v>46030</v>
      </c>
      <c r="B87" t="s">
        <v>423</v>
      </c>
      <c r="D87" s="11"/>
      <c r="E87" s="11"/>
      <c r="F87" s="11"/>
      <c r="G87" s="11">
        <f t="shared" si="19"/>
        <v>0</v>
      </c>
      <c r="H87" s="11"/>
      <c r="I87" s="11">
        <f>(D87*E87)-Table3[[#This Row],[Paid]]</f>
        <v>0</v>
      </c>
    </row>
    <row r="88" spans="1:9" x14ac:dyDescent="0.3">
      <c r="A88" s="1">
        <v>46030</v>
      </c>
      <c r="B88" t="s">
        <v>199</v>
      </c>
      <c r="D88" s="11">
        <v>242</v>
      </c>
      <c r="E88" s="11">
        <v>820</v>
      </c>
      <c r="F88" s="11"/>
      <c r="G88" s="11">
        <f t="shared" si="19"/>
        <v>198440</v>
      </c>
      <c r="H88" s="11"/>
      <c r="I88" s="11">
        <f>(D88*E88)-Table3[[#This Row],[Paid]]</f>
        <v>198440</v>
      </c>
    </row>
    <row r="89" spans="1:9" x14ac:dyDescent="0.3">
      <c r="A89" s="1">
        <v>46030</v>
      </c>
      <c r="B89" t="s">
        <v>423</v>
      </c>
      <c r="D89" s="11"/>
      <c r="E89" s="11"/>
      <c r="F89" s="11"/>
      <c r="G89" s="11">
        <f t="shared" si="19"/>
        <v>0</v>
      </c>
      <c r="H89" s="11"/>
      <c r="I89" s="11">
        <f>(D89*E89)-Table3[[#This Row],[Paid]]</f>
        <v>0</v>
      </c>
    </row>
    <row r="90" spans="1:9" x14ac:dyDescent="0.3">
      <c r="A90" s="1">
        <v>46030</v>
      </c>
      <c r="B90" t="s">
        <v>168</v>
      </c>
      <c r="D90" s="11"/>
      <c r="E90" s="11"/>
      <c r="F90" s="11"/>
      <c r="G90" s="11">
        <f t="shared" si="19"/>
        <v>0</v>
      </c>
      <c r="H90" s="11"/>
      <c r="I90" s="11">
        <f>(D90*E90)-Table3[[#This Row],[Paid]]</f>
        <v>0</v>
      </c>
    </row>
    <row r="91" spans="1:9" x14ac:dyDescent="0.3">
      <c r="A91" s="1">
        <v>46031</v>
      </c>
      <c r="B91" t="s">
        <v>199</v>
      </c>
      <c r="D91" s="11">
        <v>205</v>
      </c>
      <c r="E91" s="11">
        <v>820</v>
      </c>
      <c r="F91" s="11"/>
      <c r="G91" s="11">
        <f t="shared" ref="G91:G98" si="20">D91*E91</f>
        <v>168100</v>
      </c>
      <c r="H91" s="11"/>
      <c r="I91" s="11">
        <f>(D91*E91)-Table3[[#This Row],[Paid]]</f>
        <v>168100</v>
      </c>
    </row>
    <row r="92" spans="1:9" x14ac:dyDescent="0.3">
      <c r="A92" s="1">
        <v>46031</v>
      </c>
      <c r="B92" t="s">
        <v>199</v>
      </c>
      <c r="D92" s="11">
        <v>260</v>
      </c>
      <c r="E92" s="11">
        <v>850</v>
      </c>
      <c r="F92" s="11"/>
      <c r="G92" s="11">
        <f t="shared" si="20"/>
        <v>221000</v>
      </c>
      <c r="H92" s="11"/>
      <c r="I92" s="11">
        <f>(D92*E92)-Table3[[#This Row],[Paid]]</f>
        <v>221000</v>
      </c>
    </row>
    <row r="93" spans="1:9" x14ac:dyDescent="0.3">
      <c r="A93" s="1">
        <v>46031</v>
      </c>
      <c r="B93" t="s">
        <v>201</v>
      </c>
      <c r="D93" s="11">
        <v>133</v>
      </c>
      <c r="E93" s="11">
        <v>800</v>
      </c>
      <c r="F93" s="11"/>
      <c r="G93" s="11">
        <f t="shared" si="20"/>
        <v>106400</v>
      </c>
      <c r="H93" s="11"/>
      <c r="I93" s="11">
        <f>(D93*E93)-Table3[[#This Row],[Paid]]</f>
        <v>106400</v>
      </c>
    </row>
    <row r="94" spans="1:9" x14ac:dyDescent="0.3">
      <c r="A94" s="1">
        <v>46032</v>
      </c>
      <c r="B94" t="s">
        <v>94</v>
      </c>
      <c r="D94" s="11"/>
      <c r="E94" s="11"/>
      <c r="F94" s="11"/>
      <c r="G94" s="11">
        <f t="shared" si="20"/>
        <v>0</v>
      </c>
      <c r="H94" s="11"/>
      <c r="I94" s="11">
        <f>(D94*E94)-Table3[[#This Row],[Paid]]</f>
        <v>0</v>
      </c>
    </row>
    <row r="95" spans="1:9" x14ac:dyDescent="0.3">
      <c r="A95" s="1">
        <v>46032</v>
      </c>
      <c r="B95" t="s">
        <v>199</v>
      </c>
      <c r="D95" s="11"/>
      <c r="E95" s="11"/>
      <c r="F95" s="11"/>
      <c r="G95" s="11">
        <f t="shared" si="20"/>
        <v>0</v>
      </c>
      <c r="H95" s="11"/>
      <c r="I95" s="11">
        <f>(D95*E95)-Table3[[#This Row],[Paid]]</f>
        <v>0</v>
      </c>
    </row>
    <row r="96" spans="1:9" x14ac:dyDescent="0.3">
      <c r="A96" s="1">
        <v>46034</v>
      </c>
      <c r="B96" t="s">
        <v>199</v>
      </c>
      <c r="C96" t="s">
        <v>481</v>
      </c>
      <c r="D96" s="11">
        <v>268</v>
      </c>
      <c r="E96" s="11">
        <v>850</v>
      </c>
      <c r="F96" s="11">
        <v>57000</v>
      </c>
      <c r="G96" s="11">
        <f t="shared" si="20"/>
        <v>227800</v>
      </c>
      <c r="H96" s="11"/>
      <c r="I96" s="11">
        <f>(D96*E96)-Table3[[#This Row],[Paid]]</f>
        <v>227800</v>
      </c>
    </row>
    <row r="97" spans="1:9" x14ac:dyDescent="0.3">
      <c r="A97" s="1">
        <v>46034</v>
      </c>
      <c r="B97" t="s">
        <v>168</v>
      </c>
      <c r="D97" s="11"/>
      <c r="E97" s="11"/>
      <c r="F97" s="11"/>
      <c r="G97" s="11">
        <f t="shared" si="20"/>
        <v>0</v>
      </c>
      <c r="H97" s="11"/>
      <c r="I97" s="11">
        <f>(D97*E97)-Table3[[#This Row],[Paid]]</f>
        <v>0</v>
      </c>
    </row>
    <row r="98" spans="1:9" x14ac:dyDescent="0.3">
      <c r="A98" s="1">
        <v>46034</v>
      </c>
      <c r="B98" t="s">
        <v>201</v>
      </c>
      <c r="D98" s="11"/>
      <c r="E98" s="11"/>
      <c r="F98" s="11"/>
      <c r="G98" s="11">
        <f t="shared" si="20"/>
        <v>0</v>
      </c>
      <c r="H98" s="11"/>
      <c r="I98" s="11">
        <f>(D98*E98)-Table3[[#This Row],[Paid]]</f>
        <v>0</v>
      </c>
    </row>
    <row r="99" spans="1:9" x14ac:dyDescent="0.3">
      <c r="A99" s="1">
        <v>46033</v>
      </c>
      <c r="B99" t="s">
        <v>423</v>
      </c>
      <c r="D99" s="11">
        <v>226</v>
      </c>
      <c r="E99" s="11">
        <v>820</v>
      </c>
      <c r="F99" s="11"/>
      <c r="G99" s="11">
        <f t="shared" ref="G99:G102" si="21">D99*E99</f>
        <v>185320</v>
      </c>
      <c r="H99" s="11"/>
      <c r="I99" s="11">
        <f>(D99*E99)-Table3[[#This Row],[Paid]]</f>
        <v>185320</v>
      </c>
    </row>
    <row r="100" spans="1:9" x14ac:dyDescent="0.3">
      <c r="A100" s="1">
        <v>46032</v>
      </c>
      <c r="B100" t="s">
        <v>168</v>
      </c>
      <c r="D100" s="11">
        <v>247</v>
      </c>
      <c r="E100" s="11">
        <v>580</v>
      </c>
      <c r="F100" s="11"/>
      <c r="G100" s="11">
        <f t="shared" si="21"/>
        <v>143260</v>
      </c>
      <c r="H100" s="11"/>
      <c r="I100" s="11">
        <f>(D100*E100)-Table3[[#This Row],[Paid]]</f>
        <v>143260</v>
      </c>
    </row>
    <row r="101" spans="1:9" x14ac:dyDescent="0.3">
      <c r="A101" s="1">
        <v>46034</v>
      </c>
      <c r="B101" t="s">
        <v>168</v>
      </c>
      <c r="D101" s="11">
        <v>138</v>
      </c>
      <c r="E101" s="11">
        <v>580</v>
      </c>
      <c r="F101" s="11"/>
      <c r="G101" s="11">
        <f t="shared" si="21"/>
        <v>80040</v>
      </c>
      <c r="H101" s="11"/>
      <c r="I101" s="11">
        <f>(D101*E101)-Table3[[#This Row],[Paid]]</f>
        <v>80040</v>
      </c>
    </row>
    <row r="102" spans="1:9" x14ac:dyDescent="0.3">
      <c r="A102" s="1">
        <v>46035</v>
      </c>
      <c r="B102" t="s">
        <v>423</v>
      </c>
      <c r="D102" s="11">
        <v>194</v>
      </c>
      <c r="E102" s="11">
        <v>820</v>
      </c>
      <c r="F102" s="11">
        <v>31500</v>
      </c>
      <c r="G102" s="11">
        <f t="shared" si="21"/>
        <v>159080</v>
      </c>
      <c r="H102" s="11"/>
      <c r="I102" s="11">
        <f>(D102*E102)-Table3[[#This Row],[Paid]]</f>
        <v>159080</v>
      </c>
    </row>
    <row r="103" spans="1:9" x14ac:dyDescent="0.3">
      <c r="A103" s="1">
        <v>46036</v>
      </c>
      <c r="B103" t="s">
        <v>168</v>
      </c>
      <c r="D103" s="11">
        <v>262</v>
      </c>
      <c r="E103" s="11">
        <v>825</v>
      </c>
      <c r="F103" s="11">
        <v>75000</v>
      </c>
      <c r="G103" s="11">
        <f t="shared" ref="G103:G111" si="22">D103*E103</f>
        <v>216150</v>
      </c>
      <c r="H103" s="11"/>
      <c r="I103" s="11">
        <f>(D103*E103)-Table3[[#This Row],[Paid]]</f>
        <v>216150</v>
      </c>
    </row>
    <row r="104" spans="1:9" x14ac:dyDescent="0.3">
      <c r="A104" s="1">
        <v>46036</v>
      </c>
      <c r="B104" t="s">
        <v>199</v>
      </c>
      <c r="D104" s="11">
        <v>209</v>
      </c>
      <c r="E104" s="11">
        <v>850</v>
      </c>
      <c r="F104" s="11">
        <v>48000</v>
      </c>
      <c r="G104" s="11">
        <f t="shared" si="22"/>
        <v>177650</v>
      </c>
      <c r="H104" s="11"/>
      <c r="I104" s="11">
        <f>(D104*E104)-Table3[[#This Row],[Paid]]</f>
        <v>177650</v>
      </c>
    </row>
    <row r="105" spans="1:9" x14ac:dyDescent="0.3">
      <c r="A105" s="1">
        <v>46036</v>
      </c>
      <c r="B105" t="s">
        <v>94</v>
      </c>
      <c r="D105" s="11"/>
      <c r="E105" s="11"/>
      <c r="F105" s="11"/>
      <c r="G105" s="11">
        <f t="shared" si="22"/>
        <v>0</v>
      </c>
      <c r="H105" s="11"/>
      <c r="I105" s="11">
        <f>(D105*E105)-Table3[[#This Row],[Paid]]</f>
        <v>0</v>
      </c>
    </row>
    <row r="106" spans="1:9" x14ac:dyDescent="0.3">
      <c r="A106" s="1">
        <v>46036</v>
      </c>
      <c r="B106" t="s">
        <v>168</v>
      </c>
      <c r="D106" s="11">
        <v>80</v>
      </c>
      <c r="E106" s="11">
        <v>580</v>
      </c>
      <c r="F106" s="11"/>
      <c r="G106" s="11">
        <f>D106*E106</f>
        <v>46400</v>
      </c>
      <c r="H106" s="11"/>
      <c r="I106" s="11">
        <f>(D106*E106)-Table3[[#This Row],[Paid]]</f>
        <v>46400</v>
      </c>
    </row>
    <row r="107" spans="1:9" x14ac:dyDescent="0.3">
      <c r="A107" s="1">
        <v>46036</v>
      </c>
      <c r="B107" t="s">
        <v>423</v>
      </c>
      <c r="D107" s="11"/>
      <c r="E107" s="11"/>
      <c r="F107" s="11"/>
      <c r="G107" s="11">
        <f t="shared" si="22"/>
        <v>0</v>
      </c>
      <c r="H107" s="11"/>
      <c r="I107" s="11">
        <f>(D107*E107)-Table3[[#This Row],[Paid]]</f>
        <v>0</v>
      </c>
    </row>
    <row r="108" spans="1:9" x14ac:dyDescent="0.3">
      <c r="A108" s="1">
        <v>46037</v>
      </c>
      <c r="B108" t="s">
        <v>94</v>
      </c>
      <c r="C108" t="s">
        <v>518</v>
      </c>
      <c r="D108" s="11">
        <v>522</v>
      </c>
      <c r="E108" s="11">
        <v>850</v>
      </c>
      <c r="F108" s="11">
        <v>95200</v>
      </c>
      <c r="G108" s="11">
        <f t="shared" si="22"/>
        <v>443700</v>
      </c>
      <c r="H108" s="11"/>
      <c r="I108" s="11">
        <f>(D108*E108)-Table3[[#This Row],[Paid]]</f>
        <v>443700</v>
      </c>
    </row>
    <row r="109" spans="1:9" x14ac:dyDescent="0.3">
      <c r="A109" s="1">
        <v>46037</v>
      </c>
      <c r="B109" t="s">
        <v>199</v>
      </c>
      <c r="D109" s="11">
        <v>213</v>
      </c>
      <c r="E109" s="11">
        <v>820</v>
      </c>
      <c r="F109" s="11"/>
      <c r="G109" s="11">
        <f t="shared" si="22"/>
        <v>174660</v>
      </c>
      <c r="H109" s="11"/>
      <c r="I109" s="11">
        <f>(D109*E109)-Table3[[#This Row],[Paid]]</f>
        <v>174660</v>
      </c>
    </row>
    <row r="110" spans="1:9" x14ac:dyDescent="0.3">
      <c r="A110" s="1">
        <v>46037</v>
      </c>
      <c r="B110" t="s">
        <v>423</v>
      </c>
      <c r="D110" s="11">
        <v>220</v>
      </c>
      <c r="E110" s="11">
        <v>820</v>
      </c>
      <c r="F110" s="11"/>
      <c r="G110" s="11">
        <f t="shared" si="22"/>
        <v>180400</v>
      </c>
      <c r="H110" s="11"/>
      <c r="I110" s="11">
        <f>(D110*E110)-Table3[[#This Row],[Paid]]</f>
        <v>180400</v>
      </c>
    </row>
    <row r="111" spans="1:9" x14ac:dyDescent="0.3">
      <c r="A111" s="1">
        <v>46038</v>
      </c>
      <c r="B111" t="s">
        <v>199</v>
      </c>
      <c r="D111" s="11"/>
      <c r="E111" s="11"/>
      <c r="F111" s="11"/>
      <c r="G111" s="11">
        <f t="shared" si="22"/>
        <v>0</v>
      </c>
      <c r="H111" s="11"/>
      <c r="I111" s="11">
        <f>(D111*E111)-Table3[[#This Row],[Paid]]</f>
        <v>0</v>
      </c>
    </row>
    <row r="112" spans="1:9" x14ac:dyDescent="0.3">
      <c r="A112" s="1">
        <v>46038</v>
      </c>
      <c r="B112" t="s">
        <v>168</v>
      </c>
      <c r="D112" s="11"/>
      <c r="E112" s="11"/>
      <c r="F112" s="11"/>
      <c r="G112" s="11">
        <f t="shared" ref="G112:G113" si="23">D112*E112</f>
        <v>0</v>
      </c>
      <c r="H112" s="11"/>
      <c r="I112" s="11">
        <f>(D112*E112)-Table3[[#This Row],[Paid]]</f>
        <v>0</v>
      </c>
    </row>
    <row r="113" spans="1:9" x14ac:dyDescent="0.3">
      <c r="A113" s="1">
        <v>46038</v>
      </c>
      <c r="B113" t="s">
        <v>423</v>
      </c>
      <c r="D113" s="11">
        <v>216</v>
      </c>
      <c r="E113" s="11">
        <v>820</v>
      </c>
      <c r="F113" s="11"/>
      <c r="G113" s="11">
        <f t="shared" si="23"/>
        <v>177120</v>
      </c>
      <c r="H113" s="11"/>
      <c r="I113" s="11">
        <f>(D113*E113)-Table3[[#This Row],[Paid]]</f>
        <v>177120</v>
      </c>
    </row>
    <row r="114" spans="1:9" x14ac:dyDescent="0.3">
      <c r="A114" s="1">
        <v>46040</v>
      </c>
      <c r="B114" t="s">
        <v>423</v>
      </c>
      <c r="D114" s="11">
        <v>214</v>
      </c>
      <c r="E114" s="11">
        <v>820</v>
      </c>
      <c r="F114" s="11"/>
      <c r="G114" s="11">
        <f>D114*E114</f>
        <v>175480</v>
      </c>
      <c r="H114" s="11"/>
      <c r="I114" s="11">
        <f>(D114*E114)-Table3[[#This Row],[Paid]]</f>
        <v>175480</v>
      </c>
    </row>
    <row r="115" spans="1:9" x14ac:dyDescent="0.3">
      <c r="A115" s="1">
        <v>46040</v>
      </c>
      <c r="B115" t="s">
        <v>168</v>
      </c>
      <c r="D115" s="11">
        <v>141</v>
      </c>
      <c r="E115" s="11">
        <v>580</v>
      </c>
      <c r="F115" s="11"/>
      <c r="G115" s="11">
        <f>D115*E115</f>
        <v>81780</v>
      </c>
      <c r="H115" s="11"/>
      <c r="I115" s="11">
        <f>(D115*E115)-Table3[[#This Row],[Paid]]</f>
        <v>81780</v>
      </c>
    </row>
    <row r="116" spans="1:9" x14ac:dyDescent="0.3">
      <c r="A116" s="1">
        <v>46041</v>
      </c>
      <c r="B116" t="s">
        <v>199</v>
      </c>
      <c r="D116" s="11">
        <v>220</v>
      </c>
      <c r="E116" s="11">
        <v>850</v>
      </c>
      <c r="F116" s="11">
        <v>66300</v>
      </c>
      <c r="G116" s="11">
        <f>D116*E116</f>
        <v>187000</v>
      </c>
      <c r="H116" s="11"/>
      <c r="I116" s="11">
        <f>(D116*E116)-Table3[[#This Row],[Paid]]</f>
        <v>187000</v>
      </c>
    </row>
    <row r="117" spans="1:9" x14ac:dyDescent="0.3">
      <c r="A117" s="38">
        <v>46009</v>
      </c>
      <c r="B117" t="s">
        <v>94</v>
      </c>
      <c r="D117" s="11"/>
      <c r="E117" s="11"/>
      <c r="F117" s="11"/>
      <c r="G117" s="11"/>
      <c r="H117" s="140">
        <f>SUMIFS(Table14[Debit], Table14[Date], Table3[[#This Row],[Date]], Table14[Party], Table3[[#This Row],[Party Name]])</f>
        <v>53250</v>
      </c>
      <c r="I117" s="11">
        <f>(D117*E117)-Table3[[#This Row],[Paid]]</f>
        <v>-53250</v>
      </c>
    </row>
    <row r="118" spans="1:9" x14ac:dyDescent="0.3">
      <c r="A118" s="38">
        <v>46010</v>
      </c>
      <c r="B118" t="s">
        <v>94</v>
      </c>
      <c r="D118" s="11"/>
      <c r="E118" s="11"/>
      <c r="F118" s="11"/>
      <c r="G118" s="11"/>
      <c r="H118" s="140">
        <f>SUMIFS(Table14[Debit], Table14[Date], Table3[[#This Row],[Date]], Table14[Party], Table3[[#This Row],[Party Name]])</f>
        <v>200009</v>
      </c>
      <c r="I118" s="11">
        <f>(D118*E118)-Table3[[#This Row],[Paid]]</f>
        <v>-200009</v>
      </c>
    </row>
    <row r="119" spans="1:9" x14ac:dyDescent="0.3">
      <c r="A119" s="38">
        <v>46017</v>
      </c>
      <c r="B119" t="s">
        <v>94</v>
      </c>
      <c r="D119" s="11"/>
      <c r="E119" s="11"/>
      <c r="F119" s="11"/>
      <c r="G119" s="11"/>
      <c r="H119" s="140">
        <f>SUMIFS(Table14[Debit], Table14[Date], Table3[[#This Row],[Date]], Table14[Party], Table3[[#This Row],[Party Name]])</f>
        <v>200566</v>
      </c>
      <c r="I119" s="11">
        <f>(D119*E119)-Table3[[#This Row],[Paid]]</f>
        <v>-200566</v>
      </c>
    </row>
    <row r="120" spans="1:9" x14ac:dyDescent="0.3">
      <c r="A120" s="38">
        <v>46021</v>
      </c>
      <c r="B120" t="s">
        <v>94</v>
      </c>
      <c r="D120" s="11"/>
      <c r="E120" s="11"/>
      <c r="F120" s="11"/>
      <c r="G120" s="11"/>
      <c r="H120" s="140">
        <f>SUMIFS(Table14[Debit], Table14[Date], Table3[[#This Row],[Date]], Table14[Party], Table3[[#This Row],[Party Name]])</f>
        <v>1000</v>
      </c>
      <c r="I120" s="11">
        <f>(D120*E120)-Table3[[#This Row],[Paid]]</f>
        <v>-1000</v>
      </c>
    </row>
    <row r="121" spans="1:9" x14ac:dyDescent="0.3">
      <c r="A121" s="115">
        <v>46022</v>
      </c>
      <c r="B121" t="s">
        <v>94</v>
      </c>
      <c r="D121" s="11"/>
      <c r="E121" s="11"/>
      <c r="F121" s="11"/>
      <c r="G121" s="11"/>
      <c r="H121" s="140">
        <f>SUMIFS(Table14[Debit], Table14[Date], Table3[[#This Row],[Date]], Table14[Party], Table3[[#This Row],[Party Name]])</f>
        <v>200010</v>
      </c>
      <c r="I121" s="11">
        <f>(D121*E121)-Table3[[#This Row],[Paid]]</f>
        <v>-200010</v>
      </c>
    </row>
    <row r="122" spans="1:9" x14ac:dyDescent="0.3">
      <c r="A122" s="38">
        <v>46025</v>
      </c>
      <c r="B122" t="s">
        <v>94</v>
      </c>
      <c r="D122" s="11"/>
      <c r="E122" s="11"/>
      <c r="F122" s="11"/>
      <c r="G122" s="11"/>
      <c r="H122" s="140">
        <f>SUMIFS(Table14[Debit], Table14[Date], Table3[[#This Row],[Date]], Table14[Party], Table3[[#This Row],[Party Name]])</f>
        <v>60400</v>
      </c>
      <c r="I122" s="11">
        <f>(D122*E122)-Table3[[#This Row],[Paid]]</f>
        <v>-60400</v>
      </c>
    </row>
    <row r="123" spans="1:9" x14ac:dyDescent="0.3">
      <c r="A123" s="38">
        <v>46028</v>
      </c>
      <c r="B123" t="s">
        <v>94</v>
      </c>
      <c r="D123" s="11"/>
      <c r="E123" s="11"/>
      <c r="F123" s="11"/>
      <c r="G123" s="11"/>
      <c r="H123" s="140">
        <f>SUMIFS(Table14[Debit], Table14[Date], Table3[[#This Row],[Date]], Table14[Party], Table3[[#This Row],[Party Name]])</f>
        <v>201220</v>
      </c>
      <c r="I123" s="11">
        <f>(D123*E123)-Table3[[#This Row],[Paid]]</f>
        <v>-201220</v>
      </c>
    </row>
    <row r="124" spans="1:9" x14ac:dyDescent="0.3">
      <c r="A124" s="38">
        <v>46028</v>
      </c>
      <c r="B124" t="s">
        <v>94</v>
      </c>
      <c r="D124" s="11"/>
      <c r="E124" s="11"/>
      <c r="F124" s="11"/>
      <c r="G124" s="11"/>
      <c r="H124" s="140"/>
      <c r="I124" s="11">
        <f>(D124*E124)-Table3[[#This Row],[Paid]]</f>
        <v>0</v>
      </c>
    </row>
    <row r="125" spans="1:9" x14ac:dyDescent="0.3">
      <c r="A125" s="115">
        <v>46032</v>
      </c>
      <c r="B125" t="s">
        <v>94</v>
      </c>
      <c r="D125" s="11"/>
      <c r="E125" s="11"/>
      <c r="F125" s="11"/>
      <c r="G125" s="11"/>
      <c r="H125" s="140">
        <f>SUMIFS(Table14[Debit], Table14[Date], Table3[[#This Row],[Date]], Table14[Party], Table3[[#This Row],[Party Name]])</f>
        <v>202000</v>
      </c>
      <c r="I125" s="11">
        <f>(D125*E125)-Table3[[#This Row],[Paid]]</f>
        <v>-202000</v>
      </c>
    </row>
    <row r="126" spans="1:9" x14ac:dyDescent="0.3">
      <c r="A126" s="38">
        <v>46036</v>
      </c>
      <c r="B126" t="s">
        <v>94</v>
      </c>
      <c r="D126" s="11"/>
      <c r="E126" s="11"/>
      <c r="F126" s="11"/>
      <c r="G126" s="11">
        <f t="shared" ref="G126:G128" si="24">D126*E126</f>
        <v>0</v>
      </c>
      <c r="H126" s="140">
        <f>SUMIFS(Table14[Debit], Table14[Date], Table3[[#This Row],[Date]], Table14[Party], Table3[[#This Row],[Party Name]])</f>
        <v>200460</v>
      </c>
      <c r="I126" s="11">
        <f>(D126*E126)-Table3[[#This Row],[Paid]]</f>
        <v>-200460</v>
      </c>
    </row>
    <row r="127" spans="1:9" x14ac:dyDescent="0.3">
      <c r="A127" s="115">
        <v>46037</v>
      </c>
      <c r="B127" t="s">
        <v>94</v>
      </c>
      <c r="D127" s="11"/>
      <c r="E127" s="11"/>
      <c r="F127" s="11"/>
      <c r="G127" s="11">
        <f t="shared" si="24"/>
        <v>0</v>
      </c>
      <c r="H127" s="140">
        <f>SUMIFS(Table14[Debit], Table14[Date], Table3[[#This Row],[Date]], Table14[Party], Table3[[#This Row],[Party Name]])</f>
        <v>95200</v>
      </c>
      <c r="I127" s="11">
        <f>(D127*E127)-Table3[[#This Row],[Paid]]</f>
        <v>-95200</v>
      </c>
    </row>
    <row r="128" spans="1:9" x14ac:dyDescent="0.3">
      <c r="A128" s="115">
        <v>46041</v>
      </c>
      <c r="B128" t="s">
        <v>94</v>
      </c>
      <c r="D128" s="11"/>
      <c r="E128" s="11"/>
      <c r="F128" s="11"/>
      <c r="G128" s="11">
        <f t="shared" si="24"/>
        <v>0</v>
      </c>
      <c r="H128" s="140">
        <f>SUMIFS(Table14[Debit], Table14[Date], Table3[[#This Row],[Date]], Table14[Party], Table3[[#This Row],[Party Name]])</f>
        <v>1000</v>
      </c>
      <c r="I128" s="11">
        <f>(D128*E128)-Table3[[#This Row],[Paid]]</f>
        <v>-1000</v>
      </c>
    </row>
    <row r="129" spans="1:9" x14ac:dyDescent="0.3">
      <c r="A129" s="38">
        <v>46010</v>
      </c>
      <c r="B129" t="s">
        <v>201</v>
      </c>
      <c r="D129" s="11"/>
      <c r="E129" s="11"/>
      <c r="F129" s="11"/>
      <c r="G129" s="11">
        <f t="shared" ref="G129:G132" si="25">D129*E129</f>
        <v>0</v>
      </c>
      <c r="H129" s="140">
        <f>SUMIFS(Table14[Debit], Table14[Date], Table3[[#This Row],[Date]], Table14[Party], Table3[[#This Row],[Party Name]])</f>
        <v>40000</v>
      </c>
      <c r="I129" s="11">
        <f>(D129*E129)-Table3[[#This Row],[Paid]]</f>
        <v>-40000</v>
      </c>
    </row>
    <row r="130" spans="1:9" x14ac:dyDescent="0.3">
      <c r="A130" s="38">
        <v>46018</v>
      </c>
      <c r="B130" t="s">
        <v>201</v>
      </c>
      <c r="D130" s="11"/>
      <c r="E130" s="11"/>
      <c r="F130" s="11"/>
      <c r="G130" s="11">
        <f t="shared" si="25"/>
        <v>0</v>
      </c>
      <c r="H130" s="140">
        <f>SUMIFS(Table14[Debit], Table14[Date], Table3[[#This Row],[Date]], Table14[Party], Table3[[#This Row],[Party Name]])</f>
        <v>40000</v>
      </c>
      <c r="I130" s="11">
        <f>(D130*E130)-Table3[[#This Row],[Paid]]</f>
        <v>-40000</v>
      </c>
    </row>
    <row r="131" spans="1:9" x14ac:dyDescent="0.3">
      <c r="A131" s="115">
        <v>46021</v>
      </c>
      <c r="B131" t="s">
        <v>201</v>
      </c>
      <c r="D131" s="11"/>
      <c r="E131" s="11"/>
      <c r="F131" s="11"/>
      <c r="G131" s="11">
        <f t="shared" si="25"/>
        <v>0</v>
      </c>
      <c r="H131" s="140">
        <f>SUMIFS(Table14[Debit], Table14[Date], Table3[[#This Row],[Date]], Table14[Party], Table3[[#This Row],[Party Name]])</f>
        <v>27000</v>
      </c>
      <c r="I131" s="11">
        <f>(D131*E131)-Table3[[#This Row],[Paid]]</f>
        <v>-27000</v>
      </c>
    </row>
    <row r="132" spans="1:9" x14ac:dyDescent="0.3">
      <c r="A132" s="115">
        <v>46026</v>
      </c>
      <c r="B132" t="s">
        <v>201</v>
      </c>
      <c r="D132" s="11"/>
      <c r="E132" s="11"/>
      <c r="F132" s="11"/>
      <c r="G132" s="11">
        <f t="shared" si="25"/>
        <v>0</v>
      </c>
      <c r="H132" s="140">
        <f>SUMIFS(Table14[Debit], Table14[Date], Table3[[#This Row],[Date]], Table14[Party], Table3[[#This Row],[Party Name]])</f>
        <v>20000</v>
      </c>
      <c r="I132" s="11">
        <f>(D132*E132)-Table3[[#This Row],[Paid]]</f>
        <v>-20000</v>
      </c>
    </row>
    <row r="133" spans="1:9" x14ac:dyDescent="0.3">
      <c r="A133" s="38">
        <v>46031</v>
      </c>
      <c r="B133" t="s">
        <v>201</v>
      </c>
      <c r="D133" s="11"/>
      <c r="E133" s="11"/>
      <c r="F133" s="11"/>
      <c r="G133" s="11">
        <f t="shared" ref="G133:G138" si="26">D133*E133</f>
        <v>0</v>
      </c>
      <c r="H133" s="140">
        <f>SUMIFS(Table14[Debit], Table14[Date], Table3[[#This Row],[Date]], Table14[Party], Table3[[#This Row],[Party Name]])</f>
        <v>15000</v>
      </c>
      <c r="I133" s="11">
        <f>(D133*E133)-Table3[[#This Row],[Paid]]</f>
        <v>-15000</v>
      </c>
    </row>
    <row r="134" spans="1:9" x14ac:dyDescent="0.3">
      <c r="A134" s="38">
        <v>46034</v>
      </c>
      <c r="B134" t="s">
        <v>201</v>
      </c>
      <c r="D134" s="11"/>
      <c r="E134" s="11"/>
      <c r="F134" s="11"/>
      <c r="G134" s="11">
        <f t="shared" si="26"/>
        <v>0</v>
      </c>
      <c r="H134" s="140">
        <f>SUMIFS(Table14[Debit], Table14[Date], Table3[[#This Row],[Date]], Table14[Party], Table3[[#This Row],[Party Name]])</f>
        <v>40000</v>
      </c>
      <c r="I134" s="11">
        <f>(D134*E134)-Table3[[#This Row],[Paid]]</f>
        <v>-40000</v>
      </c>
    </row>
    <row r="135" spans="1:9" x14ac:dyDescent="0.3">
      <c r="A135" s="115">
        <v>46037</v>
      </c>
      <c r="B135" t="s">
        <v>201</v>
      </c>
      <c r="D135" s="11"/>
      <c r="E135" s="11"/>
      <c r="F135" s="11"/>
      <c r="G135" s="11">
        <f t="shared" si="26"/>
        <v>0</v>
      </c>
      <c r="H135" s="140">
        <f>SUMIFS(Table14[Debit], Table14[Date], Table3[[#This Row],[Date]], Table14[Party], Table3[[#This Row],[Party Name]])</f>
        <v>50000</v>
      </c>
      <c r="I135" s="11">
        <f>(D135*E135)-Table3[[#This Row],[Paid]]</f>
        <v>-50000</v>
      </c>
    </row>
    <row r="136" spans="1:9" x14ac:dyDescent="0.3">
      <c r="A136" s="38">
        <v>46028</v>
      </c>
      <c r="B136" t="s">
        <v>423</v>
      </c>
      <c r="D136" s="11"/>
      <c r="E136" s="11"/>
      <c r="F136" s="11"/>
      <c r="G136" s="11">
        <f t="shared" si="26"/>
        <v>0</v>
      </c>
      <c r="H136" s="140">
        <f>SUMIFS(Table14[Debit], Table14[Date], Table3[[#This Row],[Date]], Table14[Party], Table3[[#This Row],[Party Name]])</f>
        <v>36000</v>
      </c>
      <c r="I136" s="11">
        <f>(D136*E136)-Table3[[#This Row],[Paid]]</f>
        <v>-36000</v>
      </c>
    </row>
    <row r="137" spans="1:9" x14ac:dyDescent="0.3">
      <c r="A137" s="38">
        <v>46029</v>
      </c>
      <c r="B137" t="s">
        <v>423</v>
      </c>
      <c r="D137" s="11"/>
      <c r="E137" s="11"/>
      <c r="F137" s="11"/>
      <c r="G137" s="11">
        <f t="shared" si="26"/>
        <v>0</v>
      </c>
      <c r="H137" s="140">
        <f>SUMIFS(Table14[Debit], Table14[Date], Table3[[#This Row],[Date]], Table14[Party], Table3[[#This Row],[Party Name]])</f>
        <v>100100</v>
      </c>
      <c r="I137" s="11">
        <f>(D137*E137)-Table3[[#This Row],[Paid]]</f>
        <v>-100100</v>
      </c>
    </row>
    <row r="138" spans="1:9" x14ac:dyDescent="0.3">
      <c r="A138" s="38">
        <v>46030</v>
      </c>
      <c r="B138" t="s">
        <v>423</v>
      </c>
      <c r="D138" s="11"/>
      <c r="E138" s="11"/>
      <c r="F138" s="11"/>
      <c r="G138" s="11">
        <f t="shared" si="26"/>
        <v>0</v>
      </c>
      <c r="H138" s="140">
        <f>SUMIFS(Table14[Debit], Table14[Date], Table3[[#This Row],[Date]], Table14[Party], Table3[[#This Row],[Party Name]])</f>
        <v>55780</v>
      </c>
      <c r="I138" s="11">
        <f>(D138*E138)-Table3[[#This Row],[Paid]]</f>
        <v>-55780</v>
      </c>
    </row>
    <row r="139" spans="1:9" x14ac:dyDescent="0.3">
      <c r="A139" s="115">
        <v>46032</v>
      </c>
      <c r="B139" t="s">
        <v>423</v>
      </c>
      <c r="D139" s="11"/>
      <c r="E139" s="11"/>
      <c r="F139" s="11"/>
      <c r="G139" s="11">
        <f t="shared" ref="G139:G146" si="27">D139*E139</f>
        <v>0</v>
      </c>
      <c r="H139" s="140">
        <f>SUMIFS(Table14[Debit], Table14[Date], Table3[[#This Row],[Date]], Table14[Party], Table3[[#This Row],[Party Name]])</f>
        <v>70000</v>
      </c>
      <c r="I139" s="11">
        <f>(D139*E139)-Table3[[#This Row],[Paid]]</f>
        <v>-70000</v>
      </c>
    </row>
    <row r="140" spans="1:9" x14ac:dyDescent="0.3">
      <c r="A140" s="38">
        <v>46033</v>
      </c>
      <c r="B140" t="s">
        <v>423</v>
      </c>
      <c r="D140" s="11"/>
      <c r="E140" s="11"/>
      <c r="F140" s="11"/>
      <c r="G140" s="11">
        <f t="shared" si="27"/>
        <v>0</v>
      </c>
      <c r="H140" s="140">
        <f>SUMIFS(Table14[Debit], Table14[Date], Table3[[#This Row],[Date]], Table14[Party], Table3[[#This Row],[Party Name]])</f>
        <v>50000</v>
      </c>
      <c r="I140" s="11">
        <f>(D140*E140)-Table3[[#This Row],[Paid]]</f>
        <v>-50000</v>
      </c>
    </row>
    <row r="141" spans="1:9" x14ac:dyDescent="0.3">
      <c r="A141" s="38">
        <v>46035</v>
      </c>
      <c r="B141" t="s">
        <v>423</v>
      </c>
      <c r="D141" s="11"/>
      <c r="E141" s="11"/>
      <c r="F141" s="11"/>
      <c r="G141" s="11">
        <f t="shared" si="27"/>
        <v>0</v>
      </c>
      <c r="H141" s="140">
        <f>SUMIFS(Table14[Debit], Table14[Date], Table3[[#This Row],[Date]], Table14[Party], Table3[[#This Row],[Party Name]])</f>
        <v>100704</v>
      </c>
      <c r="I141" s="11">
        <f>(D141*E141)-Table3[[#This Row],[Paid]]</f>
        <v>-100704</v>
      </c>
    </row>
    <row r="142" spans="1:9" x14ac:dyDescent="0.3">
      <c r="A142" s="38">
        <v>46036</v>
      </c>
      <c r="B142" t="s">
        <v>423</v>
      </c>
      <c r="D142" s="11"/>
      <c r="E142" s="11"/>
      <c r="F142" s="11"/>
      <c r="G142" s="11">
        <f t="shared" si="27"/>
        <v>0</v>
      </c>
      <c r="H142" s="140">
        <f>SUMIFS(Table14[Debit], Table14[Date], Table3[[#This Row],[Date]], Table14[Party], Table3[[#This Row],[Party Name]])</f>
        <v>31500</v>
      </c>
      <c r="I142" s="11">
        <f>(D142*E142)-Table3[[#This Row],[Paid]]</f>
        <v>-31500</v>
      </c>
    </row>
    <row r="143" spans="1:9" x14ac:dyDescent="0.3">
      <c r="A143" s="115">
        <v>46037</v>
      </c>
      <c r="B143" t="s">
        <v>423</v>
      </c>
      <c r="D143" s="11"/>
      <c r="E143" s="11"/>
      <c r="F143" s="11"/>
      <c r="G143" s="11">
        <f t="shared" si="27"/>
        <v>0</v>
      </c>
      <c r="H143" s="140">
        <f>SUMIFS(Table14[Debit], Table14[Date], Table3[[#This Row],[Date]], Table14[Party], Table3[[#This Row],[Party Name]])</f>
        <v>100000</v>
      </c>
      <c r="I143" s="11">
        <f>(D143*E143)-Table3[[#This Row],[Paid]]</f>
        <v>-100000</v>
      </c>
    </row>
    <row r="144" spans="1:9" x14ac:dyDescent="0.3">
      <c r="A144" s="38">
        <v>46038</v>
      </c>
      <c r="B144" t="s">
        <v>423</v>
      </c>
      <c r="D144" s="11"/>
      <c r="E144" s="11"/>
      <c r="F144" s="11"/>
      <c r="G144" s="11">
        <f t="shared" si="27"/>
        <v>0</v>
      </c>
      <c r="H144" s="140">
        <f>SUMIFS(Table14[Debit], Table14[Date], Table3[[#This Row],[Date]], Table14[Party], Table3[[#This Row],[Party Name]])</f>
        <v>50000</v>
      </c>
      <c r="I144" s="11">
        <f>(D144*E144)-Table3[[#This Row],[Paid]]</f>
        <v>-50000</v>
      </c>
    </row>
    <row r="145" spans="1:9" x14ac:dyDescent="0.3">
      <c r="A145" s="38">
        <v>46040</v>
      </c>
      <c r="B145" t="s">
        <v>423</v>
      </c>
      <c r="D145" s="11"/>
      <c r="E145" s="11"/>
      <c r="F145" s="11"/>
      <c r="G145" s="11">
        <f t="shared" si="27"/>
        <v>0</v>
      </c>
      <c r="H145" s="140">
        <f>SUMIFS(Table14[Debit], Table14[Date], Table3[[#This Row],[Date]], Table14[Party], Table3[[#This Row],[Party Name]])</f>
        <v>100200</v>
      </c>
      <c r="I145" s="11">
        <f>(D145*E145)-Table3[[#This Row],[Paid]]</f>
        <v>-100200</v>
      </c>
    </row>
    <row r="146" spans="1:9" x14ac:dyDescent="0.3">
      <c r="A146" s="115">
        <v>46041</v>
      </c>
      <c r="B146" t="s">
        <v>423</v>
      </c>
      <c r="D146" s="11"/>
      <c r="E146" s="11"/>
      <c r="F146" s="11"/>
      <c r="G146" s="11">
        <f t="shared" si="27"/>
        <v>0</v>
      </c>
      <c r="H146" s="140">
        <f>SUMIFS(Table14[Debit], Table14[Date], Table3[[#This Row],[Date]], Table14[Party], Table3[[#This Row],[Party Name]])</f>
        <v>1000</v>
      </c>
      <c r="I146" s="11">
        <f>(D146*E146)-Table3[[#This Row],[Paid]]</f>
        <v>-1000</v>
      </c>
    </row>
    <row r="147" spans="1:9" x14ac:dyDescent="0.3">
      <c r="A147" s="38">
        <v>46010</v>
      </c>
      <c r="B147" t="s">
        <v>199</v>
      </c>
      <c r="D147" s="11"/>
      <c r="E147" s="11"/>
      <c r="F147" s="11"/>
      <c r="G147" s="11">
        <f t="shared" ref="G147:G162" si="28">D147*E147</f>
        <v>0</v>
      </c>
      <c r="H147" s="140">
        <f>SUMIFS(Table14[Debit], Table14[Date], Table3[[#This Row],[Date]], Table14[Party], Table3[[#This Row],[Party Name]])</f>
        <v>200025</v>
      </c>
      <c r="I147" s="11">
        <f>(D147*E147)-Table3[[#This Row],[Paid]]</f>
        <v>-200025</v>
      </c>
    </row>
    <row r="148" spans="1:9" x14ac:dyDescent="0.3">
      <c r="A148" s="38">
        <v>46012</v>
      </c>
      <c r="B148" t="s">
        <v>199</v>
      </c>
      <c r="D148" s="11"/>
      <c r="E148" s="11"/>
      <c r="F148" s="11"/>
      <c r="G148" s="11">
        <f t="shared" si="28"/>
        <v>0</v>
      </c>
      <c r="H148" s="140">
        <f>SUMIFS(Table14[Debit], Table14[Date], Table3[[#This Row],[Date]], Table14[Party], Table3[[#This Row],[Party Name]])</f>
        <v>50000</v>
      </c>
      <c r="I148" s="11">
        <f>(D148*E148)-Table3[[#This Row],[Paid]]</f>
        <v>-50000</v>
      </c>
    </row>
    <row r="149" spans="1:9" x14ac:dyDescent="0.3">
      <c r="A149" s="115">
        <v>46014</v>
      </c>
      <c r="B149" t="s">
        <v>199</v>
      </c>
      <c r="D149" s="11"/>
      <c r="E149" s="11"/>
      <c r="F149" s="11"/>
      <c r="G149" s="11">
        <f t="shared" si="28"/>
        <v>0</v>
      </c>
      <c r="H149" s="140">
        <f>SUMIFS(Table14[Debit], Table14[Date], Table3[[#This Row],[Date]], Table14[Party], Table3[[#This Row],[Party Name]])</f>
        <v>150000</v>
      </c>
      <c r="I149" s="11">
        <f>(D149*E149)-Table3[[#This Row],[Paid]]</f>
        <v>-150000</v>
      </c>
    </row>
    <row r="150" spans="1:9" x14ac:dyDescent="0.3">
      <c r="A150" s="115"/>
      <c r="B150" t="s">
        <v>199</v>
      </c>
      <c r="D150" s="11"/>
      <c r="E150" s="11"/>
      <c r="F150" s="11"/>
      <c r="G150" s="11">
        <f t="shared" si="28"/>
        <v>0</v>
      </c>
      <c r="H150" s="140">
        <f>SUMIFS(Table14[Debit], Table14[Date], Table3[[#This Row],[Date]], Table14[Party], Table3[[#This Row],[Party Name]])</f>
        <v>0</v>
      </c>
      <c r="I150" s="11">
        <f>(D150*E150)-Table3[[#This Row],[Paid]]</f>
        <v>0</v>
      </c>
    </row>
    <row r="151" spans="1:9" x14ac:dyDescent="0.3">
      <c r="A151" s="38">
        <v>46015</v>
      </c>
      <c r="B151" t="s">
        <v>199</v>
      </c>
      <c r="D151" s="11"/>
      <c r="E151" s="11"/>
      <c r="F151" s="11"/>
      <c r="G151" s="11">
        <f t="shared" si="28"/>
        <v>0</v>
      </c>
      <c r="H151" s="140">
        <f>SUMIFS(Table14[Debit], Table14[Date], Table3[[#This Row],[Date]], Table14[Party], Table3[[#This Row],[Party Name]])</f>
        <v>146000</v>
      </c>
      <c r="I151" s="11">
        <f>(D151*E151)-Table3[[#This Row],[Paid]]</f>
        <v>-146000</v>
      </c>
    </row>
    <row r="152" spans="1:9" x14ac:dyDescent="0.3">
      <c r="A152" s="38">
        <v>46016</v>
      </c>
      <c r="B152" t="s">
        <v>199</v>
      </c>
      <c r="D152" s="11"/>
      <c r="E152" s="11"/>
      <c r="F152" s="11"/>
      <c r="G152" s="11">
        <f t="shared" si="28"/>
        <v>0</v>
      </c>
      <c r="H152" s="140">
        <f>SUMIFS(Table14[Debit], Table14[Date], Table3[[#This Row],[Date]], Table14[Party], Table3[[#This Row],[Party Name]])</f>
        <v>50000</v>
      </c>
      <c r="I152" s="11">
        <f>(D152*E152)-Table3[[#This Row],[Paid]]</f>
        <v>-50000</v>
      </c>
    </row>
    <row r="153" spans="1:9" x14ac:dyDescent="0.3">
      <c r="A153" s="38">
        <v>46017</v>
      </c>
      <c r="B153" t="s">
        <v>199</v>
      </c>
      <c r="D153" s="11"/>
      <c r="E153" s="11"/>
      <c r="F153" s="11"/>
      <c r="G153" s="11">
        <f t="shared" si="28"/>
        <v>0</v>
      </c>
      <c r="H153" s="140">
        <f>SUMIFS(Table14[Debit], Table14[Date], Table3[[#This Row],[Date]], Table14[Party], Table3[[#This Row],[Party Name]])</f>
        <v>201000</v>
      </c>
      <c r="I153" s="11">
        <f>(D153*E153)-Table3[[#This Row],[Paid]]</f>
        <v>-201000</v>
      </c>
    </row>
    <row r="154" spans="1:9" x14ac:dyDescent="0.3">
      <c r="A154" s="38">
        <v>46018</v>
      </c>
      <c r="B154" t="s">
        <v>199</v>
      </c>
      <c r="D154" s="11"/>
      <c r="E154" s="11"/>
      <c r="F154" s="11"/>
      <c r="G154" s="11">
        <f t="shared" si="28"/>
        <v>0</v>
      </c>
      <c r="H154" s="140">
        <f>SUMIFS(Table14[Debit], Table14[Date], Table3[[#This Row],[Date]], Table14[Party], Table3[[#This Row],[Party Name]])</f>
        <v>100000</v>
      </c>
      <c r="I154" s="11">
        <f>(D154*E154)-Table3[[#This Row],[Paid]]</f>
        <v>-100000</v>
      </c>
    </row>
    <row r="155" spans="1:9" x14ac:dyDescent="0.3">
      <c r="A155" s="115">
        <v>46021</v>
      </c>
      <c r="B155" t="s">
        <v>199</v>
      </c>
      <c r="D155" s="11"/>
      <c r="E155" s="11"/>
      <c r="F155" s="11"/>
      <c r="G155" s="11">
        <f t="shared" si="28"/>
        <v>0</v>
      </c>
      <c r="H155" s="140">
        <f>SUMIFS(Table14[Debit], Table14[Date], Table3[[#This Row],[Date]], Table14[Party], Table3[[#This Row],[Party Name]])</f>
        <v>205401</v>
      </c>
      <c r="I155" s="11">
        <f>(D155*E155)-Table3[[#This Row],[Paid]]</f>
        <v>-205401</v>
      </c>
    </row>
    <row r="156" spans="1:9" x14ac:dyDescent="0.3">
      <c r="A156" s="115"/>
      <c r="B156" t="s">
        <v>199</v>
      </c>
      <c r="D156" s="11"/>
      <c r="E156" s="11"/>
      <c r="F156" s="11"/>
      <c r="G156" s="11">
        <f t="shared" si="28"/>
        <v>0</v>
      </c>
      <c r="H156" s="140">
        <f>SUMIFS(Table14[Debit], Table14[Date], Table3[[#This Row],[Date]], Table14[Party], Table3[[#This Row],[Party Name]])</f>
        <v>0</v>
      </c>
      <c r="I156" s="11">
        <f>(D156*E156)-Table3[[#This Row],[Paid]]</f>
        <v>0</v>
      </c>
    </row>
    <row r="157" spans="1:9" x14ac:dyDescent="0.3">
      <c r="A157" s="115">
        <v>46022</v>
      </c>
      <c r="B157" t="s">
        <v>199</v>
      </c>
      <c r="D157" s="11"/>
      <c r="E157" s="11"/>
      <c r="F157" s="11"/>
      <c r="G157" s="11">
        <f t="shared" si="28"/>
        <v>0</v>
      </c>
      <c r="H157" s="140">
        <f>SUMIFS(Table14[Debit], Table14[Date], Table3[[#This Row],[Date]], Table14[Party], Table3[[#This Row],[Party Name]])</f>
        <v>50000</v>
      </c>
      <c r="I157" s="11">
        <f>(D157*E157)-Table3[[#This Row],[Paid]]</f>
        <v>-50000</v>
      </c>
    </row>
    <row r="158" spans="1:9" x14ac:dyDescent="0.3">
      <c r="A158" s="38">
        <v>46023</v>
      </c>
      <c r="B158" t="s">
        <v>199</v>
      </c>
      <c r="D158" s="11"/>
      <c r="E158" s="11"/>
      <c r="F158" s="11"/>
      <c r="G158" s="11">
        <f t="shared" si="28"/>
        <v>0</v>
      </c>
      <c r="H158" s="140">
        <f>SUMIFS(Table14[Debit], Table14[Date], Table3[[#This Row],[Date]], Table14[Party], Table3[[#This Row],[Party Name]])</f>
        <v>100111</v>
      </c>
      <c r="I158" s="11">
        <f>(D158*E158)-Table3[[#This Row],[Paid]]</f>
        <v>-100111</v>
      </c>
    </row>
    <row r="159" spans="1:9" x14ac:dyDescent="0.3">
      <c r="A159" s="38">
        <v>46024</v>
      </c>
      <c r="B159" t="s">
        <v>199</v>
      </c>
      <c r="D159" s="11"/>
      <c r="E159" s="11"/>
      <c r="F159" s="11"/>
      <c r="G159" s="11">
        <f t="shared" si="28"/>
        <v>0</v>
      </c>
      <c r="H159" s="140">
        <f>SUMIFS(Table14[Debit], Table14[Date], Table3[[#This Row],[Date]], Table14[Party], Table3[[#This Row],[Party Name]])</f>
        <v>200154</v>
      </c>
      <c r="I159" s="11">
        <f>(D159*E159)-Table3[[#This Row],[Paid]]</f>
        <v>-200154</v>
      </c>
    </row>
    <row r="160" spans="1:9" x14ac:dyDescent="0.3">
      <c r="A160" s="115">
        <v>46025</v>
      </c>
      <c r="B160" t="s">
        <v>199</v>
      </c>
      <c r="D160" s="11"/>
      <c r="E160" s="11"/>
      <c r="F160" s="11"/>
      <c r="G160" s="11">
        <f t="shared" si="28"/>
        <v>0</v>
      </c>
      <c r="H160" s="140">
        <f>SUMIFS(Table14[Debit], Table14[Date], Table3[[#This Row],[Date]], Table14[Party], Table3[[#This Row],[Party Name]])</f>
        <v>200100</v>
      </c>
      <c r="I160" s="11">
        <f>(D160*E160)-Table3[[#This Row],[Paid]]</f>
        <v>-200100</v>
      </c>
    </row>
    <row r="161" spans="1:9" x14ac:dyDescent="0.3">
      <c r="A161" s="38">
        <v>46027</v>
      </c>
      <c r="B161" t="s">
        <v>199</v>
      </c>
      <c r="D161" s="11"/>
      <c r="E161" s="11"/>
      <c r="F161" s="11"/>
      <c r="G161" s="11">
        <f t="shared" si="28"/>
        <v>0</v>
      </c>
      <c r="H161" s="140">
        <f>SUMIFS(Table14[Debit], Table14[Date], Table3[[#This Row],[Date]], Table14[Party], Table3[[#This Row],[Party Name]])</f>
        <v>204200</v>
      </c>
      <c r="I161" s="11">
        <f>(D161*E161)-Table3[[#This Row],[Paid]]</f>
        <v>-204200</v>
      </c>
    </row>
    <row r="162" spans="1:9" x14ac:dyDescent="0.3">
      <c r="A162" s="38"/>
      <c r="B162" t="s">
        <v>199</v>
      </c>
      <c r="D162" s="11"/>
      <c r="E162" s="11"/>
      <c r="F162" s="11"/>
      <c r="G162" s="11">
        <f t="shared" si="28"/>
        <v>0</v>
      </c>
      <c r="H162" s="140">
        <f>SUMIFS(Table14[Debit], Table14[Date], Table3[[#This Row],[Date]], Table14[Party], Table3[[#This Row],[Party Name]])</f>
        <v>0</v>
      </c>
      <c r="I162" s="11">
        <f>(D162*E162)-Table3[[#This Row],[Paid]]</f>
        <v>0</v>
      </c>
    </row>
    <row r="163" spans="1:9" x14ac:dyDescent="0.3">
      <c r="A163" s="38">
        <v>46028</v>
      </c>
      <c r="B163" t="s">
        <v>199</v>
      </c>
      <c r="D163" s="11"/>
      <c r="E163" s="11"/>
      <c r="F163" s="11"/>
      <c r="G163" s="11">
        <f t="shared" ref="G163:G194" si="29">D163*E163</f>
        <v>0</v>
      </c>
      <c r="H163" s="140">
        <f>SUMIFS(Table14[Debit], Table14[Date], Table3[[#This Row],[Date]], Table14[Party], Table3[[#This Row],[Party Name]])</f>
        <v>106500</v>
      </c>
      <c r="I163" s="11">
        <f>(D163*E163)-Table3[[#This Row],[Paid]]</f>
        <v>-106500</v>
      </c>
    </row>
    <row r="164" spans="1:9" x14ac:dyDescent="0.3">
      <c r="A164" s="38"/>
      <c r="B164" t="s">
        <v>199</v>
      </c>
      <c r="D164" s="11"/>
      <c r="E164" s="11"/>
      <c r="F164" s="11"/>
      <c r="G164" s="11">
        <f t="shared" si="29"/>
        <v>0</v>
      </c>
      <c r="H164" s="140">
        <f>SUMIFS(Table14[Debit], Table14[Date], Table3[[#This Row],[Date]], Table14[Party], Table3[[#This Row],[Party Name]])</f>
        <v>0</v>
      </c>
      <c r="I164" s="11">
        <f>(D164*E164)-Table3[[#This Row],[Paid]]</f>
        <v>0</v>
      </c>
    </row>
    <row r="165" spans="1:9" x14ac:dyDescent="0.3">
      <c r="A165" s="38">
        <v>46029</v>
      </c>
      <c r="B165" t="s">
        <v>199</v>
      </c>
      <c r="D165" s="11"/>
      <c r="E165" s="11"/>
      <c r="F165" s="11"/>
      <c r="G165" s="11">
        <f t="shared" si="29"/>
        <v>0</v>
      </c>
      <c r="H165" s="140">
        <f>SUMIFS(Table14[Debit], Table14[Date], Table3[[#This Row],[Date]], Table14[Party], Table3[[#This Row],[Party Name]])</f>
        <v>100514</v>
      </c>
      <c r="I165" s="11">
        <f>(D165*E165)-Table3[[#This Row],[Paid]]</f>
        <v>-100514</v>
      </c>
    </row>
    <row r="166" spans="1:9" x14ac:dyDescent="0.3">
      <c r="A166" s="38">
        <v>46030</v>
      </c>
      <c r="B166" t="s">
        <v>199</v>
      </c>
      <c r="D166" s="11"/>
      <c r="E166" s="11"/>
      <c r="F166" s="11"/>
      <c r="G166" s="11">
        <f t="shared" si="29"/>
        <v>0</v>
      </c>
      <c r="H166" s="140">
        <f>SUMIFS(Table14[Debit], Table14[Date], Table3[[#This Row],[Date]], Table14[Party], Table3[[#This Row],[Party Name]])</f>
        <v>150200</v>
      </c>
      <c r="I166" s="11">
        <f>(D166*E166)-Table3[[#This Row],[Paid]]</f>
        <v>-150200</v>
      </c>
    </row>
    <row r="167" spans="1:9" x14ac:dyDescent="0.3">
      <c r="A167" s="38">
        <v>46032</v>
      </c>
      <c r="B167" t="s">
        <v>199</v>
      </c>
      <c r="D167" s="11"/>
      <c r="E167" s="11"/>
      <c r="F167" s="11"/>
      <c r="G167" s="11">
        <f t="shared" si="29"/>
        <v>0</v>
      </c>
      <c r="H167" s="140">
        <f>SUMIFS(Table14[Debit], Table14[Date], Table3[[#This Row],[Date]], Table14[Party], Table3[[#This Row],[Party Name]])</f>
        <v>150000</v>
      </c>
      <c r="I167" s="11">
        <f>(D167*E167)-Table3[[#This Row],[Paid]]</f>
        <v>-150000</v>
      </c>
    </row>
    <row r="168" spans="1:9" x14ac:dyDescent="0.3">
      <c r="A168" s="115">
        <v>46034</v>
      </c>
      <c r="B168" t="s">
        <v>199</v>
      </c>
      <c r="D168" s="11"/>
      <c r="E168" s="11"/>
      <c r="F168" s="11"/>
      <c r="G168" s="11">
        <f t="shared" si="29"/>
        <v>0</v>
      </c>
      <c r="H168" s="140">
        <f>SUMIFS(Table14[Debit], Table14[Date], Table3[[#This Row],[Date]], Table14[Party], Table3[[#This Row],[Party Name]])</f>
        <v>232000</v>
      </c>
      <c r="I168" s="11">
        <f>(D168*E168)-Table3[[#This Row],[Paid]]</f>
        <v>-232000</v>
      </c>
    </row>
    <row r="169" spans="1:9" x14ac:dyDescent="0.3">
      <c r="A169" s="115"/>
      <c r="B169" t="s">
        <v>199</v>
      </c>
      <c r="D169" s="11"/>
      <c r="E169" s="11"/>
      <c r="F169" s="11"/>
      <c r="G169" s="11">
        <f t="shared" si="29"/>
        <v>0</v>
      </c>
      <c r="H169" s="140">
        <f>SUMIFS(Table14[Debit], Table14[Date], Table3[[#This Row],[Date]], Table14[Party], Table3[[#This Row],[Party Name]])</f>
        <v>0</v>
      </c>
      <c r="I169" s="11">
        <f>(D169*E169)-Table3[[#This Row],[Paid]]</f>
        <v>0</v>
      </c>
    </row>
    <row r="170" spans="1:9" x14ac:dyDescent="0.3">
      <c r="A170" s="115">
        <v>46036</v>
      </c>
      <c r="B170" t="s">
        <v>199</v>
      </c>
      <c r="D170" s="11"/>
      <c r="E170" s="11"/>
      <c r="F170" s="11"/>
      <c r="G170" s="11">
        <f t="shared" si="29"/>
        <v>0</v>
      </c>
      <c r="H170" s="140">
        <f>SUMIFS(Table14[Debit], Table14[Date], Table3[[#This Row],[Date]], Table14[Party], Table3[[#This Row],[Party Name]])</f>
        <v>198062</v>
      </c>
      <c r="I170" s="11">
        <f>(D170*E170)-Table3[[#This Row],[Paid]]</f>
        <v>-198062</v>
      </c>
    </row>
    <row r="171" spans="1:9" x14ac:dyDescent="0.3">
      <c r="A171" s="38"/>
      <c r="B171" t="s">
        <v>199</v>
      </c>
      <c r="D171" s="11"/>
      <c r="E171" s="11"/>
      <c r="F171" s="11"/>
      <c r="G171" s="11">
        <f t="shared" si="29"/>
        <v>0</v>
      </c>
      <c r="H171" s="140">
        <f>SUMIFS(Table14[Debit], Table14[Date], Table3[[#This Row],[Date]], Table14[Party], Table3[[#This Row],[Party Name]])</f>
        <v>0</v>
      </c>
      <c r="I171" s="11">
        <f>(D171*E171)-Table3[[#This Row],[Paid]]</f>
        <v>0</v>
      </c>
    </row>
    <row r="172" spans="1:9" x14ac:dyDescent="0.3">
      <c r="A172" s="115">
        <v>46037</v>
      </c>
      <c r="B172" t="s">
        <v>199</v>
      </c>
      <c r="D172" s="11"/>
      <c r="E172" s="11"/>
      <c r="F172" s="11"/>
      <c r="G172" s="11">
        <f t="shared" si="29"/>
        <v>0</v>
      </c>
      <c r="H172" s="140">
        <f>SUMIFS(Table14[Debit], Table14[Date], Table3[[#This Row],[Date]], Table14[Party], Table3[[#This Row],[Party Name]])</f>
        <v>170000</v>
      </c>
      <c r="I172" s="11">
        <f>(D172*E172)-Table3[[#This Row],[Paid]]</f>
        <v>-170000</v>
      </c>
    </row>
    <row r="173" spans="1:9" x14ac:dyDescent="0.3">
      <c r="A173" s="38"/>
      <c r="B173" t="s">
        <v>199</v>
      </c>
      <c r="D173" s="11"/>
      <c r="E173" s="11"/>
      <c r="F173" s="11"/>
      <c r="G173" s="11">
        <f t="shared" si="29"/>
        <v>0</v>
      </c>
      <c r="H173" s="140">
        <f>SUMIFS(Table14[Debit], Table14[Date], Table3[[#This Row],[Date]], Table14[Party], Table3[[#This Row],[Party Name]])</f>
        <v>0</v>
      </c>
      <c r="I173" s="11">
        <f>(D173*E173)-Table3[[#This Row],[Paid]]</f>
        <v>0</v>
      </c>
    </row>
    <row r="174" spans="1:9" x14ac:dyDescent="0.3">
      <c r="A174" s="38">
        <v>46038</v>
      </c>
      <c r="B174" t="s">
        <v>199</v>
      </c>
      <c r="D174" s="11"/>
      <c r="E174" s="11"/>
      <c r="F174" s="11"/>
      <c r="G174" s="11">
        <f t="shared" si="29"/>
        <v>0</v>
      </c>
      <c r="H174" s="140">
        <f>SUMIFS(Table14[Debit], Table14[Date], Table3[[#This Row],[Date]], Table14[Party], Table3[[#This Row],[Party Name]])</f>
        <v>100000</v>
      </c>
      <c r="I174" s="11">
        <f>(D174*E174)-Table3[[#This Row],[Paid]]</f>
        <v>-100000</v>
      </c>
    </row>
    <row r="175" spans="1:9" x14ac:dyDescent="0.3">
      <c r="A175" s="38">
        <v>46040</v>
      </c>
      <c r="B175" t="s">
        <v>199</v>
      </c>
      <c r="D175" s="11"/>
      <c r="E175" s="11"/>
      <c r="F175" s="11"/>
      <c r="G175" s="11">
        <f t="shared" si="29"/>
        <v>0</v>
      </c>
      <c r="H175" s="140">
        <f>SUMIFS(Table14[Debit], Table14[Date], Table3[[#This Row],[Date]], Table14[Party], Table3[[#This Row],[Party Name]])</f>
        <v>100000</v>
      </c>
      <c r="I175" s="11">
        <f>(D175*E175)-Table3[[#This Row],[Paid]]</f>
        <v>-100000</v>
      </c>
    </row>
    <row r="176" spans="1:9" x14ac:dyDescent="0.3">
      <c r="A176" s="115">
        <v>46041</v>
      </c>
      <c r="B176" t="s">
        <v>199</v>
      </c>
      <c r="D176" s="11"/>
      <c r="E176" s="11"/>
      <c r="F176" s="11"/>
      <c r="G176" s="11">
        <f t="shared" si="29"/>
        <v>0</v>
      </c>
      <c r="H176" s="140">
        <f>SUMIFS(Table14[Debit], Table14[Date], Table3[[#This Row],[Date]], Table14[Party], Table3[[#This Row],[Party Name]])</f>
        <v>105999</v>
      </c>
      <c r="I176" s="11">
        <f>(D176*E176)-Table3[[#This Row],[Paid]]</f>
        <v>-105999</v>
      </c>
    </row>
    <row r="177" spans="1:9" x14ac:dyDescent="0.3">
      <c r="A177" s="38">
        <v>46010</v>
      </c>
      <c r="B177" t="s">
        <v>168</v>
      </c>
      <c r="D177" s="11"/>
      <c r="E177" s="11"/>
      <c r="F177" s="11"/>
      <c r="G177" s="11">
        <f t="shared" si="29"/>
        <v>0</v>
      </c>
      <c r="H177" s="140">
        <f>SUMIFS(Table14[Debit], Table14[Date], Table3[[#This Row],[Date]], Table14[Party], Table3[[#This Row],[Party Name]])</f>
        <v>115000</v>
      </c>
      <c r="I177" s="11">
        <f>(D177*E177)-Table3[[#This Row],[Paid]]</f>
        <v>-115000</v>
      </c>
    </row>
    <row r="178" spans="1:9" x14ac:dyDescent="0.3">
      <c r="A178" s="38">
        <v>46013</v>
      </c>
      <c r="B178" t="s">
        <v>168</v>
      </c>
      <c r="D178" s="11"/>
      <c r="E178" s="11"/>
      <c r="F178" s="11"/>
      <c r="G178" s="11">
        <f t="shared" si="29"/>
        <v>0</v>
      </c>
      <c r="H178" s="140">
        <f>SUMIFS(Table14[Debit], Table14[Date], Table3[[#This Row],[Date]], Table14[Party], Table3[[#This Row],[Party Name]])</f>
        <v>100500</v>
      </c>
      <c r="I178" s="11">
        <f>(D178*E178)-Table3[[#This Row],[Paid]]</f>
        <v>-100500</v>
      </c>
    </row>
    <row r="179" spans="1:9" x14ac:dyDescent="0.3">
      <c r="A179" s="38">
        <v>46015</v>
      </c>
      <c r="B179" t="s">
        <v>168</v>
      </c>
      <c r="D179" s="11"/>
      <c r="E179" s="11"/>
      <c r="F179" s="11"/>
      <c r="G179" s="11">
        <f t="shared" si="29"/>
        <v>0</v>
      </c>
      <c r="H179" s="140">
        <f>SUMIFS(Table14[Debit], Table14[Date], Table3[[#This Row],[Date]], Table14[Party], Table3[[#This Row],[Party Name]])</f>
        <v>150000</v>
      </c>
      <c r="I179" s="11">
        <f>(D179*E179)-Table3[[#This Row],[Paid]]</f>
        <v>-150000</v>
      </c>
    </row>
    <row r="180" spans="1:9" x14ac:dyDescent="0.3">
      <c r="A180" s="38">
        <v>46017</v>
      </c>
      <c r="B180" t="s">
        <v>168</v>
      </c>
      <c r="D180" s="11"/>
      <c r="E180" s="11"/>
      <c r="F180" s="11"/>
      <c r="G180" s="11">
        <f t="shared" si="29"/>
        <v>0</v>
      </c>
      <c r="H180" s="140">
        <f>SUMIFS(Table14[Debit], Table14[Date], Table3[[#This Row],[Date]], Table14[Party], Table3[[#This Row],[Party Name]])</f>
        <v>200300</v>
      </c>
      <c r="I180" s="11">
        <f>(D180*E180)-Table3[[#This Row],[Paid]]</f>
        <v>-200300</v>
      </c>
    </row>
    <row r="181" spans="1:9" x14ac:dyDescent="0.3">
      <c r="A181" s="38">
        <v>46020</v>
      </c>
      <c r="B181" t="s">
        <v>168</v>
      </c>
      <c r="D181" s="11"/>
      <c r="E181" s="11"/>
      <c r="F181" s="11"/>
      <c r="G181" s="11">
        <f t="shared" si="29"/>
        <v>0</v>
      </c>
      <c r="H181" s="140">
        <f>SUMIFS(Table14[Debit], Table14[Date], Table3[[#This Row],[Date]], Table14[Party], Table3[[#This Row],[Party Name]])</f>
        <v>100000</v>
      </c>
      <c r="I181" s="11">
        <f>(D181*E181)-Table3[[#This Row],[Paid]]</f>
        <v>-100000</v>
      </c>
    </row>
    <row r="182" spans="1:9" x14ac:dyDescent="0.3">
      <c r="A182" s="115">
        <v>46021</v>
      </c>
      <c r="B182" t="s">
        <v>168</v>
      </c>
      <c r="D182" s="11"/>
      <c r="E182" s="11"/>
      <c r="F182" s="11"/>
      <c r="G182" s="11">
        <f t="shared" si="29"/>
        <v>0</v>
      </c>
      <c r="H182" s="140">
        <f>SUMIFS(Table14[Debit], Table14[Date], Table3[[#This Row],[Date]], Table14[Party], Table3[[#This Row],[Party Name]])</f>
        <v>250000</v>
      </c>
      <c r="I182" s="11">
        <f>(D182*E182)-Table3[[#This Row],[Paid]]</f>
        <v>-250000</v>
      </c>
    </row>
    <row r="183" spans="1:9" x14ac:dyDescent="0.3">
      <c r="A183" s="115">
        <v>46023</v>
      </c>
      <c r="B183" t="s">
        <v>168</v>
      </c>
      <c r="D183" s="11"/>
      <c r="E183" s="11"/>
      <c r="F183" s="11"/>
      <c r="G183" s="11">
        <f t="shared" si="29"/>
        <v>0</v>
      </c>
      <c r="H183" s="140">
        <f>SUMIFS(Table14[Debit], Table14[Date], Table3[[#This Row],[Date]], Table14[Party], Table3[[#This Row],[Party Name]])</f>
        <v>175000</v>
      </c>
      <c r="I183" s="11">
        <f>(D183*E183)-Table3[[#This Row],[Paid]]</f>
        <v>-175000</v>
      </c>
    </row>
    <row r="184" spans="1:9" x14ac:dyDescent="0.3">
      <c r="A184" s="38">
        <v>46027</v>
      </c>
      <c r="B184" t="s">
        <v>168</v>
      </c>
      <c r="D184" s="11"/>
      <c r="E184" s="11"/>
      <c r="F184" s="11"/>
      <c r="G184" s="11">
        <f t="shared" si="29"/>
        <v>0</v>
      </c>
      <c r="H184" s="140">
        <f>SUMIFS(Table14[Debit], Table14[Date], Table3[[#This Row],[Date]], Table14[Party], Table3[[#This Row],[Party Name]])</f>
        <v>250000</v>
      </c>
      <c r="I184" s="11">
        <f>(D184*E184)-Table3[[#This Row],[Paid]]</f>
        <v>-250000</v>
      </c>
    </row>
    <row r="185" spans="1:9" x14ac:dyDescent="0.3">
      <c r="A185" s="38"/>
      <c r="B185" t="s">
        <v>168</v>
      </c>
      <c r="D185" s="11"/>
      <c r="E185" s="11"/>
      <c r="F185" s="11"/>
      <c r="G185" s="11">
        <f t="shared" si="29"/>
        <v>0</v>
      </c>
      <c r="H185" s="140">
        <f>SUMIFS(Table14[Debit], Table14[Date], Table3[[#This Row],[Date]], Table14[Party], Table3[[#This Row],[Party Name]])</f>
        <v>0</v>
      </c>
      <c r="I185" s="11">
        <f>(D185*E185)-Table3[[#This Row],[Paid]]</f>
        <v>0</v>
      </c>
    </row>
    <row r="186" spans="1:9" x14ac:dyDescent="0.3">
      <c r="A186" s="38">
        <v>46028</v>
      </c>
      <c r="B186" t="s">
        <v>168</v>
      </c>
      <c r="D186" s="11"/>
      <c r="E186" s="11"/>
      <c r="F186" s="11"/>
      <c r="G186" s="11">
        <f t="shared" si="29"/>
        <v>0</v>
      </c>
      <c r="H186" s="140">
        <f>SUMIFS(Table14[Debit], Table14[Date], Table3[[#This Row],[Date]], Table14[Party], Table3[[#This Row],[Party Name]])</f>
        <v>151500</v>
      </c>
      <c r="I186" s="11">
        <f>(D186*E186)-Table3[[#This Row],[Paid]]</f>
        <v>-151500</v>
      </c>
    </row>
    <row r="187" spans="1:9" x14ac:dyDescent="0.3">
      <c r="A187" s="38">
        <v>46030</v>
      </c>
      <c r="B187" t="s">
        <v>168</v>
      </c>
      <c r="D187" s="11"/>
      <c r="E187" s="11"/>
      <c r="F187" s="11"/>
      <c r="G187" s="11">
        <f t="shared" si="29"/>
        <v>0</v>
      </c>
      <c r="H187" s="140">
        <f>SUMIFS(Table14[Debit], Table14[Date], Table3[[#This Row],[Date]], Table14[Party], Table3[[#This Row],[Party Name]])</f>
        <v>200250</v>
      </c>
      <c r="I187" s="11">
        <f>(D187*E187)-Table3[[#This Row],[Paid]]</f>
        <v>-200250</v>
      </c>
    </row>
    <row r="188" spans="1:9" x14ac:dyDescent="0.3">
      <c r="A188" s="38">
        <v>46034</v>
      </c>
      <c r="B188" t="s">
        <v>168</v>
      </c>
      <c r="D188" s="11"/>
      <c r="E188" s="11"/>
      <c r="F188" s="11"/>
      <c r="G188" s="11">
        <f t="shared" si="29"/>
        <v>0</v>
      </c>
      <c r="H188" s="140">
        <f>SUMIFS(Table14[Debit], Table14[Date], Table3[[#This Row],[Date]], Table14[Party], Table3[[#This Row],[Party Name]])</f>
        <v>202045</v>
      </c>
      <c r="I188" s="11">
        <f>(D188*E188)-Table3[[#This Row],[Paid]]</f>
        <v>-202045</v>
      </c>
    </row>
    <row r="189" spans="1:9" x14ac:dyDescent="0.3">
      <c r="A189" s="38">
        <v>46036</v>
      </c>
      <c r="B189" t="s">
        <v>168</v>
      </c>
      <c r="D189" s="11"/>
      <c r="E189" s="11"/>
      <c r="F189" s="11"/>
      <c r="G189" s="11">
        <f t="shared" si="29"/>
        <v>0</v>
      </c>
      <c r="H189" s="140">
        <f>SUMIFS(Table14[Debit], Table14[Date], Table3[[#This Row],[Date]], Table14[Party], Table3[[#This Row],[Party Name]])</f>
        <v>75000</v>
      </c>
      <c r="I189" s="11">
        <f>(D189*E189)-Table3[[#This Row],[Paid]]</f>
        <v>-75000</v>
      </c>
    </row>
    <row r="190" spans="1:9" x14ac:dyDescent="0.3">
      <c r="A190" s="115"/>
      <c r="B190" t="s">
        <v>168</v>
      </c>
      <c r="D190" s="11"/>
      <c r="E190" s="11"/>
      <c r="F190" s="11"/>
      <c r="G190" s="11">
        <f t="shared" si="29"/>
        <v>0</v>
      </c>
      <c r="H190" s="140">
        <f>SUMIFS(Table14[Debit], Table14[Date], Table3[[#This Row],[Date]], Table14[Party], Table3[[#This Row],[Party Name]])</f>
        <v>0</v>
      </c>
      <c r="I190" s="11">
        <f>(D190*E190)-Table3[[#This Row],[Paid]]</f>
        <v>0</v>
      </c>
    </row>
    <row r="191" spans="1:9" x14ac:dyDescent="0.3">
      <c r="A191" s="38">
        <v>46038</v>
      </c>
      <c r="B191" t="s">
        <v>168</v>
      </c>
      <c r="D191" s="11"/>
      <c r="E191" s="11"/>
      <c r="F191" s="11"/>
      <c r="G191" s="11">
        <f t="shared" si="29"/>
        <v>0</v>
      </c>
      <c r="H191" s="140">
        <f>SUMIFS(Table14[Debit], Table14[Date], Table3[[#This Row],[Date]], Table14[Party], Table3[[#This Row],[Party Name]])</f>
        <v>125000</v>
      </c>
      <c r="I191" s="11">
        <f>(D191*E191)-Table3[[#This Row],[Paid]]</f>
        <v>-125000</v>
      </c>
    </row>
    <row r="192" spans="1:9" x14ac:dyDescent="0.3">
      <c r="A192" s="115">
        <v>46041</v>
      </c>
      <c r="B192" t="s">
        <v>168</v>
      </c>
      <c r="D192" s="11"/>
      <c r="E192" s="11"/>
      <c r="F192" s="11"/>
      <c r="G192" s="11">
        <f t="shared" si="29"/>
        <v>0</v>
      </c>
      <c r="H192" s="140">
        <f>SUMIFS(Table14[Debit], Table14[Date], Table3[[#This Row],[Date]], Table14[Party], Table3[[#This Row],[Party Name]])</f>
        <v>1000</v>
      </c>
      <c r="I192" s="11">
        <f>(D192*E192)-Table3[[#This Row],[Paid]]</f>
        <v>-1000</v>
      </c>
    </row>
    <row r="193" spans="1:9" x14ac:dyDescent="0.3">
      <c r="A193" s="38">
        <v>46013</v>
      </c>
      <c r="B193" t="s">
        <v>240</v>
      </c>
      <c r="D193" s="11"/>
      <c r="E193" s="11"/>
      <c r="F193" s="11"/>
      <c r="G193" s="11">
        <f t="shared" si="29"/>
        <v>0</v>
      </c>
      <c r="H193" s="140">
        <f>SUMIFS(Table14[Debit], Table14[Date], Table3[[#This Row],[Date]], Table14[Party], Table3[[#This Row],[Party Name]])</f>
        <v>10000</v>
      </c>
      <c r="I193" s="11">
        <f>(D193*E193)-Table3[[#This Row],[Paid]]</f>
        <v>-10000</v>
      </c>
    </row>
    <row r="194" spans="1:9" x14ac:dyDescent="0.3">
      <c r="A194" s="38">
        <v>46018</v>
      </c>
      <c r="B194" t="s">
        <v>240</v>
      </c>
      <c r="D194" s="11"/>
      <c r="E194" s="11"/>
      <c r="F194" s="11"/>
      <c r="G194" s="11">
        <f t="shared" si="29"/>
        <v>0</v>
      </c>
      <c r="H194" s="140">
        <f>SUMIFS(Table14[Debit], Table14[Date], Table3[[#This Row],[Date]], Table14[Party], Table3[[#This Row],[Party Name]])</f>
        <v>45000</v>
      </c>
      <c r="I194" s="11">
        <f>(D194*E194)-Table3[[#This Row],[Paid]]</f>
        <v>-45000</v>
      </c>
    </row>
    <row r="195" spans="1:9" x14ac:dyDescent="0.3">
      <c r="A195" s="38">
        <v>46021</v>
      </c>
      <c r="B195" t="s">
        <v>240</v>
      </c>
      <c r="D195" s="11"/>
      <c r="E195" s="11"/>
      <c r="F195" s="11"/>
      <c r="G195" s="11">
        <f t="shared" ref="G195:G226" si="30">D195*E195</f>
        <v>0</v>
      </c>
      <c r="H195" s="140">
        <f>SUMIFS(Table14[Debit], Table14[Date], Table3[[#This Row],[Date]], Table14[Party], Table3[[#This Row],[Party Name]])</f>
        <v>11850</v>
      </c>
      <c r="I195" s="11">
        <f>(D195*E195)-Table3[[#This Row],[Paid]]</f>
        <v>-11850</v>
      </c>
    </row>
    <row r="196" spans="1:9" x14ac:dyDescent="0.3">
      <c r="A196" s="38">
        <v>46010</v>
      </c>
      <c r="B196" t="s">
        <v>148</v>
      </c>
      <c r="D196" s="11"/>
      <c r="E196" s="11"/>
      <c r="F196" s="11"/>
      <c r="G196" s="11">
        <f t="shared" si="30"/>
        <v>0</v>
      </c>
      <c r="H196" s="140">
        <f>SUMIFS(Table14[Debit], Table14[Date], Table3[[#This Row],[Date]], Table14[Party], Table3[[#This Row],[Party Name]])</f>
        <v>50000</v>
      </c>
      <c r="I196" s="11">
        <f>(D196*E196)-Table3[[#This Row],[Paid]]</f>
        <v>-50000</v>
      </c>
    </row>
    <row r="197" spans="1:9" x14ac:dyDescent="0.3">
      <c r="A197" s="38">
        <v>46027</v>
      </c>
      <c r="B197" t="s">
        <v>148</v>
      </c>
      <c r="D197" s="11"/>
      <c r="E197" s="11"/>
      <c r="F197" s="11"/>
      <c r="G197" s="11">
        <f t="shared" si="30"/>
        <v>0</v>
      </c>
      <c r="H197" s="140">
        <f>SUMIFS(Table14[Debit], Table14[Date], Table3[[#This Row],[Date]], Table14[Party], Table3[[#This Row],[Party Name]])</f>
        <v>30000</v>
      </c>
      <c r="I197" s="11">
        <f>(D197*E197)-Table3[[#This Row],[Paid]]</f>
        <v>-30000</v>
      </c>
    </row>
    <row r="198" spans="1:9" x14ac:dyDescent="0.3">
      <c r="A198" s="1"/>
      <c r="D198" s="11"/>
      <c r="E198" s="11"/>
      <c r="F198" s="11"/>
      <c r="G198" s="11">
        <f t="shared" si="30"/>
        <v>0</v>
      </c>
      <c r="H198" s="140">
        <f>SUMIFS(Table14[Debit], Table14[Date], Table3[[#This Row],[Date]], Table14[Party], Table3[[#This Row],[Party Name]])</f>
        <v>0</v>
      </c>
      <c r="I198" s="11">
        <f>(D198*E198)-Table3[[#This Row],[Paid]]</f>
        <v>0</v>
      </c>
    </row>
    <row r="199" spans="1:9" x14ac:dyDescent="0.3">
      <c r="A199" s="1"/>
      <c r="D199" s="11"/>
      <c r="E199" s="11"/>
      <c r="F199" s="11"/>
      <c r="G199" s="11">
        <f t="shared" si="30"/>
        <v>0</v>
      </c>
      <c r="H199" s="140">
        <f>SUMIFS(Table14[Debit], Table14[Date], Table3[[#This Row],[Date]], Table14[Party], Table3[[#This Row],[Party Name]])</f>
        <v>0</v>
      </c>
      <c r="I199" s="11">
        <f>(D199*E199)-Table3[[#This Row],[Paid]]</f>
        <v>0</v>
      </c>
    </row>
    <row r="200" spans="1:9" x14ac:dyDescent="0.3">
      <c r="A200" s="1"/>
      <c r="D200" s="11"/>
      <c r="E200" s="11"/>
      <c r="F200" s="11"/>
      <c r="G200" s="11">
        <f t="shared" si="30"/>
        <v>0</v>
      </c>
      <c r="H200" s="140">
        <f>SUMIFS(Table14[Debit], Table14[Date], Table3[[#This Row],[Date]], Table14[Party], Table3[[#This Row],[Party Name]])</f>
        <v>0</v>
      </c>
      <c r="I200" s="11">
        <f>(D200*E200)-Table3[[#This Row],[Paid]]</f>
        <v>0</v>
      </c>
    </row>
    <row r="201" spans="1:9" x14ac:dyDescent="0.3">
      <c r="A201" s="1"/>
      <c r="D201" s="11"/>
      <c r="E201" s="11"/>
      <c r="F201" s="11"/>
      <c r="G201" s="11">
        <f t="shared" si="30"/>
        <v>0</v>
      </c>
      <c r="H201" s="140">
        <f>SUMIFS(Table14[Debit], Table14[Date], Table3[[#This Row],[Date]], Table14[Party], Table3[[#This Row],[Party Name]])</f>
        <v>0</v>
      </c>
      <c r="I201" s="11">
        <f>(D201*E201)-Table3[[#This Row],[Paid]]</f>
        <v>0</v>
      </c>
    </row>
    <row r="202" spans="1:9" x14ac:dyDescent="0.3">
      <c r="A202" s="1"/>
      <c r="D202" s="11"/>
      <c r="E202" s="11"/>
      <c r="F202" s="11"/>
      <c r="G202" s="11">
        <f t="shared" si="30"/>
        <v>0</v>
      </c>
      <c r="H202" s="140">
        <f>SUMIFS(Table14[Debit], Table14[Date], Table3[[#This Row],[Date]], Table14[Party], Table3[[#This Row],[Party Name]])</f>
        <v>0</v>
      </c>
      <c r="I202" s="11">
        <f>(D202*E202)-Table3[[#This Row],[Paid]]</f>
        <v>0</v>
      </c>
    </row>
    <row r="203" spans="1:9" x14ac:dyDescent="0.3">
      <c r="A203" s="1"/>
      <c r="D203" s="11"/>
      <c r="E203" s="11"/>
      <c r="F203" s="11"/>
      <c r="G203" s="11">
        <f t="shared" si="30"/>
        <v>0</v>
      </c>
      <c r="H203" s="140">
        <f>SUMIFS(Table14[Debit], Table14[Date], Table3[[#This Row],[Date]], Table14[Party], Table3[[#This Row],[Party Name]])</f>
        <v>0</v>
      </c>
      <c r="I203" s="11">
        <f>(D203*E203)-Table3[[#This Row],[Paid]]</f>
        <v>0</v>
      </c>
    </row>
    <row r="204" spans="1:9" x14ac:dyDescent="0.3">
      <c r="A204" s="1"/>
      <c r="D204" s="11"/>
      <c r="E204" s="11"/>
      <c r="F204" s="11"/>
      <c r="G204" s="11">
        <f t="shared" si="30"/>
        <v>0</v>
      </c>
      <c r="H204" s="140">
        <f>SUMIFS(Table14[Debit], Table14[Date], Table3[[#This Row],[Date]], Table14[Party], Table3[[#This Row],[Party Name]])</f>
        <v>0</v>
      </c>
      <c r="I204" s="11">
        <f>(D204*E204)-Table3[[#This Row],[Paid]]</f>
        <v>0</v>
      </c>
    </row>
    <row r="205" spans="1:9" x14ac:dyDescent="0.3">
      <c r="A205" s="1"/>
      <c r="D205" s="11"/>
      <c r="E205" s="11"/>
      <c r="F205" s="11"/>
      <c r="G205" s="11">
        <f t="shared" si="30"/>
        <v>0</v>
      </c>
      <c r="H205" s="140">
        <f>SUMIFS(Table14[Debit], Table14[Date], Table3[[#This Row],[Date]], Table14[Party], Table3[[#This Row],[Party Name]])</f>
        <v>0</v>
      </c>
      <c r="I205" s="11">
        <f>(D205*E205)-Table3[[#This Row],[Paid]]</f>
        <v>0</v>
      </c>
    </row>
    <row r="206" spans="1:9" x14ac:dyDescent="0.3">
      <c r="A206" s="1"/>
      <c r="D206" s="11"/>
      <c r="E206" s="11"/>
      <c r="F206" s="11"/>
      <c r="G206" s="11">
        <f t="shared" si="30"/>
        <v>0</v>
      </c>
      <c r="H206" s="140">
        <f>SUMIFS(Table14[Debit], Table14[Date], Table3[[#This Row],[Date]], Table14[Party], Table3[[#This Row],[Party Name]])</f>
        <v>0</v>
      </c>
      <c r="I206" s="11">
        <f>(D206*E206)-Table3[[#This Row],[Paid]]</f>
        <v>0</v>
      </c>
    </row>
    <row r="207" spans="1:9" x14ac:dyDescent="0.3">
      <c r="A207" s="1"/>
      <c r="D207" s="11"/>
      <c r="E207" s="11"/>
      <c r="F207" s="11"/>
      <c r="G207" s="11">
        <f t="shared" si="30"/>
        <v>0</v>
      </c>
      <c r="H207" s="140">
        <f>SUMIFS(Table14[Debit], Table14[Date], Table3[[#This Row],[Date]], Table14[Party], Table3[[#This Row],[Party Name]])</f>
        <v>0</v>
      </c>
      <c r="I207" s="11">
        <f>(D207*E207)-Table3[[#This Row],[Paid]]</f>
        <v>0</v>
      </c>
    </row>
    <row r="208" spans="1:9" x14ac:dyDescent="0.3">
      <c r="A208" s="1"/>
      <c r="D208" s="11"/>
      <c r="E208" s="11"/>
      <c r="F208" s="11"/>
      <c r="G208" s="11">
        <f t="shared" si="30"/>
        <v>0</v>
      </c>
      <c r="H208" s="140">
        <f>SUMIFS(Table14[Debit], Table14[Date], Table3[[#This Row],[Date]], Table14[Party], Table3[[#This Row],[Party Name]])</f>
        <v>0</v>
      </c>
      <c r="I208" s="11">
        <f>(D208*E208)-Table3[[#This Row],[Paid]]</f>
        <v>0</v>
      </c>
    </row>
    <row r="209" spans="1:9" x14ac:dyDescent="0.3">
      <c r="A209" s="1"/>
      <c r="D209" s="11"/>
      <c r="E209" s="11"/>
      <c r="F209" s="11"/>
      <c r="G209" s="11">
        <f t="shared" si="30"/>
        <v>0</v>
      </c>
      <c r="H209" s="140">
        <f>SUMIFS(Table14[Debit], Table14[Date], Table3[[#This Row],[Date]], Table14[Party], Table3[[#This Row],[Party Name]])</f>
        <v>0</v>
      </c>
      <c r="I209" s="11">
        <f>(D209*E209)-Table3[[#This Row],[Paid]]</f>
        <v>0</v>
      </c>
    </row>
    <row r="210" spans="1:9" x14ac:dyDescent="0.3">
      <c r="A210" s="1"/>
      <c r="D210" s="11"/>
      <c r="E210" s="11"/>
      <c r="F210" s="11"/>
      <c r="G210" s="11">
        <f t="shared" si="30"/>
        <v>0</v>
      </c>
      <c r="H210" s="140">
        <f>SUMIFS(Table14[Debit], Table14[Date], Table3[[#This Row],[Date]], Table14[Party], Table3[[#This Row],[Party Name]])</f>
        <v>0</v>
      </c>
      <c r="I210" s="11">
        <f>(D210*E210)-Table3[[#This Row],[Paid]]</f>
        <v>0</v>
      </c>
    </row>
    <row r="211" spans="1:9" x14ac:dyDescent="0.3">
      <c r="A211" s="1"/>
      <c r="D211" s="11"/>
      <c r="E211" s="11"/>
      <c r="F211" s="11"/>
      <c r="G211" s="11">
        <f t="shared" si="30"/>
        <v>0</v>
      </c>
      <c r="H211" s="140">
        <f>SUMIFS(Table14[Debit], Table14[Date], Table3[[#This Row],[Date]], Table14[Party], Table3[[#This Row],[Party Name]])</f>
        <v>0</v>
      </c>
      <c r="I211" s="11">
        <f>(D211*E211)-Table3[[#This Row],[Paid]]</f>
        <v>0</v>
      </c>
    </row>
    <row r="212" spans="1:9" x14ac:dyDescent="0.3">
      <c r="A212" s="1"/>
      <c r="D212" s="11"/>
      <c r="E212" s="11"/>
      <c r="F212" s="11"/>
      <c r="G212" s="11">
        <f t="shared" si="30"/>
        <v>0</v>
      </c>
      <c r="H212" s="140">
        <f>SUMIFS(Table14[Debit], Table14[Date], Table3[[#This Row],[Date]], Table14[Party], Table3[[#This Row],[Party Name]])</f>
        <v>0</v>
      </c>
      <c r="I212" s="11">
        <f>(D212*E212)-Table3[[#This Row],[Paid]]</f>
        <v>0</v>
      </c>
    </row>
    <row r="213" spans="1:9" x14ac:dyDescent="0.3">
      <c r="A213" s="1"/>
      <c r="D213" s="11"/>
      <c r="E213" s="11"/>
      <c r="F213" s="11"/>
      <c r="G213" s="11">
        <f t="shared" si="30"/>
        <v>0</v>
      </c>
      <c r="H213" s="140">
        <f>SUMIFS(Table14[Debit], Table14[Date], Table3[[#This Row],[Date]], Table14[Party], Table3[[#This Row],[Party Name]])</f>
        <v>0</v>
      </c>
      <c r="I213" s="11">
        <f>(D213*E213)-Table3[[#This Row],[Paid]]</f>
        <v>0</v>
      </c>
    </row>
    <row r="214" spans="1:9" x14ac:dyDescent="0.3">
      <c r="A214" s="1"/>
      <c r="D214" s="11"/>
      <c r="E214" s="11"/>
      <c r="F214" s="11"/>
      <c r="G214" s="11">
        <f t="shared" si="30"/>
        <v>0</v>
      </c>
      <c r="H214" s="140">
        <f>SUMIFS(Table14[Debit], Table14[Date], Table3[[#This Row],[Date]], Table14[Party], Table3[[#This Row],[Party Name]])</f>
        <v>0</v>
      </c>
      <c r="I214" s="11">
        <f>(D214*E214)-Table3[[#This Row],[Paid]]</f>
        <v>0</v>
      </c>
    </row>
    <row r="215" spans="1:9" x14ac:dyDescent="0.3">
      <c r="A215" s="1"/>
      <c r="D215" s="11"/>
      <c r="E215" s="11"/>
      <c r="F215" s="11"/>
      <c r="G215" s="11">
        <f t="shared" si="30"/>
        <v>0</v>
      </c>
      <c r="H215" s="140">
        <f>SUMIFS(Table14[Debit], Table14[Date], Table3[[#This Row],[Date]], Table14[Party], Table3[[#This Row],[Party Name]])</f>
        <v>0</v>
      </c>
      <c r="I215" s="11">
        <f>(D215*E215)-Table3[[#This Row],[Paid]]</f>
        <v>0</v>
      </c>
    </row>
    <row r="216" spans="1:9" x14ac:dyDescent="0.3">
      <c r="A216" s="1"/>
      <c r="D216" s="11"/>
      <c r="E216" s="11"/>
      <c r="F216" s="11"/>
      <c r="G216" s="11">
        <f t="shared" si="30"/>
        <v>0</v>
      </c>
      <c r="H216" s="140">
        <f>SUMIFS(Table14[Debit], Table14[Date], Table3[[#This Row],[Date]], Table14[Party], Table3[[#This Row],[Party Name]])</f>
        <v>0</v>
      </c>
      <c r="I216" s="11">
        <f>(D216*E216)-Table3[[#This Row],[Paid]]</f>
        <v>0</v>
      </c>
    </row>
    <row r="217" spans="1:9" x14ac:dyDescent="0.3">
      <c r="A217" s="1"/>
      <c r="D217" s="11"/>
      <c r="E217" s="11"/>
      <c r="F217" s="11"/>
      <c r="G217" s="11">
        <f t="shared" si="30"/>
        <v>0</v>
      </c>
      <c r="H217" s="11"/>
      <c r="I217" s="11">
        <f>(D217*E217)-Table3[[#This Row],[Paid]]</f>
        <v>0</v>
      </c>
    </row>
    <row r="218" spans="1:9" x14ac:dyDescent="0.3">
      <c r="A218" s="1"/>
      <c r="D218" s="11"/>
      <c r="E218" s="11"/>
      <c r="F218" s="11"/>
      <c r="G218" s="11">
        <f t="shared" si="30"/>
        <v>0</v>
      </c>
      <c r="H218" s="11"/>
      <c r="I218" s="11">
        <f>(D218*E218)-Table3[[#This Row],[Paid]]</f>
        <v>0</v>
      </c>
    </row>
    <row r="219" spans="1:9" x14ac:dyDescent="0.3">
      <c r="A219" s="1"/>
      <c r="D219" s="11"/>
      <c r="E219" s="11"/>
      <c r="F219" s="11"/>
      <c r="G219" s="11">
        <f t="shared" si="30"/>
        <v>0</v>
      </c>
      <c r="H219" s="11"/>
      <c r="I219" s="11">
        <f>(D219*E219)-Table3[[#This Row],[Paid]]</f>
        <v>0</v>
      </c>
    </row>
    <row r="220" spans="1:9" x14ac:dyDescent="0.3">
      <c r="A220" s="1"/>
      <c r="D220" s="11"/>
      <c r="E220" s="11"/>
      <c r="F220" s="11"/>
      <c r="G220" s="11">
        <f t="shared" si="30"/>
        <v>0</v>
      </c>
      <c r="H220" s="11"/>
      <c r="I220" s="11">
        <f>(D220*E220)-Table3[[#This Row],[Paid]]</f>
        <v>0</v>
      </c>
    </row>
    <row r="221" spans="1:9" x14ac:dyDescent="0.3">
      <c r="A221" s="1"/>
      <c r="D221" s="11"/>
      <c r="E221" s="11"/>
      <c r="F221" s="11"/>
      <c r="G221" s="11">
        <f t="shared" si="30"/>
        <v>0</v>
      </c>
      <c r="H221" s="11"/>
      <c r="I221" s="11">
        <f>(D221*E221)-Table3[[#This Row],[Paid]]</f>
        <v>0</v>
      </c>
    </row>
    <row r="222" spans="1:9" x14ac:dyDescent="0.3">
      <c r="A222" s="1"/>
      <c r="D222" s="11"/>
      <c r="E222" s="11"/>
      <c r="F222" s="11"/>
      <c r="G222" s="11">
        <f t="shared" si="30"/>
        <v>0</v>
      </c>
      <c r="H222" s="11"/>
      <c r="I222" s="11">
        <f>(D222*E222)-Table3[[#This Row],[Paid]]</f>
        <v>0</v>
      </c>
    </row>
    <row r="223" spans="1:9" x14ac:dyDescent="0.3">
      <c r="A223" s="1"/>
      <c r="D223" s="11"/>
      <c r="E223" s="11"/>
      <c r="F223" s="11"/>
      <c r="G223" s="11">
        <f t="shared" si="30"/>
        <v>0</v>
      </c>
      <c r="H223" s="11"/>
      <c r="I223" s="11">
        <f>(D223*E223)-Table3[[#This Row],[Paid]]</f>
        <v>0</v>
      </c>
    </row>
    <row r="224" spans="1:9" x14ac:dyDescent="0.3">
      <c r="A224" s="1"/>
      <c r="D224" s="11"/>
      <c r="E224" s="11"/>
      <c r="F224" s="11"/>
      <c r="G224" s="11">
        <f t="shared" si="30"/>
        <v>0</v>
      </c>
      <c r="H224" s="11"/>
      <c r="I224" s="11">
        <f>(D224*E224)-Table3[[#This Row],[Paid]]</f>
        <v>0</v>
      </c>
    </row>
    <row r="225" spans="1:9" x14ac:dyDescent="0.3">
      <c r="A225" s="1"/>
      <c r="D225" s="11"/>
      <c r="E225" s="11"/>
      <c r="F225" s="11"/>
      <c r="G225" s="11">
        <f t="shared" si="30"/>
        <v>0</v>
      </c>
      <c r="H225" s="11"/>
      <c r="I225" s="11">
        <f>(D225*E225)-Table3[[#This Row],[Paid]]</f>
        <v>0</v>
      </c>
    </row>
    <row r="226" spans="1:9" x14ac:dyDescent="0.3">
      <c r="A226" s="1"/>
      <c r="D226" s="11"/>
      <c r="E226" s="11"/>
      <c r="F226" s="11"/>
      <c r="G226" s="11">
        <f t="shared" si="30"/>
        <v>0</v>
      </c>
      <c r="H226" s="11"/>
      <c r="I226" s="11">
        <f>(D226*E226)-Table3[[#This Row],[Paid]]</f>
        <v>0</v>
      </c>
    </row>
    <row r="227" spans="1:9" x14ac:dyDescent="0.3">
      <c r="A227" s="1"/>
      <c r="D227" s="11"/>
      <c r="E227" s="11"/>
      <c r="F227" s="11"/>
      <c r="G227" s="11">
        <f t="shared" ref="G227:G232" si="31">D227*E227</f>
        <v>0</v>
      </c>
      <c r="H227" s="11"/>
      <c r="I227" s="11">
        <f>(D227*E227)-Table3[[#This Row],[Paid]]</f>
        <v>0</v>
      </c>
    </row>
    <row r="228" spans="1:9" x14ac:dyDescent="0.3">
      <c r="A228" s="1"/>
      <c r="D228" s="11"/>
      <c r="E228" s="11"/>
      <c r="F228" s="11"/>
      <c r="G228" s="11">
        <f t="shared" si="31"/>
        <v>0</v>
      </c>
      <c r="H228" s="11"/>
      <c r="I228" s="11">
        <f>(D228*E228)-Table3[[#This Row],[Paid]]</f>
        <v>0</v>
      </c>
    </row>
    <row r="229" spans="1:9" x14ac:dyDescent="0.3">
      <c r="A229" s="1"/>
      <c r="D229" s="11"/>
      <c r="E229" s="11"/>
      <c r="F229" s="11"/>
      <c r="G229" s="11">
        <f t="shared" si="31"/>
        <v>0</v>
      </c>
      <c r="H229" s="11"/>
      <c r="I229" s="11">
        <f>(D229*E229)-Table3[[#This Row],[Paid]]</f>
        <v>0</v>
      </c>
    </row>
    <row r="230" spans="1:9" x14ac:dyDescent="0.3">
      <c r="A230" s="1"/>
      <c r="D230" s="11"/>
      <c r="E230" s="11"/>
      <c r="F230" s="11"/>
      <c r="G230" s="11">
        <f t="shared" si="31"/>
        <v>0</v>
      </c>
      <c r="H230" s="11"/>
      <c r="I230" s="11">
        <f>(D230*E230)-Table3[[#This Row],[Paid]]</f>
        <v>0</v>
      </c>
    </row>
    <row r="231" spans="1:9" x14ac:dyDescent="0.3">
      <c r="A231" s="1"/>
      <c r="D231" s="11"/>
      <c r="E231" s="11"/>
      <c r="F231" s="11"/>
      <c r="G231" s="11">
        <f t="shared" si="31"/>
        <v>0</v>
      </c>
      <c r="H231" s="11"/>
      <c r="I231" s="11">
        <f>(D231*E231)-Table3[[#This Row],[Paid]]</f>
        <v>0</v>
      </c>
    </row>
    <row r="232" spans="1:9" x14ac:dyDescent="0.3">
      <c r="A232" s="1"/>
      <c r="D232" s="11"/>
      <c r="E232" s="11"/>
      <c r="F232" s="11"/>
      <c r="G232" s="11">
        <f t="shared" si="31"/>
        <v>0</v>
      </c>
      <c r="H232" s="11"/>
      <c r="I232" s="11">
        <f>(D232*E232)-Table3[[#This Row],[Paid]]</f>
        <v>0</v>
      </c>
    </row>
    <row r="233" spans="1:9" x14ac:dyDescent="0.3">
      <c r="A233" s="1"/>
      <c r="D233" s="14"/>
      <c r="E233" s="14"/>
      <c r="F233" s="14"/>
      <c r="G233" s="14">
        <f>SUBTOTAL(109,Table3[Total])</f>
        <v>8739690</v>
      </c>
      <c r="H233" s="14">
        <f>SUBTOTAL(109,Table3[Paid])</f>
        <v>7855110</v>
      </c>
      <c r="I233" s="14">
        <f>SUBTOTAL(109,Table3[balance])</f>
        <v>4206008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630"/>
  <sheetViews>
    <sheetView zoomScale="158" workbookViewId="0">
      <selection activeCell="C575" sqref="C57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109</v>
      </c>
      <c r="C1" t="s">
        <v>70</v>
      </c>
      <c r="D1" t="s">
        <v>69</v>
      </c>
      <c r="E1" t="s">
        <v>36</v>
      </c>
      <c r="F1" t="s">
        <v>110</v>
      </c>
      <c r="G1" t="s">
        <v>111</v>
      </c>
    </row>
    <row r="2" spans="1:16" hidden="1" x14ac:dyDescent="0.3">
      <c r="A2" s="85">
        <v>46008</v>
      </c>
      <c r="B2" s="80" t="s">
        <v>215</v>
      </c>
      <c r="C2" s="11"/>
      <c r="D2" s="86">
        <f>[1]Cashbook!$N$5</f>
        <v>7377462</v>
      </c>
      <c r="E2" s="80"/>
      <c r="F2" s="87" t="s">
        <v>107</v>
      </c>
    </row>
    <row r="3" spans="1:16" hidden="1" x14ac:dyDescent="0.3">
      <c r="A3" s="85">
        <v>46008</v>
      </c>
      <c r="B3" s="80" t="s">
        <v>215</v>
      </c>
      <c r="C3" s="11"/>
      <c r="D3" s="86">
        <f>[1]Cashbook!$N$6</f>
        <v>-610916</v>
      </c>
      <c r="E3" s="80"/>
      <c r="F3" s="87" t="s">
        <v>108</v>
      </c>
      <c r="J3" s="46" t="s">
        <v>45</v>
      </c>
      <c r="K3" s="35" t="s">
        <v>46</v>
      </c>
      <c r="M3" s="46" t="s">
        <v>45</v>
      </c>
      <c r="N3" s="49" t="s">
        <v>103</v>
      </c>
      <c r="O3" s="88" t="s">
        <v>104</v>
      </c>
      <c r="P3" t="s">
        <v>105</v>
      </c>
    </row>
    <row r="4" spans="1:16" hidden="1" x14ac:dyDescent="0.3">
      <c r="A4" s="115">
        <v>46014</v>
      </c>
      <c r="B4" s="80" t="s">
        <v>221</v>
      </c>
      <c r="C4" s="11"/>
      <c r="D4" s="86">
        <v>323372</v>
      </c>
      <c r="E4" s="80" t="s">
        <v>261</v>
      </c>
      <c r="F4" s="87" t="s">
        <v>107</v>
      </c>
      <c r="J4" s="44" t="s">
        <v>70</v>
      </c>
      <c r="K4" s="45">
        <f>Table14[[#Totals],[Debit]]</f>
        <v>80000</v>
      </c>
      <c r="M4" s="44" t="s">
        <v>106</v>
      </c>
      <c r="N4" s="50">
        <f>SUMIFS(Table14[Withdrawal],Table14[Party],"Cash",Table14[Mode],"Transfer")</f>
        <v>0</v>
      </c>
    </row>
    <row r="5" spans="1:16" hidden="1" x14ac:dyDescent="0.3">
      <c r="A5" s="115">
        <v>46009</v>
      </c>
      <c r="B5" t="s">
        <v>176</v>
      </c>
      <c r="C5" s="11">
        <v>500</v>
      </c>
      <c r="D5" s="11"/>
      <c r="E5" t="s">
        <v>216</v>
      </c>
      <c r="F5" s="110" t="s">
        <v>107</v>
      </c>
      <c r="J5" s="44" t="s">
        <v>69</v>
      </c>
      <c r="K5" s="45">
        <f>Table14[[#Totals],[Credit]]</f>
        <v>0</v>
      </c>
      <c r="M5" s="44" t="s">
        <v>107</v>
      </c>
      <c r="N5" s="45">
        <f>(SUMIFS(Table14[Credit],Table14[Mode],"Bank")-SUMIFS(Table14[Debit],Table14[Mode],"Bank")-SUMIFS(Table14[Withdrawal],Table14[Mode],"Transfer"))</f>
        <v>2894607</v>
      </c>
      <c r="O5">
        <v>360000</v>
      </c>
    </row>
    <row r="6" spans="1:16" hidden="1" x14ac:dyDescent="0.3">
      <c r="A6" s="38">
        <v>46009</v>
      </c>
      <c r="B6" t="s">
        <v>176</v>
      </c>
      <c r="C6" s="95">
        <v>3600</v>
      </c>
      <c r="D6" s="95"/>
      <c r="E6" t="s">
        <v>217</v>
      </c>
      <c r="F6" s="110" t="s">
        <v>107</v>
      </c>
      <c r="J6" s="51" t="s">
        <v>43</v>
      </c>
      <c r="K6" s="52">
        <f>(K5-K4)</f>
        <v>-80000</v>
      </c>
      <c r="M6" s="44" t="s">
        <v>108</v>
      </c>
      <c r="N6" s="45">
        <f>((SUMIFS(Table14[Credit],Table14[Mode],"Cash")-SUMIFS(Table14[Debit],Table14[Mode],"Cash"))+SUMIFS(Table14[Withdrawal],Table14[Party],"Cash",Table14[Mode],"Transfer"))</f>
        <v>-610916</v>
      </c>
      <c r="O6">
        <v>50000</v>
      </c>
    </row>
    <row r="7" spans="1:16" hidden="1" x14ac:dyDescent="0.3">
      <c r="A7" s="38">
        <v>46009</v>
      </c>
      <c r="B7" t="s">
        <v>218</v>
      </c>
      <c r="C7" s="95">
        <v>5000</v>
      </c>
      <c r="D7" s="95"/>
      <c r="E7" t="s">
        <v>219</v>
      </c>
      <c r="F7" s="110" t="s">
        <v>107</v>
      </c>
      <c r="M7" s="47" t="s">
        <v>5</v>
      </c>
      <c r="N7" s="48">
        <f>SUM(N5:N6)</f>
        <v>2283691</v>
      </c>
      <c r="O7" s="89">
        <f>SUM(O5,O6)</f>
        <v>410000</v>
      </c>
      <c r="P7" s="14">
        <f>Table18[[#Totals],[amount]]-Table18[[#Totals],[Actual]]</f>
        <v>1873691</v>
      </c>
    </row>
    <row r="8" spans="1:16" hidden="1" x14ac:dyDescent="0.3">
      <c r="A8" s="38">
        <v>46009</v>
      </c>
      <c r="B8" t="s">
        <v>52</v>
      </c>
      <c r="C8" s="95"/>
      <c r="D8" s="95"/>
      <c r="E8" t="s">
        <v>220</v>
      </c>
      <c r="F8" s="110" t="s">
        <v>107</v>
      </c>
    </row>
    <row r="9" spans="1:16" hidden="1" x14ac:dyDescent="0.3">
      <c r="A9" s="38">
        <v>46009</v>
      </c>
      <c r="B9" t="s">
        <v>221</v>
      </c>
      <c r="C9" s="95">
        <v>580</v>
      </c>
      <c r="D9" s="95"/>
      <c r="E9" t="s">
        <v>222</v>
      </c>
      <c r="F9" s="110" t="s">
        <v>107</v>
      </c>
    </row>
    <row r="10" spans="1:16" hidden="1" x14ac:dyDescent="0.3">
      <c r="A10" s="38">
        <v>46009</v>
      </c>
      <c r="B10" t="s">
        <v>94</v>
      </c>
      <c r="C10" s="95">
        <v>53250</v>
      </c>
      <c r="D10" s="95"/>
      <c r="E10" t="s">
        <v>190</v>
      </c>
      <c r="F10" s="110" t="s">
        <v>107</v>
      </c>
    </row>
    <row r="11" spans="1:16" hidden="1" x14ac:dyDescent="0.3">
      <c r="A11" s="38">
        <v>46009</v>
      </c>
      <c r="B11" t="s">
        <v>191</v>
      </c>
      <c r="C11" s="95">
        <v>8189253</v>
      </c>
      <c r="D11" s="95"/>
      <c r="E11" t="s">
        <v>261</v>
      </c>
      <c r="F11" s="110" t="s">
        <v>107</v>
      </c>
    </row>
    <row r="12" spans="1:16" hidden="1" x14ac:dyDescent="0.3">
      <c r="A12" s="38">
        <v>46009</v>
      </c>
      <c r="B12" t="s">
        <v>191</v>
      </c>
      <c r="C12" s="95"/>
      <c r="D12" s="95">
        <v>66250</v>
      </c>
      <c r="F12" s="110" t="s">
        <v>107</v>
      </c>
    </row>
    <row r="13" spans="1:16" hidden="1" x14ac:dyDescent="0.3">
      <c r="A13" s="38">
        <v>46009</v>
      </c>
      <c r="B13" t="s">
        <v>197</v>
      </c>
      <c r="C13" s="95">
        <v>183750</v>
      </c>
      <c r="D13" s="95"/>
      <c r="E13" t="s">
        <v>64</v>
      </c>
      <c r="F13" s="110" t="s">
        <v>107</v>
      </c>
    </row>
    <row r="14" spans="1:16" hidden="1" x14ac:dyDescent="0.3">
      <c r="A14" s="38">
        <v>46009</v>
      </c>
      <c r="B14" t="s">
        <v>191</v>
      </c>
      <c r="C14" s="11"/>
      <c r="D14" s="11">
        <v>183750</v>
      </c>
      <c r="E14" t="s">
        <v>197</v>
      </c>
      <c r="F14" s="110" t="s">
        <v>107</v>
      </c>
    </row>
    <row r="15" spans="1:16" hidden="1" x14ac:dyDescent="0.3">
      <c r="A15" s="38">
        <v>46010</v>
      </c>
      <c r="B15" t="s">
        <v>223</v>
      </c>
      <c r="C15" s="11"/>
      <c r="D15" s="11">
        <v>36500</v>
      </c>
      <c r="E15" t="s">
        <v>224</v>
      </c>
      <c r="F15" s="110" t="s">
        <v>107</v>
      </c>
    </row>
    <row r="16" spans="1:16" hidden="1" x14ac:dyDescent="0.3">
      <c r="A16" s="38">
        <v>46010</v>
      </c>
      <c r="B16" t="s">
        <v>191</v>
      </c>
      <c r="C16" s="11">
        <v>26500</v>
      </c>
      <c r="D16" s="11"/>
      <c r="E16" t="s">
        <v>225</v>
      </c>
      <c r="F16" s="110" t="s">
        <v>107</v>
      </c>
    </row>
    <row r="17" spans="1:6" hidden="1" x14ac:dyDescent="0.3">
      <c r="A17" s="38">
        <v>46010</v>
      </c>
      <c r="B17" t="s">
        <v>176</v>
      </c>
      <c r="C17" s="11">
        <v>3600</v>
      </c>
      <c r="D17" s="11"/>
      <c r="E17" t="s">
        <v>217</v>
      </c>
      <c r="F17" s="110" t="s">
        <v>107</v>
      </c>
    </row>
    <row r="18" spans="1:6" hidden="1" x14ac:dyDescent="0.3">
      <c r="A18" s="38">
        <v>46010</v>
      </c>
      <c r="B18" t="s">
        <v>55</v>
      </c>
      <c r="C18" s="11">
        <v>2100</v>
      </c>
      <c r="D18" s="11"/>
      <c r="E18" t="s">
        <v>226</v>
      </c>
      <c r="F18" s="110" t="s">
        <v>107</v>
      </c>
    </row>
    <row r="19" spans="1:6" hidden="1" x14ac:dyDescent="0.3">
      <c r="A19" s="38">
        <v>46010</v>
      </c>
      <c r="B19" t="s">
        <v>221</v>
      </c>
      <c r="C19" s="11">
        <v>140</v>
      </c>
      <c r="D19" s="11"/>
      <c r="E19" t="s">
        <v>216</v>
      </c>
      <c r="F19" s="110" t="s">
        <v>107</v>
      </c>
    </row>
    <row r="20" spans="1:6" hidden="1" x14ac:dyDescent="0.3">
      <c r="A20" s="38">
        <v>46010</v>
      </c>
      <c r="B20" t="s">
        <v>221</v>
      </c>
      <c r="C20" s="95">
        <v>1230</v>
      </c>
      <c r="D20" s="95"/>
      <c r="F20" s="110" t="s">
        <v>107</v>
      </c>
    </row>
    <row r="21" spans="1:6" hidden="1" x14ac:dyDescent="0.3">
      <c r="A21" s="38">
        <v>46009</v>
      </c>
      <c r="B21" t="s">
        <v>221</v>
      </c>
      <c r="C21" s="11">
        <v>1100</v>
      </c>
      <c r="D21" s="11"/>
      <c r="F21" s="110" t="s">
        <v>107</v>
      </c>
    </row>
    <row r="22" spans="1:6" hidden="1" x14ac:dyDescent="0.3">
      <c r="A22" s="38">
        <v>46010</v>
      </c>
      <c r="B22" t="s">
        <v>191</v>
      </c>
      <c r="C22" s="11"/>
      <c r="D22" s="11">
        <v>500000</v>
      </c>
      <c r="E22" t="s">
        <v>224</v>
      </c>
      <c r="F22" s="110" t="s">
        <v>107</v>
      </c>
    </row>
    <row r="23" spans="1:6" hidden="1" x14ac:dyDescent="0.3">
      <c r="A23" s="38">
        <v>46010</v>
      </c>
      <c r="B23" t="s">
        <v>191</v>
      </c>
      <c r="C23" s="11"/>
      <c r="D23" s="11">
        <v>53000</v>
      </c>
      <c r="F23" s="110" t="s">
        <v>107</v>
      </c>
    </row>
    <row r="24" spans="1:6" hidden="1" x14ac:dyDescent="0.3">
      <c r="A24" s="38">
        <v>46010</v>
      </c>
      <c r="B24" t="s">
        <v>94</v>
      </c>
      <c r="C24" s="11">
        <v>200009</v>
      </c>
      <c r="D24" s="11"/>
      <c r="E24" t="s">
        <v>227</v>
      </c>
      <c r="F24" s="110" t="s">
        <v>107</v>
      </c>
    </row>
    <row r="25" spans="1:6" hidden="1" x14ac:dyDescent="0.3">
      <c r="A25" s="38">
        <v>46010</v>
      </c>
      <c r="B25" t="s">
        <v>228</v>
      </c>
      <c r="C25" s="11">
        <v>200025</v>
      </c>
      <c r="D25" s="11"/>
      <c r="F25" s="110" t="s">
        <v>107</v>
      </c>
    </row>
    <row r="26" spans="1:6" hidden="1" x14ac:dyDescent="0.3">
      <c r="A26" s="38">
        <v>46010</v>
      </c>
      <c r="B26" t="s">
        <v>201</v>
      </c>
      <c r="C26" s="11">
        <v>40000</v>
      </c>
      <c r="D26" s="11"/>
      <c r="E26" t="s">
        <v>229</v>
      </c>
      <c r="F26" s="110" t="s">
        <v>107</v>
      </c>
    </row>
    <row r="27" spans="1:6" x14ac:dyDescent="0.3">
      <c r="A27" s="38">
        <v>46010</v>
      </c>
      <c r="B27" t="s">
        <v>148</v>
      </c>
      <c r="C27" s="95">
        <v>50000</v>
      </c>
      <c r="D27" s="95"/>
      <c r="F27" s="110" t="s">
        <v>107</v>
      </c>
    </row>
    <row r="28" spans="1:6" hidden="1" x14ac:dyDescent="0.3">
      <c r="A28" s="38">
        <v>46010</v>
      </c>
      <c r="B28" t="s">
        <v>168</v>
      </c>
      <c r="C28" s="95">
        <v>115000</v>
      </c>
      <c r="D28" s="95"/>
      <c r="F28" s="110" t="s">
        <v>107</v>
      </c>
    </row>
    <row r="29" spans="1:6" hidden="1" x14ac:dyDescent="0.3">
      <c r="A29" s="115">
        <v>46010</v>
      </c>
      <c r="B29" t="s">
        <v>151</v>
      </c>
      <c r="C29" s="95"/>
      <c r="D29" s="95">
        <v>440000</v>
      </c>
      <c r="E29" t="s">
        <v>69</v>
      </c>
      <c r="F29" s="110" t="s">
        <v>107</v>
      </c>
    </row>
    <row r="30" spans="1:6" hidden="1" x14ac:dyDescent="0.3">
      <c r="A30" s="115">
        <v>46010</v>
      </c>
      <c r="B30" t="s">
        <v>191</v>
      </c>
      <c r="C30" s="95">
        <v>440000</v>
      </c>
      <c r="D30" s="95"/>
      <c r="E30" t="s">
        <v>297</v>
      </c>
      <c r="F30" s="110" t="s">
        <v>107</v>
      </c>
    </row>
    <row r="31" spans="1:6" hidden="1" x14ac:dyDescent="0.3">
      <c r="A31" s="38">
        <v>46010</v>
      </c>
      <c r="B31" t="s">
        <v>191</v>
      </c>
      <c r="C31" s="95"/>
      <c r="D31" s="95">
        <v>100000</v>
      </c>
      <c r="F31" s="110" t="s">
        <v>107</v>
      </c>
    </row>
    <row r="32" spans="1:6" hidden="1" x14ac:dyDescent="0.3">
      <c r="A32" s="38">
        <v>46010</v>
      </c>
      <c r="B32" t="s">
        <v>55</v>
      </c>
      <c r="C32" s="95">
        <v>1400</v>
      </c>
      <c r="D32" s="95"/>
      <c r="E32" t="s">
        <v>230</v>
      </c>
      <c r="F32" s="110" t="s">
        <v>107</v>
      </c>
    </row>
    <row r="33" spans="1:6" hidden="1" x14ac:dyDescent="0.3">
      <c r="A33" s="38">
        <v>46010</v>
      </c>
      <c r="B33" t="s">
        <v>55</v>
      </c>
      <c r="C33" s="11">
        <v>8575</v>
      </c>
      <c r="D33" s="11"/>
      <c r="E33" t="s">
        <v>231</v>
      </c>
      <c r="F33" s="110" t="s">
        <v>107</v>
      </c>
    </row>
    <row r="34" spans="1:6" hidden="1" x14ac:dyDescent="0.3">
      <c r="A34" s="38">
        <v>46010</v>
      </c>
      <c r="B34" t="s">
        <v>232</v>
      </c>
      <c r="C34" s="11">
        <v>20000</v>
      </c>
      <c r="D34" s="11"/>
      <c r="E34" t="s">
        <v>233</v>
      </c>
      <c r="F34" s="110" t="s">
        <v>107</v>
      </c>
    </row>
    <row r="35" spans="1:6" hidden="1" x14ac:dyDescent="0.3">
      <c r="A35" s="38">
        <v>46010</v>
      </c>
      <c r="B35" t="s">
        <v>50</v>
      </c>
      <c r="C35" s="11">
        <v>1470</v>
      </c>
      <c r="D35" s="11"/>
      <c r="E35" t="s">
        <v>234</v>
      </c>
      <c r="F35" s="110" t="s">
        <v>107</v>
      </c>
    </row>
    <row r="36" spans="1:6" hidden="1" x14ac:dyDescent="0.3">
      <c r="A36" s="38">
        <v>46010</v>
      </c>
      <c r="B36" t="s">
        <v>50</v>
      </c>
      <c r="C36" s="11">
        <v>1040</v>
      </c>
      <c r="D36" s="11"/>
      <c r="E36" t="s">
        <v>234</v>
      </c>
      <c r="F36" s="110" t="s">
        <v>107</v>
      </c>
    </row>
    <row r="37" spans="1:6" hidden="1" x14ac:dyDescent="0.3">
      <c r="A37" s="38">
        <v>46010</v>
      </c>
      <c r="B37" t="s">
        <v>54</v>
      </c>
      <c r="C37" s="11">
        <v>3000</v>
      </c>
      <c r="D37" s="11"/>
      <c r="E37" t="s">
        <v>235</v>
      </c>
      <c r="F37" s="110" t="s">
        <v>107</v>
      </c>
    </row>
    <row r="38" spans="1:6" hidden="1" x14ac:dyDescent="0.3">
      <c r="A38" s="38">
        <v>46010</v>
      </c>
      <c r="B38" t="s">
        <v>54</v>
      </c>
      <c r="C38" s="11">
        <v>13000</v>
      </c>
      <c r="D38" s="11"/>
      <c r="E38" t="s">
        <v>235</v>
      </c>
      <c r="F38" s="110" t="s">
        <v>107</v>
      </c>
    </row>
    <row r="39" spans="1:6" hidden="1" x14ac:dyDescent="0.3">
      <c r="A39" s="38">
        <v>46010</v>
      </c>
      <c r="B39" t="s">
        <v>191</v>
      </c>
      <c r="C39" s="11"/>
      <c r="D39" s="11">
        <v>13000</v>
      </c>
      <c r="E39" t="s">
        <v>235</v>
      </c>
      <c r="F39" s="110" t="s">
        <v>107</v>
      </c>
    </row>
    <row r="40" spans="1:6" hidden="1" x14ac:dyDescent="0.3">
      <c r="A40" s="38">
        <v>46010</v>
      </c>
      <c r="B40" t="s">
        <v>232</v>
      </c>
      <c r="C40" s="11">
        <v>7000</v>
      </c>
      <c r="D40" s="11"/>
      <c r="E40" t="s">
        <v>236</v>
      </c>
      <c r="F40" s="110" t="s">
        <v>107</v>
      </c>
    </row>
    <row r="41" spans="1:6" hidden="1" x14ac:dyDescent="0.3">
      <c r="A41" s="38">
        <v>46010</v>
      </c>
      <c r="B41" t="s">
        <v>191</v>
      </c>
      <c r="C41" s="11"/>
      <c r="D41" s="11">
        <v>7000</v>
      </c>
      <c r="E41" t="s">
        <v>237</v>
      </c>
      <c r="F41" s="110" t="s">
        <v>107</v>
      </c>
    </row>
    <row r="42" spans="1:6" hidden="1" x14ac:dyDescent="0.3">
      <c r="A42" s="38">
        <v>46010</v>
      </c>
      <c r="B42" t="s">
        <v>52</v>
      </c>
      <c r="C42" s="11"/>
      <c r="D42" s="11"/>
      <c r="E42" t="s">
        <v>238</v>
      </c>
      <c r="F42" s="110" t="s">
        <v>107</v>
      </c>
    </row>
    <row r="43" spans="1:6" hidden="1" x14ac:dyDescent="0.3">
      <c r="A43" s="38">
        <v>46010</v>
      </c>
      <c r="B43" t="s">
        <v>191</v>
      </c>
      <c r="C43" s="11"/>
      <c r="D43" s="11">
        <v>22000</v>
      </c>
      <c r="E43" t="s">
        <v>238</v>
      </c>
      <c r="F43" s="110" t="s">
        <v>107</v>
      </c>
    </row>
    <row r="44" spans="1:6" hidden="1" x14ac:dyDescent="0.3">
      <c r="A44" s="38">
        <v>46011</v>
      </c>
      <c r="B44" t="s">
        <v>232</v>
      </c>
      <c r="C44" s="11">
        <v>2000</v>
      </c>
      <c r="D44" s="11"/>
      <c r="E44" t="s">
        <v>243</v>
      </c>
      <c r="F44" s="110" t="s">
        <v>107</v>
      </c>
    </row>
    <row r="45" spans="1:6" hidden="1" x14ac:dyDescent="0.3">
      <c r="A45" s="38">
        <v>46011</v>
      </c>
      <c r="B45" t="s">
        <v>151</v>
      </c>
      <c r="C45" s="11"/>
      <c r="D45" s="11">
        <v>48000</v>
      </c>
      <c r="E45" t="s">
        <v>244</v>
      </c>
      <c r="F45" s="110" t="s">
        <v>107</v>
      </c>
    </row>
    <row r="46" spans="1:6" hidden="1" x14ac:dyDescent="0.3">
      <c r="A46" s="38">
        <v>46011</v>
      </c>
      <c r="B46" t="s">
        <v>54</v>
      </c>
      <c r="C46" s="11">
        <v>6530</v>
      </c>
      <c r="D46" s="11"/>
      <c r="E46" t="s">
        <v>245</v>
      </c>
      <c r="F46" s="110" t="s">
        <v>107</v>
      </c>
    </row>
    <row r="47" spans="1:6" hidden="1" x14ac:dyDescent="0.3">
      <c r="A47" s="38">
        <v>46011</v>
      </c>
      <c r="B47" t="s">
        <v>55</v>
      </c>
      <c r="C47" s="11">
        <v>1100</v>
      </c>
      <c r="D47" s="11"/>
      <c r="E47" t="s">
        <v>246</v>
      </c>
      <c r="F47" s="110" t="s">
        <v>107</v>
      </c>
    </row>
    <row r="48" spans="1:6" hidden="1" x14ac:dyDescent="0.3">
      <c r="A48" s="38">
        <v>46011</v>
      </c>
      <c r="B48" t="s">
        <v>52</v>
      </c>
      <c r="C48" s="11"/>
      <c r="D48" s="11"/>
      <c r="E48" t="s">
        <v>247</v>
      </c>
      <c r="F48" s="110" t="s">
        <v>107</v>
      </c>
    </row>
    <row r="49" spans="1:6" hidden="1" x14ac:dyDescent="0.3">
      <c r="A49" s="115">
        <v>46011</v>
      </c>
      <c r="B49" t="s">
        <v>176</v>
      </c>
      <c r="C49" s="11">
        <v>2000</v>
      </c>
      <c r="D49" s="11"/>
      <c r="E49" t="s">
        <v>258</v>
      </c>
      <c r="F49" s="110" t="s">
        <v>107</v>
      </c>
    </row>
    <row r="50" spans="1:6" hidden="1" x14ac:dyDescent="0.3">
      <c r="A50" s="38">
        <v>46012</v>
      </c>
      <c r="B50" t="s">
        <v>191</v>
      </c>
      <c r="C50" s="11"/>
      <c r="D50" s="11">
        <v>700000</v>
      </c>
      <c r="E50" t="s">
        <v>248</v>
      </c>
      <c r="F50" s="110" t="s">
        <v>107</v>
      </c>
    </row>
    <row r="51" spans="1:6" hidden="1" x14ac:dyDescent="0.3">
      <c r="A51" s="38">
        <v>46012</v>
      </c>
      <c r="B51" t="s">
        <v>228</v>
      </c>
      <c r="C51" s="11">
        <v>50000</v>
      </c>
      <c r="D51" s="11"/>
      <c r="F51" s="110" t="s">
        <v>107</v>
      </c>
    </row>
    <row r="52" spans="1:6" hidden="1" x14ac:dyDescent="0.3">
      <c r="A52" s="38">
        <v>46013</v>
      </c>
      <c r="B52" t="s">
        <v>191</v>
      </c>
      <c r="C52" s="11"/>
      <c r="D52" s="11">
        <v>200000</v>
      </c>
      <c r="E52" t="s">
        <v>249</v>
      </c>
      <c r="F52" s="110" t="s">
        <v>107</v>
      </c>
    </row>
    <row r="53" spans="1:6" hidden="1" x14ac:dyDescent="0.3">
      <c r="A53" s="38">
        <v>46013</v>
      </c>
      <c r="B53" t="s">
        <v>191</v>
      </c>
      <c r="C53" s="11"/>
      <c r="D53" s="11">
        <v>500000</v>
      </c>
      <c r="E53" t="s">
        <v>250</v>
      </c>
      <c r="F53" s="110" t="s">
        <v>107</v>
      </c>
    </row>
    <row r="54" spans="1:6" hidden="1" x14ac:dyDescent="0.3">
      <c r="A54" s="38">
        <v>46013</v>
      </c>
      <c r="B54" t="s">
        <v>191</v>
      </c>
      <c r="C54" s="11"/>
      <c r="D54" s="11">
        <v>635000</v>
      </c>
      <c r="F54" s="110" t="s">
        <v>107</v>
      </c>
    </row>
    <row r="55" spans="1:6" hidden="1" x14ac:dyDescent="0.3">
      <c r="A55" s="38">
        <v>46013</v>
      </c>
      <c r="B55" t="s">
        <v>191</v>
      </c>
      <c r="C55" s="11"/>
      <c r="D55" s="11">
        <v>20000</v>
      </c>
      <c r="E55" t="s">
        <v>247</v>
      </c>
      <c r="F55" s="110" t="s">
        <v>107</v>
      </c>
    </row>
    <row r="56" spans="1:6" hidden="1" x14ac:dyDescent="0.3">
      <c r="A56" s="38">
        <v>46013</v>
      </c>
      <c r="B56" t="s">
        <v>191</v>
      </c>
      <c r="C56" s="11"/>
      <c r="D56" s="11">
        <v>50000</v>
      </c>
      <c r="E56" t="s">
        <v>251</v>
      </c>
      <c r="F56" s="110" t="s">
        <v>107</v>
      </c>
    </row>
    <row r="57" spans="1:6" hidden="1" x14ac:dyDescent="0.3">
      <c r="A57" s="38">
        <v>46013</v>
      </c>
      <c r="B57" t="s">
        <v>51</v>
      </c>
      <c r="C57" s="95">
        <v>2047865</v>
      </c>
      <c r="D57" s="95"/>
      <c r="E57" t="s">
        <v>248</v>
      </c>
      <c r="F57" s="110" t="s">
        <v>107</v>
      </c>
    </row>
    <row r="58" spans="1:6" hidden="1" x14ac:dyDescent="0.3">
      <c r="A58" s="38">
        <v>46013</v>
      </c>
      <c r="B58" t="s">
        <v>9</v>
      </c>
      <c r="C58" s="11"/>
      <c r="D58" s="11">
        <v>200000</v>
      </c>
      <c r="E58" t="s">
        <v>252</v>
      </c>
      <c r="F58" s="110" t="s">
        <v>107</v>
      </c>
    </row>
    <row r="59" spans="1:6" hidden="1" x14ac:dyDescent="0.3">
      <c r="A59" s="38">
        <v>46013</v>
      </c>
      <c r="B59" t="s">
        <v>197</v>
      </c>
      <c r="C59" s="11">
        <v>111250</v>
      </c>
      <c r="D59" s="11"/>
      <c r="E59" t="s">
        <v>64</v>
      </c>
      <c r="F59" s="110" t="s">
        <v>107</v>
      </c>
    </row>
    <row r="60" spans="1:6" hidden="1" x14ac:dyDescent="0.3">
      <c r="A60" s="38">
        <v>46013</v>
      </c>
      <c r="B60" t="s">
        <v>191</v>
      </c>
      <c r="C60" s="11"/>
      <c r="D60" s="11">
        <v>48000</v>
      </c>
      <c r="E60" t="s">
        <v>253</v>
      </c>
      <c r="F60" s="110" t="s">
        <v>107</v>
      </c>
    </row>
    <row r="61" spans="1:6" hidden="1" x14ac:dyDescent="0.3">
      <c r="A61" s="38">
        <v>46013</v>
      </c>
      <c r="B61" t="s">
        <v>52</v>
      </c>
      <c r="C61" s="11"/>
      <c r="D61" s="11"/>
      <c r="E61" t="s">
        <v>254</v>
      </c>
      <c r="F61" s="110" t="s">
        <v>107</v>
      </c>
    </row>
    <row r="62" spans="1:6" hidden="1" x14ac:dyDescent="0.3">
      <c r="A62" s="38">
        <v>46013</v>
      </c>
      <c r="B62" t="s">
        <v>176</v>
      </c>
      <c r="C62" s="11">
        <v>13000</v>
      </c>
      <c r="D62" s="11"/>
      <c r="E62" t="s">
        <v>217</v>
      </c>
      <c r="F62" s="110" t="s">
        <v>107</v>
      </c>
    </row>
    <row r="63" spans="1:6" hidden="1" x14ac:dyDescent="0.3">
      <c r="A63" s="38">
        <v>46013</v>
      </c>
      <c r="B63" t="s">
        <v>221</v>
      </c>
      <c r="C63" s="11">
        <f>2000+1300+760</f>
        <v>4060</v>
      </c>
      <c r="D63" s="11"/>
      <c r="F63" s="110" t="s">
        <v>107</v>
      </c>
    </row>
    <row r="64" spans="1:6" hidden="1" x14ac:dyDescent="0.3">
      <c r="A64" s="38">
        <v>46013</v>
      </c>
      <c r="B64" t="s">
        <v>255</v>
      </c>
      <c r="C64" s="95">
        <v>10000</v>
      </c>
      <c r="D64" s="95"/>
      <c r="F64" s="110" t="s">
        <v>107</v>
      </c>
    </row>
    <row r="65" spans="1:6" hidden="1" x14ac:dyDescent="0.3">
      <c r="A65" s="38">
        <v>46011</v>
      </c>
      <c r="B65" t="s">
        <v>54</v>
      </c>
      <c r="C65" s="95">
        <v>5306</v>
      </c>
      <c r="D65" s="95"/>
      <c r="F65" s="110" t="s">
        <v>107</v>
      </c>
    </row>
    <row r="66" spans="1:6" hidden="1" x14ac:dyDescent="0.3">
      <c r="A66" s="38">
        <v>46011</v>
      </c>
      <c r="B66" t="s">
        <v>221</v>
      </c>
      <c r="C66" s="11">
        <v>1200</v>
      </c>
      <c r="D66" s="11"/>
      <c r="E66" t="s">
        <v>222</v>
      </c>
      <c r="F66" s="110" t="s">
        <v>107</v>
      </c>
    </row>
    <row r="67" spans="1:6" hidden="1" x14ac:dyDescent="0.3">
      <c r="A67" s="38">
        <v>46011</v>
      </c>
      <c r="B67" t="s">
        <v>221</v>
      </c>
      <c r="C67" s="11">
        <v>1280</v>
      </c>
      <c r="D67" s="11"/>
      <c r="F67" s="110" t="s">
        <v>107</v>
      </c>
    </row>
    <row r="68" spans="1:6" hidden="1" x14ac:dyDescent="0.3">
      <c r="A68" s="38">
        <v>46011</v>
      </c>
      <c r="B68" t="s">
        <v>198</v>
      </c>
      <c r="C68" s="11"/>
      <c r="D68" s="11">
        <v>85000</v>
      </c>
      <c r="F68" s="110" t="s">
        <v>107</v>
      </c>
    </row>
    <row r="69" spans="1:6" hidden="1" x14ac:dyDescent="0.3">
      <c r="A69" s="38">
        <v>46011</v>
      </c>
      <c r="B69" t="s">
        <v>191</v>
      </c>
      <c r="C69" s="11">
        <v>85000</v>
      </c>
      <c r="D69" s="11"/>
      <c r="E69" t="s">
        <v>256</v>
      </c>
      <c r="F69" s="110" t="s">
        <v>107</v>
      </c>
    </row>
    <row r="70" spans="1:6" hidden="1" x14ac:dyDescent="0.3">
      <c r="A70" s="115">
        <v>46012</v>
      </c>
      <c r="B70" t="s">
        <v>276</v>
      </c>
      <c r="C70" s="11"/>
      <c r="D70" s="11">
        <v>600000</v>
      </c>
      <c r="E70" t="s">
        <v>277</v>
      </c>
      <c r="F70" s="110" t="s">
        <v>107</v>
      </c>
    </row>
    <row r="71" spans="1:6" hidden="1" x14ac:dyDescent="0.3">
      <c r="A71" s="115">
        <v>46012</v>
      </c>
      <c r="B71" t="s">
        <v>191</v>
      </c>
      <c r="C71" s="11">
        <v>600000</v>
      </c>
      <c r="D71" s="11"/>
      <c r="E71" t="s">
        <v>278</v>
      </c>
      <c r="F71" s="110" t="s">
        <v>107</v>
      </c>
    </row>
    <row r="72" spans="1:6" hidden="1" x14ac:dyDescent="0.3">
      <c r="A72" s="38">
        <v>46013</v>
      </c>
      <c r="B72" t="s">
        <v>168</v>
      </c>
      <c r="C72" s="11">
        <v>100500</v>
      </c>
      <c r="D72" s="11"/>
      <c r="F72" s="110" t="s">
        <v>107</v>
      </c>
    </row>
    <row r="73" spans="1:6" hidden="1" x14ac:dyDescent="0.3">
      <c r="A73" s="115">
        <v>46013</v>
      </c>
      <c r="B73" t="s">
        <v>50</v>
      </c>
      <c r="C73" s="11">
        <v>300</v>
      </c>
      <c r="D73" s="11"/>
      <c r="E73" t="s">
        <v>259</v>
      </c>
      <c r="F73" s="110" t="s">
        <v>107</v>
      </c>
    </row>
    <row r="74" spans="1:6" hidden="1" x14ac:dyDescent="0.3">
      <c r="A74" s="38">
        <v>46011</v>
      </c>
      <c r="B74" t="s">
        <v>176</v>
      </c>
      <c r="C74" s="95">
        <f>2000+200</f>
        <v>2200</v>
      </c>
      <c r="D74" s="95"/>
      <c r="E74" t="s">
        <v>260</v>
      </c>
      <c r="F74" s="110" t="s">
        <v>107</v>
      </c>
    </row>
    <row r="75" spans="1:6" hidden="1" x14ac:dyDescent="0.3">
      <c r="A75" s="115">
        <v>46014</v>
      </c>
      <c r="B75" t="s">
        <v>176</v>
      </c>
      <c r="C75" s="11">
        <v>770</v>
      </c>
      <c r="D75" s="11"/>
      <c r="E75" t="s">
        <v>262</v>
      </c>
      <c r="F75" s="110" t="s">
        <v>107</v>
      </c>
    </row>
    <row r="76" spans="1:6" hidden="1" x14ac:dyDescent="0.3">
      <c r="A76" s="115">
        <v>46014</v>
      </c>
      <c r="B76" t="s">
        <v>176</v>
      </c>
      <c r="C76" s="11">
        <v>631454</v>
      </c>
      <c r="D76" s="11"/>
      <c r="E76" t="s">
        <v>261</v>
      </c>
      <c r="F76" s="110" t="s">
        <v>107</v>
      </c>
    </row>
    <row r="77" spans="1:6" hidden="1" x14ac:dyDescent="0.3">
      <c r="A77" s="115">
        <v>46014</v>
      </c>
      <c r="B77" t="s">
        <v>191</v>
      </c>
      <c r="C77" s="11"/>
      <c r="D77" s="11">
        <v>150000</v>
      </c>
      <c r="E77" t="s">
        <v>251</v>
      </c>
      <c r="F77" s="110" t="s">
        <v>107</v>
      </c>
    </row>
    <row r="78" spans="1:6" hidden="1" x14ac:dyDescent="0.3">
      <c r="A78" s="115">
        <v>46014</v>
      </c>
      <c r="B78" t="s">
        <v>228</v>
      </c>
      <c r="C78" s="11">
        <v>150000</v>
      </c>
      <c r="D78" s="11"/>
      <c r="E78" t="s">
        <v>263</v>
      </c>
      <c r="F78" s="110" t="s">
        <v>107</v>
      </c>
    </row>
    <row r="79" spans="1:6" hidden="1" x14ac:dyDescent="0.3">
      <c r="A79" s="115">
        <v>46014</v>
      </c>
      <c r="B79" t="s">
        <v>191</v>
      </c>
      <c r="C79" s="11"/>
      <c r="D79" s="11">
        <v>100000</v>
      </c>
      <c r="E79" t="s">
        <v>264</v>
      </c>
      <c r="F79" s="110" t="s">
        <v>107</v>
      </c>
    </row>
    <row r="80" spans="1:6" hidden="1" x14ac:dyDescent="0.3">
      <c r="A80" s="115">
        <v>46014</v>
      </c>
      <c r="B80" t="s">
        <v>52</v>
      </c>
      <c r="C80" s="11"/>
      <c r="D80" s="11"/>
      <c r="E80" t="s">
        <v>265</v>
      </c>
      <c r="F80" s="110" t="s">
        <v>107</v>
      </c>
    </row>
    <row r="81" spans="1:6" hidden="1" x14ac:dyDescent="0.3">
      <c r="A81" s="115">
        <v>46014</v>
      </c>
      <c r="B81" t="s">
        <v>52</v>
      </c>
      <c r="C81" s="11"/>
      <c r="D81" s="11"/>
      <c r="E81" t="s">
        <v>266</v>
      </c>
      <c r="F81" s="110" t="s">
        <v>107</v>
      </c>
    </row>
    <row r="82" spans="1:6" hidden="1" x14ac:dyDescent="0.3">
      <c r="A82" s="115">
        <v>46014</v>
      </c>
      <c r="B82" t="s">
        <v>55</v>
      </c>
      <c r="C82" s="11">
        <v>3400</v>
      </c>
      <c r="D82" s="11"/>
      <c r="E82" t="s">
        <v>267</v>
      </c>
      <c r="F82" s="110" t="s">
        <v>107</v>
      </c>
    </row>
    <row r="83" spans="1:6" hidden="1" x14ac:dyDescent="0.3">
      <c r="A83" s="115">
        <v>46014</v>
      </c>
      <c r="B83" t="s">
        <v>54</v>
      </c>
      <c r="C83" s="95">
        <v>5306</v>
      </c>
      <c r="D83" s="95"/>
      <c r="E83" t="s">
        <v>235</v>
      </c>
      <c r="F83" s="110" t="s">
        <v>107</v>
      </c>
    </row>
    <row r="84" spans="1:6" hidden="1" x14ac:dyDescent="0.3">
      <c r="A84" s="38">
        <v>46011</v>
      </c>
      <c r="B84" t="s">
        <v>165</v>
      </c>
      <c r="C84" s="95"/>
      <c r="D84" s="95">
        <v>150000</v>
      </c>
      <c r="E84" t="s">
        <v>272</v>
      </c>
      <c r="F84" s="110" t="s">
        <v>107</v>
      </c>
    </row>
    <row r="85" spans="1:6" hidden="1" x14ac:dyDescent="0.3">
      <c r="A85" s="38">
        <v>46011</v>
      </c>
      <c r="B85" t="s">
        <v>191</v>
      </c>
      <c r="C85" s="95">
        <v>150000</v>
      </c>
      <c r="D85" s="95"/>
      <c r="E85" t="s">
        <v>273</v>
      </c>
      <c r="F85" s="110" t="s">
        <v>107</v>
      </c>
    </row>
    <row r="86" spans="1:6" hidden="1" x14ac:dyDescent="0.3">
      <c r="A86" s="115">
        <v>46011</v>
      </c>
      <c r="B86" t="s">
        <v>165</v>
      </c>
      <c r="C86" s="95"/>
      <c r="D86" s="95">
        <v>100000</v>
      </c>
      <c r="E86" t="s">
        <v>274</v>
      </c>
      <c r="F86" s="110" t="s">
        <v>107</v>
      </c>
    </row>
    <row r="87" spans="1:6" hidden="1" x14ac:dyDescent="0.3">
      <c r="A87" s="115">
        <v>46011</v>
      </c>
      <c r="B87" t="s">
        <v>191</v>
      </c>
      <c r="C87" s="95">
        <v>100000</v>
      </c>
      <c r="D87" s="95"/>
      <c r="E87" t="s">
        <v>275</v>
      </c>
      <c r="F87" s="110" t="s">
        <v>107</v>
      </c>
    </row>
    <row r="88" spans="1:6" hidden="1" x14ac:dyDescent="0.3">
      <c r="A88" s="115">
        <v>46013</v>
      </c>
      <c r="B88" t="s">
        <v>165</v>
      </c>
      <c r="C88" s="11"/>
      <c r="D88" s="11">
        <v>140000</v>
      </c>
      <c r="E88" t="s">
        <v>268</v>
      </c>
      <c r="F88" s="110" t="s">
        <v>107</v>
      </c>
    </row>
    <row r="89" spans="1:6" hidden="1" x14ac:dyDescent="0.3">
      <c r="A89" s="115">
        <v>46013</v>
      </c>
      <c r="B89" t="s">
        <v>191</v>
      </c>
      <c r="C89" s="11">
        <v>140000</v>
      </c>
      <c r="D89" s="11"/>
      <c r="E89" t="s">
        <v>269</v>
      </c>
      <c r="F89" s="110" t="s">
        <v>107</v>
      </c>
    </row>
    <row r="90" spans="1:6" hidden="1" x14ac:dyDescent="0.3">
      <c r="A90" s="38">
        <v>46014</v>
      </c>
      <c r="B90" t="s">
        <v>165</v>
      </c>
      <c r="C90" s="95"/>
      <c r="D90" s="95">
        <v>150000</v>
      </c>
      <c r="E90" t="s">
        <v>270</v>
      </c>
      <c r="F90" s="110" t="s">
        <v>107</v>
      </c>
    </row>
    <row r="91" spans="1:6" hidden="1" x14ac:dyDescent="0.3">
      <c r="A91" s="38">
        <v>46014</v>
      </c>
      <c r="B91" t="s">
        <v>191</v>
      </c>
      <c r="C91" s="95">
        <v>150000</v>
      </c>
      <c r="D91" s="95"/>
      <c r="E91" t="s">
        <v>271</v>
      </c>
      <c r="F91" s="110" t="s">
        <v>107</v>
      </c>
    </row>
    <row r="92" spans="1:6" hidden="1" x14ac:dyDescent="0.3">
      <c r="A92" s="115">
        <v>46014</v>
      </c>
      <c r="B92" t="s">
        <v>198</v>
      </c>
      <c r="C92" s="11"/>
      <c r="D92" s="11">
        <v>104770</v>
      </c>
      <c r="E92" t="s">
        <v>279</v>
      </c>
      <c r="F92" s="110" t="s">
        <v>107</v>
      </c>
    </row>
    <row r="93" spans="1:6" hidden="1" x14ac:dyDescent="0.3">
      <c r="A93" s="115">
        <v>46014</v>
      </c>
      <c r="B93" t="s">
        <v>191</v>
      </c>
      <c r="C93" s="11">
        <v>104770</v>
      </c>
      <c r="D93" s="11"/>
      <c r="E93" t="s">
        <v>280</v>
      </c>
      <c r="F93" s="110" t="s">
        <v>107</v>
      </c>
    </row>
    <row r="94" spans="1:6" hidden="1" x14ac:dyDescent="0.3">
      <c r="A94" s="38">
        <v>46014</v>
      </c>
      <c r="B94" t="s">
        <v>115</v>
      </c>
      <c r="C94" s="95">
        <v>150000</v>
      </c>
      <c r="D94" s="95"/>
      <c r="E94" t="s">
        <v>281</v>
      </c>
      <c r="F94" s="110" t="s">
        <v>107</v>
      </c>
    </row>
    <row r="95" spans="1:6" hidden="1" x14ac:dyDescent="0.3">
      <c r="A95" s="38">
        <v>46014</v>
      </c>
      <c r="B95" t="s">
        <v>191</v>
      </c>
      <c r="C95" s="95"/>
      <c r="D95" s="95">
        <v>150000</v>
      </c>
      <c r="E95" t="s">
        <v>115</v>
      </c>
      <c r="F95" s="110" t="s">
        <v>107</v>
      </c>
    </row>
    <row r="96" spans="1:6" hidden="1" x14ac:dyDescent="0.3">
      <c r="A96" s="38">
        <v>46014</v>
      </c>
      <c r="B96" t="s">
        <v>191</v>
      </c>
      <c r="C96" s="95"/>
      <c r="D96" s="95">
        <v>80000</v>
      </c>
      <c r="E96" t="s">
        <v>282</v>
      </c>
      <c r="F96" s="110" t="s">
        <v>107</v>
      </c>
    </row>
    <row r="97" spans="1:6" hidden="1" x14ac:dyDescent="0.3">
      <c r="A97" s="38">
        <v>46014</v>
      </c>
      <c r="B97" t="s">
        <v>191</v>
      </c>
      <c r="C97" s="95"/>
      <c r="D97" s="95">
        <v>52000</v>
      </c>
      <c r="E97" t="s">
        <v>283</v>
      </c>
      <c r="F97" s="110" t="s">
        <v>107</v>
      </c>
    </row>
    <row r="98" spans="1:6" hidden="1" x14ac:dyDescent="0.3">
      <c r="A98" s="115">
        <v>46014</v>
      </c>
      <c r="B98" t="s">
        <v>285</v>
      </c>
      <c r="C98" s="11"/>
      <c r="D98" s="11">
        <v>713525</v>
      </c>
      <c r="E98" t="s">
        <v>286</v>
      </c>
      <c r="F98" s="110" t="s">
        <v>107</v>
      </c>
    </row>
    <row r="99" spans="1:6" hidden="1" x14ac:dyDescent="0.3">
      <c r="A99" s="38">
        <v>46014</v>
      </c>
      <c r="B99" t="s">
        <v>191</v>
      </c>
      <c r="C99" s="95">
        <v>713525</v>
      </c>
      <c r="D99" s="95"/>
      <c r="E99" t="s">
        <v>287</v>
      </c>
      <c r="F99" s="110" t="s">
        <v>107</v>
      </c>
    </row>
    <row r="100" spans="1:6" hidden="1" x14ac:dyDescent="0.3">
      <c r="A100" s="115">
        <v>46015</v>
      </c>
      <c r="B100" t="s">
        <v>228</v>
      </c>
      <c r="C100" s="11">
        <v>46000</v>
      </c>
      <c r="D100" s="11"/>
      <c r="E100" t="s">
        <v>288</v>
      </c>
      <c r="F100" s="110" t="s">
        <v>107</v>
      </c>
    </row>
    <row r="101" spans="1:6" hidden="1" x14ac:dyDescent="0.3">
      <c r="A101" s="115">
        <v>46015</v>
      </c>
      <c r="B101" t="s">
        <v>232</v>
      </c>
      <c r="C101" s="11">
        <v>10000</v>
      </c>
      <c r="D101" s="11"/>
      <c r="E101" t="s">
        <v>289</v>
      </c>
      <c r="F101" s="110" t="s">
        <v>107</v>
      </c>
    </row>
    <row r="102" spans="1:6" hidden="1" x14ac:dyDescent="0.3">
      <c r="A102" s="115">
        <v>46015</v>
      </c>
      <c r="B102" t="s">
        <v>54</v>
      </c>
      <c r="C102" s="11">
        <v>14900</v>
      </c>
      <c r="D102" s="11"/>
      <c r="E102" t="s">
        <v>235</v>
      </c>
      <c r="F102" s="110" t="s">
        <v>107</v>
      </c>
    </row>
    <row r="103" spans="1:6" hidden="1" x14ac:dyDescent="0.3">
      <c r="A103" s="115">
        <v>46015</v>
      </c>
      <c r="B103" t="s">
        <v>176</v>
      </c>
      <c r="C103" s="11">
        <f>6445+291</f>
        <v>6736</v>
      </c>
      <c r="D103" s="11"/>
      <c r="E103" t="s">
        <v>290</v>
      </c>
      <c r="F103" s="110" t="s">
        <v>107</v>
      </c>
    </row>
    <row r="104" spans="1:6" hidden="1" x14ac:dyDescent="0.3">
      <c r="A104" s="115">
        <v>46015</v>
      </c>
      <c r="B104" t="s">
        <v>9</v>
      </c>
      <c r="C104" s="95"/>
      <c r="D104" s="95">
        <v>130000</v>
      </c>
      <c r="E104" t="s">
        <v>252</v>
      </c>
      <c r="F104" s="110" t="s">
        <v>107</v>
      </c>
    </row>
    <row r="105" spans="1:6" hidden="1" x14ac:dyDescent="0.3">
      <c r="A105" s="115">
        <v>46015</v>
      </c>
      <c r="B105" t="s">
        <v>176</v>
      </c>
      <c r="C105" s="11">
        <v>1880</v>
      </c>
      <c r="D105" s="11"/>
      <c r="E105" t="s">
        <v>291</v>
      </c>
      <c r="F105" s="110" t="s">
        <v>107</v>
      </c>
    </row>
    <row r="106" spans="1:6" hidden="1" x14ac:dyDescent="0.3">
      <c r="A106" s="115">
        <v>46015</v>
      </c>
      <c r="B106" t="s">
        <v>50</v>
      </c>
      <c r="C106" s="11">
        <f>1500+225+200</f>
        <v>1925</v>
      </c>
      <c r="D106" s="11"/>
      <c r="E106" t="s">
        <v>292</v>
      </c>
      <c r="F106" s="110" t="s">
        <v>107</v>
      </c>
    </row>
    <row r="107" spans="1:6" hidden="1" x14ac:dyDescent="0.3">
      <c r="A107" s="115">
        <v>46015</v>
      </c>
      <c r="B107" t="s">
        <v>55</v>
      </c>
      <c r="C107" s="11">
        <v>1500</v>
      </c>
      <c r="D107" s="11"/>
      <c r="F107" s="110" t="s">
        <v>107</v>
      </c>
    </row>
    <row r="108" spans="1:6" hidden="1" x14ac:dyDescent="0.3">
      <c r="A108" s="115">
        <v>46015</v>
      </c>
      <c r="B108" t="s">
        <v>112</v>
      </c>
      <c r="C108" s="11">
        <v>16865</v>
      </c>
      <c r="D108" s="11"/>
      <c r="E108" t="s">
        <v>293</v>
      </c>
      <c r="F108" s="110" t="s">
        <v>107</v>
      </c>
    </row>
    <row r="109" spans="1:6" hidden="1" x14ac:dyDescent="0.3">
      <c r="A109" s="115">
        <v>46015</v>
      </c>
      <c r="B109" t="s">
        <v>52</v>
      </c>
      <c r="C109" s="11"/>
      <c r="D109" s="11"/>
      <c r="E109" t="s">
        <v>220</v>
      </c>
      <c r="F109" s="110" t="s">
        <v>107</v>
      </c>
    </row>
    <row r="110" spans="1:6" hidden="1" x14ac:dyDescent="0.3">
      <c r="A110" s="38">
        <v>46015</v>
      </c>
      <c r="B110" t="s">
        <v>55</v>
      </c>
      <c r="C110" s="95">
        <v>2500</v>
      </c>
      <c r="D110" s="95"/>
      <c r="E110" t="s">
        <v>294</v>
      </c>
      <c r="F110" s="110" t="s">
        <v>107</v>
      </c>
    </row>
    <row r="111" spans="1:6" hidden="1" x14ac:dyDescent="0.3">
      <c r="A111" s="38">
        <v>46015</v>
      </c>
      <c r="B111" t="s">
        <v>151</v>
      </c>
      <c r="C111" s="95"/>
      <c r="D111" s="95">
        <v>120000</v>
      </c>
      <c r="F111" s="110" t="s">
        <v>107</v>
      </c>
    </row>
    <row r="112" spans="1:6" hidden="1" x14ac:dyDescent="0.3">
      <c r="A112" s="38">
        <v>46015</v>
      </c>
      <c r="B112" t="s">
        <v>9</v>
      </c>
      <c r="C112" s="95"/>
      <c r="D112" s="95">
        <v>20000</v>
      </c>
      <c r="E112" t="s">
        <v>108</v>
      </c>
      <c r="F112" s="110" t="s">
        <v>107</v>
      </c>
    </row>
    <row r="113" spans="1:6" hidden="1" x14ac:dyDescent="0.3">
      <c r="A113" s="38">
        <v>46015</v>
      </c>
      <c r="B113" t="s">
        <v>168</v>
      </c>
      <c r="C113" s="95">
        <v>150000</v>
      </c>
      <c r="D113" s="95"/>
      <c r="E113" t="s">
        <v>252</v>
      </c>
      <c r="F113" s="110" t="s">
        <v>107</v>
      </c>
    </row>
    <row r="114" spans="1:6" hidden="1" x14ac:dyDescent="0.3">
      <c r="A114" s="38">
        <v>46015</v>
      </c>
      <c r="B114" t="s">
        <v>228</v>
      </c>
      <c r="C114" s="11">
        <v>100000</v>
      </c>
      <c r="D114" s="11"/>
      <c r="E114" t="s">
        <v>252</v>
      </c>
      <c r="F114" s="110" t="s">
        <v>107</v>
      </c>
    </row>
    <row r="115" spans="1:6" hidden="1" x14ac:dyDescent="0.3">
      <c r="A115" s="38">
        <v>46015</v>
      </c>
      <c r="B115" t="s">
        <v>165</v>
      </c>
      <c r="C115" s="11"/>
      <c r="D115" s="11">
        <v>150000</v>
      </c>
      <c r="E115" t="s">
        <v>295</v>
      </c>
      <c r="F115" s="110" t="s">
        <v>107</v>
      </c>
    </row>
    <row r="116" spans="1:6" hidden="1" x14ac:dyDescent="0.3">
      <c r="A116" s="38">
        <v>46015</v>
      </c>
      <c r="B116" t="s">
        <v>221</v>
      </c>
      <c r="C116" s="11">
        <v>1500</v>
      </c>
      <c r="D116" s="11"/>
      <c r="E116" t="s">
        <v>298</v>
      </c>
      <c r="F116" s="110" t="s">
        <v>107</v>
      </c>
    </row>
    <row r="117" spans="1:6" hidden="1" x14ac:dyDescent="0.3">
      <c r="A117" s="38">
        <v>46016</v>
      </c>
      <c r="B117" t="s">
        <v>176</v>
      </c>
      <c r="C117" s="11">
        <v>1500</v>
      </c>
      <c r="D117" s="11"/>
      <c r="E117" t="s">
        <v>298</v>
      </c>
      <c r="F117" s="110" t="s">
        <v>107</v>
      </c>
    </row>
    <row r="118" spans="1:6" hidden="1" x14ac:dyDescent="0.3">
      <c r="A118" s="38">
        <v>46016</v>
      </c>
      <c r="B118" t="s">
        <v>55</v>
      </c>
      <c r="C118" s="11">
        <v>1800</v>
      </c>
      <c r="D118" s="11"/>
      <c r="F118" s="110" t="s">
        <v>107</v>
      </c>
    </row>
    <row r="119" spans="1:6" hidden="1" x14ac:dyDescent="0.3">
      <c r="A119" s="38">
        <v>46016</v>
      </c>
      <c r="B119" t="s">
        <v>54</v>
      </c>
      <c r="C119" s="11">
        <v>5313</v>
      </c>
      <c r="D119" s="11"/>
      <c r="E119" t="s">
        <v>299</v>
      </c>
      <c r="F119" s="110" t="s">
        <v>107</v>
      </c>
    </row>
    <row r="120" spans="1:6" hidden="1" x14ac:dyDescent="0.3">
      <c r="A120" s="38">
        <v>46016</v>
      </c>
      <c r="B120" t="s">
        <v>191</v>
      </c>
      <c r="C120" s="11"/>
      <c r="D120" s="11">
        <v>162500</v>
      </c>
      <c r="E120" t="s">
        <v>300</v>
      </c>
      <c r="F120" s="110" t="s">
        <v>107</v>
      </c>
    </row>
    <row r="121" spans="1:6" hidden="1" x14ac:dyDescent="0.3">
      <c r="A121" s="38">
        <v>46016</v>
      </c>
      <c r="B121" t="s">
        <v>301</v>
      </c>
      <c r="C121" s="11">
        <v>162500</v>
      </c>
      <c r="D121" s="11"/>
      <c r="F121" s="110" t="s">
        <v>107</v>
      </c>
    </row>
    <row r="122" spans="1:6" hidden="1" x14ac:dyDescent="0.3">
      <c r="A122" s="38">
        <v>46016</v>
      </c>
      <c r="B122" t="s">
        <v>191</v>
      </c>
      <c r="C122" s="11"/>
      <c r="D122" s="11">
        <v>650</v>
      </c>
      <c r="E122" t="s">
        <v>302</v>
      </c>
      <c r="F122" s="110" t="s">
        <v>107</v>
      </c>
    </row>
    <row r="123" spans="1:6" hidden="1" x14ac:dyDescent="0.3">
      <c r="A123" s="38">
        <v>46016</v>
      </c>
      <c r="B123" t="s">
        <v>55</v>
      </c>
      <c r="C123" s="11">
        <v>650</v>
      </c>
      <c r="D123" s="11"/>
      <c r="E123" t="s">
        <v>302</v>
      </c>
      <c r="F123" s="110" t="s">
        <v>107</v>
      </c>
    </row>
    <row r="124" spans="1:6" hidden="1" x14ac:dyDescent="0.3">
      <c r="A124" s="38">
        <v>46016</v>
      </c>
      <c r="B124" t="s">
        <v>55</v>
      </c>
      <c r="C124" s="11">
        <v>180</v>
      </c>
      <c r="D124" s="11"/>
      <c r="F124" s="110" t="s">
        <v>107</v>
      </c>
    </row>
    <row r="125" spans="1:6" hidden="1" x14ac:dyDescent="0.3">
      <c r="A125" s="38">
        <v>46016</v>
      </c>
      <c r="B125" t="s">
        <v>191</v>
      </c>
      <c r="C125" s="11"/>
      <c r="D125" s="11">
        <v>180</v>
      </c>
      <c r="E125" t="s">
        <v>302</v>
      </c>
      <c r="F125" s="110" t="s">
        <v>107</v>
      </c>
    </row>
    <row r="126" spans="1:6" hidden="1" x14ac:dyDescent="0.3">
      <c r="A126" s="38">
        <v>46016</v>
      </c>
      <c r="B126" t="s">
        <v>50</v>
      </c>
      <c r="C126" s="11">
        <v>1100</v>
      </c>
      <c r="D126" s="11"/>
      <c r="E126" t="s">
        <v>234</v>
      </c>
      <c r="F126" s="110" t="s">
        <v>107</v>
      </c>
    </row>
    <row r="127" spans="1:6" hidden="1" x14ac:dyDescent="0.3">
      <c r="A127" s="38">
        <v>46016</v>
      </c>
      <c r="B127" t="s">
        <v>112</v>
      </c>
      <c r="C127" s="11">
        <v>20000</v>
      </c>
      <c r="D127" s="11"/>
      <c r="E127" t="s">
        <v>303</v>
      </c>
      <c r="F127" s="110" t="s">
        <v>107</v>
      </c>
    </row>
    <row r="128" spans="1:6" hidden="1" x14ac:dyDescent="0.3">
      <c r="A128" s="38">
        <v>46016</v>
      </c>
      <c r="B128" t="s">
        <v>191</v>
      </c>
      <c r="C128" s="11"/>
      <c r="D128" s="11">
        <v>25000</v>
      </c>
      <c r="E128" t="s">
        <v>252</v>
      </c>
      <c r="F128" s="110" t="s">
        <v>107</v>
      </c>
    </row>
    <row r="129" spans="1:6" hidden="1" x14ac:dyDescent="0.3">
      <c r="A129" s="38">
        <v>46016</v>
      </c>
      <c r="B129" t="s">
        <v>228</v>
      </c>
      <c r="C129" s="11">
        <v>50000</v>
      </c>
      <c r="D129" s="11"/>
      <c r="E129" t="s">
        <v>288</v>
      </c>
      <c r="F129" s="110" t="s">
        <v>107</v>
      </c>
    </row>
    <row r="130" spans="1:6" hidden="1" x14ac:dyDescent="0.3">
      <c r="A130" s="38">
        <v>46017</v>
      </c>
      <c r="B130" t="s">
        <v>191</v>
      </c>
      <c r="C130" s="11"/>
      <c r="D130" s="11">
        <v>2600</v>
      </c>
      <c r="E130" t="s">
        <v>304</v>
      </c>
      <c r="F130" s="110" t="s">
        <v>107</v>
      </c>
    </row>
    <row r="131" spans="1:6" hidden="1" x14ac:dyDescent="0.3">
      <c r="A131" s="38">
        <v>46017</v>
      </c>
      <c r="B131" t="s">
        <v>55</v>
      </c>
      <c r="C131" s="11">
        <v>2600</v>
      </c>
      <c r="D131" s="11"/>
      <c r="F131" s="110" t="s">
        <v>107</v>
      </c>
    </row>
    <row r="132" spans="1:6" hidden="1" x14ac:dyDescent="0.3">
      <c r="A132" s="38">
        <v>46017</v>
      </c>
      <c r="B132" t="s">
        <v>151</v>
      </c>
      <c r="C132" s="11"/>
      <c r="D132" s="11">
        <v>300000</v>
      </c>
      <c r="E132" t="s">
        <v>305</v>
      </c>
      <c r="F132" s="110" t="s">
        <v>107</v>
      </c>
    </row>
    <row r="133" spans="1:6" hidden="1" x14ac:dyDescent="0.3">
      <c r="A133" s="38">
        <v>46017</v>
      </c>
      <c r="B133" t="s">
        <v>285</v>
      </c>
      <c r="C133" s="11"/>
      <c r="D133" s="11">
        <v>100000</v>
      </c>
      <c r="E133" t="s">
        <v>305</v>
      </c>
      <c r="F133" s="110" t="s">
        <v>107</v>
      </c>
    </row>
    <row r="134" spans="1:6" hidden="1" x14ac:dyDescent="0.3">
      <c r="A134" s="38">
        <v>46017</v>
      </c>
      <c r="B134" t="s">
        <v>94</v>
      </c>
      <c r="C134" s="11">
        <v>200566</v>
      </c>
      <c r="D134" s="11"/>
      <c r="E134" t="s">
        <v>306</v>
      </c>
      <c r="F134" s="110" t="s">
        <v>107</v>
      </c>
    </row>
    <row r="135" spans="1:6" hidden="1" x14ac:dyDescent="0.3">
      <c r="A135" s="38">
        <v>46017</v>
      </c>
      <c r="B135" t="s">
        <v>168</v>
      </c>
      <c r="C135" s="11">
        <v>200300</v>
      </c>
      <c r="D135" s="11"/>
      <c r="F135" s="110" t="s">
        <v>107</v>
      </c>
    </row>
    <row r="136" spans="1:6" hidden="1" x14ac:dyDescent="0.3">
      <c r="A136" s="38">
        <v>46017</v>
      </c>
      <c r="B136" t="s">
        <v>197</v>
      </c>
      <c r="C136" s="11">
        <v>50000</v>
      </c>
      <c r="D136" s="11"/>
      <c r="E136" t="s">
        <v>310</v>
      </c>
      <c r="F136" s="110" t="s">
        <v>107</v>
      </c>
    </row>
    <row r="137" spans="1:6" hidden="1" x14ac:dyDescent="0.3">
      <c r="A137" s="38">
        <v>46017</v>
      </c>
      <c r="B137" t="s">
        <v>191</v>
      </c>
      <c r="C137" s="11"/>
      <c r="D137" s="11">
        <v>50000</v>
      </c>
      <c r="E137" t="s">
        <v>307</v>
      </c>
      <c r="F137" s="110" t="s">
        <v>107</v>
      </c>
    </row>
    <row r="138" spans="1:6" hidden="1" x14ac:dyDescent="0.3">
      <c r="A138" s="38">
        <v>46017</v>
      </c>
      <c r="B138" t="s">
        <v>191</v>
      </c>
      <c r="C138" s="11"/>
      <c r="D138" s="11">
        <v>200000</v>
      </c>
      <c r="F138" s="110" t="s">
        <v>107</v>
      </c>
    </row>
    <row r="139" spans="1:6" hidden="1" x14ac:dyDescent="0.3">
      <c r="A139" s="38">
        <v>46017</v>
      </c>
      <c r="B139" t="s">
        <v>228</v>
      </c>
      <c r="C139" s="11">
        <v>201000</v>
      </c>
      <c r="D139" s="11"/>
      <c r="E139" t="s">
        <v>308</v>
      </c>
      <c r="F139" s="110" t="s">
        <v>107</v>
      </c>
    </row>
    <row r="140" spans="1:6" hidden="1" x14ac:dyDescent="0.3">
      <c r="A140" s="38">
        <v>46017</v>
      </c>
      <c r="B140" t="s">
        <v>221</v>
      </c>
      <c r="C140" s="11">
        <v>770</v>
      </c>
      <c r="D140" s="11"/>
      <c r="F140" s="110" t="s">
        <v>107</v>
      </c>
    </row>
    <row r="141" spans="1:6" hidden="1" x14ac:dyDescent="0.3">
      <c r="A141" s="38">
        <v>46018</v>
      </c>
      <c r="B141" t="s">
        <v>191</v>
      </c>
      <c r="C141" s="11"/>
      <c r="D141" s="11">
        <v>100000</v>
      </c>
      <c r="E141" t="s">
        <v>108</v>
      </c>
      <c r="F141" s="110" t="s">
        <v>107</v>
      </c>
    </row>
    <row r="142" spans="1:6" hidden="1" x14ac:dyDescent="0.3">
      <c r="A142" s="38">
        <v>46018</v>
      </c>
      <c r="B142" t="s">
        <v>255</v>
      </c>
      <c r="C142" s="11">
        <v>45000</v>
      </c>
      <c r="D142" s="11"/>
      <c r="E142" t="s">
        <v>108</v>
      </c>
      <c r="F142" s="110" t="s">
        <v>107</v>
      </c>
    </row>
    <row r="143" spans="1:6" hidden="1" x14ac:dyDescent="0.3">
      <c r="A143" s="38">
        <v>46018</v>
      </c>
      <c r="B143" t="s">
        <v>201</v>
      </c>
      <c r="C143" s="11">
        <v>40000</v>
      </c>
      <c r="D143" s="11"/>
      <c r="E143" t="s">
        <v>108</v>
      </c>
      <c r="F143" s="110" t="s">
        <v>107</v>
      </c>
    </row>
    <row r="144" spans="1:6" hidden="1" x14ac:dyDescent="0.3">
      <c r="A144" s="38">
        <v>46018</v>
      </c>
      <c r="B144" t="s">
        <v>232</v>
      </c>
      <c r="C144" s="11">
        <v>5000</v>
      </c>
      <c r="D144" s="11"/>
      <c r="E144" t="s">
        <v>311</v>
      </c>
      <c r="F144" s="110" t="s">
        <v>107</v>
      </c>
    </row>
    <row r="145" spans="1:6" hidden="1" x14ac:dyDescent="0.3">
      <c r="A145" s="38">
        <v>46018</v>
      </c>
      <c r="B145" t="s">
        <v>50</v>
      </c>
      <c r="C145" s="11">
        <v>3440</v>
      </c>
      <c r="D145" s="11"/>
      <c r="E145" t="s">
        <v>312</v>
      </c>
      <c r="F145" s="110" t="s">
        <v>107</v>
      </c>
    </row>
    <row r="146" spans="1:6" hidden="1" x14ac:dyDescent="0.3">
      <c r="A146" s="38">
        <v>46018</v>
      </c>
      <c r="B146" t="s">
        <v>52</v>
      </c>
      <c r="C146" s="11"/>
      <c r="D146" s="11"/>
      <c r="E146" t="s">
        <v>313</v>
      </c>
      <c r="F146" s="110" t="s">
        <v>107</v>
      </c>
    </row>
    <row r="147" spans="1:6" hidden="1" x14ac:dyDescent="0.3">
      <c r="A147" s="38">
        <v>46018</v>
      </c>
      <c r="B147" t="s">
        <v>191</v>
      </c>
      <c r="C147" s="11"/>
      <c r="D147" s="11">
        <v>34000</v>
      </c>
      <c r="E147" t="s">
        <v>197</v>
      </c>
      <c r="F147" s="110" t="s">
        <v>107</v>
      </c>
    </row>
    <row r="148" spans="1:6" hidden="1" x14ac:dyDescent="0.3">
      <c r="A148" s="38">
        <v>46018</v>
      </c>
      <c r="B148" t="s">
        <v>197</v>
      </c>
      <c r="C148" s="11">
        <v>34000</v>
      </c>
      <c r="D148" s="11"/>
      <c r="E148" t="s">
        <v>18</v>
      </c>
      <c r="F148" s="110" t="s">
        <v>107</v>
      </c>
    </row>
    <row r="149" spans="1:6" hidden="1" x14ac:dyDescent="0.3">
      <c r="A149" s="38">
        <v>46018</v>
      </c>
      <c r="B149" t="s">
        <v>223</v>
      </c>
      <c r="C149" s="11"/>
      <c r="D149" s="11">
        <v>200000</v>
      </c>
      <c r="E149" t="s">
        <v>314</v>
      </c>
      <c r="F149" s="110" t="s">
        <v>107</v>
      </c>
    </row>
    <row r="150" spans="1:6" hidden="1" x14ac:dyDescent="0.3">
      <c r="A150" s="38">
        <v>46018</v>
      </c>
      <c r="B150" t="s">
        <v>191</v>
      </c>
      <c r="C150" s="95">
        <v>200000</v>
      </c>
      <c r="D150" s="95"/>
      <c r="E150" t="s">
        <v>315</v>
      </c>
      <c r="F150" s="110" t="s">
        <v>107</v>
      </c>
    </row>
    <row r="151" spans="1:6" hidden="1" x14ac:dyDescent="0.3">
      <c r="A151" s="38">
        <v>46018</v>
      </c>
      <c r="B151" t="s">
        <v>191</v>
      </c>
      <c r="C151" s="11"/>
      <c r="D151" s="11">
        <v>111000</v>
      </c>
      <c r="F151" s="110" t="s">
        <v>107</v>
      </c>
    </row>
    <row r="152" spans="1:6" hidden="1" x14ac:dyDescent="0.3">
      <c r="A152" s="38">
        <v>46018</v>
      </c>
      <c r="B152" t="s">
        <v>228</v>
      </c>
      <c r="C152" s="11">
        <v>100000</v>
      </c>
      <c r="D152" s="11"/>
      <c r="E152" t="s">
        <v>316</v>
      </c>
      <c r="F152" s="110" t="s">
        <v>107</v>
      </c>
    </row>
    <row r="153" spans="1:6" hidden="1" x14ac:dyDescent="0.3">
      <c r="A153" s="38">
        <v>46018</v>
      </c>
      <c r="B153" t="s">
        <v>198</v>
      </c>
      <c r="C153" s="11"/>
      <c r="D153" s="11">
        <v>150000</v>
      </c>
      <c r="E153" t="s">
        <v>317</v>
      </c>
      <c r="F153" s="110" t="s">
        <v>107</v>
      </c>
    </row>
    <row r="154" spans="1:6" hidden="1" x14ac:dyDescent="0.3">
      <c r="A154" s="38">
        <v>46018</v>
      </c>
      <c r="B154" t="s">
        <v>191</v>
      </c>
      <c r="C154" s="11">
        <v>150000</v>
      </c>
      <c r="D154" s="11"/>
      <c r="E154" t="s">
        <v>318</v>
      </c>
      <c r="F154" s="110" t="s">
        <v>107</v>
      </c>
    </row>
    <row r="155" spans="1:6" hidden="1" x14ac:dyDescent="0.3">
      <c r="A155" s="38">
        <v>46018</v>
      </c>
      <c r="B155" t="s">
        <v>191</v>
      </c>
      <c r="C155" s="11"/>
      <c r="D155" s="11">
        <v>50000</v>
      </c>
      <c r="F155" s="110" t="s">
        <v>107</v>
      </c>
    </row>
    <row r="156" spans="1:6" hidden="1" x14ac:dyDescent="0.3">
      <c r="A156" s="38">
        <v>46018</v>
      </c>
      <c r="B156" t="s">
        <v>55</v>
      </c>
      <c r="C156" s="11">
        <v>4150</v>
      </c>
      <c r="D156" s="11"/>
      <c r="E156" t="s">
        <v>319</v>
      </c>
      <c r="F156" s="110" t="s">
        <v>107</v>
      </c>
    </row>
    <row r="157" spans="1:6" hidden="1" x14ac:dyDescent="0.3">
      <c r="A157" s="38">
        <v>46018</v>
      </c>
      <c r="B157" t="s">
        <v>197</v>
      </c>
      <c r="C157" s="11">
        <v>50000</v>
      </c>
      <c r="D157" s="11"/>
      <c r="E157" t="s">
        <v>320</v>
      </c>
      <c r="F157" s="110" t="s">
        <v>107</v>
      </c>
    </row>
    <row r="158" spans="1:6" hidden="1" x14ac:dyDescent="0.3">
      <c r="A158" s="38">
        <v>46018</v>
      </c>
      <c r="B158" t="s">
        <v>191</v>
      </c>
      <c r="C158" s="11"/>
      <c r="D158" s="11">
        <v>50000</v>
      </c>
      <c r="E158" t="s">
        <v>197</v>
      </c>
      <c r="F158" s="110" t="s">
        <v>107</v>
      </c>
    </row>
    <row r="159" spans="1:6" hidden="1" x14ac:dyDescent="0.3">
      <c r="A159" s="38">
        <v>46018</v>
      </c>
      <c r="B159" t="s">
        <v>165</v>
      </c>
      <c r="C159" s="11"/>
      <c r="D159" s="11">
        <v>100000</v>
      </c>
      <c r="E159" t="s">
        <v>321</v>
      </c>
      <c r="F159" s="110" t="s">
        <v>107</v>
      </c>
    </row>
    <row r="160" spans="1:6" hidden="1" x14ac:dyDescent="0.3">
      <c r="A160" s="38">
        <v>46018</v>
      </c>
      <c r="B160" t="s">
        <v>151</v>
      </c>
      <c r="C160" s="11"/>
      <c r="D160" s="11">
        <v>99920</v>
      </c>
      <c r="E160" t="s">
        <v>322</v>
      </c>
      <c r="F160" s="110" t="s">
        <v>107</v>
      </c>
    </row>
    <row r="161" spans="1:12" hidden="1" x14ac:dyDescent="0.3">
      <c r="A161" s="38">
        <v>46018</v>
      </c>
      <c r="B161" t="s">
        <v>191</v>
      </c>
      <c r="C161" s="11">
        <v>100000</v>
      </c>
      <c r="D161" s="11"/>
      <c r="E161" t="s">
        <v>323</v>
      </c>
      <c r="F161" s="110" t="s">
        <v>107</v>
      </c>
    </row>
    <row r="162" spans="1:12" hidden="1" x14ac:dyDescent="0.3">
      <c r="A162" s="38">
        <v>46018</v>
      </c>
      <c r="B162" t="s">
        <v>191</v>
      </c>
      <c r="C162" s="11">
        <v>99920</v>
      </c>
      <c r="D162" s="11"/>
      <c r="E162" t="s">
        <v>324</v>
      </c>
      <c r="F162" s="110" t="s">
        <v>107</v>
      </c>
    </row>
    <row r="163" spans="1:12" hidden="1" x14ac:dyDescent="0.3">
      <c r="A163" s="38">
        <v>46018</v>
      </c>
      <c r="B163" t="s">
        <v>325</v>
      </c>
      <c r="C163" s="11"/>
      <c r="D163" s="11">
        <v>148088</v>
      </c>
      <c r="E163" t="s">
        <v>326</v>
      </c>
      <c r="F163" s="110" t="s">
        <v>107</v>
      </c>
      <c r="J163" s="3" t="s">
        <v>6</v>
      </c>
      <c r="K163" t="s">
        <v>117</v>
      </c>
      <c r="L163" t="s">
        <v>118</v>
      </c>
    </row>
    <row r="164" spans="1:12" hidden="1" x14ac:dyDescent="0.3">
      <c r="A164" s="38">
        <v>46018</v>
      </c>
      <c r="B164" t="s">
        <v>55</v>
      </c>
      <c r="C164" s="11">
        <v>590</v>
      </c>
      <c r="D164" s="11"/>
      <c r="F164" s="110" t="s">
        <v>107</v>
      </c>
      <c r="J164" s="4" t="s">
        <v>232</v>
      </c>
      <c r="K164" s="14"/>
      <c r="L164" s="14">
        <v>442800</v>
      </c>
    </row>
    <row r="165" spans="1:12" hidden="1" x14ac:dyDescent="0.3">
      <c r="A165" s="38">
        <v>46018</v>
      </c>
      <c r="B165" t="s">
        <v>54</v>
      </c>
      <c r="C165" s="11">
        <v>2500</v>
      </c>
      <c r="D165" s="11"/>
      <c r="E165" t="s">
        <v>235</v>
      </c>
      <c r="F165" s="110" t="s">
        <v>107</v>
      </c>
      <c r="J165" s="4" t="s">
        <v>9</v>
      </c>
      <c r="K165" s="14">
        <v>1832566</v>
      </c>
      <c r="L165" s="14"/>
    </row>
    <row r="166" spans="1:12" hidden="1" x14ac:dyDescent="0.3">
      <c r="A166" s="38">
        <v>46018</v>
      </c>
      <c r="B166" t="s">
        <v>55</v>
      </c>
      <c r="C166" s="11">
        <v>1000</v>
      </c>
      <c r="D166" s="11"/>
      <c r="F166" s="110" t="s">
        <v>107</v>
      </c>
      <c r="J166" s="4" t="s">
        <v>460</v>
      </c>
      <c r="K166" s="14"/>
      <c r="L166" s="14">
        <v>116250</v>
      </c>
    </row>
    <row r="167" spans="1:12" hidden="1" x14ac:dyDescent="0.3">
      <c r="A167" s="38">
        <v>46018</v>
      </c>
      <c r="B167" t="s">
        <v>50</v>
      </c>
      <c r="C167" s="11">
        <v>1000</v>
      </c>
      <c r="D167" s="11"/>
      <c r="E167" t="s">
        <v>216</v>
      </c>
      <c r="F167" s="110" t="s">
        <v>107</v>
      </c>
      <c r="J167" s="4" t="s">
        <v>94</v>
      </c>
      <c r="K167" s="14"/>
      <c r="L167" s="14">
        <v>1415115</v>
      </c>
    </row>
    <row r="168" spans="1:12" hidden="1" x14ac:dyDescent="0.3">
      <c r="A168" s="38">
        <v>46019</v>
      </c>
      <c r="B168" t="s">
        <v>55</v>
      </c>
      <c r="C168" s="95">
        <v>2630</v>
      </c>
      <c r="D168" s="95"/>
      <c r="E168" t="s">
        <v>327</v>
      </c>
      <c r="F168" s="110" t="s">
        <v>107</v>
      </c>
      <c r="J168" s="4" t="s">
        <v>50</v>
      </c>
      <c r="K168" s="14"/>
      <c r="L168" s="14">
        <v>44681</v>
      </c>
    </row>
    <row r="169" spans="1:12" hidden="1" x14ac:dyDescent="0.3">
      <c r="A169" s="115">
        <v>46019</v>
      </c>
      <c r="B169" t="s">
        <v>55</v>
      </c>
      <c r="C169" s="11">
        <v>21000</v>
      </c>
      <c r="D169" s="11"/>
      <c r="E169" t="s">
        <v>328</v>
      </c>
      <c r="F169" s="110" t="s">
        <v>107</v>
      </c>
      <c r="J169" s="4" t="s">
        <v>55</v>
      </c>
      <c r="K169" s="14"/>
      <c r="L169" s="14">
        <v>650690</v>
      </c>
    </row>
    <row r="170" spans="1:12" hidden="1" x14ac:dyDescent="0.3">
      <c r="A170" s="38">
        <v>46019</v>
      </c>
      <c r="B170" t="s">
        <v>54</v>
      </c>
      <c r="C170" s="11">
        <v>1000</v>
      </c>
      <c r="D170" s="11"/>
      <c r="E170" t="s">
        <v>235</v>
      </c>
      <c r="F170" s="110" t="s">
        <v>107</v>
      </c>
      <c r="J170" s="4" t="s">
        <v>112</v>
      </c>
      <c r="K170" s="14"/>
      <c r="L170" s="14">
        <v>111730</v>
      </c>
    </row>
    <row r="171" spans="1:12" hidden="1" x14ac:dyDescent="0.3">
      <c r="A171" s="115">
        <v>46020</v>
      </c>
      <c r="B171" t="s">
        <v>197</v>
      </c>
      <c r="C171" s="11">
        <v>61000</v>
      </c>
      <c r="D171" s="11"/>
      <c r="E171" t="s">
        <v>18</v>
      </c>
      <c r="F171" s="110" t="s">
        <v>107</v>
      </c>
      <c r="J171" s="4" t="s">
        <v>52</v>
      </c>
      <c r="K171" s="14"/>
      <c r="L171" s="14">
        <v>2229234</v>
      </c>
    </row>
    <row r="172" spans="1:12" hidden="1" x14ac:dyDescent="0.3">
      <c r="A172" s="38">
        <v>46020</v>
      </c>
      <c r="B172" t="s">
        <v>197</v>
      </c>
      <c r="C172" s="11">
        <v>100000</v>
      </c>
      <c r="D172" s="11"/>
      <c r="F172" s="110" t="s">
        <v>107</v>
      </c>
      <c r="J172" s="4" t="s">
        <v>338</v>
      </c>
      <c r="K172" s="14">
        <v>84970</v>
      </c>
      <c r="L172" s="14"/>
    </row>
    <row r="173" spans="1:12" hidden="1" x14ac:dyDescent="0.3">
      <c r="A173" s="115">
        <v>46020</v>
      </c>
      <c r="B173" t="s">
        <v>9</v>
      </c>
      <c r="C173" s="11"/>
      <c r="D173" s="11">
        <v>200000</v>
      </c>
      <c r="F173" s="110" t="s">
        <v>107</v>
      </c>
      <c r="J173" s="4" t="s">
        <v>54</v>
      </c>
      <c r="K173" s="14"/>
      <c r="L173" s="14">
        <v>159991</v>
      </c>
    </row>
    <row r="174" spans="1:12" hidden="1" x14ac:dyDescent="0.3">
      <c r="A174" s="38">
        <v>46020</v>
      </c>
      <c r="B174" t="s">
        <v>168</v>
      </c>
      <c r="C174" s="11">
        <v>100000</v>
      </c>
      <c r="D174" s="11"/>
      <c r="F174" s="110" t="s">
        <v>107</v>
      </c>
      <c r="J174" s="4" t="s">
        <v>115</v>
      </c>
      <c r="K174" s="14"/>
      <c r="L174" s="14">
        <v>268000</v>
      </c>
    </row>
    <row r="175" spans="1:12" hidden="1" x14ac:dyDescent="0.3">
      <c r="A175" s="115">
        <v>46020</v>
      </c>
      <c r="B175" t="s">
        <v>191</v>
      </c>
      <c r="C175" s="11"/>
      <c r="D175" s="11">
        <v>975000</v>
      </c>
      <c r="E175" t="s">
        <v>329</v>
      </c>
      <c r="F175" s="110" t="s">
        <v>107</v>
      </c>
      <c r="J175" s="4" t="s">
        <v>176</v>
      </c>
      <c r="K175" s="14">
        <v>741560</v>
      </c>
      <c r="L175" s="14">
        <v>741560</v>
      </c>
    </row>
    <row r="176" spans="1:12" hidden="1" x14ac:dyDescent="0.3">
      <c r="A176" s="38">
        <v>46020</v>
      </c>
      <c r="B176" t="s">
        <v>54</v>
      </c>
      <c r="C176" s="11">
        <v>10000</v>
      </c>
      <c r="D176" s="11"/>
      <c r="E176" t="s">
        <v>235</v>
      </c>
      <c r="F176" s="110" t="s">
        <v>107</v>
      </c>
      <c r="J176" s="4" t="s">
        <v>336</v>
      </c>
      <c r="K176" s="14"/>
      <c r="L176" s="14">
        <v>1500</v>
      </c>
    </row>
    <row r="177" spans="1:12" hidden="1" x14ac:dyDescent="0.3">
      <c r="A177" s="115">
        <v>46020</v>
      </c>
      <c r="B177" t="s">
        <v>54</v>
      </c>
      <c r="C177" s="11">
        <v>7950</v>
      </c>
      <c r="D177" s="11"/>
      <c r="E177" t="s">
        <v>235</v>
      </c>
      <c r="F177" s="110" t="s">
        <v>107</v>
      </c>
      <c r="J177" s="4" t="s">
        <v>221</v>
      </c>
      <c r="K177" s="14">
        <v>690469</v>
      </c>
      <c r="L177" s="14">
        <v>690469</v>
      </c>
    </row>
    <row r="178" spans="1:12" hidden="1" x14ac:dyDescent="0.3">
      <c r="A178" s="38">
        <v>46020</v>
      </c>
      <c r="B178" t="s">
        <v>232</v>
      </c>
      <c r="C178" s="11">
        <v>15000</v>
      </c>
      <c r="D178" s="11"/>
      <c r="E178" t="s">
        <v>237</v>
      </c>
      <c r="F178" s="110" t="s">
        <v>107</v>
      </c>
      <c r="J178" s="4" t="s">
        <v>325</v>
      </c>
      <c r="K178" s="14">
        <v>1231415</v>
      </c>
      <c r="L178" s="14"/>
    </row>
    <row r="179" spans="1:12" hidden="1" x14ac:dyDescent="0.3">
      <c r="A179" s="115">
        <v>46020</v>
      </c>
      <c r="B179" t="s">
        <v>218</v>
      </c>
      <c r="C179" s="11">
        <v>5000</v>
      </c>
      <c r="D179" s="11"/>
      <c r="E179" t="s">
        <v>219</v>
      </c>
      <c r="F179" s="110" t="s">
        <v>107</v>
      </c>
      <c r="J179" s="4" t="s">
        <v>102</v>
      </c>
      <c r="K179" s="14"/>
      <c r="L179" s="14"/>
    </row>
    <row r="180" spans="1:12" hidden="1" x14ac:dyDescent="0.3">
      <c r="A180" s="38">
        <v>46020</v>
      </c>
      <c r="B180" t="s">
        <v>176</v>
      </c>
      <c r="C180" s="11">
        <v>7200</v>
      </c>
      <c r="D180" s="11"/>
      <c r="F180" s="110" t="s">
        <v>107</v>
      </c>
      <c r="J180" s="4" t="s">
        <v>276</v>
      </c>
      <c r="K180" s="14">
        <v>600000</v>
      </c>
      <c r="L180" s="14"/>
    </row>
    <row r="181" spans="1:12" hidden="1" x14ac:dyDescent="0.3">
      <c r="A181" s="115">
        <v>46020</v>
      </c>
      <c r="B181" t="s">
        <v>191</v>
      </c>
      <c r="C181" s="95"/>
      <c r="D181" s="95">
        <v>50000</v>
      </c>
      <c r="E181" t="s">
        <v>283</v>
      </c>
      <c r="F181" s="110" t="s">
        <v>107</v>
      </c>
      <c r="J181" s="4" t="s">
        <v>340</v>
      </c>
      <c r="K181" s="14">
        <v>849664</v>
      </c>
      <c r="L181" s="14"/>
    </row>
    <row r="182" spans="1:12" hidden="1" x14ac:dyDescent="0.3">
      <c r="A182" s="38">
        <v>46020</v>
      </c>
      <c r="B182" t="s">
        <v>191</v>
      </c>
      <c r="C182" s="11"/>
      <c r="D182" s="11">
        <v>30000</v>
      </c>
      <c r="E182" t="s">
        <v>233</v>
      </c>
      <c r="F182" s="110" t="s">
        <v>107</v>
      </c>
      <c r="J182" s="4" t="s">
        <v>223</v>
      </c>
      <c r="K182" s="14">
        <v>1063699</v>
      </c>
      <c r="L182" s="14"/>
    </row>
    <row r="183" spans="1:12" hidden="1" x14ac:dyDescent="0.3">
      <c r="A183" s="115">
        <v>46020</v>
      </c>
      <c r="B183" t="s">
        <v>165</v>
      </c>
      <c r="C183" s="11"/>
      <c r="D183" s="11">
        <v>100000</v>
      </c>
      <c r="E183" t="s">
        <v>21</v>
      </c>
      <c r="F183" s="110" t="s">
        <v>107</v>
      </c>
      <c r="J183" s="4" t="s">
        <v>527</v>
      </c>
      <c r="K183" s="14">
        <v>750000</v>
      </c>
      <c r="L183" s="14"/>
    </row>
    <row r="184" spans="1:12" hidden="1" x14ac:dyDescent="0.3">
      <c r="A184" s="38">
        <v>46020</v>
      </c>
      <c r="B184" t="s">
        <v>191</v>
      </c>
      <c r="C184" s="11">
        <v>100000</v>
      </c>
      <c r="D184" s="11"/>
      <c r="E184" t="s">
        <v>334</v>
      </c>
      <c r="F184" s="110" t="s">
        <v>107</v>
      </c>
      <c r="J184" s="4" t="s">
        <v>26</v>
      </c>
      <c r="K184" s="14">
        <v>300000</v>
      </c>
      <c r="L184" s="14"/>
    </row>
    <row r="185" spans="1:12" hidden="1" x14ac:dyDescent="0.3">
      <c r="A185" s="115">
        <v>46021</v>
      </c>
      <c r="B185" t="s">
        <v>223</v>
      </c>
      <c r="C185" s="11"/>
      <c r="D185" s="11">
        <v>68900</v>
      </c>
      <c r="E185" t="s">
        <v>351</v>
      </c>
      <c r="F185" s="110" t="s">
        <v>107</v>
      </c>
      <c r="J185" s="4" t="s">
        <v>148</v>
      </c>
      <c r="K185" s="14"/>
      <c r="L185" s="14">
        <v>80000</v>
      </c>
    </row>
    <row r="186" spans="1:12" hidden="1" x14ac:dyDescent="0.3">
      <c r="A186" s="115">
        <v>46386</v>
      </c>
      <c r="B186" t="s">
        <v>221</v>
      </c>
      <c r="C186" s="11"/>
      <c r="D186" s="11">
        <v>286158</v>
      </c>
      <c r="E186" t="s">
        <v>564</v>
      </c>
      <c r="F186" s="110" t="s">
        <v>107</v>
      </c>
      <c r="J186" s="4" t="s">
        <v>64</v>
      </c>
      <c r="K186" s="14"/>
      <c r="L186" s="14">
        <v>371625</v>
      </c>
    </row>
    <row r="187" spans="1:12" hidden="1" x14ac:dyDescent="0.3">
      <c r="A187" s="115">
        <v>46386</v>
      </c>
      <c r="B187" t="s">
        <v>191</v>
      </c>
      <c r="C187" s="11">
        <v>286158</v>
      </c>
      <c r="D187" s="11"/>
      <c r="E187" t="s">
        <v>565</v>
      </c>
      <c r="F187" s="110" t="s">
        <v>107</v>
      </c>
      <c r="J187" s="4" t="s">
        <v>151</v>
      </c>
      <c r="K187" s="14">
        <v>1007920</v>
      </c>
      <c r="L187" s="14"/>
    </row>
    <row r="188" spans="1:12" hidden="1" x14ac:dyDescent="0.3">
      <c r="A188" s="38">
        <v>46021</v>
      </c>
      <c r="B188" t="s">
        <v>191</v>
      </c>
      <c r="C188" s="95"/>
      <c r="D188" s="95">
        <v>194000</v>
      </c>
      <c r="F188" s="110" t="s">
        <v>107</v>
      </c>
      <c r="J188" s="4" t="s">
        <v>165</v>
      </c>
      <c r="K188" s="14">
        <v>1620000</v>
      </c>
      <c r="L188" s="14"/>
    </row>
    <row r="189" spans="1:12" hidden="1" x14ac:dyDescent="0.3">
      <c r="A189" s="115">
        <v>46021</v>
      </c>
      <c r="B189" t="s">
        <v>198</v>
      </c>
      <c r="C189" s="11"/>
      <c r="D189" s="11">
        <v>100000</v>
      </c>
      <c r="E189" t="s">
        <v>337</v>
      </c>
      <c r="F189" s="110" t="s">
        <v>107</v>
      </c>
      <c r="J189" s="4" t="s">
        <v>168</v>
      </c>
      <c r="K189" s="14"/>
      <c r="L189" s="14">
        <v>2095595</v>
      </c>
    </row>
    <row r="190" spans="1:12" hidden="1" x14ac:dyDescent="0.3">
      <c r="A190" s="38">
        <v>46021</v>
      </c>
      <c r="B190" t="s">
        <v>198</v>
      </c>
      <c r="C190" s="95"/>
      <c r="D190" s="95">
        <v>100000</v>
      </c>
      <c r="E190" t="s">
        <v>224</v>
      </c>
      <c r="F190" s="110" t="s">
        <v>107</v>
      </c>
      <c r="J190" s="4" t="s">
        <v>191</v>
      </c>
      <c r="K190" s="14">
        <v>14827140</v>
      </c>
      <c r="L190" s="14">
        <v>14827140</v>
      </c>
    </row>
    <row r="191" spans="1:12" hidden="1" x14ac:dyDescent="0.3">
      <c r="A191" s="115">
        <v>46021</v>
      </c>
      <c r="B191" t="s">
        <v>338</v>
      </c>
      <c r="C191" s="11"/>
      <c r="D191" s="11">
        <v>84970</v>
      </c>
      <c r="F191" s="110" t="s">
        <v>107</v>
      </c>
      <c r="J191" s="4" t="s">
        <v>197</v>
      </c>
      <c r="K191" s="14"/>
      <c r="L191" s="14">
        <v>1131300</v>
      </c>
    </row>
    <row r="192" spans="1:12" hidden="1" x14ac:dyDescent="0.3">
      <c r="A192" s="38">
        <v>46021</v>
      </c>
      <c r="B192" t="s">
        <v>221</v>
      </c>
      <c r="C192" s="11">
        <f>883+150+150</f>
        <v>1183</v>
      </c>
      <c r="D192" s="11"/>
      <c r="F192" s="110" t="s">
        <v>107</v>
      </c>
      <c r="J192" s="4" t="s">
        <v>178</v>
      </c>
      <c r="K192" s="14">
        <v>409310</v>
      </c>
      <c r="L192" s="14"/>
    </row>
    <row r="193" spans="1:12" hidden="1" x14ac:dyDescent="0.3">
      <c r="A193" s="115">
        <v>46021</v>
      </c>
      <c r="B193" t="s">
        <v>228</v>
      </c>
      <c r="C193" s="11">
        <v>200401</v>
      </c>
      <c r="D193" s="11"/>
      <c r="E193" t="s">
        <v>339</v>
      </c>
      <c r="F193" s="110" t="s">
        <v>107</v>
      </c>
      <c r="J193" s="4" t="s">
        <v>51</v>
      </c>
      <c r="K193" s="14"/>
      <c r="L193" s="14">
        <v>4232983</v>
      </c>
    </row>
    <row r="194" spans="1:12" hidden="1" x14ac:dyDescent="0.3">
      <c r="A194" s="38">
        <v>46021</v>
      </c>
      <c r="B194" t="s">
        <v>340</v>
      </c>
      <c r="C194" s="11"/>
      <c r="D194" s="11">
        <v>239960</v>
      </c>
      <c r="F194" s="110" t="s">
        <v>107</v>
      </c>
      <c r="J194" s="4" t="s">
        <v>465</v>
      </c>
      <c r="K194" s="14"/>
      <c r="L194" s="14">
        <v>351000</v>
      </c>
    </row>
    <row r="195" spans="1:12" hidden="1" x14ac:dyDescent="0.3">
      <c r="A195" s="115">
        <v>46021</v>
      </c>
      <c r="B195" t="s">
        <v>168</v>
      </c>
      <c r="C195" s="11">
        <v>250000</v>
      </c>
      <c r="D195" s="11"/>
      <c r="F195" s="110" t="s">
        <v>107</v>
      </c>
      <c r="J195" s="4" t="s">
        <v>218</v>
      </c>
      <c r="K195" s="14"/>
      <c r="L195" s="14">
        <v>28400</v>
      </c>
    </row>
    <row r="196" spans="1:12" hidden="1" x14ac:dyDescent="0.3">
      <c r="A196" s="38">
        <v>46021</v>
      </c>
      <c r="B196" t="s">
        <v>325</v>
      </c>
      <c r="C196" s="11"/>
      <c r="D196" s="11">
        <v>60000</v>
      </c>
      <c r="E196" t="s">
        <v>341</v>
      </c>
      <c r="F196" s="110" t="s">
        <v>107</v>
      </c>
      <c r="J196" s="4" t="s">
        <v>198</v>
      </c>
      <c r="K196" s="14">
        <v>1293570</v>
      </c>
      <c r="L196" s="14"/>
    </row>
    <row r="197" spans="1:12" hidden="1" x14ac:dyDescent="0.3">
      <c r="A197" s="115">
        <v>46021</v>
      </c>
      <c r="B197" t="s">
        <v>191</v>
      </c>
      <c r="C197" s="11">
        <v>60000</v>
      </c>
      <c r="D197" s="11"/>
      <c r="E197" t="s">
        <v>342</v>
      </c>
      <c r="F197" s="110" t="s">
        <v>107</v>
      </c>
      <c r="J197" s="4" t="s">
        <v>228</v>
      </c>
      <c r="K197" s="14"/>
      <c r="L197" s="14">
        <v>3270266</v>
      </c>
    </row>
    <row r="198" spans="1:12" hidden="1" x14ac:dyDescent="0.3">
      <c r="A198" s="38">
        <v>46021</v>
      </c>
      <c r="B198" t="s">
        <v>255</v>
      </c>
      <c r="C198" s="11">
        <v>11850</v>
      </c>
      <c r="D198" s="11"/>
      <c r="E198" t="s">
        <v>293</v>
      </c>
      <c r="F198" s="110" t="s">
        <v>107</v>
      </c>
      <c r="J198" s="4" t="s">
        <v>201</v>
      </c>
      <c r="K198" s="14"/>
      <c r="L198" s="14">
        <v>232000</v>
      </c>
    </row>
    <row r="199" spans="1:12" hidden="1" x14ac:dyDescent="0.3">
      <c r="A199" s="115">
        <v>46021</v>
      </c>
      <c r="B199" t="s">
        <v>201</v>
      </c>
      <c r="C199" s="11">
        <v>27000</v>
      </c>
      <c r="D199" s="11"/>
      <c r="E199" t="s">
        <v>229</v>
      </c>
      <c r="F199" s="110" t="s">
        <v>107</v>
      </c>
      <c r="J199" s="4" t="s">
        <v>215</v>
      </c>
      <c r="K199" s="14">
        <v>6766546</v>
      </c>
      <c r="L199" s="14"/>
    </row>
    <row r="200" spans="1:12" hidden="1" x14ac:dyDescent="0.3">
      <c r="A200" s="38">
        <v>46021</v>
      </c>
      <c r="B200" t="s">
        <v>232</v>
      </c>
      <c r="C200" s="11">
        <v>1300</v>
      </c>
      <c r="D200" s="11"/>
      <c r="E200" t="s">
        <v>343</v>
      </c>
      <c r="F200" s="110" t="s">
        <v>107</v>
      </c>
      <c r="J200" s="4" t="s">
        <v>255</v>
      </c>
      <c r="K200" s="14"/>
      <c r="L200" s="14">
        <v>66850</v>
      </c>
    </row>
    <row r="201" spans="1:12" hidden="1" x14ac:dyDescent="0.3">
      <c r="A201" s="115">
        <v>46021</v>
      </c>
      <c r="B201" t="s">
        <v>232</v>
      </c>
      <c r="C201" s="11">
        <v>60000</v>
      </c>
      <c r="D201" s="11"/>
      <c r="E201" t="s">
        <v>289</v>
      </c>
      <c r="F201" s="110" t="s">
        <v>107</v>
      </c>
      <c r="J201" s="4" t="s">
        <v>285</v>
      </c>
      <c r="K201" s="14">
        <v>2146025</v>
      </c>
      <c r="L201" s="14"/>
    </row>
    <row r="202" spans="1:12" hidden="1" x14ac:dyDescent="0.3">
      <c r="A202" s="38">
        <v>46021</v>
      </c>
      <c r="B202" t="s">
        <v>94</v>
      </c>
      <c r="C202" s="11">
        <v>1000</v>
      </c>
      <c r="D202" s="11"/>
      <c r="E202" t="s">
        <v>344</v>
      </c>
      <c r="F202" s="110" t="s">
        <v>107</v>
      </c>
      <c r="J202" s="4" t="s">
        <v>301</v>
      </c>
      <c r="K202" s="14"/>
      <c r="L202" s="14">
        <v>162500</v>
      </c>
    </row>
    <row r="203" spans="1:12" hidden="1" x14ac:dyDescent="0.3">
      <c r="A203" s="115">
        <v>46021</v>
      </c>
      <c r="B203" t="s">
        <v>228</v>
      </c>
      <c r="C203" s="11">
        <v>5000</v>
      </c>
      <c r="D203" s="11"/>
      <c r="E203" t="s">
        <v>344</v>
      </c>
      <c r="F203" s="110" t="s">
        <v>107</v>
      </c>
      <c r="J203" s="4" t="s">
        <v>409</v>
      </c>
      <c r="K203" s="14"/>
      <c r="L203" s="14">
        <v>695284</v>
      </c>
    </row>
    <row r="204" spans="1:12" hidden="1" x14ac:dyDescent="0.3">
      <c r="A204" s="38">
        <v>46021</v>
      </c>
      <c r="B204" t="s">
        <v>50</v>
      </c>
      <c r="C204" s="11">
        <v>1000</v>
      </c>
      <c r="D204" s="11"/>
      <c r="E204" t="s">
        <v>344</v>
      </c>
      <c r="F204" s="110" t="s">
        <v>107</v>
      </c>
      <c r="J204" s="4" t="s">
        <v>436</v>
      </c>
      <c r="K204" s="14">
        <v>485800</v>
      </c>
      <c r="L204" s="14"/>
    </row>
    <row r="205" spans="1:12" hidden="1" x14ac:dyDescent="0.3">
      <c r="A205" s="115">
        <v>46021</v>
      </c>
      <c r="B205" t="s">
        <v>176</v>
      </c>
      <c r="C205" s="11">
        <v>3600</v>
      </c>
      <c r="D205" s="11"/>
      <c r="E205" t="s">
        <v>217</v>
      </c>
      <c r="F205" s="110" t="s">
        <v>107</v>
      </c>
      <c r="J205" s="4" t="s">
        <v>28</v>
      </c>
      <c r="K205" s="14">
        <v>36700654</v>
      </c>
      <c r="L205" s="14">
        <v>34416963</v>
      </c>
    </row>
    <row r="206" spans="1:12" hidden="1" x14ac:dyDescent="0.3">
      <c r="A206" s="38">
        <v>46021</v>
      </c>
      <c r="B206" t="s">
        <v>191</v>
      </c>
      <c r="C206" s="11">
        <v>200000</v>
      </c>
      <c r="D206" s="11"/>
      <c r="E206" t="s">
        <v>345</v>
      </c>
      <c r="F206" s="110" t="s">
        <v>107</v>
      </c>
    </row>
    <row r="207" spans="1:12" hidden="1" x14ac:dyDescent="0.3">
      <c r="A207" s="115">
        <v>46021</v>
      </c>
      <c r="B207" t="s">
        <v>55</v>
      </c>
      <c r="C207" s="11">
        <v>1000</v>
      </c>
      <c r="D207" s="11"/>
      <c r="E207" t="s">
        <v>346</v>
      </c>
      <c r="F207" s="110" t="s">
        <v>107</v>
      </c>
    </row>
    <row r="208" spans="1:12" hidden="1" x14ac:dyDescent="0.3">
      <c r="A208" s="38">
        <v>46021</v>
      </c>
      <c r="B208" t="s">
        <v>55</v>
      </c>
      <c r="C208" s="11">
        <v>850</v>
      </c>
      <c r="D208" s="11"/>
      <c r="F208" s="110" t="s">
        <v>107</v>
      </c>
    </row>
    <row r="209" spans="1:6" hidden="1" x14ac:dyDescent="0.3">
      <c r="A209" s="115">
        <v>46021</v>
      </c>
      <c r="B209" t="s">
        <v>336</v>
      </c>
      <c r="C209" s="11"/>
      <c r="D209" s="11"/>
      <c r="E209" t="s">
        <v>347</v>
      </c>
      <c r="F209" s="110" t="s">
        <v>107</v>
      </c>
    </row>
    <row r="210" spans="1:6" hidden="1" x14ac:dyDescent="0.3">
      <c r="A210" s="38">
        <v>46021</v>
      </c>
      <c r="B210" t="s">
        <v>55</v>
      </c>
      <c r="C210" s="11">
        <v>5250</v>
      </c>
      <c r="D210" s="11"/>
      <c r="F210" s="110" t="s">
        <v>107</v>
      </c>
    </row>
    <row r="211" spans="1:6" hidden="1" x14ac:dyDescent="0.3">
      <c r="A211" s="115">
        <v>46021</v>
      </c>
      <c r="B211" t="s">
        <v>55</v>
      </c>
      <c r="C211" s="11">
        <v>3500</v>
      </c>
      <c r="D211" s="11"/>
      <c r="E211" t="s">
        <v>348</v>
      </c>
      <c r="F211" s="110" t="s">
        <v>107</v>
      </c>
    </row>
    <row r="212" spans="1:6" hidden="1" x14ac:dyDescent="0.3">
      <c r="A212" s="38">
        <v>46021</v>
      </c>
      <c r="B212" t="s">
        <v>221</v>
      </c>
      <c r="C212" s="11">
        <v>100000</v>
      </c>
      <c r="D212" s="11"/>
      <c r="E212" t="s">
        <v>349</v>
      </c>
      <c r="F212" s="110" t="s">
        <v>107</v>
      </c>
    </row>
    <row r="213" spans="1:6" hidden="1" x14ac:dyDescent="0.3">
      <c r="A213" s="115">
        <v>46022</v>
      </c>
      <c r="B213" t="s">
        <v>325</v>
      </c>
      <c r="C213" s="95"/>
      <c r="D213" s="11">
        <v>200000</v>
      </c>
      <c r="E213" t="s">
        <v>352</v>
      </c>
      <c r="F213" s="110" t="s">
        <v>107</v>
      </c>
    </row>
    <row r="214" spans="1:6" hidden="1" x14ac:dyDescent="0.3">
      <c r="A214" s="115">
        <v>46022</v>
      </c>
      <c r="B214" t="s">
        <v>9</v>
      </c>
      <c r="C214" s="11"/>
      <c r="D214" s="11">
        <v>152366</v>
      </c>
      <c r="E214" t="s">
        <v>252</v>
      </c>
      <c r="F214" s="110" t="s">
        <v>107</v>
      </c>
    </row>
    <row r="215" spans="1:6" hidden="1" x14ac:dyDescent="0.3">
      <c r="A215" s="115">
        <v>46022</v>
      </c>
      <c r="B215" t="s">
        <v>94</v>
      </c>
      <c r="C215" s="11">
        <v>200010</v>
      </c>
      <c r="D215" s="11"/>
      <c r="E215" t="s">
        <v>353</v>
      </c>
      <c r="F215" s="110" t="s">
        <v>107</v>
      </c>
    </row>
    <row r="216" spans="1:6" hidden="1" x14ac:dyDescent="0.3">
      <c r="A216" s="115">
        <v>46022</v>
      </c>
      <c r="B216" t="s">
        <v>52</v>
      </c>
      <c r="C216" s="11"/>
      <c r="D216" s="11"/>
      <c r="E216" t="s">
        <v>220</v>
      </c>
      <c r="F216" s="110" t="s">
        <v>107</v>
      </c>
    </row>
    <row r="217" spans="1:6" hidden="1" x14ac:dyDescent="0.3">
      <c r="A217" s="115">
        <v>46022</v>
      </c>
      <c r="B217" t="s">
        <v>191</v>
      </c>
      <c r="C217" s="11"/>
      <c r="D217" s="11">
        <v>2270</v>
      </c>
      <c r="E217" t="s">
        <v>354</v>
      </c>
      <c r="F217" s="110" t="s">
        <v>107</v>
      </c>
    </row>
    <row r="218" spans="1:6" hidden="1" x14ac:dyDescent="0.3">
      <c r="A218" s="115">
        <v>46022</v>
      </c>
      <c r="B218" t="s">
        <v>55</v>
      </c>
      <c r="C218" s="11">
        <v>2270</v>
      </c>
      <c r="D218" s="11"/>
      <c r="F218" s="110" t="s">
        <v>107</v>
      </c>
    </row>
    <row r="219" spans="1:6" hidden="1" x14ac:dyDescent="0.3">
      <c r="A219" s="115">
        <v>46022</v>
      </c>
      <c r="B219" t="s">
        <v>26</v>
      </c>
      <c r="C219" s="95"/>
      <c r="D219" s="95">
        <v>200000</v>
      </c>
      <c r="F219" s="110" t="s">
        <v>107</v>
      </c>
    </row>
    <row r="220" spans="1:6" hidden="1" x14ac:dyDescent="0.3">
      <c r="A220" s="115">
        <v>46022</v>
      </c>
      <c r="B220" t="s">
        <v>223</v>
      </c>
      <c r="C220" s="11"/>
      <c r="D220" s="11">
        <v>150000</v>
      </c>
      <c r="F220" s="110" t="s">
        <v>107</v>
      </c>
    </row>
    <row r="221" spans="1:6" hidden="1" x14ac:dyDescent="0.3">
      <c r="A221" s="115">
        <v>46022</v>
      </c>
      <c r="B221" t="s">
        <v>198</v>
      </c>
      <c r="C221" s="11"/>
      <c r="D221" s="11">
        <v>100000</v>
      </c>
      <c r="F221" s="110" t="s">
        <v>107</v>
      </c>
    </row>
    <row r="222" spans="1:6" hidden="1" x14ac:dyDescent="0.3">
      <c r="A222" s="115">
        <v>46022</v>
      </c>
      <c r="B222" t="s">
        <v>191</v>
      </c>
      <c r="C222" s="95">
        <v>200000</v>
      </c>
      <c r="D222" s="11"/>
      <c r="E222" t="s">
        <v>26</v>
      </c>
      <c r="F222" s="110" t="s">
        <v>107</v>
      </c>
    </row>
    <row r="223" spans="1:6" hidden="1" x14ac:dyDescent="0.3">
      <c r="A223" s="115">
        <v>46022</v>
      </c>
      <c r="B223" t="s">
        <v>191</v>
      </c>
      <c r="C223" s="11">
        <v>150000</v>
      </c>
      <c r="D223" s="11"/>
      <c r="E223" t="s">
        <v>223</v>
      </c>
      <c r="F223" s="110" t="s">
        <v>107</v>
      </c>
    </row>
    <row r="224" spans="1:6" hidden="1" x14ac:dyDescent="0.3">
      <c r="A224" s="115">
        <v>46022</v>
      </c>
      <c r="B224" t="s">
        <v>191</v>
      </c>
      <c r="C224" s="11">
        <v>100000</v>
      </c>
      <c r="D224" s="11"/>
      <c r="E224" t="s">
        <v>198</v>
      </c>
      <c r="F224" s="110" t="s">
        <v>107</v>
      </c>
    </row>
    <row r="225" spans="1:6" hidden="1" x14ac:dyDescent="0.3">
      <c r="A225" s="115">
        <v>46022</v>
      </c>
      <c r="B225" t="s">
        <v>176</v>
      </c>
      <c r="C225" s="11">
        <v>6350</v>
      </c>
      <c r="D225" s="11"/>
      <c r="E225" t="s">
        <v>290</v>
      </c>
      <c r="F225" s="110" t="s">
        <v>107</v>
      </c>
    </row>
    <row r="226" spans="1:6" hidden="1" x14ac:dyDescent="0.3">
      <c r="A226" s="115">
        <v>46022</v>
      </c>
      <c r="B226" t="s">
        <v>228</v>
      </c>
      <c r="C226" s="11">
        <v>50000</v>
      </c>
      <c r="D226" s="11"/>
      <c r="F226" s="110" t="s">
        <v>107</v>
      </c>
    </row>
    <row r="227" spans="1:6" hidden="1" x14ac:dyDescent="0.3">
      <c r="A227" s="38">
        <v>46021</v>
      </c>
      <c r="B227" t="s">
        <v>285</v>
      </c>
      <c r="C227" s="95"/>
      <c r="D227" s="95">
        <v>60000</v>
      </c>
      <c r="F227" s="110" t="s">
        <v>107</v>
      </c>
    </row>
    <row r="228" spans="1:6" hidden="1" x14ac:dyDescent="0.3">
      <c r="A228" s="115">
        <v>46021</v>
      </c>
      <c r="B228" t="s">
        <v>165</v>
      </c>
      <c r="C228" s="11"/>
      <c r="D228" s="11">
        <v>100000</v>
      </c>
      <c r="E228" t="s">
        <v>355</v>
      </c>
      <c r="F228" s="110" t="s">
        <v>107</v>
      </c>
    </row>
    <row r="229" spans="1:6" hidden="1" x14ac:dyDescent="0.3">
      <c r="A229" s="38">
        <v>46021</v>
      </c>
      <c r="B229" t="s">
        <v>191</v>
      </c>
      <c r="C229" s="11">
        <v>160000</v>
      </c>
      <c r="D229" s="11"/>
      <c r="E229" t="s">
        <v>356</v>
      </c>
      <c r="F229" s="110" t="s">
        <v>107</v>
      </c>
    </row>
    <row r="230" spans="1:6" hidden="1" x14ac:dyDescent="0.3">
      <c r="A230" s="115">
        <v>46023</v>
      </c>
      <c r="B230" t="s">
        <v>165</v>
      </c>
      <c r="C230" s="11"/>
      <c r="D230" s="11">
        <v>100000</v>
      </c>
      <c r="E230" t="s">
        <v>357</v>
      </c>
      <c r="F230" s="110" t="s">
        <v>107</v>
      </c>
    </row>
    <row r="231" spans="1:6" hidden="1" x14ac:dyDescent="0.3">
      <c r="A231" s="38">
        <v>46023</v>
      </c>
      <c r="B231" t="s">
        <v>232</v>
      </c>
      <c r="C231" s="11">
        <v>20000</v>
      </c>
      <c r="D231" s="11"/>
      <c r="E231" t="s">
        <v>237</v>
      </c>
      <c r="F231" s="110" t="s">
        <v>107</v>
      </c>
    </row>
    <row r="232" spans="1:6" hidden="1" x14ac:dyDescent="0.3">
      <c r="A232" s="115">
        <v>46023</v>
      </c>
      <c r="B232" t="s">
        <v>198</v>
      </c>
      <c r="C232" s="11"/>
      <c r="D232" s="11">
        <v>100000</v>
      </c>
      <c r="E232" t="s">
        <v>358</v>
      </c>
      <c r="F232" s="110" t="s">
        <v>107</v>
      </c>
    </row>
    <row r="233" spans="1:6" hidden="1" x14ac:dyDescent="0.3">
      <c r="A233" s="38">
        <v>46023</v>
      </c>
      <c r="B233" t="s">
        <v>228</v>
      </c>
      <c r="C233" s="11">
        <v>100111</v>
      </c>
      <c r="D233" s="11"/>
      <c r="E233" t="s">
        <v>359</v>
      </c>
      <c r="F233" s="110" t="s">
        <v>107</v>
      </c>
    </row>
    <row r="234" spans="1:6" hidden="1" x14ac:dyDescent="0.3">
      <c r="A234" s="115">
        <v>46023</v>
      </c>
      <c r="B234" t="s">
        <v>198</v>
      </c>
      <c r="C234" s="95"/>
      <c r="D234" s="95">
        <v>125000</v>
      </c>
      <c r="E234" t="s">
        <v>360</v>
      </c>
      <c r="F234" s="110" t="s">
        <v>107</v>
      </c>
    </row>
    <row r="235" spans="1:6" hidden="1" x14ac:dyDescent="0.3">
      <c r="A235" s="38">
        <v>46023</v>
      </c>
      <c r="B235" t="s">
        <v>52</v>
      </c>
      <c r="C235" s="11"/>
      <c r="D235" s="11"/>
      <c r="E235" t="s">
        <v>247</v>
      </c>
      <c r="F235" s="110" t="s">
        <v>107</v>
      </c>
    </row>
    <row r="236" spans="1:6" hidden="1" x14ac:dyDescent="0.3">
      <c r="A236" s="115">
        <v>46023</v>
      </c>
      <c r="B236" t="s">
        <v>168</v>
      </c>
      <c r="C236" s="11">
        <v>175000</v>
      </c>
      <c r="D236" s="11"/>
      <c r="E236" t="s">
        <v>361</v>
      </c>
      <c r="F236" s="110" t="s">
        <v>107</v>
      </c>
    </row>
    <row r="237" spans="1:6" hidden="1" x14ac:dyDescent="0.3">
      <c r="A237" s="38">
        <v>46023</v>
      </c>
      <c r="B237" t="s">
        <v>285</v>
      </c>
      <c r="C237" s="11"/>
      <c r="D237" s="11">
        <v>100000</v>
      </c>
      <c r="E237" t="s">
        <v>362</v>
      </c>
      <c r="F237" s="110" t="s">
        <v>107</v>
      </c>
    </row>
    <row r="238" spans="1:6" hidden="1" x14ac:dyDescent="0.3">
      <c r="A238" s="115">
        <v>46023</v>
      </c>
      <c r="B238" t="s">
        <v>112</v>
      </c>
      <c r="C238" s="11">
        <v>17595</v>
      </c>
      <c r="D238" s="11"/>
      <c r="E238" t="s">
        <v>363</v>
      </c>
      <c r="F238" s="110" t="s">
        <v>107</v>
      </c>
    </row>
    <row r="239" spans="1:6" hidden="1" x14ac:dyDescent="0.3">
      <c r="A239" s="38">
        <v>46023</v>
      </c>
      <c r="B239" t="s">
        <v>176</v>
      </c>
      <c r="C239" s="95">
        <v>7200</v>
      </c>
      <c r="D239" s="95"/>
      <c r="E239" t="s">
        <v>217</v>
      </c>
      <c r="F239" s="110" t="s">
        <v>107</v>
      </c>
    </row>
    <row r="240" spans="1:6" hidden="1" x14ac:dyDescent="0.3">
      <c r="A240" s="38">
        <v>46023</v>
      </c>
      <c r="B240" t="s">
        <v>55</v>
      </c>
      <c r="C240" s="95">
        <v>1950</v>
      </c>
      <c r="D240" s="95"/>
      <c r="E240" t="s">
        <v>364</v>
      </c>
      <c r="F240" s="110" t="s">
        <v>107</v>
      </c>
    </row>
    <row r="241" spans="1:6" hidden="1" x14ac:dyDescent="0.3">
      <c r="A241" s="38">
        <v>46032</v>
      </c>
      <c r="B241" t="s">
        <v>340</v>
      </c>
      <c r="C241" s="95"/>
      <c r="D241" s="95">
        <v>609704</v>
      </c>
      <c r="E241" t="s">
        <v>365</v>
      </c>
      <c r="F241" s="110" t="s">
        <v>107</v>
      </c>
    </row>
    <row r="242" spans="1:6" hidden="1" x14ac:dyDescent="0.3">
      <c r="A242" s="38">
        <v>46032</v>
      </c>
      <c r="B242" t="s">
        <v>191</v>
      </c>
      <c r="C242" s="95">
        <v>609704</v>
      </c>
      <c r="D242" s="95"/>
      <c r="E242" t="s">
        <v>366</v>
      </c>
      <c r="F242" s="110" t="s">
        <v>107</v>
      </c>
    </row>
    <row r="243" spans="1:6" hidden="1" x14ac:dyDescent="0.3">
      <c r="A243" s="38">
        <v>46023</v>
      </c>
      <c r="B243" t="s">
        <v>178</v>
      </c>
      <c r="C243" s="95"/>
      <c r="D243" s="95">
        <v>409310</v>
      </c>
      <c r="E243" t="s">
        <v>367</v>
      </c>
      <c r="F243" s="110" t="s">
        <v>107</v>
      </c>
    </row>
    <row r="244" spans="1:6" hidden="1" x14ac:dyDescent="0.3">
      <c r="A244" s="38">
        <v>46023</v>
      </c>
      <c r="B244" t="s">
        <v>191</v>
      </c>
      <c r="C244" s="95">
        <v>409310</v>
      </c>
      <c r="D244" s="95"/>
      <c r="E244" t="s">
        <v>368</v>
      </c>
      <c r="F244" s="110" t="s">
        <v>107</v>
      </c>
    </row>
    <row r="245" spans="1:6" hidden="1" x14ac:dyDescent="0.3">
      <c r="A245" s="115">
        <v>46024</v>
      </c>
      <c r="B245" t="s">
        <v>198</v>
      </c>
      <c r="C245" s="11"/>
      <c r="D245" s="11">
        <v>128800</v>
      </c>
      <c r="E245" t="s">
        <v>108</v>
      </c>
      <c r="F245" s="110" t="s">
        <v>107</v>
      </c>
    </row>
    <row r="246" spans="1:6" hidden="1" x14ac:dyDescent="0.3">
      <c r="A246" s="38">
        <v>46024</v>
      </c>
      <c r="B246" t="s">
        <v>223</v>
      </c>
      <c r="C246" s="95"/>
      <c r="D246" s="95">
        <v>150000</v>
      </c>
      <c r="E246" t="s">
        <v>369</v>
      </c>
      <c r="F246" s="110" t="s">
        <v>107</v>
      </c>
    </row>
    <row r="247" spans="1:6" hidden="1" x14ac:dyDescent="0.3">
      <c r="A247" s="115">
        <v>46024</v>
      </c>
      <c r="B247" t="s">
        <v>221</v>
      </c>
      <c r="C247" s="95"/>
      <c r="D247" s="95">
        <v>11000</v>
      </c>
      <c r="F247" s="110" t="s">
        <v>107</v>
      </c>
    </row>
    <row r="248" spans="1:6" hidden="1" x14ac:dyDescent="0.3">
      <c r="A248" s="38">
        <v>46024</v>
      </c>
      <c r="B248" t="s">
        <v>197</v>
      </c>
      <c r="C248" s="11">
        <v>80250</v>
      </c>
      <c r="D248" s="11"/>
      <c r="E248" t="s">
        <v>293</v>
      </c>
      <c r="F248" s="110" t="s">
        <v>107</v>
      </c>
    </row>
    <row r="249" spans="1:6" hidden="1" x14ac:dyDescent="0.3">
      <c r="A249" s="115">
        <v>46024</v>
      </c>
      <c r="B249" t="s">
        <v>112</v>
      </c>
      <c r="C249" s="11">
        <v>1000</v>
      </c>
      <c r="D249" s="11"/>
      <c r="E249" t="s">
        <v>370</v>
      </c>
      <c r="F249" s="110" t="s">
        <v>107</v>
      </c>
    </row>
    <row r="250" spans="1:6" hidden="1" x14ac:dyDescent="0.3">
      <c r="A250" s="38">
        <v>46024</v>
      </c>
      <c r="B250" t="s">
        <v>336</v>
      </c>
      <c r="C250" s="11">
        <v>1500</v>
      </c>
      <c r="D250" s="11"/>
      <c r="E250" t="s">
        <v>371</v>
      </c>
      <c r="F250" s="110" t="s">
        <v>107</v>
      </c>
    </row>
    <row r="251" spans="1:6" hidden="1" x14ac:dyDescent="0.3">
      <c r="A251" s="115">
        <v>46024</v>
      </c>
      <c r="B251" t="s">
        <v>112</v>
      </c>
      <c r="C251" s="11">
        <v>20000</v>
      </c>
      <c r="D251" s="11"/>
      <c r="E251" t="s">
        <v>303</v>
      </c>
      <c r="F251" s="110" t="s">
        <v>107</v>
      </c>
    </row>
    <row r="252" spans="1:6" hidden="1" x14ac:dyDescent="0.3">
      <c r="A252" s="38">
        <v>46024</v>
      </c>
      <c r="B252" t="s">
        <v>54</v>
      </c>
      <c r="C252" s="11">
        <v>10185</v>
      </c>
      <c r="D252" s="11"/>
      <c r="F252" s="110" t="s">
        <v>107</v>
      </c>
    </row>
    <row r="253" spans="1:6" hidden="1" x14ac:dyDescent="0.3">
      <c r="A253" s="115">
        <v>46024</v>
      </c>
      <c r="B253" t="s">
        <v>176</v>
      </c>
      <c r="C253" s="11">
        <v>3600</v>
      </c>
      <c r="D253" s="11"/>
      <c r="E253" t="s">
        <v>217</v>
      </c>
      <c r="F253" s="110" t="s">
        <v>107</v>
      </c>
    </row>
    <row r="254" spans="1:6" hidden="1" x14ac:dyDescent="0.3">
      <c r="A254" s="38">
        <v>46024</v>
      </c>
      <c r="B254" t="s">
        <v>52</v>
      </c>
      <c r="C254" s="11"/>
      <c r="D254" s="11"/>
      <c r="E254" t="s">
        <v>372</v>
      </c>
      <c r="F254" s="110" t="s">
        <v>107</v>
      </c>
    </row>
    <row r="255" spans="1:6" hidden="1" x14ac:dyDescent="0.3">
      <c r="A255" s="115">
        <v>46024</v>
      </c>
      <c r="B255" t="s">
        <v>52</v>
      </c>
      <c r="C255" s="11"/>
      <c r="D255" s="11"/>
      <c r="E255" t="s">
        <v>220</v>
      </c>
      <c r="F255" s="110" t="s">
        <v>107</v>
      </c>
    </row>
    <row r="256" spans="1:6" hidden="1" x14ac:dyDescent="0.3">
      <c r="A256" s="38">
        <v>46024</v>
      </c>
      <c r="B256" t="s">
        <v>228</v>
      </c>
      <c r="C256" s="11">
        <v>200154</v>
      </c>
      <c r="D256" s="11"/>
      <c r="E256" t="s">
        <v>373</v>
      </c>
      <c r="F256" s="110" t="s">
        <v>107</v>
      </c>
    </row>
    <row r="257" spans="1:6" hidden="1" x14ac:dyDescent="0.3">
      <c r="A257" s="115">
        <v>46024</v>
      </c>
      <c r="B257" t="s">
        <v>191</v>
      </c>
      <c r="C257" s="11"/>
      <c r="D257" s="11">
        <v>100000</v>
      </c>
      <c r="E257" t="s">
        <v>374</v>
      </c>
      <c r="F257" s="110" t="s">
        <v>107</v>
      </c>
    </row>
    <row r="258" spans="1:6" hidden="1" x14ac:dyDescent="0.3">
      <c r="A258" s="38">
        <v>46024</v>
      </c>
      <c r="B258" t="s">
        <v>50</v>
      </c>
      <c r="C258" s="11">
        <v>1500</v>
      </c>
      <c r="D258" s="11"/>
      <c r="E258" t="s">
        <v>375</v>
      </c>
      <c r="F258" s="110" t="s">
        <v>107</v>
      </c>
    </row>
    <row r="259" spans="1:6" hidden="1" x14ac:dyDescent="0.3">
      <c r="A259" s="115">
        <v>46025</v>
      </c>
      <c r="B259" t="s">
        <v>9</v>
      </c>
      <c r="C259" s="11"/>
      <c r="D259" s="11">
        <v>250000</v>
      </c>
      <c r="E259" t="s">
        <v>378</v>
      </c>
      <c r="F259" s="110" t="s">
        <v>107</v>
      </c>
    </row>
    <row r="260" spans="1:6" hidden="1" x14ac:dyDescent="0.3">
      <c r="A260" s="38">
        <v>46025</v>
      </c>
      <c r="B260" t="s">
        <v>191</v>
      </c>
      <c r="C260" s="11"/>
      <c r="D260" s="11">
        <v>3500</v>
      </c>
      <c r="E260" t="s">
        <v>379</v>
      </c>
      <c r="F260" s="110" t="s">
        <v>107</v>
      </c>
    </row>
    <row r="261" spans="1:6" hidden="1" x14ac:dyDescent="0.3">
      <c r="A261" s="115">
        <v>46025</v>
      </c>
      <c r="B261" t="s">
        <v>55</v>
      </c>
      <c r="C261" s="11">
        <v>3500</v>
      </c>
      <c r="D261" s="11"/>
      <c r="E261" t="s">
        <v>379</v>
      </c>
      <c r="F261" s="110" t="s">
        <v>107</v>
      </c>
    </row>
    <row r="262" spans="1:6" hidden="1" x14ac:dyDescent="0.3">
      <c r="A262" s="38">
        <v>46025</v>
      </c>
      <c r="B262" t="s">
        <v>54</v>
      </c>
      <c r="C262" s="11">
        <v>9139</v>
      </c>
      <c r="D262" s="11"/>
      <c r="E262" t="s">
        <v>235</v>
      </c>
      <c r="F262" s="110" t="s">
        <v>107</v>
      </c>
    </row>
    <row r="263" spans="1:6" hidden="1" x14ac:dyDescent="0.3">
      <c r="A263" s="115">
        <v>46025</v>
      </c>
      <c r="B263" t="s">
        <v>218</v>
      </c>
      <c r="C263" s="11">
        <v>3400</v>
      </c>
      <c r="D263" s="11"/>
      <c r="E263" t="s">
        <v>384</v>
      </c>
      <c r="F263" s="110" t="s">
        <v>107</v>
      </c>
    </row>
    <row r="264" spans="1:6" hidden="1" x14ac:dyDescent="0.3">
      <c r="A264" s="38">
        <v>46025</v>
      </c>
      <c r="B264" t="s">
        <v>221</v>
      </c>
      <c r="C264" s="11"/>
      <c r="D264" s="11">
        <v>3400</v>
      </c>
      <c r="E264" t="s">
        <v>385</v>
      </c>
      <c r="F264" s="110" t="s">
        <v>107</v>
      </c>
    </row>
    <row r="265" spans="1:6" hidden="1" x14ac:dyDescent="0.3">
      <c r="A265" s="115">
        <v>46025</v>
      </c>
      <c r="B265" t="s">
        <v>221</v>
      </c>
      <c r="C265" s="11"/>
      <c r="D265" s="11">
        <v>9139</v>
      </c>
      <c r="E265" t="s">
        <v>381</v>
      </c>
      <c r="F265" s="110" t="s">
        <v>107</v>
      </c>
    </row>
    <row r="266" spans="1:6" hidden="1" x14ac:dyDescent="0.3">
      <c r="A266" s="38">
        <v>46025</v>
      </c>
      <c r="B266" t="s">
        <v>221</v>
      </c>
      <c r="C266" s="11"/>
      <c r="D266" s="11">
        <v>660</v>
      </c>
      <c r="E266" t="s">
        <v>379</v>
      </c>
      <c r="F266" s="110" t="s">
        <v>107</v>
      </c>
    </row>
    <row r="267" spans="1:6" hidden="1" x14ac:dyDescent="0.3">
      <c r="A267" s="115">
        <v>46025</v>
      </c>
      <c r="B267" t="s">
        <v>55</v>
      </c>
      <c r="C267" s="11">
        <v>660</v>
      </c>
      <c r="D267" s="11"/>
      <c r="E267" t="s">
        <v>382</v>
      </c>
      <c r="F267" s="110" t="s">
        <v>107</v>
      </c>
    </row>
    <row r="268" spans="1:6" hidden="1" x14ac:dyDescent="0.3">
      <c r="A268" s="38">
        <v>46025</v>
      </c>
      <c r="B268" t="s">
        <v>197</v>
      </c>
      <c r="C268" s="11">
        <v>80000</v>
      </c>
      <c r="D268" s="11"/>
      <c r="E268" t="s">
        <v>383</v>
      </c>
      <c r="F268" s="110" t="s">
        <v>107</v>
      </c>
    </row>
    <row r="269" spans="1:6" hidden="1" x14ac:dyDescent="0.3">
      <c r="A269" s="115">
        <v>45660</v>
      </c>
      <c r="B269" t="s">
        <v>191</v>
      </c>
      <c r="C269" s="11"/>
      <c r="D269" s="11">
        <v>80000</v>
      </c>
      <c r="E269" t="s">
        <v>197</v>
      </c>
      <c r="F269" s="110" t="s">
        <v>107</v>
      </c>
    </row>
    <row r="270" spans="1:6" hidden="1" x14ac:dyDescent="0.3">
      <c r="A270" s="115">
        <v>46025</v>
      </c>
      <c r="B270" t="s">
        <v>55</v>
      </c>
      <c r="C270" s="95">
        <v>3340</v>
      </c>
      <c r="D270" s="95"/>
      <c r="E270" t="s">
        <v>327</v>
      </c>
      <c r="F270" s="110" t="s">
        <v>107</v>
      </c>
    </row>
    <row r="271" spans="1:6" hidden="1" x14ac:dyDescent="0.3">
      <c r="A271" s="38">
        <v>46025</v>
      </c>
      <c r="B271" t="s">
        <v>221</v>
      </c>
      <c r="C271" s="11"/>
      <c r="D271" s="11">
        <v>3340</v>
      </c>
      <c r="E271" t="s">
        <v>327</v>
      </c>
      <c r="F271" s="110" t="s">
        <v>107</v>
      </c>
    </row>
    <row r="272" spans="1:6" hidden="1" x14ac:dyDescent="0.3">
      <c r="A272" s="115">
        <v>46025</v>
      </c>
      <c r="B272" t="s">
        <v>221</v>
      </c>
      <c r="C272" s="11"/>
      <c r="D272" s="11">
        <v>3500</v>
      </c>
      <c r="E272" t="s">
        <v>380</v>
      </c>
      <c r="F272" s="110" t="s">
        <v>107</v>
      </c>
    </row>
    <row r="273" spans="1:6" hidden="1" x14ac:dyDescent="0.3">
      <c r="A273" s="38">
        <v>46025</v>
      </c>
      <c r="B273" t="s">
        <v>54</v>
      </c>
      <c r="C273" s="11">
        <v>3500</v>
      </c>
      <c r="D273" s="11"/>
      <c r="E273" t="s">
        <v>380</v>
      </c>
      <c r="F273" s="110" t="s">
        <v>107</v>
      </c>
    </row>
    <row r="274" spans="1:6" hidden="1" x14ac:dyDescent="0.3">
      <c r="A274" s="115">
        <v>46025</v>
      </c>
      <c r="B274" t="s">
        <v>228</v>
      </c>
      <c r="C274" s="11">
        <v>200100</v>
      </c>
      <c r="D274" s="11"/>
      <c r="E274" t="s">
        <v>386</v>
      </c>
      <c r="F274" s="110" t="s">
        <v>107</v>
      </c>
    </row>
    <row r="275" spans="1:6" hidden="1" x14ac:dyDescent="0.3">
      <c r="A275" s="38">
        <v>46025</v>
      </c>
      <c r="B275" t="s">
        <v>94</v>
      </c>
      <c r="C275" s="11">
        <v>60400</v>
      </c>
      <c r="D275" s="11"/>
      <c r="E275" t="s">
        <v>387</v>
      </c>
      <c r="F275" s="110" t="s">
        <v>107</v>
      </c>
    </row>
    <row r="276" spans="1:6" hidden="1" x14ac:dyDescent="0.3">
      <c r="A276" s="115">
        <v>46025</v>
      </c>
      <c r="B276" t="s">
        <v>54</v>
      </c>
      <c r="C276" s="11">
        <v>2200</v>
      </c>
      <c r="D276" s="11"/>
      <c r="E276" t="s">
        <v>388</v>
      </c>
      <c r="F276" s="110" t="s">
        <v>107</v>
      </c>
    </row>
    <row r="277" spans="1:6" hidden="1" x14ac:dyDescent="0.3">
      <c r="A277" s="38">
        <v>46025</v>
      </c>
      <c r="B277" t="s">
        <v>221</v>
      </c>
      <c r="C277" s="11"/>
      <c r="D277" s="11">
        <v>2200</v>
      </c>
      <c r="E277" t="s">
        <v>388</v>
      </c>
      <c r="F277" s="110" t="s">
        <v>107</v>
      </c>
    </row>
    <row r="278" spans="1:6" hidden="1" x14ac:dyDescent="0.3">
      <c r="A278" s="115">
        <v>46026</v>
      </c>
      <c r="B278" t="s">
        <v>232</v>
      </c>
      <c r="C278" s="11">
        <v>30000</v>
      </c>
      <c r="D278" s="11"/>
      <c r="E278" t="s">
        <v>389</v>
      </c>
      <c r="F278" s="110" t="s">
        <v>107</v>
      </c>
    </row>
    <row r="279" spans="1:6" hidden="1" x14ac:dyDescent="0.3">
      <c r="A279" s="38">
        <v>46026</v>
      </c>
      <c r="B279" t="s">
        <v>191</v>
      </c>
      <c r="C279" s="11"/>
      <c r="D279" s="11">
        <v>63000</v>
      </c>
      <c r="F279" s="110" t="s">
        <v>107</v>
      </c>
    </row>
    <row r="280" spans="1:6" hidden="1" x14ac:dyDescent="0.3">
      <c r="A280" s="115">
        <v>46026</v>
      </c>
      <c r="B280" t="s">
        <v>201</v>
      </c>
      <c r="C280" s="11">
        <v>20000</v>
      </c>
      <c r="D280" s="11"/>
      <c r="E280" t="s">
        <v>288</v>
      </c>
      <c r="F280" s="110" t="s">
        <v>107</v>
      </c>
    </row>
    <row r="281" spans="1:6" hidden="1" x14ac:dyDescent="0.3">
      <c r="A281" s="38">
        <v>46026</v>
      </c>
      <c r="B281" t="s">
        <v>50</v>
      </c>
      <c r="C281" s="11">
        <v>3000</v>
      </c>
      <c r="D281" s="11"/>
      <c r="E281" t="s">
        <v>390</v>
      </c>
      <c r="F281" s="110" t="s">
        <v>107</v>
      </c>
    </row>
    <row r="282" spans="1:6" hidden="1" x14ac:dyDescent="0.3">
      <c r="A282" s="115">
        <v>46025</v>
      </c>
      <c r="B282" t="s">
        <v>221</v>
      </c>
      <c r="C282" s="11"/>
      <c r="D282" s="11">
        <v>10400</v>
      </c>
      <c r="E282" t="s">
        <v>391</v>
      </c>
      <c r="F282" s="110" t="s">
        <v>107</v>
      </c>
    </row>
    <row r="283" spans="1:6" hidden="1" x14ac:dyDescent="0.3">
      <c r="A283" s="38">
        <v>46025</v>
      </c>
      <c r="B283" t="s">
        <v>176</v>
      </c>
      <c r="C283" s="11">
        <v>620</v>
      </c>
      <c r="D283" s="11"/>
      <c r="E283" t="s">
        <v>392</v>
      </c>
      <c r="F283" s="110" t="s">
        <v>107</v>
      </c>
    </row>
    <row r="284" spans="1:6" hidden="1" x14ac:dyDescent="0.3">
      <c r="A284" s="38">
        <v>46027</v>
      </c>
      <c r="B284" t="s">
        <v>221</v>
      </c>
      <c r="C284" s="95"/>
      <c r="D284" s="95">
        <v>2500</v>
      </c>
      <c r="F284" s="110" t="s">
        <v>107</v>
      </c>
    </row>
    <row r="285" spans="1:6" hidden="1" x14ac:dyDescent="0.3">
      <c r="A285" s="115">
        <v>46027</v>
      </c>
      <c r="B285" t="s">
        <v>50</v>
      </c>
      <c r="C285" s="11">
        <v>15000</v>
      </c>
      <c r="D285" s="11"/>
      <c r="E285" t="s">
        <v>394</v>
      </c>
      <c r="F285" s="110" t="s">
        <v>107</v>
      </c>
    </row>
    <row r="286" spans="1:6" hidden="1" x14ac:dyDescent="0.3">
      <c r="A286" s="115">
        <v>46027</v>
      </c>
      <c r="B286" t="s">
        <v>176</v>
      </c>
      <c r="C286" s="11">
        <v>2800</v>
      </c>
      <c r="D286" s="11"/>
      <c r="E286" t="s">
        <v>217</v>
      </c>
      <c r="F286" s="110" t="s">
        <v>107</v>
      </c>
    </row>
    <row r="287" spans="1:6" hidden="1" x14ac:dyDescent="0.3">
      <c r="A287" s="38">
        <v>46027</v>
      </c>
      <c r="B287" t="s">
        <v>228</v>
      </c>
      <c r="C287" s="95">
        <v>4000</v>
      </c>
      <c r="D287" s="95"/>
      <c r="E287" t="s">
        <v>395</v>
      </c>
      <c r="F287" s="110" t="s">
        <v>107</v>
      </c>
    </row>
    <row r="288" spans="1:6" hidden="1" x14ac:dyDescent="0.3">
      <c r="A288" s="38">
        <v>46027</v>
      </c>
      <c r="B288" t="s">
        <v>191</v>
      </c>
      <c r="C288" s="95"/>
      <c r="D288" s="95">
        <v>100000</v>
      </c>
      <c r="F288" s="110" t="s">
        <v>107</v>
      </c>
    </row>
    <row r="289" spans="1:7" hidden="1" x14ac:dyDescent="0.3">
      <c r="A289" s="38">
        <v>46027</v>
      </c>
      <c r="B289" t="s">
        <v>50</v>
      </c>
      <c r="C289" s="11">
        <v>500</v>
      </c>
      <c r="D289" s="11"/>
      <c r="E289" t="s">
        <v>396</v>
      </c>
      <c r="F289" s="110" t="s">
        <v>107</v>
      </c>
    </row>
    <row r="290" spans="1:7" hidden="1" x14ac:dyDescent="0.3">
      <c r="A290" s="38">
        <v>46027</v>
      </c>
      <c r="B290" t="s">
        <v>50</v>
      </c>
      <c r="C290" s="11">
        <v>580</v>
      </c>
      <c r="D290" s="11"/>
      <c r="E290" t="s">
        <v>396</v>
      </c>
      <c r="F290" s="110" t="s">
        <v>107</v>
      </c>
    </row>
    <row r="291" spans="1:7" x14ac:dyDescent="0.3">
      <c r="A291" s="38">
        <v>46027</v>
      </c>
      <c r="B291" t="s">
        <v>148</v>
      </c>
      <c r="C291" s="11">
        <v>30000</v>
      </c>
      <c r="D291" s="11"/>
      <c r="E291" t="s">
        <v>397</v>
      </c>
      <c r="F291" s="110" t="s">
        <v>107</v>
      </c>
    </row>
    <row r="292" spans="1:7" hidden="1" x14ac:dyDescent="0.3">
      <c r="A292" s="38">
        <v>46027</v>
      </c>
      <c r="B292" t="s">
        <v>54</v>
      </c>
      <c r="C292" s="11">
        <v>7639</v>
      </c>
      <c r="D292" s="11"/>
      <c r="E292" t="s">
        <v>235</v>
      </c>
      <c r="F292" s="110" t="s">
        <v>107</v>
      </c>
    </row>
    <row r="293" spans="1:7" hidden="1" x14ac:dyDescent="0.3">
      <c r="A293" s="38">
        <v>46027</v>
      </c>
      <c r="B293" t="s">
        <v>55</v>
      </c>
      <c r="C293" s="11">
        <v>7500</v>
      </c>
      <c r="D293" s="11"/>
      <c r="E293" t="s">
        <v>398</v>
      </c>
      <c r="F293" s="110" t="s">
        <v>107</v>
      </c>
    </row>
    <row r="294" spans="1:7" hidden="1" x14ac:dyDescent="0.3">
      <c r="A294" s="38">
        <v>46027</v>
      </c>
      <c r="B294" t="s">
        <v>55</v>
      </c>
      <c r="C294" s="11">
        <v>1100</v>
      </c>
      <c r="D294" s="11"/>
      <c r="E294" t="s">
        <v>399</v>
      </c>
      <c r="F294" s="110" t="s">
        <v>107</v>
      </c>
    </row>
    <row r="295" spans="1:7" hidden="1" x14ac:dyDescent="0.3">
      <c r="A295" s="38">
        <v>46027</v>
      </c>
      <c r="B295" t="s">
        <v>55</v>
      </c>
      <c r="C295" s="11">
        <v>360</v>
      </c>
      <c r="D295" s="11"/>
      <c r="E295" t="s">
        <v>400</v>
      </c>
      <c r="F295" s="110" t="s">
        <v>107</v>
      </c>
    </row>
    <row r="296" spans="1:7" hidden="1" x14ac:dyDescent="0.3">
      <c r="A296" s="38">
        <v>46027</v>
      </c>
      <c r="B296" t="s">
        <v>191</v>
      </c>
      <c r="C296" s="11"/>
      <c r="D296" s="11">
        <v>480000</v>
      </c>
      <c r="E296" t="s">
        <v>401</v>
      </c>
      <c r="F296" s="110" t="s">
        <v>107</v>
      </c>
    </row>
    <row r="297" spans="1:7" hidden="1" x14ac:dyDescent="0.3">
      <c r="A297" s="38">
        <v>46027</v>
      </c>
      <c r="B297" t="s">
        <v>168</v>
      </c>
      <c r="C297" s="11">
        <v>250000</v>
      </c>
      <c r="D297" s="11"/>
      <c r="F297" s="110" t="s">
        <v>107</v>
      </c>
    </row>
    <row r="298" spans="1:7" hidden="1" x14ac:dyDescent="0.3">
      <c r="A298" s="38">
        <v>46027</v>
      </c>
      <c r="B298" t="s">
        <v>228</v>
      </c>
      <c r="C298" s="11">
        <v>200200</v>
      </c>
      <c r="D298" s="11"/>
      <c r="E298" t="s">
        <v>252</v>
      </c>
      <c r="F298" s="110" t="s">
        <v>107</v>
      </c>
    </row>
    <row r="299" spans="1:7" hidden="1" x14ac:dyDescent="0.3">
      <c r="A299" s="38">
        <v>46027</v>
      </c>
      <c r="B299" t="s">
        <v>52</v>
      </c>
      <c r="C299" s="11">
        <v>45000</v>
      </c>
      <c r="D299" s="11"/>
      <c r="E299" t="s">
        <v>402</v>
      </c>
      <c r="F299" s="110" t="s">
        <v>107</v>
      </c>
      <c r="G299" t="s">
        <v>403</v>
      </c>
    </row>
    <row r="300" spans="1:7" hidden="1" x14ac:dyDescent="0.3">
      <c r="A300" s="38">
        <v>46027</v>
      </c>
      <c r="B300" t="s">
        <v>232</v>
      </c>
      <c r="C300" s="11">
        <v>10000</v>
      </c>
      <c r="D300" s="11"/>
      <c r="E300" t="s">
        <v>404</v>
      </c>
      <c r="F300" s="110" t="s">
        <v>107</v>
      </c>
    </row>
    <row r="301" spans="1:7" hidden="1" x14ac:dyDescent="0.3">
      <c r="A301" s="38">
        <v>46027</v>
      </c>
      <c r="B301" t="s">
        <v>285</v>
      </c>
      <c r="C301" s="11"/>
      <c r="D301" s="11">
        <v>22500</v>
      </c>
      <c r="E301" t="s">
        <v>405</v>
      </c>
      <c r="F301" s="110" t="s">
        <v>107</v>
      </c>
    </row>
    <row r="302" spans="1:7" hidden="1" x14ac:dyDescent="0.3">
      <c r="A302" s="38">
        <v>46027</v>
      </c>
      <c r="B302" t="s">
        <v>54</v>
      </c>
      <c r="C302" s="11">
        <v>2000</v>
      </c>
      <c r="D302" s="11"/>
      <c r="E302" t="s">
        <v>406</v>
      </c>
      <c r="F302" s="110" t="s">
        <v>107</v>
      </c>
    </row>
    <row r="303" spans="1:7" hidden="1" x14ac:dyDescent="0.3">
      <c r="A303" s="38">
        <v>46027</v>
      </c>
      <c r="B303" t="s">
        <v>221</v>
      </c>
      <c r="C303" s="11"/>
      <c r="D303" s="11">
        <v>1000</v>
      </c>
      <c r="F303" s="110" t="s">
        <v>107</v>
      </c>
    </row>
    <row r="304" spans="1:7" hidden="1" x14ac:dyDescent="0.3">
      <c r="A304" s="38">
        <v>46027</v>
      </c>
      <c r="B304" t="s">
        <v>165</v>
      </c>
      <c r="C304" s="11"/>
      <c r="D304" s="11">
        <v>50000</v>
      </c>
      <c r="E304" t="s">
        <v>108</v>
      </c>
      <c r="F304" s="110" t="s">
        <v>107</v>
      </c>
    </row>
    <row r="305" spans="1:6" hidden="1" x14ac:dyDescent="0.3">
      <c r="A305" s="38">
        <v>46027</v>
      </c>
      <c r="B305" t="s">
        <v>191</v>
      </c>
      <c r="C305" s="11">
        <v>50000</v>
      </c>
      <c r="D305" s="11"/>
      <c r="E305" t="s">
        <v>407</v>
      </c>
      <c r="F305" s="110" t="s">
        <v>107</v>
      </c>
    </row>
    <row r="306" spans="1:6" hidden="1" x14ac:dyDescent="0.3">
      <c r="A306" s="38">
        <v>46028</v>
      </c>
      <c r="B306" t="s">
        <v>191</v>
      </c>
      <c r="C306" s="11"/>
      <c r="D306" s="11">
        <v>138000</v>
      </c>
      <c r="F306" s="110" t="s">
        <v>107</v>
      </c>
    </row>
    <row r="307" spans="1:6" hidden="1" x14ac:dyDescent="0.3">
      <c r="A307" s="38">
        <v>46028</v>
      </c>
      <c r="B307" t="s">
        <v>197</v>
      </c>
      <c r="C307" s="95">
        <v>107000</v>
      </c>
      <c r="D307" s="95"/>
      <c r="E307" t="s">
        <v>408</v>
      </c>
      <c r="F307" s="110" t="s">
        <v>107</v>
      </c>
    </row>
    <row r="308" spans="1:6" hidden="1" x14ac:dyDescent="0.3">
      <c r="A308" s="38">
        <v>46028</v>
      </c>
      <c r="B308" t="s">
        <v>409</v>
      </c>
      <c r="C308" s="11">
        <v>35000</v>
      </c>
      <c r="D308" s="11"/>
      <c r="E308" t="s">
        <v>288</v>
      </c>
      <c r="F308" s="110" t="s">
        <v>107</v>
      </c>
    </row>
    <row r="309" spans="1:6" hidden="1" x14ac:dyDescent="0.3">
      <c r="A309" s="38">
        <v>46028</v>
      </c>
      <c r="B309" t="s">
        <v>64</v>
      </c>
      <c r="C309" s="11">
        <v>13500</v>
      </c>
      <c r="D309" s="11"/>
      <c r="E309" t="s">
        <v>410</v>
      </c>
      <c r="F309" s="110" t="s">
        <v>107</v>
      </c>
    </row>
    <row r="310" spans="1:6" hidden="1" x14ac:dyDescent="0.3">
      <c r="A310" s="38">
        <v>46028</v>
      </c>
      <c r="B310" t="s">
        <v>191</v>
      </c>
      <c r="C310" s="11"/>
      <c r="D310" s="11">
        <v>13500</v>
      </c>
      <c r="E310" t="s">
        <v>410</v>
      </c>
      <c r="F310" s="110" t="s">
        <v>107</v>
      </c>
    </row>
    <row r="311" spans="1:6" hidden="1" x14ac:dyDescent="0.3">
      <c r="A311" s="38">
        <v>46028</v>
      </c>
      <c r="B311" t="s">
        <v>223</v>
      </c>
      <c r="C311" s="11"/>
      <c r="D311" s="11">
        <v>205299</v>
      </c>
      <c r="E311" t="s">
        <v>411</v>
      </c>
      <c r="F311" s="110" t="s">
        <v>107</v>
      </c>
    </row>
    <row r="312" spans="1:6" hidden="1" x14ac:dyDescent="0.3">
      <c r="A312" s="38">
        <v>46028</v>
      </c>
      <c r="B312" t="s">
        <v>55</v>
      </c>
      <c r="C312" s="11">
        <v>800</v>
      </c>
      <c r="D312" s="11"/>
      <c r="E312" t="s">
        <v>379</v>
      </c>
      <c r="F312" s="110" t="s">
        <v>107</v>
      </c>
    </row>
    <row r="313" spans="1:6" hidden="1" x14ac:dyDescent="0.3">
      <c r="A313" s="38">
        <v>46028</v>
      </c>
      <c r="B313" t="s">
        <v>55</v>
      </c>
      <c r="C313" s="11">
        <v>300</v>
      </c>
      <c r="D313" s="11"/>
      <c r="F313" s="110" t="s">
        <v>107</v>
      </c>
    </row>
    <row r="314" spans="1:6" hidden="1" x14ac:dyDescent="0.3">
      <c r="A314" s="38">
        <v>46028</v>
      </c>
      <c r="B314" t="s">
        <v>94</v>
      </c>
      <c r="C314" s="11">
        <v>200220</v>
      </c>
      <c r="D314" s="11"/>
      <c r="E314" t="s">
        <v>412</v>
      </c>
      <c r="F314" s="110" t="s">
        <v>107</v>
      </c>
    </row>
    <row r="315" spans="1:6" hidden="1" x14ac:dyDescent="0.3">
      <c r="A315" s="38">
        <v>46028</v>
      </c>
      <c r="B315" t="s">
        <v>9</v>
      </c>
      <c r="C315" s="11"/>
      <c r="D315" s="11">
        <v>200000</v>
      </c>
      <c r="E315" t="s">
        <v>413</v>
      </c>
      <c r="F315" s="110" t="s">
        <v>107</v>
      </c>
    </row>
    <row r="316" spans="1:6" hidden="1" x14ac:dyDescent="0.3">
      <c r="A316" s="38">
        <v>46028</v>
      </c>
      <c r="B316" t="s">
        <v>325</v>
      </c>
      <c r="C316" s="11"/>
      <c r="D316" s="11">
        <v>100000</v>
      </c>
      <c r="E316" t="s">
        <v>414</v>
      </c>
      <c r="F316" s="110" t="s">
        <v>107</v>
      </c>
    </row>
    <row r="317" spans="1:6" hidden="1" x14ac:dyDescent="0.3">
      <c r="A317" s="38">
        <v>46028</v>
      </c>
      <c r="B317" t="s">
        <v>218</v>
      </c>
      <c r="C317" s="11">
        <v>10000</v>
      </c>
      <c r="D317" s="11"/>
      <c r="E317" t="s">
        <v>415</v>
      </c>
      <c r="F317" s="110" t="s">
        <v>107</v>
      </c>
    </row>
    <row r="318" spans="1:6" hidden="1" x14ac:dyDescent="0.3">
      <c r="A318" s="38">
        <v>46028</v>
      </c>
      <c r="B318" t="s">
        <v>55</v>
      </c>
      <c r="C318" s="11">
        <v>1800</v>
      </c>
      <c r="D318" s="11"/>
      <c r="E318" t="s">
        <v>319</v>
      </c>
      <c r="F318" s="110" t="s">
        <v>107</v>
      </c>
    </row>
    <row r="319" spans="1:6" hidden="1" x14ac:dyDescent="0.3">
      <c r="A319" s="38">
        <v>46028</v>
      </c>
      <c r="B319" t="s">
        <v>168</v>
      </c>
      <c r="C319" s="11">
        <v>150500</v>
      </c>
      <c r="D319" s="11"/>
      <c r="E319" t="s">
        <v>416</v>
      </c>
      <c r="F319" s="110" t="s">
        <v>107</v>
      </c>
    </row>
    <row r="320" spans="1:6" hidden="1" x14ac:dyDescent="0.3">
      <c r="A320" s="38">
        <v>46028</v>
      </c>
      <c r="B320" t="s">
        <v>228</v>
      </c>
      <c r="C320" s="11">
        <v>101500</v>
      </c>
      <c r="D320" s="11"/>
      <c r="E320" t="s">
        <v>417</v>
      </c>
      <c r="F320" s="110" t="s">
        <v>107</v>
      </c>
    </row>
    <row r="321" spans="1:6" hidden="1" x14ac:dyDescent="0.3">
      <c r="A321" s="38">
        <v>46028</v>
      </c>
      <c r="B321" t="s">
        <v>54</v>
      </c>
      <c r="C321" s="11">
        <v>2000</v>
      </c>
      <c r="D321" s="11"/>
      <c r="E321" t="s">
        <v>418</v>
      </c>
      <c r="F321" s="110" t="s">
        <v>107</v>
      </c>
    </row>
    <row r="322" spans="1:6" hidden="1" x14ac:dyDescent="0.3">
      <c r="A322" s="38">
        <v>46028</v>
      </c>
      <c r="B322" t="s">
        <v>54</v>
      </c>
      <c r="C322" s="11">
        <v>5100</v>
      </c>
      <c r="D322" s="11"/>
      <c r="E322" t="s">
        <v>419</v>
      </c>
      <c r="F322" s="110" t="s">
        <v>107</v>
      </c>
    </row>
    <row r="323" spans="1:6" hidden="1" x14ac:dyDescent="0.3">
      <c r="A323" s="38">
        <v>46028</v>
      </c>
      <c r="B323" t="s">
        <v>221</v>
      </c>
      <c r="C323" s="95"/>
      <c r="D323" s="95">
        <v>4000</v>
      </c>
      <c r="F323" s="110" t="s">
        <v>107</v>
      </c>
    </row>
    <row r="324" spans="1:6" hidden="1" x14ac:dyDescent="0.3">
      <c r="A324" s="38">
        <v>46028</v>
      </c>
      <c r="B324" t="s">
        <v>232</v>
      </c>
      <c r="C324" s="95">
        <v>6000</v>
      </c>
      <c r="D324" s="95"/>
      <c r="E324" t="s">
        <v>420</v>
      </c>
      <c r="F324" s="110" t="s">
        <v>107</v>
      </c>
    </row>
    <row r="325" spans="1:6" hidden="1" x14ac:dyDescent="0.3">
      <c r="A325" s="38">
        <v>46028</v>
      </c>
      <c r="B325" t="s">
        <v>232</v>
      </c>
      <c r="C325" s="11">
        <v>5000</v>
      </c>
      <c r="D325" s="11"/>
      <c r="E325" t="s">
        <v>421</v>
      </c>
      <c r="F325" s="110" t="s">
        <v>107</v>
      </c>
    </row>
    <row r="326" spans="1:6" hidden="1" x14ac:dyDescent="0.3">
      <c r="A326" s="38">
        <v>46028</v>
      </c>
      <c r="B326" t="s">
        <v>191</v>
      </c>
      <c r="C326" s="11">
        <v>5000</v>
      </c>
      <c r="D326" s="11"/>
      <c r="E326" t="s">
        <v>422</v>
      </c>
      <c r="F326" s="110" t="s">
        <v>107</v>
      </c>
    </row>
    <row r="327" spans="1:6" hidden="1" x14ac:dyDescent="0.3">
      <c r="A327" s="38">
        <v>46028</v>
      </c>
      <c r="B327" t="s">
        <v>228</v>
      </c>
      <c r="C327" s="11">
        <v>5000</v>
      </c>
      <c r="D327" s="11"/>
      <c r="E327" t="s">
        <v>344</v>
      </c>
      <c r="F327" s="110" t="s">
        <v>107</v>
      </c>
    </row>
    <row r="328" spans="1:6" hidden="1" x14ac:dyDescent="0.3">
      <c r="A328" s="38">
        <v>46028</v>
      </c>
      <c r="B328" t="s">
        <v>94</v>
      </c>
      <c r="C328" s="11">
        <v>1000</v>
      </c>
      <c r="D328" s="11"/>
      <c r="E328" t="s">
        <v>344</v>
      </c>
      <c r="F328" s="110" t="s">
        <v>107</v>
      </c>
    </row>
    <row r="329" spans="1:6" hidden="1" x14ac:dyDescent="0.3">
      <c r="A329" s="38">
        <v>46028</v>
      </c>
      <c r="B329" t="s">
        <v>409</v>
      </c>
      <c r="C329" s="11">
        <v>1000</v>
      </c>
      <c r="D329" s="11"/>
      <c r="E329" t="s">
        <v>344</v>
      </c>
      <c r="F329" s="110" t="s">
        <v>107</v>
      </c>
    </row>
    <row r="330" spans="1:6" hidden="1" x14ac:dyDescent="0.3">
      <c r="A330" s="38">
        <v>46028</v>
      </c>
      <c r="B330" t="s">
        <v>168</v>
      </c>
      <c r="C330" s="11">
        <v>1000</v>
      </c>
      <c r="D330" s="11"/>
      <c r="E330" t="s">
        <v>344</v>
      </c>
      <c r="F330" s="110" t="s">
        <v>107</v>
      </c>
    </row>
    <row r="331" spans="1:6" hidden="1" x14ac:dyDescent="0.3">
      <c r="A331" s="38">
        <v>46028</v>
      </c>
      <c r="B331" t="s">
        <v>165</v>
      </c>
      <c r="C331" s="11"/>
      <c r="D331" s="11">
        <v>250000</v>
      </c>
      <c r="E331" t="s">
        <v>21</v>
      </c>
      <c r="F331" s="110" t="s">
        <v>107</v>
      </c>
    </row>
    <row r="332" spans="1:6" hidden="1" x14ac:dyDescent="0.3">
      <c r="A332" s="38">
        <v>46028</v>
      </c>
      <c r="B332" t="s">
        <v>191</v>
      </c>
      <c r="C332" s="11"/>
      <c r="D332" s="11"/>
      <c r="F332" s="110" t="s">
        <v>107</v>
      </c>
    </row>
    <row r="333" spans="1:6" hidden="1" x14ac:dyDescent="0.3">
      <c r="A333" s="38">
        <v>46029</v>
      </c>
      <c r="B333" t="s">
        <v>197</v>
      </c>
      <c r="C333" s="11">
        <v>218250</v>
      </c>
      <c r="D333" s="11"/>
      <c r="E333" t="s">
        <v>293</v>
      </c>
      <c r="F333" s="110" t="s">
        <v>107</v>
      </c>
    </row>
    <row r="334" spans="1:6" hidden="1" x14ac:dyDescent="0.3">
      <c r="A334" s="38">
        <v>46029</v>
      </c>
      <c r="B334" t="s">
        <v>55</v>
      </c>
      <c r="C334" s="11">
        <v>7400</v>
      </c>
      <c r="D334" s="11"/>
      <c r="E334" t="s">
        <v>424</v>
      </c>
      <c r="F334" s="110" t="s">
        <v>107</v>
      </c>
    </row>
    <row r="335" spans="1:6" hidden="1" x14ac:dyDescent="0.3">
      <c r="A335" s="38">
        <v>46029</v>
      </c>
      <c r="B335" t="s">
        <v>55</v>
      </c>
      <c r="C335" s="11">
        <v>6600</v>
      </c>
      <c r="D335" s="11"/>
      <c r="E335" t="s">
        <v>425</v>
      </c>
      <c r="F335" s="110" t="s">
        <v>107</v>
      </c>
    </row>
    <row r="336" spans="1:6" hidden="1" x14ac:dyDescent="0.3">
      <c r="A336" s="38">
        <v>46029</v>
      </c>
      <c r="B336" t="s">
        <v>232</v>
      </c>
      <c r="C336" s="11">
        <v>10000</v>
      </c>
      <c r="D336" s="11"/>
      <c r="E336" t="s">
        <v>426</v>
      </c>
      <c r="F336" s="110" t="s">
        <v>107</v>
      </c>
    </row>
    <row r="337" spans="1:6" hidden="1" x14ac:dyDescent="0.3">
      <c r="A337" s="38">
        <v>46029</v>
      </c>
      <c r="B337" t="s">
        <v>325</v>
      </c>
      <c r="C337" s="11"/>
      <c r="D337" s="11">
        <v>100000</v>
      </c>
      <c r="E337" t="s">
        <v>427</v>
      </c>
      <c r="F337" s="110" t="s">
        <v>107</v>
      </c>
    </row>
    <row r="338" spans="1:6" hidden="1" x14ac:dyDescent="0.3">
      <c r="A338" s="38">
        <v>46029</v>
      </c>
      <c r="B338" t="s">
        <v>325</v>
      </c>
      <c r="C338" s="11"/>
      <c r="D338" s="11">
        <v>43970</v>
      </c>
      <c r="E338" t="s">
        <v>428</v>
      </c>
      <c r="F338" s="110" t="s">
        <v>107</v>
      </c>
    </row>
    <row r="339" spans="1:6" hidden="1" x14ac:dyDescent="0.3">
      <c r="A339" s="38">
        <v>46029</v>
      </c>
      <c r="B339" t="s">
        <v>285</v>
      </c>
      <c r="C339" s="11"/>
      <c r="D339" s="11">
        <v>100000</v>
      </c>
      <c r="E339" t="s">
        <v>429</v>
      </c>
      <c r="F339" s="110" t="s">
        <v>107</v>
      </c>
    </row>
    <row r="340" spans="1:6" hidden="1" x14ac:dyDescent="0.3">
      <c r="A340" s="38">
        <v>46029</v>
      </c>
      <c r="B340" t="s">
        <v>228</v>
      </c>
      <c r="C340" s="11">
        <v>100514</v>
      </c>
      <c r="D340" s="11"/>
      <c r="E340" t="s">
        <v>430</v>
      </c>
      <c r="F340" s="110" t="s">
        <v>107</v>
      </c>
    </row>
    <row r="341" spans="1:6" hidden="1" x14ac:dyDescent="0.3">
      <c r="A341" s="38">
        <v>46029</v>
      </c>
      <c r="B341" t="s">
        <v>409</v>
      </c>
      <c r="C341" s="11">
        <v>100100</v>
      </c>
      <c r="D341" s="11"/>
      <c r="E341" t="s">
        <v>431</v>
      </c>
      <c r="F341" s="110" t="s">
        <v>107</v>
      </c>
    </row>
    <row r="342" spans="1:6" hidden="1" x14ac:dyDescent="0.3">
      <c r="A342" s="38">
        <v>46028</v>
      </c>
      <c r="B342" t="s">
        <v>232</v>
      </c>
      <c r="C342" s="11">
        <v>10000</v>
      </c>
      <c r="D342" s="11"/>
      <c r="E342" t="s">
        <v>247</v>
      </c>
      <c r="F342" s="110" t="s">
        <v>107</v>
      </c>
    </row>
    <row r="343" spans="1:6" hidden="1" x14ac:dyDescent="0.3">
      <c r="A343" s="38">
        <v>46030</v>
      </c>
      <c r="B343" t="s">
        <v>176</v>
      </c>
      <c r="C343" s="11"/>
      <c r="D343" s="11">
        <v>2500</v>
      </c>
      <c r="E343" t="s">
        <v>224</v>
      </c>
      <c r="F343" s="110" t="s">
        <v>107</v>
      </c>
    </row>
    <row r="344" spans="1:6" hidden="1" x14ac:dyDescent="0.3">
      <c r="A344" s="38">
        <v>46030</v>
      </c>
      <c r="B344" t="s">
        <v>55</v>
      </c>
      <c r="C344" s="11">
        <v>4380</v>
      </c>
      <c r="D344" s="11"/>
      <c r="E344" t="s">
        <v>432</v>
      </c>
      <c r="F344" s="110" t="s">
        <v>107</v>
      </c>
    </row>
    <row r="345" spans="1:6" hidden="1" x14ac:dyDescent="0.3">
      <c r="A345" s="38">
        <v>46030</v>
      </c>
      <c r="B345" t="s">
        <v>409</v>
      </c>
      <c r="C345" s="11">
        <v>55780</v>
      </c>
      <c r="D345" s="11"/>
      <c r="F345" s="110" t="s">
        <v>107</v>
      </c>
    </row>
    <row r="346" spans="1:6" hidden="1" x14ac:dyDescent="0.3">
      <c r="A346" s="38">
        <v>46030</v>
      </c>
      <c r="B346" t="s">
        <v>55</v>
      </c>
      <c r="C346" s="11">
        <v>250000</v>
      </c>
      <c r="D346" s="11"/>
      <c r="E346" t="s">
        <v>433</v>
      </c>
      <c r="F346" s="110" t="s">
        <v>107</v>
      </c>
    </row>
    <row r="347" spans="1:6" hidden="1" x14ac:dyDescent="0.3">
      <c r="A347" s="38">
        <v>46030</v>
      </c>
      <c r="B347" t="s">
        <v>191</v>
      </c>
      <c r="C347" s="11"/>
      <c r="D347" s="11">
        <v>250000</v>
      </c>
      <c r="E347" t="s">
        <v>433</v>
      </c>
      <c r="F347" s="110" t="s">
        <v>107</v>
      </c>
    </row>
    <row r="348" spans="1:6" hidden="1" x14ac:dyDescent="0.3">
      <c r="A348" s="38">
        <v>46030</v>
      </c>
      <c r="B348" t="s">
        <v>9</v>
      </c>
      <c r="C348" s="11"/>
      <c r="D348" s="11">
        <v>150000</v>
      </c>
      <c r="E348" t="s">
        <v>434</v>
      </c>
      <c r="F348" s="110" t="s">
        <v>107</v>
      </c>
    </row>
    <row r="349" spans="1:6" hidden="1" x14ac:dyDescent="0.3">
      <c r="A349" s="38">
        <v>46030</v>
      </c>
      <c r="B349" t="s">
        <v>228</v>
      </c>
      <c r="C349" s="11">
        <v>150200</v>
      </c>
      <c r="D349" s="11"/>
      <c r="E349" t="s">
        <v>435</v>
      </c>
      <c r="F349" s="110" t="s">
        <v>107</v>
      </c>
    </row>
    <row r="350" spans="1:6" hidden="1" x14ac:dyDescent="0.3">
      <c r="A350" s="38">
        <v>46030</v>
      </c>
      <c r="B350" t="s">
        <v>55</v>
      </c>
      <c r="C350" s="11">
        <v>2000</v>
      </c>
      <c r="D350" s="11"/>
      <c r="E350" t="s">
        <v>226</v>
      </c>
      <c r="F350" s="110" t="s">
        <v>107</v>
      </c>
    </row>
    <row r="351" spans="1:6" hidden="1" x14ac:dyDescent="0.3">
      <c r="A351" s="38">
        <v>46030</v>
      </c>
      <c r="B351" t="s">
        <v>436</v>
      </c>
      <c r="C351" s="11"/>
      <c r="D351" s="11">
        <v>200000</v>
      </c>
      <c r="E351" t="s">
        <v>437</v>
      </c>
      <c r="F351" s="110" t="s">
        <v>107</v>
      </c>
    </row>
    <row r="352" spans="1:6" hidden="1" x14ac:dyDescent="0.3">
      <c r="A352" s="38">
        <v>46030</v>
      </c>
      <c r="B352" t="s">
        <v>168</v>
      </c>
      <c r="C352" s="11">
        <v>200250</v>
      </c>
      <c r="D352" s="11"/>
      <c r="E352" t="s">
        <v>438</v>
      </c>
      <c r="F352" s="110" t="s">
        <v>107</v>
      </c>
    </row>
    <row r="353" spans="1:6" hidden="1" x14ac:dyDescent="0.3">
      <c r="A353" s="38">
        <v>46030</v>
      </c>
      <c r="B353" t="s">
        <v>165</v>
      </c>
      <c r="C353" s="11"/>
      <c r="D353" s="11">
        <v>80000</v>
      </c>
      <c r="E353" t="s">
        <v>439</v>
      </c>
      <c r="F353" s="110" t="s">
        <v>107</v>
      </c>
    </row>
    <row r="354" spans="1:6" hidden="1" x14ac:dyDescent="0.3">
      <c r="A354" s="38">
        <v>46030</v>
      </c>
      <c r="B354" t="s">
        <v>165</v>
      </c>
      <c r="C354" s="11"/>
      <c r="D354" s="11">
        <v>120000</v>
      </c>
      <c r="E354" t="s">
        <v>108</v>
      </c>
      <c r="F354" s="110" t="s">
        <v>107</v>
      </c>
    </row>
    <row r="355" spans="1:6" hidden="1" x14ac:dyDescent="0.3">
      <c r="A355" s="38">
        <v>46030</v>
      </c>
      <c r="B355" t="s">
        <v>165</v>
      </c>
      <c r="C355" s="11"/>
      <c r="D355" s="11">
        <v>28000</v>
      </c>
      <c r="E355" t="s">
        <v>439</v>
      </c>
      <c r="F355" s="110" t="s">
        <v>107</v>
      </c>
    </row>
    <row r="356" spans="1:6" hidden="1" x14ac:dyDescent="0.3">
      <c r="A356" s="38">
        <v>46030</v>
      </c>
      <c r="B356" t="s">
        <v>165</v>
      </c>
      <c r="C356" s="11"/>
      <c r="D356" s="11">
        <v>2000</v>
      </c>
      <c r="E356" t="s">
        <v>108</v>
      </c>
      <c r="F356" s="110" t="s">
        <v>107</v>
      </c>
    </row>
    <row r="357" spans="1:6" hidden="1" x14ac:dyDescent="0.3">
      <c r="A357" s="115">
        <v>46030</v>
      </c>
      <c r="B357" t="s">
        <v>191</v>
      </c>
      <c r="C357" s="11">
        <v>230000</v>
      </c>
      <c r="D357" s="11"/>
      <c r="E357" t="s">
        <v>440</v>
      </c>
      <c r="F357" s="110" t="s">
        <v>107</v>
      </c>
    </row>
    <row r="358" spans="1:6" hidden="1" x14ac:dyDescent="0.3">
      <c r="A358" s="115">
        <v>46030</v>
      </c>
      <c r="B358" t="s">
        <v>191</v>
      </c>
      <c r="C358" s="11"/>
      <c r="D358" s="11">
        <v>100000</v>
      </c>
      <c r="E358" t="s">
        <v>441</v>
      </c>
      <c r="F358" s="110" t="s">
        <v>107</v>
      </c>
    </row>
    <row r="359" spans="1:6" hidden="1" x14ac:dyDescent="0.3">
      <c r="A359" s="38">
        <v>46030</v>
      </c>
      <c r="B359" t="s">
        <v>52</v>
      </c>
      <c r="C359" s="95">
        <v>50000</v>
      </c>
      <c r="D359" s="95"/>
      <c r="E359" t="s">
        <v>442</v>
      </c>
      <c r="F359" s="110" t="s">
        <v>107</v>
      </c>
    </row>
    <row r="360" spans="1:6" hidden="1" x14ac:dyDescent="0.3">
      <c r="A360" s="38">
        <v>46031</v>
      </c>
      <c r="B360" t="s">
        <v>64</v>
      </c>
      <c r="C360" s="95">
        <v>32500</v>
      </c>
      <c r="D360" s="95"/>
      <c r="E360" t="s">
        <v>443</v>
      </c>
      <c r="F360" s="110" t="s">
        <v>107</v>
      </c>
    </row>
    <row r="361" spans="1:6" hidden="1" x14ac:dyDescent="0.3">
      <c r="A361" s="38">
        <v>46031</v>
      </c>
      <c r="B361" t="s">
        <v>64</v>
      </c>
      <c r="C361" s="95">
        <v>34375</v>
      </c>
      <c r="D361" s="95"/>
      <c r="E361" t="s">
        <v>130</v>
      </c>
      <c r="F361" s="110" t="s">
        <v>107</v>
      </c>
    </row>
    <row r="362" spans="1:6" hidden="1" x14ac:dyDescent="0.3">
      <c r="A362" s="38">
        <v>46031</v>
      </c>
      <c r="B362" t="s">
        <v>191</v>
      </c>
      <c r="C362" s="11"/>
      <c r="D362" s="11">
        <v>66875</v>
      </c>
      <c r="E362" t="s">
        <v>444</v>
      </c>
      <c r="F362" s="110" t="s">
        <v>107</v>
      </c>
    </row>
    <row r="363" spans="1:6" hidden="1" x14ac:dyDescent="0.3">
      <c r="A363" s="38">
        <v>46031</v>
      </c>
      <c r="B363" t="s">
        <v>221</v>
      </c>
      <c r="C363" s="11"/>
      <c r="D363" s="11">
        <v>15000</v>
      </c>
      <c r="E363" t="s">
        <v>201</v>
      </c>
      <c r="F363" s="110" t="s">
        <v>107</v>
      </c>
    </row>
    <row r="364" spans="1:6" hidden="1" x14ac:dyDescent="0.3">
      <c r="A364" s="38">
        <v>46031</v>
      </c>
      <c r="B364" t="s">
        <v>201</v>
      </c>
      <c r="C364" s="11">
        <v>15000</v>
      </c>
      <c r="D364" s="11"/>
      <c r="E364" t="s">
        <v>288</v>
      </c>
      <c r="F364" s="110" t="s">
        <v>107</v>
      </c>
    </row>
    <row r="365" spans="1:6" hidden="1" x14ac:dyDescent="0.3">
      <c r="A365" s="38">
        <v>46031</v>
      </c>
      <c r="B365" t="s">
        <v>55</v>
      </c>
      <c r="C365" s="11">
        <v>3500</v>
      </c>
      <c r="D365" s="11"/>
      <c r="E365" t="s">
        <v>267</v>
      </c>
      <c r="F365" s="110" t="s">
        <v>107</v>
      </c>
    </row>
    <row r="366" spans="1:6" hidden="1" x14ac:dyDescent="0.3">
      <c r="A366" s="38">
        <v>46031</v>
      </c>
      <c r="B366" t="s">
        <v>55</v>
      </c>
      <c r="C366" s="11">
        <v>1050</v>
      </c>
      <c r="D366" s="11"/>
      <c r="E366" t="s">
        <v>445</v>
      </c>
      <c r="F366" s="110" t="s">
        <v>107</v>
      </c>
    </row>
    <row r="367" spans="1:6" hidden="1" x14ac:dyDescent="0.3">
      <c r="A367" s="38">
        <v>46031</v>
      </c>
      <c r="B367" t="s">
        <v>55</v>
      </c>
      <c r="C367" s="11">
        <v>2300</v>
      </c>
      <c r="D367" s="11"/>
      <c r="E367" t="s">
        <v>446</v>
      </c>
      <c r="F367" s="110" t="s">
        <v>107</v>
      </c>
    </row>
    <row r="368" spans="1:6" hidden="1" x14ac:dyDescent="0.3">
      <c r="A368" s="38">
        <v>46031</v>
      </c>
      <c r="B368" t="s">
        <v>232</v>
      </c>
      <c r="C368" s="11">
        <v>2000</v>
      </c>
      <c r="D368" s="11"/>
      <c r="E368" t="s">
        <v>289</v>
      </c>
      <c r="F368" s="110" t="s">
        <v>107</v>
      </c>
    </row>
    <row r="369" spans="1:6" hidden="1" x14ac:dyDescent="0.3">
      <c r="A369" s="38">
        <v>46032</v>
      </c>
      <c r="B369" t="s">
        <v>176</v>
      </c>
      <c r="C369" s="95"/>
      <c r="D369" s="95">
        <v>5000</v>
      </c>
      <c r="E369" t="s">
        <v>447</v>
      </c>
      <c r="F369" s="110" t="s">
        <v>107</v>
      </c>
    </row>
    <row r="370" spans="1:6" hidden="1" x14ac:dyDescent="0.3">
      <c r="A370" s="115">
        <v>46032</v>
      </c>
      <c r="B370" t="s">
        <v>54</v>
      </c>
      <c r="C370" s="11">
        <v>5000</v>
      </c>
      <c r="D370" s="11"/>
      <c r="E370" t="s">
        <v>448</v>
      </c>
      <c r="F370" s="110" t="s">
        <v>107</v>
      </c>
    </row>
    <row r="371" spans="1:6" hidden="1" x14ac:dyDescent="0.3">
      <c r="A371" s="38">
        <v>46032</v>
      </c>
      <c r="B371" t="s">
        <v>9</v>
      </c>
      <c r="C371" s="11"/>
      <c r="D371" s="11">
        <v>230200</v>
      </c>
      <c r="E371" t="s">
        <v>449</v>
      </c>
      <c r="F371" s="110" t="s">
        <v>107</v>
      </c>
    </row>
    <row r="372" spans="1:6" hidden="1" x14ac:dyDescent="0.3">
      <c r="A372" s="115">
        <v>46032</v>
      </c>
      <c r="B372" t="s">
        <v>94</v>
      </c>
      <c r="C372" s="95">
        <v>202000</v>
      </c>
      <c r="D372" s="95"/>
      <c r="E372" t="s">
        <v>450</v>
      </c>
      <c r="F372" s="110" t="s">
        <v>107</v>
      </c>
    </row>
    <row r="373" spans="1:6" hidden="1" x14ac:dyDescent="0.3">
      <c r="A373" s="38">
        <v>46032</v>
      </c>
      <c r="B373" t="s">
        <v>191</v>
      </c>
      <c r="C373" s="11"/>
      <c r="D373" s="11">
        <v>100000</v>
      </c>
      <c r="E373" t="s">
        <v>249</v>
      </c>
      <c r="F373" s="110" t="s">
        <v>107</v>
      </c>
    </row>
    <row r="374" spans="1:6" hidden="1" x14ac:dyDescent="0.3">
      <c r="A374" s="115">
        <v>46032</v>
      </c>
      <c r="B374" t="s">
        <v>409</v>
      </c>
      <c r="C374" s="11">
        <v>70000</v>
      </c>
      <c r="D374" s="11"/>
      <c r="E374" t="s">
        <v>451</v>
      </c>
      <c r="F374" s="110" t="s">
        <v>107</v>
      </c>
    </row>
    <row r="375" spans="1:6" hidden="1" x14ac:dyDescent="0.3">
      <c r="A375" s="38">
        <v>46032</v>
      </c>
      <c r="B375" t="s">
        <v>54</v>
      </c>
      <c r="C375" s="11">
        <v>1273</v>
      </c>
      <c r="D375" s="11"/>
      <c r="E375" t="s">
        <v>418</v>
      </c>
      <c r="F375" s="110" t="s">
        <v>107</v>
      </c>
    </row>
    <row r="376" spans="1:6" hidden="1" x14ac:dyDescent="0.3">
      <c r="A376" s="115">
        <v>46032</v>
      </c>
      <c r="B376" t="s">
        <v>55</v>
      </c>
      <c r="C376" s="11">
        <v>15513</v>
      </c>
      <c r="D376" s="11"/>
      <c r="E376" t="s">
        <v>452</v>
      </c>
      <c r="F376" s="110" t="s">
        <v>107</v>
      </c>
    </row>
    <row r="377" spans="1:6" hidden="1" x14ac:dyDescent="0.3">
      <c r="A377" s="38">
        <v>46032</v>
      </c>
      <c r="B377" t="s">
        <v>112</v>
      </c>
      <c r="C377" s="11">
        <v>16270</v>
      </c>
      <c r="D377" s="11"/>
      <c r="E377" t="s">
        <v>293</v>
      </c>
      <c r="F377" s="110" t="s">
        <v>107</v>
      </c>
    </row>
    <row r="378" spans="1:6" hidden="1" x14ac:dyDescent="0.3">
      <c r="A378" s="115">
        <v>46032</v>
      </c>
      <c r="B378" t="s">
        <v>191</v>
      </c>
      <c r="C378" s="95"/>
      <c r="D378" s="95">
        <v>120000</v>
      </c>
      <c r="E378" t="s">
        <v>453</v>
      </c>
      <c r="F378" s="110" t="s">
        <v>107</v>
      </c>
    </row>
    <row r="379" spans="1:6" hidden="1" x14ac:dyDescent="0.3">
      <c r="A379" s="115">
        <v>46032</v>
      </c>
      <c r="B379" t="s">
        <v>191</v>
      </c>
      <c r="C379" s="95">
        <v>253000</v>
      </c>
      <c r="D379" s="95"/>
      <c r="E379" t="s">
        <v>494</v>
      </c>
      <c r="F379" s="110" t="s">
        <v>107</v>
      </c>
    </row>
    <row r="380" spans="1:6" hidden="1" x14ac:dyDescent="0.3">
      <c r="A380" s="115">
        <v>46032</v>
      </c>
      <c r="B380" t="s">
        <v>223</v>
      </c>
      <c r="C380" s="95"/>
      <c r="D380" s="95">
        <v>253000</v>
      </c>
      <c r="E380" t="s">
        <v>21</v>
      </c>
      <c r="F380" s="110" t="s">
        <v>107</v>
      </c>
    </row>
    <row r="381" spans="1:6" hidden="1" x14ac:dyDescent="0.3">
      <c r="A381" s="115">
        <v>46032</v>
      </c>
      <c r="B381" t="s">
        <v>191</v>
      </c>
      <c r="C381" s="95"/>
      <c r="D381" s="95">
        <v>118000</v>
      </c>
      <c r="E381" t="s">
        <v>115</v>
      </c>
      <c r="F381" s="110" t="s">
        <v>107</v>
      </c>
    </row>
    <row r="382" spans="1:6" hidden="1" x14ac:dyDescent="0.3">
      <c r="A382" s="115">
        <v>46032</v>
      </c>
      <c r="B382" t="s">
        <v>115</v>
      </c>
      <c r="C382" s="95">
        <v>118000</v>
      </c>
      <c r="D382" s="95"/>
      <c r="E382" t="s">
        <v>293</v>
      </c>
      <c r="F382" s="110" t="s">
        <v>107</v>
      </c>
    </row>
    <row r="383" spans="1:6" hidden="1" x14ac:dyDescent="0.3">
      <c r="A383" s="38">
        <v>46032</v>
      </c>
      <c r="B383" t="s">
        <v>228</v>
      </c>
      <c r="C383" s="11">
        <v>150000</v>
      </c>
      <c r="D383" s="11"/>
      <c r="E383" t="s">
        <v>454</v>
      </c>
      <c r="F383" s="110" t="s">
        <v>107</v>
      </c>
    </row>
    <row r="384" spans="1:6" hidden="1" x14ac:dyDescent="0.3">
      <c r="A384" s="115">
        <v>46032</v>
      </c>
      <c r="B384" t="s">
        <v>191</v>
      </c>
      <c r="C384" s="11"/>
      <c r="D384" s="11">
        <v>53000</v>
      </c>
      <c r="E384" t="s">
        <v>455</v>
      </c>
      <c r="F384" s="110" t="s">
        <v>107</v>
      </c>
    </row>
    <row r="385" spans="1:6" hidden="1" x14ac:dyDescent="0.3">
      <c r="A385" s="38">
        <v>46032</v>
      </c>
      <c r="B385" t="s">
        <v>232</v>
      </c>
      <c r="C385" s="11">
        <v>5000</v>
      </c>
      <c r="D385" s="11"/>
      <c r="E385" t="s">
        <v>289</v>
      </c>
      <c r="F385" s="110" t="s">
        <v>107</v>
      </c>
    </row>
    <row r="386" spans="1:6" hidden="1" x14ac:dyDescent="0.3">
      <c r="A386" s="115">
        <v>46032</v>
      </c>
      <c r="B386" t="s">
        <v>176</v>
      </c>
      <c r="C386" s="11">
        <v>16000</v>
      </c>
      <c r="D386" s="11"/>
      <c r="E386" t="s">
        <v>456</v>
      </c>
      <c r="F386" s="110" t="s">
        <v>107</v>
      </c>
    </row>
    <row r="387" spans="1:6" hidden="1" x14ac:dyDescent="0.3">
      <c r="A387" s="38">
        <v>46033</v>
      </c>
      <c r="B387" t="s">
        <v>112</v>
      </c>
      <c r="C387" s="11">
        <v>20000</v>
      </c>
      <c r="D387" s="11"/>
      <c r="E387" t="s">
        <v>303</v>
      </c>
      <c r="F387" s="110" t="s">
        <v>107</v>
      </c>
    </row>
    <row r="388" spans="1:6" hidden="1" x14ac:dyDescent="0.3">
      <c r="A388" s="115">
        <v>46033</v>
      </c>
      <c r="B388" t="s">
        <v>191</v>
      </c>
      <c r="C388" s="11"/>
      <c r="D388" s="11">
        <v>75000</v>
      </c>
      <c r="E388" t="s">
        <v>457</v>
      </c>
      <c r="F388" s="110" t="s">
        <v>107</v>
      </c>
    </row>
    <row r="389" spans="1:6" hidden="1" x14ac:dyDescent="0.3">
      <c r="A389" s="38">
        <v>46033</v>
      </c>
      <c r="B389" t="s">
        <v>409</v>
      </c>
      <c r="C389" s="11">
        <v>50000</v>
      </c>
      <c r="D389" s="11"/>
      <c r="E389" t="s">
        <v>458</v>
      </c>
      <c r="F389" s="110" t="s">
        <v>107</v>
      </c>
    </row>
    <row r="390" spans="1:6" hidden="1" x14ac:dyDescent="0.3">
      <c r="A390" s="115">
        <v>46033</v>
      </c>
      <c r="B390" t="s">
        <v>191</v>
      </c>
      <c r="C390" s="11"/>
      <c r="D390" s="11">
        <v>62000</v>
      </c>
      <c r="E390" t="s">
        <v>459</v>
      </c>
      <c r="F390" s="110" t="s">
        <v>107</v>
      </c>
    </row>
    <row r="391" spans="1:6" hidden="1" x14ac:dyDescent="0.3">
      <c r="A391" s="38">
        <v>46033</v>
      </c>
      <c r="B391" t="s">
        <v>232</v>
      </c>
      <c r="C391" s="11">
        <v>32000</v>
      </c>
      <c r="D391" s="11"/>
      <c r="E391" t="s">
        <v>402</v>
      </c>
      <c r="F391" s="110" t="s">
        <v>107</v>
      </c>
    </row>
    <row r="392" spans="1:6" hidden="1" x14ac:dyDescent="0.3">
      <c r="A392" s="115">
        <v>46033</v>
      </c>
      <c r="B392" t="s">
        <v>460</v>
      </c>
      <c r="C392" s="11">
        <v>38750</v>
      </c>
      <c r="D392" s="11"/>
      <c r="E392" t="s">
        <v>461</v>
      </c>
      <c r="F392" s="110" t="s">
        <v>107</v>
      </c>
    </row>
    <row r="393" spans="1:6" hidden="1" x14ac:dyDescent="0.3">
      <c r="A393" s="38">
        <v>46033</v>
      </c>
      <c r="B393" t="s">
        <v>176</v>
      </c>
      <c r="C393" s="11">
        <v>1400</v>
      </c>
      <c r="D393" s="11"/>
      <c r="E393" t="s">
        <v>217</v>
      </c>
      <c r="F393" s="110" t="s">
        <v>107</v>
      </c>
    </row>
    <row r="394" spans="1:6" hidden="1" x14ac:dyDescent="0.3">
      <c r="A394" s="115">
        <v>46033</v>
      </c>
      <c r="B394" t="s">
        <v>50</v>
      </c>
      <c r="C394" s="11">
        <v>500</v>
      </c>
      <c r="D394" s="11"/>
      <c r="E394" t="s">
        <v>462</v>
      </c>
      <c r="F394" s="110" t="s">
        <v>107</v>
      </c>
    </row>
    <row r="395" spans="1:6" hidden="1" x14ac:dyDescent="0.3">
      <c r="A395" s="38">
        <v>46034</v>
      </c>
      <c r="B395" t="s">
        <v>191</v>
      </c>
      <c r="C395" s="95"/>
      <c r="D395" s="95">
        <v>400000</v>
      </c>
      <c r="E395" t="s">
        <v>463</v>
      </c>
      <c r="F395" s="110" t="s">
        <v>107</v>
      </c>
    </row>
    <row r="396" spans="1:6" hidden="1" x14ac:dyDescent="0.3">
      <c r="A396" s="115">
        <v>46034</v>
      </c>
      <c r="B396" t="s">
        <v>197</v>
      </c>
      <c r="C396" s="11">
        <v>43500</v>
      </c>
      <c r="D396" s="11"/>
      <c r="E396" t="s">
        <v>464</v>
      </c>
      <c r="F396" s="110" t="s">
        <v>107</v>
      </c>
    </row>
    <row r="397" spans="1:6" hidden="1" x14ac:dyDescent="0.3">
      <c r="A397" s="38">
        <v>46034</v>
      </c>
      <c r="B397" t="s">
        <v>465</v>
      </c>
      <c r="C397" s="11">
        <v>351000</v>
      </c>
      <c r="D397" s="11"/>
      <c r="E397" t="s">
        <v>466</v>
      </c>
      <c r="F397" s="110" t="s">
        <v>107</v>
      </c>
    </row>
    <row r="398" spans="1:6" hidden="1" x14ac:dyDescent="0.3">
      <c r="A398" s="115">
        <v>46034</v>
      </c>
      <c r="B398" t="s">
        <v>228</v>
      </c>
      <c r="C398" s="11">
        <v>57000</v>
      </c>
      <c r="D398" s="11"/>
      <c r="E398" t="s">
        <v>467</v>
      </c>
      <c r="F398" s="110" t="s">
        <v>107</v>
      </c>
    </row>
    <row r="399" spans="1:6" hidden="1" x14ac:dyDescent="0.3">
      <c r="A399" s="38">
        <v>46034</v>
      </c>
      <c r="B399" t="s">
        <v>232</v>
      </c>
      <c r="C399" s="11">
        <v>18000</v>
      </c>
      <c r="D399" s="11"/>
      <c r="E399" t="s">
        <v>402</v>
      </c>
      <c r="F399" s="110" t="s">
        <v>107</v>
      </c>
    </row>
    <row r="400" spans="1:6" hidden="1" x14ac:dyDescent="0.3">
      <c r="A400" s="115">
        <v>46034</v>
      </c>
      <c r="B400" t="s">
        <v>221</v>
      </c>
      <c r="C400" s="11"/>
      <c r="D400" s="11">
        <v>5000</v>
      </c>
      <c r="E400" t="s">
        <v>468</v>
      </c>
      <c r="F400" s="110" t="s">
        <v>107</v>
      </c>
    </row>
    <row r="401" spans="1:15" hidden="1" x14ac:dyDescent="0.3">
      <c r="A401" s="38">
        <v>46034</v>
      </c>
      <c r="B401" t="s">
        <v>232</v>
      </c>
      <c r="C401" s="11">
        <v>20000</v>
      </c>
      <c r="D401" s="11"/>
      <c r="E401" t="s">
        <v>420</v>
      </c>
      <c r="F401" s="110" t="s">
        <v>107</v>
      </c>
    </row>
    <row r="402" spans="1:15" hidden="1" x14ac:dyDescent="0.3">
      <c r="A402" s="115">
        <v>46034</v>
      </c>
      <c r="B402" t="s">
        <v>232</v>
      </c>
      <c r="C402" s="11">
        <v>5000</v>
      </c>
      <c r="D402" s="11"/>
      <c r="E402" t="s">
        <v>420</v>
      </c>
      <c r="F402" s="110" t="s">
        <v>107</v>
      </c>
    </row>
    <row r="403" spans="1:15" hidden="1" x14ac:dyDescent="0.3">
      <c r="A403" s="38">
        <v>46034</v>
      </c>
      <c r="B403" t="s">
        <v>201</v>
      </c>
      <c r="C403" s="11">
        <v>40000</v>
      </c>
      <c r="D403" s="11"/>
      <c r="E403" t="s">
        <v>469</v>
      </c>
      <c r="F403" s="110" t="s">
        <v>107</v>
      </c>
    </row>
    <row r="404" spans="1:15" hidden="1" x14ac:dyDescent="0.3">
      <c r="A404" s="115">
        <v>46034</v>
      </c>
      <c r="B404" t="s">
        <v>191</v>
      </c>
      <c r="C404" s="11"/>
      <c r="D404" s="11">
        <v>50000</v>
      </c>
      <c r="E404" t="s">
        <v>470</v>
      </c>
      <c r="F404" s="110" t="s">
        <v>107</v>
      </c>
    </row>
    <row r="405" spans="1:15" hidden="1" x14ac:dyDescent="0.3">
      <c r="A405" s="38">
        <v>46034</v>
      </c>
      <c r="B405" t="s">
        <v>191</v>
      </c>
      <c r="C405" s="11"/>
      <c r="D405" s="11">
        <v>693000</v>
      </c>
      <c r="E405" t="s">
        <v>471</v>
      </c>
      <c r="F405" s="110" t="s">
        <v>107</v>
      </c>
    </row>
    <row r="406" spans="1:15" hidden="1" x14ac:dyDescent="0.3">
      <c r="A406" s="115">
        <v>46034</v>
      </c>
      <c r="B406" t="s">
        <v>55</v>
      </c>
      <c r="C406" s="11">
        <v>15513</v>
      </c>
      <c r="D406" s="11"/>
      <c r="E406" t="s">
        <v>452</v>
      </c>
      <c r="F406" s="110" t="s">
        <v>107</v>
      </c>
    </row>
    <row r="407" spans="1:15" hidden="1" x14ac:dyDescent="0.3">
      <c r="A407" s="38">
        <v>46034</v>
      </c>
      <c r="B407" t="s">
        <v>168</v>
      </c>
      <c r="C407" s="95">
        <v>202045</v>
      </c>
      <c r="D407" s="95"/>
      <c r="E407" t="s">
        <v>472</v>
      </c>
      <c r="F407" s="110" t="s">
        <v>107</v>
      </c>
    </row>
    <row r="408" spans="1:15" hidden="1" x14ac:dyDescent="0.3">
      <c r="A408" s="115">
        <v>46034</v>
      </c>
      <c r="B408" t="s">
        <v>228</v>
      </c>
      <c r="C408" s="11">
        <v>175000</v>
      </c>
      <c r="D408" s="11"/>
      <c r="E408" t="s">
        <v>473</v>
      </c>
      <c r="F408" s="110" t="s">
        <v>107</v>
      </c>
    </row>
    <row r="409" spans="1:15" hidden="1" x14ac:dyDescent="0.3">
      <c r="A409" s="38">
        <v>46034</v>
      </c>
      <c r="B409" t="s">
        <v>285</v>
      </c>
      <c r="C409" s="11"/>
      <c r="D409" s="11">
        <v>400000</v>
      </c>
      <c r="E409" t="s">
        <v>474</v>
      </c>
      <c r="F409" s="110" t="s">
        <v>107</v>
      </c>
    </row>
    <row r="410" spans="1:15" hidden="1" x14ac:dyDescent="0.3">
      <c r="A410" s="115">
        <v>46034</v>
      </c>
      <c r="B410" t="s">
        <v>218</v>
      </c>
      <c r="C410" s="11">
        <v>5000</v>
      </c>
      <c r="D410" s="11"/>
      <c r="E410" t="s">
        <v>475</v>
      </c>
      <c r="F410" s="110" t="s">
        <v>107</v>
      </c>
    </row>
    <row r="411" spans="1:15" hidden="1" x14ac:dyDescent="0.3">
      <c r="A411" s="38">
        <v>46034</v>
      </c>
      <c r="B411" t="s">
        <v>52</v>
      </c>
      <c r="C411" s="11">
        <v>501260</v>
      </c>
      <c r="D411" s="11"/>
      <c r="E411" t="s">
        <v>476</v>
      </c>
      <c r="F411" s="110" t="s">
        <v>107</v>
      </c>
    </row>
    <row r="412" spans="1:15" hidden="1" x14ac:dyDescent="0.3">
      <c r="A412" s="115">
        <v>46035</v>
      </c>
      <c r="B412" t="s">
        <v>52</v>
      </c>
      <c r="C412" s="11">
        <v>40000</v>
      </c>
      <c r="D412" s="11"/>
      <c r="E412" t="s">
        <v>483</v>
      </c>
      <c r="F412" s="110" t="s">
        <v>107</v>
      </c>
    </row>
    <row r="413" spans="1:15" hidden="1" x14ac:dyDescent="0.3">
      <c r="A413" s="38">
        <v>46035</v>
      </c>
      <c r="B413" t="s">
        <v>176</v>
      </c>
      <c r="C413" s="11">
        <v>2200</v>
      </c>
      <c r="D413" s="11"/>
      <c r="E413" t="s">
        <v>217</v>
      </c>
      <c r="F413" s="110" t="s">
        <v>107</v>
      </c>
    </row>
    <row r="414" spans="1:15" hidden="1" x14ac:dyDescent="0.3">
      <c r="A414" s="115">
        <v>46035</v>
      </c>
      <c r="B414" t="s">
        <v>26</v>
      </c>
      <c r="C414" s="11"/>
      <c r="D414" s="11">
        <v>100000</v>
      </c>
      <c r="F414" s="110" t="s">
        <v>107</v>
      </c>
    </row>
    <row r="415" spans="1:15" hidden="1" x14ac:dyDescent="0.3">
      <c r="A415" s="38">
        <v>46035</v>
      </c>
      <c r="B415" t="s">
        <v>232</v>
      </c>
      <c r="C415" s="11">
        <v>20000</v>
      </c>
      <c r="D415" s="11"/>
      <c r="E415" t="s">
        <v>484</v>
      </c>
      <c r="F415" s="110" t="s">
        <v>107</v>
      </c>
      <c r="J415">
        <v>30000</v>
      </c>
      <c r="L415">
        <v>10000</v>
      </c>
      <c r="M415">
        <v>16300</v>
      </c>
      <c r="O415">
        <v>5100</v>
      </c>
    </row>
    <row r="416" spans="1:15" hidden="1" x14ac:dyDescent="0.3">
      <c r="A416" s="115">
        <v>46035</v>
      </c>
      <c r="B416" t="s">
        <v>232</v>
      </c>
      <c r="C416" s="11">
        <v>1000</v>
      </c>
      <c r="D416" s="11"/>
      <c r="E416" t="s">
        <v>485</v>
      </c>
      <c r="F416" s="110" t="s">
        <v>107</v>
      </c>
      <c r="J416">
        <v>119760</v>
      </c>
      <c r="L416">
        <v>3200</v>
      </c>
      <c r="M416">
        <v>12800</v>
      </c>
      <c r="O416">
        <v>12300</v>
      </c>
    </row>
    <row r="417" spans="1:15" hidden="1" x14ac:dyDescent="0.3">
      <c r="A417" s="38">
        <v>46035</v>
      </c>
      <c r="B417" t="s">
        <v>221</v>
      </c>
      <c r="C417" s="11">
        <v>2300</v>
      </c>
      <c r="D417" s="11"/>
      <c r="F417" s="110" t="s">
        <v>107</v>
      </c>
      <c r="J417">
        <v>35000</v>
      </c>
      <c r="L417">
        <v>22800</v>
      </c>
      <c r="M417">
        <v>22650</v>
      </c>
      <c r="O417">
        <v>10810</v>
      </c>
    </row>
    <row r="418" spans="1:15" hidden="1" x14ac:dyDescent="0.3">
      <c r="A418" s="115">
        <v>46035</v>
      </c>
      <c r="B418" t="s">
        <v>176</v>
      </c>
      <c r="C418" s="11">
        <v>1000</v>
      </c>
      <c r="D418" s="11"/>
      <c r="E418" t="s">
        <v>262</v>
      </c>
      <c r="F418" s="110" t="s">
        <v>107</v>
      </c>
      <c r="J418">
        <v>29600</v>
      </c>
      <c r="L418">
        <v>29600</v>
      </c>
      <c r="M418">
        <v>22800</v>
      </c>
      <c r="O418">
        <v>12000</v>
      </c>
    </row>
    <row r="419" spans="1:15" hidden="1" x14ac:dyDescent="0.3">
      <c r="A419" s="38">
        <v>46035</v>
      </c>
      <c r="B419" t="s">
        <v>176</v>
      </c>
      <c r="C419" s="11">
        <v>300</v>
      </c>
      <c r="D419" s="11"/>
      <c r="E419" t="s">
        <v>312</v>
      </c>
      <c r="F419" s="110" t="s">
        <v>107</v>
      </c>
      <c r="J419">
        <v>46600</v>
      </c>
      <c r="L419">
        <v>46600</v>
      </c>
      <c r="M419">
        <v>15000</v>
      </c>
      <c r="O419">
        <v>11650</v>
      </c>
    </row>
    <row r="420" spans="1:15" hidden="1" x14ac:dyDescent="0.3">
      <c r="A420" s="115">
        <v>46035</v>
      </c>
      <c r="B420" t="s">
        <v>52</v>
      </c>
      <c r="C420" s="11">
        <v>22000</v>
      </c>
      <c r="D420" s="11"/>
      <c r="E420" t="s">
        <v>486</v>
      </c>
      <c r="F420" s="110" t="s">
        <v>107</v>
      </c>
      <c r="J420">
        <v>22800</v>
      </c>
      <c r="L420">
        <v>20800</v>
      </c>
      <c r="M420">
        <v>18450</v>
      </c>
      <c r="O420">
        <v>16300</v>
      </c>
    </row>
    <row r="421" spans="1:15" hidden="1" x14ac:dyDescent="0.3">
      <c r="A421" s="38">
        <v>46035</v>
      </c>
      <c r="B421" t="s">
        <v>52</v>
      </c>
      <c r="C421" s="11">
        <v>17000</v>
      </c>
      <c r="D421" s="11"/>
      <c r="E421" t="s">
        <v>487</v>
      </c>
      <c r="F421" s="110" t="s">
        <v>107</v>
      </c>
      <c r="J421">
        <v>3200</v>
      </c>
      <c r="L421">
        <v>20000</v>
      </c>
      <c r="M421">
        <v>24600</v>
      </c>
      <c r="O421">
        <v>17300</v>
      </c>
    </row>
    <row r="422" spans="1:15" hidden="1" x14ac:dyDescent="0.3">
      <c r="A422" s="115">
        <v>46035</v>
      </c>
      <c r="B422" t="s">
        <v>52</v>
      </c>
      <c r="C422" s="11">
        <f>830900-501260</f>
        <v>329640</v>
      </c>
      <c r="D422" s="11"/>
      <c r="E422" t="s">
        <v>476</v>
      </c>
      <c r="F422" s="110" t="s">
        <v>107</v>
      </c>
      <c r="J422">
        <v>11640</v>
      </c>
      <c r="L422">
        <v>80000</v>
      </c>
      <c r="M422">
        <v>15000</v>
      </c>
      <c r="O422">
        <v>17460</v>
      </c>
    </row>
    <row r="423" spans="1:15" hidden="1" x14ac:dyDescent="0.3">
      <c r="A423" s="38">
        <v>46035</v>
      </c>
      <c r="B423" t="s">
        <v>54</v>
      </c>
      <c r="C423" s="11">
        <v>5000</v>
      </c>
      <c r="D423" s="11"/>
      <c r="E423" t="s">
        <v>447</v>
      </c>
      <c r="F423" s="110" t="s">
        <v>107</v>
      </c>
      <c r="J423">
        <v>17500</v>
      </c>
      <c r="L423">
        <v>30000</v>
      </c>
      <c r="M423">
        <v>12000</v>
      </c>
      <c r="O423">
        <v>18450</v>
      </c>
    </row>
    <row r="424" spans="1:15" hidden="1" x14ac:dyDescent="0.3">
      <c r="A424" s="115">
        <v>46035</v>
      </c>
      <c r="B424" t="s">
        <v>191</v>
      </c>
      <c r="C424" s="11"/>
      <c r="D424" s="11">
        <v>300000</v>
      </c>
      <c r="E424" t="s">
        <v>488</v>
      </c>
      <c r="F424" s="110" t="s">
        <v>107</v>
      </c>
      <c r="J424">
        <v>20800</v>
      </c>
      <c r="L424">
        <v>15600</v>
      </c>
      <c r="M424">
        <v>18300</v>
      </c>
      <c r="O424">
        <v>12800</v>
      </c>
    </row>
    <row r="425" spans="1:15" hidden="1" x14ac:dyDescent="0.3">
      <c r="A425" s="38">
        <v>46035</v>
      </c>
      <c r="B425" t="s">
        <v>409</v>
      </c>
      <c r="C425" s="11">
        <v>100704</v>
      </c>
      <c r="D425" s="11"/>
      <c r="E425" t="s">
        <v>489</v>
      </c>
      <c r="F425" s="110" t="s">
        <v>107</v>
      </c>
      <c r="J425">
        <v>15600</v>
      </c>
      <c r="L425">
        <v>15000</v>
      </c>
      <c r="M425">
        <v>20000</v>
      </c>
      <c r="O425">
        <v>24600</v>
      </c>
    </row>
    <row r="426" spans="1:15" hidden="1" x14ac:dyDescent="0.3">
      <c r="A426" s="115">
        <v>46035</v>
      </c>
      <c r="B426" t="s">
        <v>191</v>
      </c>
      <c r="C426" s="11"/>
      <c r="D426" s="11">
        <v>50000</v>
      </c>
      <c r="E426" t="s">
        <v>490</v>
      </c>
      <c r="F426" s="110" t="s">
        <v>107</v>
      </c>
      <c r="J426">
        <v>11000</v>
      </c>
      <c r="L426">
        <v>14300</v>
      </c>
      <c r="M426">
        <v>20000</v>
      </c>
      <c r="O426">
        <v>22800</v>
      </c>
    </row>
    <row r="427" spans="1:15" hidden="1" x14ac:dyDescent="0.3">
      <c r="A427" s="38">
        <v>46035</v>
      </c>
      <c r="B427" t="s">
        <v>55</v>
      </c>
      <c r="C427" s="11">
        <v>15513</v>
      </c>
      <c r="D427" s="11"/>
      <c r="E427" t="s">
        <v>452</v>
      </c>
      <c r="F427" s="110" t="s">
        <v>107</v>
      </c>
      <c r="J427">
        <v>17000</v>
      </c>
      <c r="L427">
        <v>16500</v>
      </c>
      <c r="M427">
        <v>38400</v>
      </c>
      <c r="O427">
        <v>20000</v>
      </c>
    </row>
    <row r="428" spans="1:15" hidden="1" x14ac:dyDescent="0.3">
      <c r="A428" s="38">
        <v>46035</v>
      </c>
      <c r="B428" t="s">
        <v>325</v>
      </c>
      <c r="C428" s="95"/>
      <c r="D428" s="95">
        <v>190000</v>
      </c>
      <c r="E428" t="s">
        <v>491</v>
      </c>
      <c r="F428" s="110" t="s">
        <v>107</v>
      </c>
      <c r="J428">
        <v>10000</v>
      </c>
      <c r="L428">
        <v>17500</v>
      </c>
      <c r="M428">
        <v>12300</v>
      </c>
      <c r="O428">
        <v>18300</v>
      </c>
    </row>
    <row r="429" spans="1:15" hidden="1" x14ac:dyDescent="0.3">
      <c r="A429" s="38">
        <v>46035</v>
      </c>
      <c r="B429" t="s">
        <v>176</v>
      </c>
      <c r="C429" s="95">
        <v>4500</v>
      </c>
      <c r="D429" s="95"/>
      <c r="E429" t="s">
        <v>492</v>
      </c>
      <c r="F429" s="110" t="s">
        <v>107</v>
      </c>
      <c r="J429">
        <v>80000</v>
      </c>
      <c r="L429">
        <v>17500</v>
      </c>
      <c r="M429">
        <v>17300</v>
      </c>
      <c r="O429">
        <v>15000</v>
      </c>
    </row>
    <row r="430" spans="1:15" hidden="1" x14ac:dyDescent="0.3">
      <c r="A430" s="38">
        <v>46035</v>
      </c>
      <c r="B430" t="s">
        <v>221</v>
      </c>
      <c r="C430" s="95">
        <v>400</v>
      </c>
      <c r="D430" s="95"/>
      <c r="F430" s="110" t="s">
        <v>107</v>
      </c>
      <c r="J430">
        <v>20000</v>
      </c>
      <c r="L430">
        <v>17500</v>
      </c>
      <c r="M430">
        <v>5100</v>
      </c>
      <c r="O430">
        <v>11000</v>
      </c>
    </row>
    <row r="431" spans="1:15" hidden="1" x14ac:dyDescent="0.3">
      <c r="A431" s="38">
        <v>46035</v>
      </c>
      <c r="B431" t="s">
        <v>54</v>
      </c>
      <c r="C431" s="95">
        <v>350</v>
      </c>
      <c r="D431" s="95"/>
      <c r="E431" t="s">
        <v>493</v>
      </c>
      <c r="F431" s="110" t="s">
        <v>107</v>
      </c>
      <c r="L431">
        <v>3300</v>
      </c>
      <c r="M431">
        <v>8350</v>
      </c>
      <c r="O431">
        <v>35000</v>
      </c>
    </row>
    <row r="432" spans="1:15" hidden="1" x14ac:dyDescent="0.3">
      <c r="A432" s="38">
        <v>46036</v>
      </c>
      <c r="B432" t="s">
        <v>325</v>
      </c>
      <c r="C432" s="95"/>
      <c r="D432" s="95">
        <v>100000</v>
      </c>
      <c r="E432" t="s">
        <v>495</v>
      </c>
      <c r="F432" s="110" t="s">
        <v>107</v>
      </c>
      <c r="L432">
        <v>5830</v>
      </c>
      <c r="M432">
        <v>9850</v>
      </c>
      <c r="O432">
        <v>7000</v>
      </c>
    </row>
    <row r="433" spans="1:15" hidden="1" x14ac:dyDescent="0.3">
      <c r="A433" s="115">
        <v>46036</v>
      </c>
      <c r="B433" t="s">
        <v>325</v>
      </c>
      <c r="C433" s="11"/>
      <c r="D433" s="11">
        <v>160000</v>
      </c>
      <c r="E433" t="s">
        <v>405</v>
      </c>
      <c r="F433" s="110" t="s">
        <v>107</v>
      </c>
      <c r="L433">
        <v>7000</v>
      </c>
      <c r="M433">
        <v>20000</v>
      </c>
      <c r="O433">
        <v>5850</v>
      </c>
    </row>
    <row r="434" spans="1:15" hidden="1" x14ac:dyDescent="0.3">
      <c r="A434" s="38">
        <v>46036</v>
      </c>
      <c r="B434" t="s">
        <v>191</v>
      </c>
      <c r="C434" s="11">
        <v>160000</v>
      </c>
      <c r="D434" s="11"/>
      <c r="E434" t="s">
        <v>325</v>
      </c>
      <c r="F434" s="110" t="s">
        <v>107</v>
      </c>
      <c r="L434">
        <v>5332</v>
      </c>
      <c r="O434">
        <v>3300</v>
      </c>
    </row>
    <row r="435" spans="1:15" hidden="1" x14ac:dyDescent="0.3">
      <c r="A435" s="115">
        <v>46036</v>
      </c>
      <c r="B435" t="s">
        <v>9</v>
      </c>
      <c r="C435" s="95"/>
      <c r="D435" s="95">
        <v>200000</v>
      </c>
      <c r="E435" t="s">
        <v>496</v>
      </c>
      <c r="F435" s="110" t="s">
        <v>107</v>
      </c>
      <c r="L435">
        <v>35000</v>
      </c>
      <c r="O435">
        <v>17500</v>
      </c>
    </row>
    <row r="436" spans="1:15" hidden="1" x14ac:dyDescent="0.3">
      <c r="A436" s="38">
        <v>46036</v>
      </c>
      <c r="B436" t="s">
        <v>191</v>
      </c>
      <c r="C436" s="11"/>
      <c r="D436" s="11">
        <v>5100</v>
      </c>
      <c r="E436" t="s">
        <v>354</v>
      </c>
      <c r="F436" s="110" t="s">
        <v>107</v>
      </c>
      <c r="L436">
        <v>11000</v>
      </c>
      <c r="M436">
        <v>17000</v>
      </c>
      <c r="O436">
        <v>17500</v>
      </c>
    </row>
    <row r="437" spans="1:15" hidden="1" x14ac:dyDescent="0.3">
      <c r="A437" s="115">
        <v>46036</v>
      </c>
      <c r="B437" t="s">
        <v>55</v>
      </c>
      <c r="C437" s="11">
        <v>5100</v>
      </c>
      <c r="D437" s="11"/>
      <c r="E437" t="s">
        <v>497</v>
      </c>
      <c r="F437" s="110" t="s">
        <v>107</v>
      </c>
      <c r="L437">
        <v>17460</v>
      </c>
      <c r="M437">
        <v>22000</v>
      </c>
      <c r="O437">
        <v>17500</v>
      </c>
    </row>
    <row r="438" spans="1:15" hidden="1" x14ac:dyDescent="0.3">
      <c r="A438" s="38">
        <v>46036</v>
      </c>
      <c r="B438" t="s">
        <v>55</v>
      </c>
      <c r="C438" s="11">
        <v>3000</v>
      </c>
      <c r="D438" s="11"/>
      <c r="E438" t="s">
        <v>354</v>
      </c>
      <c r="F438" s="110" t="s">
        <v>107</v>
      </c>
      <c r="L438">
        <v>11640</v>
      </c>
      <c r="O438">
        <v>16500</v>
      </c>
    </row>
    <row r="439" spans="1:15" hidden="1" x14ac:dyDescent="0.3">
      <c r="A439" s="115">
        <v>46036</v>
      </c>
      <c r="B439" t="s">
        <v>228</v>
      </c>
      <c r="C439" s="11">
        <v>150062</v>
      </c>
      <c r="D439" s="11"/>
      <c r="E439" t="s">
        <v>498</v>
      </c>
      <c r="F439" s="110" t="s">
        <v>107</v>
      </c>
      <c r="L439">
        <v>10800</v>
      </c>
      <c r="O439">
        <v>14300</v>
      </c>
    </row>
    <row r="440" spans="1:15" hidden="1" x14ac:dyDescent="0.3">
      <c r="A440" s="38">
        <v>46036</v>
      </c>
      <c r="B440" t="s">
        <v>409</v>
      </c>
      <c r="C440" s="11">
        <v>31500</v>
      </c>
      <c r="D440" s="11"/>
      <c r="E440" t="s">
        <v>288</v>
      </c>
      <c r="F440" s="110" t="s">
        <v>107</v>
      </c>
      <c r="L440">
        <v>17000</v>
      </c>
      <c r="O440">
        <v>15000</v>
      </c>
    </row>
    <row r="441" spans="1:15" hidden="1" x14ac:dyDescent="0.3">
      <c r="A441" s="115">
        <v>46036</v>
      </c>
      <c r="B441" t="s">
        <v>55</v>
      </c>
      <c r="C441" s="11">
        <v>1300</v>
      </c>
      <c r="D441" s="11"/>
      <c r="E441" t="s">
        <v>499</v>
      </c>
      <c r="F441" s="110" t="s">
        <v>107</v>
      </c>
      <c r="O441">
        <v>22650</v>
      </c>
    </row>
    <row r="442" spans="1:15" hidden="1" x14ac:dyDescent="0.3">
      <c r="A442" s="38">
        <v>46036</v>
      </c>
      <c r="B442" t="s">
        <v>168</v>
      </c>
      <c r="C442" s="11">
        <v>70000</v>
      </c>
      <c r="D442" s="11"/>
      <c r="E442" t="s">
        <v>288</v>
      </c>
      <c r="F442" s="110" t="s">
        <v>107</v>
      </c>
      <c r="O442">
        <v>20000</v>
      </c>
    </row>
    <row r="443" spans="1:15" hidden="1" x14ac:dyDescent="0.3">
      <c r="A443" s="115">
        <v>46036</v>
      </c>
      <c r="B443" t="s">
        <v>168</v>
      </c>
      <c r="C443" s="11">
        <v>5000</v>
      </c>
      <c r="D443" s="11"/>
      <c r="E443" t="s">
        <v>288</v>
      </c>
      <c r="F443" s="110" t="s">
        <v>107</v>
      </c>
      <c r="O443">
        <v>15600</v>
      </c>
    </row>
    <row r="444" spans="1:15" hidden="1" x14ac:dyDescent="0.3">
      <c r="A444" s="38">
        <v>46036</v>
      </c>
      <c r="B444" t="s">
        <v>94</v>
      </c>
      <c r="C444" s="11">
        <v>200460</v>
      </c>
      <c r="D444" s="11"/>
      <c r="E444" t="s">
        <v>500</v>
      </c>
      <c r="F444" s="110" t="s">
        <v>107</v>
      </c>
      <c r="O444">
        <v>15000</v>
      </c>
    </row>
    <row r="445" spans="1:15" hidden="1" x14ac:dyDescent="0.3">
      <c r="A445" s="115">
        <v>46036</v>
      </c>
      <c r="B445" t="s">
        <v>55</v>
      </c>
      <c r="C445" s="95">
        <v>1800</v>
      </c>
      <c r="D445" s="95"/>
      <c r="F445" s="110" t="s">
        <v>107</v>
      </c>
      <c r="O445">
        <v>400</v>
      </c>
    </row>
    <row r="446" spans="1:15" hidden="1" x14ac:dyDescent="0.3">
      <c r="A446" s="38">
        <v>46036</v>
      </c>
      <c r="B446" t="s">
        <v>55</v>
      </c>
      <c r="C446" s="11">
        <v>1000</v>
      </c>
      <c r="D446" s="11"/>
      <c r="F446" s="110" t="s">
        <v>107</v>
      </c>
      <c r="O446">
        <v>20000</v>
      </c>
    </row>
    <row r="447" spans="1:15" hidden="1" x14ac:dyDescent="0.3">
      <c r="A447" s="115">
        <v>46036</v>
      </c>
      <c r="B447" t="s">
        <v>55</v>
      </c>
      <c r="C447" s="11">
        <v>2530</v>
      </c>
      <c r="D447" s="11"/>
      <c r="F447" s="110" t="s">
        <v>107</v>
      </c>
      <c r="O447">
        <v>30000</v>
      </c>
    </row>
    <row r="448" spans="1:15" hidden="1" x14ac:dyDescent="0.3">
      <c r="A448" s="38">
        <v>46036</v>
      </c>
      <c r="B448" t="s">
        <v>460</v>
      </c>
      <c r="C448" s="11">
        <v>38750</v>
      </c>
      <c r="D448" s="11"/>
      <c r="E448" t="s">
        <v>501</v>
      </c>
      <c r="F448" s="110" t="s">
        <v>107</v>
      </c>
      <c r="O448">
        <v>8350</v>
      </c>
    </row>
    <row r="449" spans="1:16" hidden="1" x14ac:dyDescent="0.3">
      <c r="A449" s="115">
        <v>46036</v>
      </c>
      <c r="B449" t="s">
        <v>55</v>
      </c>
      <c r="C449" s="11">
        <v>2900</v>
      </c>
      <c r="D449" s="11"/>
      <c r="E449" t="s">
        <v>502</v>
      </c>
      <c r="F449" s="110" t="s">
        <v>107</v>
      </c>
      <c r="O449">
        <v>9850</v>
      </c>
      <c r="P449">
        <v>17000</v>
      </c>
    </row>
    <row r="450" spans="1:16" hidden="1" x14ac:dyDescent="0.3">
      <c r="A450" s="38">
        <v>46036</v>
      </c>
      <c r="B450" t="s">
        <v>55</v>
      </c>
      <c r="C450" s="11">
        <v>4850</v>
      </c>
      <c r="D450" s="11"/>
      <c r="F450" s="110" t="s">
        <v>107</v>
      </c>
      <c r="O450">
        <v>80000</v>
      </c>
    </row>
    <row r="451" spans="1:16" hidden="1" x14ac:dyDescent="0.3">
      <c r="A451" s="115">
        <v>46036</v>
      </c>
      <c r="B451" t="s">
        <v>55</v>
      </c>
      <c r="C451" s="11">
        <v>1630</v>
      </c>
      <c r="D451" s="11"/>
      <c r="F451" s="110" t="s">
        <v>107</v>
      </c>
      <c r="O451">
        <v>20000</v>
      </c>
    </row>
    <row r="452" spans="1:16" hidden="1" x14ac:dyDescent="0.3">
      <c r="A452" s="38">
        <v>46036</v>
      </c>
      <c r="B452" t="s">
        <v>228</v>
      </c>
      <c r="C452" s="11">
        <v>48000</v>
      </c>
      <c r="D452" s="11"/>
      <c r="E452" t="s">
        <v>503</v>
      </c>
      <c r="F452" s="110" t="s">
        <v>107</v>
      </c>
      <c r="O452">
        <v>20800</v>
      </c>
    </row>
    <row r="453" spans="1:16" hidden="1" x14ac:dyDescent="0.3">
      <c r="A453" s="38">
        <v>46036</v>
      </c>
      <c r="B453" t="s">
        <v>191</v>
      </c>
      <c r="C453" s="95"/>
      <c r="D453" s="95">
        <v>126962</v>
      </c>
      <c r="E453" t="s">
        <v>504</v>
      </c>
      <c r="F453" s="110" t="s">
        <v>107</v>
      </c>
      <c r="O453">
        <v>46600</v>
      </c>
    </row>
    <row r="454" spans="1:16" hidden="1" x14ac:dyDescent="0.3">
      <c r="A454" s="115">
        <v>46036</v>
      </c>
      <c r="B454" t="s">
        <v>52</v>
      </c>
      <c r="C454" s="11">
        <v>46400</v>
      </c>
      <c r="D454" s="11"/>
      <c r="E454" t="s">
        <v>505</v>
      </c>
      <c r="F454" s="110" t="s">
        <v>107</v>
      </c>
      <c r="L454" s="19">
        <v>48600</v>
      </c>
      <c r="N454" s="19">
        <v>27400</v>
      </c>
      <c r="O454">
        <v>29600</v>
      </c>
    </row>
    <row r="455" spans="1:16" hidden="1" x14ac:dyDescent="0.3">
      <c r="A455" s="115">
        <v>46036</v>
      </c>
      <c r="B455" t="s">
        <v>54</v>
      </c>
      <c r="C455" s="11">
        <v>1000</v>
      </c>
      <c r="D455" s="11"/>
      <c r="E455" t="s">
        <v>506</v>
      </c>
      <c r="F455" s="110" t="s">
        <v>107</v>
      </c>
      <c r="L455">
        <v>49200</v>
      </c>
      <c r="N455">
        <v>3400</v>
      </c>
      <c r="O455">
        <v>22800</v>
      </c>
    </row>
    <row r="456" spans="1:16" hidden="1" x14ac:dyDescent="0.3">
      <c r="A456" s="115">
        <v>46036</v>
      </c>
      <c r="B456" t="s">
        <v>54</v>
      </c>
      <c r="C456" s="11">
        <v>600</v>
      </c>
      <c r="D456" s="11"/>
      <c r="E456" t="s">
        <v>501</v>
      </c>
      <c r="F456" s="110" t="s">
        <v>107</v>
      </c>
      <c r="L456">
        <v>52000</v>
      </c>
      <c r="N456" s="19">
        <v>6200</v>
      </c>
      <c r="O456">
        <v>3200</v>
      </c>
    </row>
    <row r="457" spans="1:16" hidden="1" x14ac:dyDescent="0.3">
      <c r="A457" s="115">
        <v>46037</v>
      </c>
      <c r="B457" t="s">
        <v>55</v>
      </c>
      <c r="C457" s="11">
        <v>1300</v>
      </c>
      <c r="D457" s="11"/>
      <c r="E457" t="s">
        <v>499</v>
      </c>
      <c r="F457" s="110" t="s">
        <v>107</v>
      </c>
      <c r="L457">
        <v>42800</v>
      </c>
      <c r="N457">
        <v>3400</v>
      </c>
      <c r="O457">
        <v>48400</v>
      </c>
    </row>
    <row r="458" spans="1:16" hidden="1" x14ac:dyDescent="0.3">
      <c r="A458" s="115">
        <v>46037</v>
      </c>
      <c r="B458" t="s">
        <v>55</v>
      </c>
      <c r="C458" s="11">
        <v>1000</v>
      </c>
      <c r="D458" s="11"/>
      <c r="E458" t="s">
        <v>507</v>
      </c>
      <c r="F458" s="110" t="s">
        <v>107</v>
      </c>
      <c r="L458">
        <v>25200</v>
      </c>
      <c r="N458" s="19">
        <v>25200</v>
      </c>
      <c r="O458">
        <v>5330</v>
      </c>
    </row>
    <row r="459" spans="1:16" hidden="1" x14ac:dyDescent="0.3">
      <c r="A459" s="115">
        <v>46037</v>
      </c>
      <c r="B459" t="s">
        <v>176</v>
      </c>
      <c r="C459" s="95">
        <v>1000</v>
      </c>
      <c r="D459" s="95"/>
      <c r="E459" t="s">
        <v>508</v>
      </c>
      <c r="F459" s="110" t="s">
        <v>107</v>
      </c>
      <c r="L459">
        <v>37600</v>
      </c>
      <c r="N459" s="19">
        <v>19500</v>
      </c>
      <c r="O459">
        <v>17000</v>
      </c>
    </row>
    <row r="460" spans="1:16" hidden="1" x14ac:dyDescent="0.3">
      <c r="A460" s="115">
        <v>46037</v>
      </c>
      <c r="B460" t="s">
        <v>55</v>
      </c>
      <c r="C460" s="11">
        <v>500</v>
      </c>
      <c r="D460" s="11"/>
      <c r="E460" t="s">
        <v>509</v>
      </c>
      <c r="F460" s="110" t="s">
        <v>107</v>
      </c>
      <c r="L460">
        <v>23000</v>
      </c>
      <c r="N460" s="19">
        <v>20300</v>
      </c>
    </row>
    <row r="461" spans="1:16" hidden="1" x14ac:dyDescent="0.3">
      <c r="A461" s="115">
        <v>46037</v>
      </c>
      <c r="B461" t="s">
        <v>55</v>
      </c>
      <c r="C461" s="11">
        <v>6450</v>
      </c>
      <c r="D461" s="11"/>
      <c r="E461" t="s">
        <v>510</v>
      </c>
      <c r="F461" s="110" t="s">
        <v>107</v>
      </c>
      <c r="L461">
        <v>6200</v>
      </c>
      <c r="N461" s="19">
        <v>21000</v>
      </c>
    </row>
    <row r="462" spans="1:16" hidden="1" x14ac:dyDescent="0.3">
      <c r="A462" s="115">
        <v>46037</v>
      </c>
      <c r="B462" t="s">
        <v>201</v>
      </c>
      <c r="C462" s="11">
        <v>50000</v>
      </c>
      <c r="D462" s="11"/>
      <c r="E462" t="s">
        <v>511</v>
      </c>
      <c r="F462" s="110" t="s">
        <v>107</v>
      </c>
      <c r="L462">
        <v>3400</v>
      </c>
      <c r="N462" s="19">
        <v>40000</v>
      </c>
    </row>
    <row r="463" spans="1:16" hidden="1" x14ac:dyDescent="0.3">
      <c r="A463" s="115">
        <v>46037</v>
      </c>
      <c r="B463" t="s">
        <v>191</v>
      </c>
      <c r="C463" s="11"/>
      <c r="D463" s="11">
        <v>160000</v>
      </c>
      <c r="E463" t="s">
        <v>325</v>
      </c>
      <c r="F463" s="110" t="s">
        <v>107</v>
      </c>
      <c r="L463">
        <v>19800</v>
      </c>
      <c r="N463" s="19">
        <v>3000</v>
      </c>
    </row>
    <row r="464" spans="1:16" hidden="1" x14ac:dyDescent="0.3">
      <c r="A464" s="115">
        <v>46037</v>
      </c>
      <c r="B464" t="s">
        <v>94</v>
      </c>
      <c r="C464" s="11">
        <v>95200</v>
      </c>
      <c r="D464" s="11"/>
      <c r="E464" t="s">
        <v>288</v>
      </c>
      <c r="F464" s="110" t="s">
        <v>107</v>
      </c>
      <c r="L464">
        <v>3400</v>
      </c>
      <c r="N464" s="19">
        <v>20600</v>
      </c>
    </row>
    <row r="465" spans="1:14" hidden="1" x14ac:dyDescent="0.3">
      <c r="A465" s="115">
        <v>46037</v>
      </c>
      <c r="B465" t="s">
        <v>325</v>
      </c>
      <c r="C465" s="11"/>
      <c r="D465" s="11">
        <v>129357</v>
      </c>
      <c r="E465" t="s">
        <v>512</v>
      </c>
      <c r="F465" s="110" t="s">
        <v>107</v>
      </c>
      <c r="L465">
        <v>31150</v>
      </c>
      <c r="N465" s="19">
        <v>12750</v>
      </c>
    </row>
    <row r="466" spans="1:14" hidden="1" x14ac:dyDescent="0.3">
      <c r="A466" s="115">
        <v>46037</v>
      </c>
      <c r="B466" t="s">
        <v>52</v>
      </c>
      <c r="C466" s="11">
        <v>165000</v>
      </c>
      <c r="D466" s="11"/>
      <c r="E466" t="s">
        <v>220</v>
      </c>
      <c r="F466" s="110" t="s">
        <v>107</v>
      </c>
      <c r="L466">
        <v>12750</v>
      </c>
      <c r="N466" s="19">
        <v>14400</v>
      </c>
    </row>
    <row r="467" spans="1:14" hidden="1" x14ac:dyDescent="0.3">
      <c r="A467" s="115">
        <v>46037</v>
      </c>
      <c r="B467" t="s">
        <v>409</v>
      </c>
      <c r="C467" s="11">
        <v>100000</v>
      </c>
      <c r="D467" s="11"/>
      <c r="E467" t="s">
        <v>513</v>
      </c>
      <c r="F467" s="110" t="s">
        <v>107</v>
      </c>
      <c r="L467">
        <v>27400</v>
      </c>
      <c r="N467" s="19">
        <v>9000</v>
      </c>
    </row>
    <row r="468" spans="1:14" hidden="1" x14ac:dyDescent="0.3">
      <c r="A468" s="115">
        <v>46037</v>
      </c>
      <c r="B468" t="s">
        <v>228</v>
      </c>
      <c r="C468" s="11">
        <v>140000</v>
      </c>
      <c r="D468" s="11"/>
      <c r="E468" t="s">
        <v>514</v>
      </c>
      <c r="F468" s="110" t="s">
        <v>107</v>
      </c>
      <c r="L468">
        <v>15700</v>
      </c>
      <c r="N468" s="19">
        <v>17400</v>
      </c>
    </row>
    <row r="469" spans="1:14" hidden="1" x14ac:dyDescent="0.3">
      <c r="A469" s="115">
        <v>46037</v>
      </c>
      <c r="B469" t="s">
        <v>436</v>
      </c>
      <c r="C469" s="11"/>
      <c r="D469" s="11">
        <v>285800</v>
      </c>
      <c r="F469" s="110" t="s">
        <v>107</v>
      </c>
      <c r="L469">
        <v>12550</v>
      </c>
      <c r="N469" s="19">
        <v>19782</v>
      </c>
    </row>
    <row r="470" spans="1:14" hidden="1" x14ac:dyDescent="0.3">
      <c r="A470" s="115">
        <v>46037</v>
      </c>
      <c r="B470" t="s">
        <v>55</v>
      </c>
      <c r="C470" s="11">
        <v>2750</v>
      </c>
      <c r="D470" s="11"/>
      <c r="E470" t="s">
        <v>319</v>
      </c>
      <c r="F470" s="110" t="s">
        <v>107</v>
      </c>
      <c r="L470">
        <v>14800</v>
      </c>
      <c r="N470" s="19">
        <v>23000</v>
      </c>
    </row>
    <row r="471" spans="1:14" hidden="1" x14ac:dyDescent="0.3">
      <c r="A471" s="38">
        <v>46037</v>
      </c>
      <c r="B471" t="s">
        <v>176</v>
      </c>
      <c r="C471" s="95">
        <v>6300</v>
      </c>
      <c r="D471" s="95"/>
      <c r="E471" t="s">
        <v>515</v>
      </c>
      <c r="F471" s="110" t="s">
        <v>107</v>
      </c>
      <c r="L471">
        <v>14350</v>
      </c>
      <c r="N471" s="19">
        <v>15700</v>
      </c>
    </row>
    <row r="472" spans="1:14" hidden="1" x14ac:dyDescent="0.3">
      <c r="A472" s="38">
        <v>46037</v>
      </c>
      <c r="B472" t="s">
        <v>228</v>
      </c>
      <c r="C472" s="95">
        <v>30000</v>
      </c>
      <c r="D472" s="95"/>
      <c r="E472" t="s">
        <v>516</v>
      </c>
      <c r="F472" s="110" t="s">
        <v>107</v>
      </c>
      <c r="L472">
        <v>40000</v>
      </c>
      <c r="N472" s="19">
        <v>14800</v>
      </c>
    </row>
    <row r="473" spans="1:14" hidden="1" x14ac:dyDescent="0.3">
      <c r="A473" s="38">
        <v>46037</v>
      </c>
      <c r="B473" t="s">
        <v>221</v>
      </c>
      <c r="C473" s="95">
        <v>710</v>
      </c>
      <c r="D473" s="95"/>
      <c r="F473" s="110" t="s">
        <v>107</v>
      </c>
      <c r="L473">
        <v>17400</v>
      </c>
      <c r="N473" s="19">
        <v>12550</v>
      </c>
    </row>
    <row r="474" spans="1:14" hidden="1" x14ac:dyDescent="0.3">
      <c r="A474" s="38">
        <v>46037</v>
      </c>
      <c r="B474" t="s">
        <v>176</v>
      </c>
      <c r="C474" s="95">
        <v>250</v>
      </c>
      <c r="D474" s="95"/>
      <c r="E474" t="s">
        <v>517</v>
      </c>
      <c r="F474" s="110" t="s">
        <v>107</v>
      </c>
      <c r="L474">
        <v>19500</v>
      </c>
      <c r="N474" s="19">
        <v>31150</v>
      </c>
    </row>
    <row r="475" spans="1:14" hidden="1" x14ac:dyDescent="0.3">
      <c r="A475" s="38">
        <v>46038</v>
      </c>
      <c r="B475" t="s">
        <v>232</v>
      </c>
      <c r="C475" s="95">
        <v>20000</v>
      </c>
      <c r="D475" s="95"/>
      <c r="E475" t="s">
        <v>420</v>
      </c>
      <c r="F475" s="110" t="s">
        <v>107</v>
      </c>
      <c r="L475">
        <v>3000</v>
      </c>
      <c r="N475" s="19">
        <v>27500</v>
      </c>
    </row>
    <row r="476" spans="1:14" hidden="1" x14ac:dyDescent="0.3">
      <c r="A476" s="38">
        <v>46038</v>
      </c>
      <c r="B476" t="s">
        <v>191</v>
      </c>
      <c r="C476" s="95"/>
      <c r="D476" s="95">
        <v>20000</v>
      </c>
      <c r="E476" t="s">
        <v>420</v>
      </c>
      <c r="F476" s="110" t="s">
        <v>107</v>
      </c>
      <c r="L476">
        <v>1000</v>
      </c>
      <c r="N476" s="19">
        <v>20000</v>
      </c>
    </row>
    <row r="477" spans="1:14" hidden="1" x14ac:dyDescent="0.3">
      <c r="A477" s="38">
        <v>46038</v>
      </c>
      <c r="B477" t="s">
        <v>55</v>
      </c>
      <c r="C477" s="95">
        <v>15513</v>
      </c>
      <c r="D477" s="95"/>
      <c r="E477" t="s">
        <v>452</v>
      </c>
      <c r="F477" s="110" t="s">
        <v>107</v>
      </c>
      <c r="L477">
        <v>9000</v>
      </c>
      <c r="N477" s="19">
        <v>52000</v>
      </c>
    </row>
    <row r="478" spans="1:14" hidden="1" x14ac:dyDescent="0.3">
      <c r="A478" s="38">
        <v>46038</v>
      </c>
      <c r="B478" t="s">
        <v>191</v>
      </c>
      <c r="C478" s="11"/>
      <c r="D478" s="11">
        <v>15513</v>
      </c>
      <c r="E478" t="s">
        <v>452</v>
      </c>
      <c r="F478" s="110" t="s">
        <v>107</v>
      </c>
      <c r="L478">
        <v>21000</v>
      </c>
      <c r="N478" s="19">
        <v>49200</v>
      </c>
    </row>
    <row r="479" spans="1:14" hidden="1" x14ac:dyDescent="0.3">
      <c r="A479" s="38">
        <v>46038</v>
      </c>
      <c r="B479" t="s">
        <v>55</v>
      </c>
      <c r="C479" s="11">
        <v>1000</v>
      </c>
      <c r="D479" s="11"/>
      <c r="E479" t="s">
        <v>507</v>
      </c>
      <c r="F479" s="110" t="s">
        <v>107</v>
      </c>
      <c r="L479">
        <v>20300</v>
      </c>
      <c r="N479" s="19">
        <v>37600</v>
      </c>
    </row>
    <row r="480" spans="1:14" hidden="1" x14ac:dyDescent="0.3">
      <c r="A480" s="38">
        <v>46038</v>
      </c>
      <c r="B480" t="s">
        <v>50</v>
      </c>
      <c r="C480" s="11">
        <v>900</v>
      </c>
      <c r="D480" s="11"/>
      <c r="E480" t="s">
        <v>519</v>
      </c>
      <c r="F480" s="110" t="s">
        <v>107</v>
      </c>
      <c r="L480">
        <v>27500</v>
      </c>
      <c r="N480" s="19">
        <v>48600</v>
      </c>
    </row>
    <row r="481" spans="1:14" hidden="1" x14ac:dyDescent="0.3">
      <c r="A481" s="38">
        <v>46038</v>
      </c>
      <c r="B481" t="s">
        <v>191</v>
      </c>
      <c r="C481" s="11"/>
      <c r="D481" s="11">
        <v>50000</v>
      </c>
      <c r="E481" t="s">
        <v>520</v>
      </c>
      <c r="F481" s="110" t="s">
        <v>107</v>
      </c>
      <c r="L481">
        <v>20000</v>
      </c>
      <c r="N481" s="19">
        <v>42800</v>
      </c>
    </row>
    <row r="482" spans="1:14" hidden="1" x14ac:dyDescent="0.3">
      <c r="A482" s="38">
        <v>46038</v>
      </c>
      <c r="B482" t="s">
        <v>55</v>
      </c>
      <c r="C482" s="11">
        <v>15513</v>
      </c>
      <c r="D482" s="11"/>
      <c r="E482" t="s">
        <v>452</v>
      </c>
      <c r="F482" s="110" t="s">
        <v>107</v>
      </c>
      <c r="L482">
        <v>20600</v>
      </c>
    </row>
    <row r="483" spans="1:14" hidden="1" x14ac:dyDescent="0.3">
      <c r="A483" s="38">
        <v>46038</v>
      </c>
      <c r="B483" t="s">
        <v>55</v>
      </c>
      <c r="C483" s="11">
        <v>1030</v>
      </c>
      <c r="D483" s="11"/>
      <c r="E483" t="s">
        <v>521</v>
      </c>
      <c r="F483" s="110" t="s">
        <v>107</v>
      </c>
      <c r="L483">
        <v>3400</v>
      </c>
    </row>
    <row r="484" spans="1:14" hidden="1" x14ac:dyDescent="0.3">
      <c r="A484" s="38">
        <v>46038</v>
      </c>
      <c r="B484" t="s">
        <v>54</v>
      </c>
      <c r="C484" s="11">
        <v>5000</v>
      </c>
      <c r="D484" s="11"/>
      <c r="E484" t="s">
        <v>522</v>
      </c>
      <c r="F484" s="110" t="s">
        <v>107</v>
      </c>
    </row>
    <row r="485" spans="1:14" hidden="1" x14ac:dyDescent="0.3">
      <c r="A485" s="38">
        <v>46038</v>
      </c>
      <c r="B485" t="s">
        <v>54</v>
      </c>
      <c r="C485" s="11">
        <v>5000</v>
      </c>
      <c r="D485" s="11"/>
      <c r="E485" t="s">
        <v>448</v>
      </c>
      <c r="F485" s="110" t="s">
        <v>107</v>
      </c>
    </row>
    <row r="486" spans="1:14" hidden="1" x14ac:dyDescent="0.3">
      <c r="A486" s="38">
        <v>46038</v>
      </c>
      <c r="B486" t="s">
        <v>55</v>
      </c>
      <c r="C486" s="11">
        <v>1000</v>
      </c>
      <c r="D486" s="11"/>
      <c r="E486" t="s">
        <v>523</v>
      </c>
      <c r="F486" s="110" t="s">
        <v>107</v>
      </c>
    </row>
    <row r="487" spans="1:14" hidden="1" x14ac:dyDescent="0.3">
      <c r="A487" s="38">
        <v>46038</v>
      </c>
      <c r="B487" t="s">
        <v>55</v>
      </c>
      <c r="C487" s="11">
        <v>1100</v>
      </c>
      <c r="D487" s="11"/>
      <c r="E487" t="s">
        <v>499</v>
      </c>
      <c r="F487" s="110" t="s">
        <v>107</v>
      </c>
    </row>
    <row r="488" spans="1:14" hidden="1" x14ac:dyDescent="0.3">
      <c r="A488" s="38">
        <v>46038</v>
      </c>
      <c r="B488" t="s">
        <v>55</v>
      </c>
      <c r="C488" s="11">
        <v>1400</v>
      </c>
      <c r="D488" s="11"/>
      <c r="E488" t="s">
        <v>524</v>
      </c>
      <c r="F488" s="110" t="s">
        <v>107</v>
      </c>
    </row>
    <row r="489" spans="1:14" hidden="1" x14ac:dyDescent="0.3">
      <c r="A489" s="38">
        <v>46038</v>
      </c>
      <c r="B489" t="s">
        <v>55</v>
      </c>
      <c r="C489" s="11">
        <v>1220</v>
      </c>
      <c r="D489" s="11"/>
      <c r="E489" t="s">
        <v>525</v>
      </c>
      <c r="F489" s="110" t="s">
        <v>107</v>
      </c>
    </row>
    <row r="490" spans="1:14" hidden="1" x14ac:dyDescent="0.3">
      <c r="A490" s="38">
        <v>46038</v>
      </c>
      <c r="B490" t="s">
        <v>55</v>
      </c>
      <c r="C490" s="11">
        <v>3200</v>
      </c>
      <c r="D490" s="11"/>
      <c r="E490" t="s">
        <v>526</v>
      </c>
      <c r="F490" s="110" t="s">
        <v>107</v>
      </c>
    </row>
    <row r="491" spans="1:14" hidden="1" x14ac:dyDescent="0.3">
      <c r="A491" s="38">
        <v>46038</v>
      </c>
      <c r="B491" t="s">
        <v>64</v>
      </c>
      <c r="C491" s="11">
        <v>291250</v>
      </c>
      <c r="D491" s="11"/>
      <c r="E491" t="s">
        <v>64</v>
      </c>
      <c r="F491" s="110" t="s">
        <v>107</v>
      </c>
    </row>
    <row r="492" spans="1:14" hidden="1" x14ac:dyDescent="0.3">
      <c r="A492" s="38">
        <v>46038</v>
      </c>
      <c r="B492" t="s">
        <v>527</v>
      </c>
      <c r="C492" s="11"/>
      <c r="D492" s="11">
        <v>300000</v>
      </c>
      <c r="E492" t="s">
        <v>528</v>
      </c>
      <c r="F492" s="110" t="s">
        <v>107</v>
      </c>
    </row>
    <row r="493" spans="1:14" hidden="1" x14ac:dyDescent="0.3">
      <c r="A493" s="38">
        <v>46038</v>
      </c>
      <c r="B493" t="s">
        <v>191</v>
      </c>
      <c r="C493" s="11">
        <v>300000</v>
      </c>
      <c r="D493" s="11"/>
      <c r="E493" t="s">
        <v>35</v>
      </c>
      <c r="F493" s="110" t="s">
        <v>107</v>
      </c>
    </row>
    <row r="494" spans="1:14" hidden="1" x14ac:dyDescent="0.3">
      <c r="A494" s="38">
        <v>46038</v>
      </c>
      <c r="B494" t="s">
        <v>191</v>
      </c>
      <c r="C494" s="11"/>
      <c r="D494" s="11">
        <v>291250</v>
      </c>
      <c r="E494" t="s">
        <v>529</v>
      </c>
      <c r="F494" s="110" t="s">
        <v>107</v>
      </c>
    </row>
    <row r="495" spans="1:14" hidden="1" x14ac:dyDescent="0.3">
      <c r="A495" s="38">
        <v>46038</v>
      </c>
      <c r="B495" t="s">
        <v>191</v>
      </c>
      <c r="C495" s="11"/>
      <c r="D495" s="11">
        <v>100000</v>
      </c>
      <c r="E495" t="s">
        <v>530</v>
      </c>
      <c r="F495" s="110" t="s">
        <v>107</v>
      </c>
    </row>
    <row r="496" spans="1:14" hidden="1" x14ac:dyDescent="0.3">
      <c r="A496" s="38">
        <v>46038</v>
      </c>
      <c r="B496" t="s">
        <v>52</v>
      </c>
      <c r="C496" s="11"/>
      <c r="D496" s="11"/>
      <c r="E496" t="s">
        <v>442</v>
      </c>
      <c r="F496" s="110" t="s">
        <v>107</v>
      </c>
    </row>
    <row r="497" spans="1:6" hidden="1" x14ac:dyDescent="0.3">
      <c r="A497" s="38">
        <v>46038</v>
      </c>
      <c r="B497" t="s">
        <v>409</v>
      </c>
      <c r="C497" s="11">
        <v>50000</v>
      </c>
      <c r="D497" s="11"/>
      <c r="E497" t="s">
        <v>531</v>
      </c>
      <c r="F497" s="110" t="s">
        <v>107</v>
      </c>
    </row>
    <row r="498" spans="1:6" hidden="1" x14ac:dyDescent="0.3">
      <c r="A498" s="38">
        <v>46038</v>
      </c>
      <c r="B498" t="s">
        <v>54</v>
      </c>
      <c r="C498" s="11">
        <v>2500</v>
      </c>
      <c r="D498" s="11"/>
      <c r="E498" t="s">
        <v>462</v>
      </c>
      <c r="F498" s="110" t="s">
        <v>107</v>
      </c>
    </row>
    <row r="499" spans="1:6" hidden="1" x14ac:dyDescent="0.3">
      <c r="A499" s="38">
        <v>46038</v>
      </c>
      <c r="B499" t="s">
        <v>285</v>
      </c>
      <c r="C499" s="11"/>
      <c r="D499" s="11">
        <v>300000</v>
      </c>
      <c r="F499" s="110" t="s">
        <v>107</v>
      </c>
    </row>
    <row r="500" spans="1:6" hidden="1" x14ac:dyDescent="0.3">
      <c r="A500" s="38">
        <v>46038</v>
      </c>
      <c r="B500" t="s">
        <v>228</v>
      </c>
      <c r="C500" s="11">
        <v>100000</v>
      </c>
      <c r="D500" s="11"/>
      <c r="E500" t="s">
        <v>532</v>
      </c>
      <c r="F500" s="110" t="s">
        <v>107</v>
      </c>
    </row>
    <row r="501" spans="1:6" hidden="1" x14ac:dyDescent="0.3">
      <c r="A501" s="38">
        <v>46038</v>
      </c>
      <c r="B501" t="s">
        <v>168</v>
      </c>
      <c r="C501" s="11">
        <v>125000</v>
      </c>
      <c r="D501" s="11"/>
      <c r="E501" t="s">
        <v>533</v>
      </c>
      <c r="F501" s="110" t="s">
        <v>107</v>
      </c>
    </row>
    <row r="502" spans="1:6" hidden="1" x14ac:dyDescent="0.3">
      <c r="A502" s="38">
        <v>46038</v>
      </c>
      <c r="B502" t="s">
        <v>50</v>
      </c>
      <c r="C502" s="11">
        <v>1000</v>
      </c>
      <c r="D502" s="11"/>
      <c r="E502" t="s">
        <v>534</v>
      </c>
      <c r="F502" s="110" t="s">
        <v>107</v>
      </c>
    </row>
    <row r="503" spans="1:6" hidden="1" x14ac:dyDescent="0.3">
      <c r="A503" s="38">
        <v>46038</v>
      </c>
      <c r="B503" t="s">
        <v>221</v>
      </c>
      <c r="C503" s="95">
        <v>1460</v>
      </c>
      <c r="D503" s="95"/>
      <c r="F503" s="110" t="s">
        <v>107</v>
      </c>
    </row>
    <row r="504" spans="1:6" hidden="1" x14ac:dyDescent="0.3">
      <c r="A504" s="38">
        <v>46039</v>
      </c>
      <c r="B504" t="s">
        <v>460</v>
      </c>
      <c r="C504" s="11">
        <v>38750</v>
      </c>
      <c r="D504" s="11"/>
      <c r="E504" t="s">
        <v>501</v>
      </c>
      <c r="F504" s="110" t="s">
        <v>107</v>
      </c>
    </row>
    <row r="505" spans="1:6" hidden="1" x14ac:dyDescent="0.3">
      <c r="A505" s="38">
        <v>46039</v>
      </c>
      <c r="B505" t="s">
        <v>52</v>
      </c>
      <c r="C505" s="11">
        <v>11500</v>
      </c>
      <c r="D505" s="11"/>
      <c r="E505" t="s">
        <v>535</v>
      </c>
      <c r="F505" s="110" t="s">
        <v>107</v>
      </c>
    </row>
    <row r="506" spans="1:6" hidden="1" x14ac:dyDescent="0.3">
      <c r="A506" s="38">
        <v>46039</v>
      </c>
      <c r="B506" t="s">
        <v>54</v>
      </c>
      <c r="C506" s="11">
        <v>1700</v>
      </c>
      <c r="D506" s="11"/>
      <c r="E506" t="s">
        <v>536</v>
      </c>
      <c r="F506" s="110" t="s">
        <v>107</v>
      </c>
    </row>
    <row r="507" spans="1:6" hidden="1" x14ac:dyDescent="0.3">
      <c r="A507" s="38">
        <v>46039</v>
      </c>
      <c r="B507" t="s">
        <v>232</v>
      </c>
      <c r="C507" s="11">
        <v>20000</v>
      </c>
      <c r="D507" s="11"/>
      <c r="E507" t="s">
        <v>537</v>
      </c>
      <c r="F507" s="110" t="s">
        <v>107</v>
      </c>
    </row>
    <row r="508" spans="1:6" hidden="1" x14ac:dyDescent="0.3">
      <c r="A508" s="38">
        <v>46039</v>
      </c>
      <c r="B508" t="s">
        <v>232</v>
      </c>
      <c r="C508" s="11">
        <v>50000</v>
      </c>
      <c r="D508" s="11"/>
      <c r="E508" t="s">
        <v>247</v>
      </c>
      <c r="F508" s="110" t="s">
        <v>107</v>
      </c>
    </row>
    <row r="509" spans="1:6" hidden="1" x14ac:dyDescent="0.3">
      <c r="A509" s="38">
        <v>46039</v>
      </c>
      <c r="B509" t="s">
        <v>191</v>
      </c>
      <c r="C509" s="11"/>
      <c r="D509" s="11">
        <v>50000</v>
      </c>
      <c r="E509" t="s">
        <v>247</v>
      </c>
      <c r="F509" s="110" t="s">
        <v>107</v>
      </c>
    </row>
    <row r="510" spans="1:6" hidden="1" x14ac:dyDescent="0.3">
      <c r="A510" s="38">
        <v>46039</v>
      </c>
      <c r="B510" t="s">
        <v>232</v>
      </c>
      <c r="C510" s="11">
        <v>3000</v>
      </c>
      <c r="D510" s="11"/>
      <c r="E510" t="s">
        <v>484</v>
      </c>
      <c r="F510" s="110" t="s">
        <v>107</v>
      </c>
    </row>
    <row r="511" spans="1:6" hidden="1" x14ac:dyDescent="0.3">
      <c r="A511" s="38">
        <v>46039</v>
      </c>
      <c r="B511" t="s">
        <v>54</v>
      </c>
      <c r="C511" s="11">
        <v>1000</v>
      </c>
      <c r="D511" s="11"/>
      <c r="E511" t="s">
        <v>418</v>
      </c>
      <c r="F511" s="110" t="s">
        <v>107</v>
      </c>
    </row>
    <row r="512" spans="1:6" hidden="1" x14ac:dyDescent="0.3">
      <c r="A512" s="38">
        <v>46039</v>
      </c>
      <c r="B512" t="s">
        <v>191</v>
      </c>
      <c r="C512" s="11"/>
      <c r="D512" s="11">
        <v>50000</v>
      </c>
      <c r="E512" t="s">
        <v>538</v>
      </c>
      <c r="F512" s="110" t="s">
        <v>107</v>
      </c>
    </row>
    <row r="513" spans="1:6" hidden="1" x14ac:dyDescent="0.3">
      <c r="A513" s="38">
        <v>46039</v>
      </c>
      <c r="B513" t="s">
        <v>191</v>
      </c>
      <c r="C513" s="11">
        <v>5000</v>
      </c>
      <c r="D513" s="11"/>
      <c r="E513" t="s">
        <v>422</v>
      </c>
      <c r="F513" s="110" t="s">
        <v>107</v>
      </c>
    </row>
    <row r="514" spans="1:6" hidden="1" x14ac:dyDescent="0.3">
      <c r="A514" s="38">
        <v>46039</v>
      </c>
      <c r="B514" t="s">
        <v>54</v>
      </c>
      <c r="C514" s="11">
        <v>2000</v>
      </c>
      <c r="D514" s="11"/>
      <c r="E514" t="s">
        <v>522</v>
      </c>
      <c r="F514" s="110" t="s">
        <v>107</v>
      </c>
    </row>
    <row r="515" spans="1:6" hidden="1" x14ac:dyDescent="0.3">
      <c r="A515" s="38">
        <v>46039</v>
      </c>
      <c r="B515" t="s">
        <v>232</v>
      </c>
      <c r="C515" s="11">
        <v>10000</v>
      </c>
      <c r="D515" s="11"/>
      <c r="E515" t="s">
        <v>404</v>
      </c>
      <c r="F515" s="110" t="s">
        <v>107</v>
      </c>
    </row>
    <row r="516" spans="1:6" hidden="1" x14ac:dyDescent="0.3">
      <c r="A516" s="38">
        <v>46039</v>
      </c>
      <c r="B516" t="s">
        <v>285</v>
      </c>
      <c r="C516" s="11"/>
      <c r="D516" s="11">
        <v>350000</v>
      </c>
      <c r="E516" t="s">
        <v>539</v>
      </c>
      <c r="F516" s="110" t="s">
        <v>107</v>
      </c>
    </row>
    <row r="517" spans="1:6" hidden="1" x14ac:dyDescent="0.3">
      <c r="A517" s="38">
        <v>46040</v>
      </c>
      <c r="B517" t="s">
        <v>228</v>
      </c>
      <c r="C517" s="11">
        <v>100000</v>
      </c>
      <c r="D517" s="11"/>
      <c r="E517" t="s">
        <v>540</v>
      </c>
      <c r="F517" s="110" t="s">
        <v>107</v>
      </c>
    </row>
    <row r="518" spans="1:6" hidden="1" x14ac:dyDescent="0.3">
      <c r="A518" s="38">
        <v>46040</v>
      </c>
      <c r="B518" t="s">
        <v>191</v>
      </c>
      <c r="C518" s="11"/>
      <c r="D518" s="11">
        <v>100000</v>
      </c>
      <c r="E518" t="s">
        <v>251</v>
      </c>
      <c r="F518" s="110" t="s">
        <v>107</v>
      </c>
    </row>
    <row r="519" spans="1:6" hidden="1" x14ac:dyDescent="0.3">
      <c r="A519" s="38">
        <v>46040</v>
      </c>
      <c r="B519" t="s">
        <v>409</v>
      </c>
      <c r="C519" s="11">
        <v>100200</v>
      </c>
      <c r="D519" s="11"/>
      <c r="E519" t="s">
        <v>541</v>
      </c>
      <c r="F519" s="110" t="s">
        <v>107</v>
      </c>
    </row>
    <row r="520" spans="1:6" hidden="1" x14ac:dyDescent="0.3">
      <c r="A520" s="38">
        <v>46040</v>
      </c>
      <c r="B520" t="s">
        <v>221</v>
      </c>
      <c r="C520" s="11">
        <v>4000</v>
      </c>
      <c r="D520" s="11"/>
      <c r="E520" t="s">
        <v>542</v>
      </c>
      <c r="F520" s="110" t="s">
        <v>107</v>
      </c>
    </row>
    <row r="521" spans="1:6" hidden="1" x14ac:dyDescent="0.3">
      <c r="A521" s="38">
        <v>46040</v>
      </c>
      <c r="B521" t="s">
        <v>221</v>
      </c>
      <c r="C521" s="11">
        <v>2370</v>
      </c>
      <c r="D521" s="11"/>
      <c r="E521" t="s">
        <v>298</v>
      </c>
      <c r="F521" s="110" t="s">
        <v>107</v>
      </c>
    </row>
    <row r="522" spans="1:6" hidden="1" x14ac:dyDescent="0.3">
      <c r="A522" s="38">
        <v>46040</v>
      </c>
      <c r="B522" t="s">
        <v>221</v>
      </c>
      <c r="C522" s="11">
        <v>760</v>
      </c>
      <c r="D522" s="11"/>
      <c r="F522" s="110" t="s">
        <v>107</v>
      </c>
    </row>
    <row r="523" spans="1:6" hidden="1" x14ac:dyDescent="0.3">
      <c r="A523" s="38">
        <v>46040</v>
      </c>
      <c r="B523" t="s">
        <v>221</v>
      </c>
      <c r="C523" s="11">
        <v>580</v>
      </c>
      <c r="D523" s="11"/>
      <c r="E523" t="s">
        <v>222</v>
      </c>
      <c r="F523" s="110" t="s">
        <v>107</v>
      </c>
    </row>
    <row r="524" spans="1:6" hidden="1" x14ac:dyDescent="0.3">
      <c r="A524" s="38">
        <v>46040</v>
      </c>
      <c r="B524" t="s">
        <v>50</v>
      </c>
      <c r="C524" s="11">
        <v>426</v>
      </c>
      <c r="D524" s="11"/>
      <c r="E524" t="s">
        <v>543</v>
      </c>
      <c r="F524" s="110" t="s">
        <v>107</v>
      </c>
    </row>
    <row r="525" spans="1:6" hidden="1" x14ac:dyDescent="0.3">
      <c r="A525" s="38">
        <v>46040</v>
      </c>
      <c r="B525" t="s">
        <v>221</v>
      </c>
      <c r="C525" s="11"/>
      <c r="D525" s="11"/>
      <c r="F525" s="110" t="s">
        <v>107</v>
      </c>
    </row>
    <row r="526" spans="1:6" hidden="1" x14ac:dyDescent="0.3">
      <c r="A526" s="115">
        <v>46039</v>
      </c>
      <c r="B526" t="s">
        <v>232</v>
      </c>
      <c r="C526" s="11">
        <v>500</v>
      </c>
      <c r="D526" s="11"/>
      <c r="E526" t="s">
        <v>544</v>
      </c>
      <c r="F526" s="110" t="s">
        <v>107</v>
      </c>
    </row>
    <row r="527" spans="1:6" hidden="1" x14ac:dyDescent="0.3">
      <c r="A527" s="115">
        <v>46039</v>
      </c>
      <c r="B527" t="s">
        <v>54</v>
      </c>
      <c r="C527" s="11">
        <v>600</v>
      </c>
      <c r="D527" s="11"/>
      <c r="E527" t="s">
        <v>501</v>
      </c>
      <c r="F527" s="110" t="s">
        <v>107</v>
      </c>
    </row>
    <row r="528" spans="1:6" hidden="1" x14ac:dyDescent="0.3">
      <c r="A528" s="115">
        <v>46038</v>
      </c>
      <c r="B528" t="s">
        <v>198</v>
      </c>
      <c r="C528" s="11"/>
      <c r="D528" s="11">
        <v>100000</v>
      </c>
      <c r="F528" s="110" t="s">
        <v>107</v>
      </c>
    </row>
    <row r="529" spans="1:6" hidden="1" x14ac:dyDescent="0.3">
      <c r="A529" s="38">
        <v>46038</v>
      </c>
      <c r="B529" t="s">
        <v>191</v>
      </c>
      <c r="C529" s="95">
        <v>100000</v>
      </c>
      <c r="D529" s="95"/>
      <c r="E529" t="s">
        <v>545</v>
      </c>
      <c r="F529" s="110" t="s">
        <v>107</v>
      </c>
    </row>
    <row r="530" spans="1:6" hidden="1" x14ac:dyDescent="0.3">
      <c r="A530" s="115">
        <v>46039</v>
      </c>
      <c r="B530" t="s">
        <v>198</v>
      </c>
      <c r="C530" s="11"/>
      <c r="D530" s="11">
        <v>100000</v>
      </c>
      <c r="F530" s="110" t="s">
        <v>107</v>
      </c>
    </row>
    <row r="531" spans="1:6" hidden="1" x14ac:dyDescent="0.3">
      <c r="A531" s="115">
        <v>46039</v>
      </c>
      <c r="B531" t="s">
        <v>191</v>
      </c>
      <c r="C531" s="11">
        <v>100000</v>
      </c>
      <c r="D531" s="11"/>
      <c r="E531" t="s">
        <v>545</v>
      </c>
      <c r="F531" s="110" t="s">
        <v>107</v>
      </c>
    </row>
    <row r="532" spans="1:6" hidden="1" x14ac:dyDescent="0.3">
      <c r="A532" s="115">
        <v>46041</v>
      </c>
      <c r="B532" t="s">
        <v>191</v>
      </c>
      <c r="C532" s="11"/>
      <c r="D532" s="11">
        <v>30000</v>
      </c>
      <c r="E532" t="s">
        <v>546</v>
      </c>
      <c r="F532" s="110" t="s">
        <v>107</v>
      </c>
    </row>
    <row r="533" spans="1:6" hidden="1" x14ac:dyDescent="0.3">
      <c r="A533" s="115">
        <v>46041</v>
      </c>
      <c r="B533" t="s">
        <v>52</v>
      </c>
      <c r="C533" s="11">
        <v>5000</v>
      </c>
      <c r="D533" s="11"/>
      <c r="E533" t="s">
        <v>547</v>
      </c>
      <c r="F533" s="110" t="s">
        <v>107</v>
      </c>
    </row>
    <row r="534" spans="1:6" hidden="1" x14ac:dyDescent="0.3">
      <c r="A534" s="115">
        <v>46041</v>
      </c>
      <c r="B534" t="s">
        <v>548</v>
      </c>
      <c r="C534" s="11">
        <v>3330</v>
      </c>
      <c r="D534" s="11"/>
      <c r="E534" t="s">
        <v>549</v>
      </c>
      <c r="F534" s="110" t="s">
        <v>107</v>
      </c>
    </row>
    <row r="535" spans="1:6" hidden="1" x14ac:dyDescent="0.3">
      <c r="A535" s="115">
        <v>46041</v>
      </c>
      <c r="B535" t="s">
        <v>176</v>
      </c>
      <c r="C535" s="11">
        <v>10000</v>
      </c>
      <c r="D535" s="11"/>
      <c r="E535" t="s">
        <v>217</v>
      </c>
      <c r="F535" s="110" t="s">
        <v>107</v>
      </c>
    </row>
    <row r="536" spans="1:6" hidden="1" x14ac:dyDescent="0.3">
      <c r="A536" s="115">
        <v>46041</v>
      </c>
      <c r="B536" t="s">
        <v>54</v>
      </c>
      <c r="C536" s="95">
        <v>2400</v>
      </c>
      <c r="D536" s="95"/>
      <c r="E536" t="s">
        <v>406</v>
      </c>
      <c r="F536" s="110" t="s">
        <v>107</v>
      </c>
    </row>
    <row r="537" spans="1:6" hidden="1" x14ac:dyDescent="0.3">
      <c r="A537" s="115">
        <v>46041</v>
      </c>
      <c r="B537" t="s">
        <v>228</v>
      </c>
      <c r="C537" s="11">
        <v>5000</v>
      </c>
      <c r="D537" s="11"/>
      <c r="E537" t="s">
        <v>344</v>
      </c>
      <c r="F537" s="110" t="s">
        <v>107</v>
      </c>
    </row>
    <row r="538" spans="1:6" hidden="1" x14ac:dyDescent="0.3">
      <c r="A538" s="115">
        <v>46041</v>
      </c>
      <c r="B538" t="s">
        <v>168</v>
      </c>
      <c r="C538" s="11">
        <v>1000</v>
      </c>
      <c r="D538" s="11"/>
      <c r="E538" t="s">
        <v>344</v>
      </c>
      <c r="F538" s="110" t="s">
        <v>107</v>
      </c>
    </row>
    <row r="539" spans="1:6" hidden="1" x14ac:dyDescent="0.3">
      <c r="A539" s="115">
        <v>46041</v>
      </c>
      <c r="B539" t="s">
        <v>94</v>
      </c>
      <c r="C539" s="11">
        <v>1000</v>
      </c>
      <c r="D539" s="11"/>
      <c r="E539" t="s">
        <v>344</v>
      </c>
      <c r="F539" s="110" t="s">
        <v>107</v>
      </c>
    </row>
    <row r="540" spans="1:6" hidden="1" x14ac:dyDescent="0.3">
      <c r="A540" s="115">
        <v>46041</v>
      </c>
      <c r="B540" t="s">
        <v>409</v>
      </c>
      <c r="C540" s="11">
        <v>1000</v>
      </c>
      <c r="D540" s="11"/>
      <c r="E540" t="s">
        <v>344</v>
      </c>
      <c r="F540" s="110" t="s">
        <v>107</v>
      </c>
    </row>
    <row r="541" spans="1:6" hidden="1" x14ac:dyDescent="0.3">
      <c r="A541" s="115">
        <v>46041</v>
      </c>
      <c r="B541" t="s">
        <v>52</v>
      </c>
      <c r="C541" s="95">
        <v>2000</v>
      </c>
      <c r="D541" s="95"/>
      <c r="E541" t="s">
        <v>485</v>
      </c>
      <c r="F541" s="110" t="s">
        <v>107</v>
      </c>
    </row>
    <row r="542" spans="1:6" hidden="1" x14ac:dyDescent="0.3">
      <c r="A542" s="115">
        <v>46041</v>
      </c>
      <c r="B542" t="s">
        <v>55</v>
      </c>
      <c r="C542" s="11">
        <v>4000</v>
      </c>
      <c r="D542" s="11"/>
      <c r="E542" t="s">
        <v>550</v>
      </c>
      <c r="F542" s="110" t="s">
        <v>107</v>
      </c>
    </row>
    <row r="543" spans="1:6" hidden="1" x14ac:dyDescent="0.3">
      <c r="A543" s="115">
        <v>46041</v>
      </c>
      <c r="B543" t="s">
        <v>55</v>
      </c>
      <c r="C543" s="11">
        <v>140000</v>
      </c>
      <c r="D543" s="11"/>
      <c r="E543" t="s">
        <v>433</v>
      </c>
      <c r="F543" s="110" t="s">
        <v>107</v>
      </c>
    </row>
    <row r="544" spans="1:6" hidden="1" x14ac:dyDescent="0.3">
      <c r="A544" s="115">
        <v>46041</v>
      </c>
      <c r="B544" t="s">
        <v>232</v>
      </c>
      <c r="C544" s="11">
        <v>15000</v>
      </c>
      <c r="D544" s="11"/>
      <c r="E544" t="s">
        <v>389</v>
      </c>
      <c r="F544" s="110" t="s">
        <v>107</v>
      </c>
    </row>
    <row r="545" spans="1:6" hidden="1" x14ac:dyDescent="0.3">
      <c r="A545" s="115">
        <v>46041</v>
      </c>
      <c r="B545" t="s">
        <v>54</v>
      </c>
      <c r="C545" s="11">
        <v>5000</v>
      </c>
      <c r="D545" s="11"/>
      <c r="E545" t="s">
        <v>506</v>
      </c>
      <c r="F545" s="110" t="s">
        <v>107</v>
      </c>
    </row>
    <row r="546" spans="1:6" hidden="1" x14ac:dyDescent="0.3">
      <c r="A546" s="115">
        <v>46041</v>
      </c>
      <c r="B546" t="s">
        <v>232</v>
      </c>
      <c r="C546" s="11">
        <v>10000</v>
      </c>
      <c r="D546" s="11"/>
      <c r="E546" t="s">
        <v>551</v>
      </c>
      <c r="F546" s="110" t="s">
        <v>107</v>
      </c>
    </row>
    <row r="547" spans="1:6" hidden="1" x14ac:dyDescent="0.3">
      <c r="A547" s="38">
        <v>46041</v>
      </c>
      <c r="B547" t="s">
        <v>228</v>
      </c>
      <c r="C547" s="95">
        <v>100999</v>
      </c>
      <c r="D547" s="95"/>
      <c r="E547" t="s">
        <v>552</v>
      </c>
      <c r="F547" s="110" t="s">
        <v>107</v>
      </c>
    </row>
    <row r="548" spans="1:6" hidden="1" x14ac:dyDescent="0.3">
      <c r="A548" s="38">
        <v>46041</v>
      </c>
      <c r="B548" t="s">
        <v>221</v>
      </c>
      <c r="C548" s="95">
        <v>2000</v>
      </c>
      <c r="D548" s="95"/>
      <c r="F548" s="110" t="s">
        <v>107</v>
      </c>
    </row>
    <row r="549" spans="1:6" hidden="1" x14ac:dyDescent="0.3">
      <c r="A549" s="38">
        <v>46042</v>
      </c>
      <c r="B549" t="s">
        <v>221</v>
      </c>
      <c r="C549" s="95"/>
      <c r="D549" s="95">
        <v>9800</v>
      </c>
      <c r="F549" s="110" t="s">
        <v>107</v>
      </c>
    </row>
    <row r="550" spans="1:6" hidden="1" x14ac:dyDescent="0.3">
      <c r="A550" s="115">
        <v>46042</v>
      </c>
      <c r="B550" t="s">
        <v>55</v>
      </c>
      <c r="C550" s="11">
        <v>9800</v>
      </c>
      <c r="D550" s="11"/>
      <c r="E550" t="s">
        <v>553</v>
      </c>
      <c r="F550" s="110" t="s">
        <v>107</v>
      </c>
    </row>
    <row r="551" spans="1:6" hidden="1" x14ac:dyDescent="0.3">
      <c r="A551" s="38">
        <v>46042</v>
      </c>
      <c r="B551" t="s">
        <v>527</v>
      </c>
      <c r="C551" s="11"/>
      <c r="D551" s="11">
        <v>350000</v>
      </c>
      <c r="E551" t="s">
        <v>554</v>
      </c>
      <c r="F551" s="110" t="s">
        <v>107</v>
      </c>
    </row>
    <row r="552" spans="1:6" hidden="1" x14ac:dyDescent="0.3">
      <c r="A552" s="115">
        <v>46042</v>
      </c>
      <c r="B552" t="s">
        <v>191</v>
      </c>
      <c r="C552" s="11"/>
      <c r="D552" s="11">
        <v>650000</v>
      </c>
      <c r="F552" s="110" t="s">
        <v>107</v>
      </c>
    </row>
    <row r="553" spans="1:6" hidden="1" x14ac:dyDescent="0.3">
      <c r="A553" s="38">
        <v>46042</v>
      </c>
      <c r="B553" t="s">
        <v>191</v>
      </c>
      <c r="C553" s="11"/>
      <c r="D553" s="11">
        <v>200000</v>
      </c>
      <c r="F553" s="110" t="s">
        <v>107</v>
      </c>
    </row>
    <row r="554" spans="1:6" hidden="1" x14ac:dyDescent="0.3">
      <c r="A554" s="115">
        <v>46042</v>
      </c>
      <c r="B554" t="s">
        <v>191</v>
      </c>
      <c r="C554" s="11"/>
      <c r="D554" s="11">
        <v>249000</v>
      </c>
      <c r="F554" s="110" t="s">
        <v>107</v>
      </c>
    </row>
    <row r="555" spans="1:6" hidden="1" x14ac:dyDescent="0.3">
      <c r="A555" s="38">
        <v>46042</v>
      </c>
      <c r="B555" t="s">
        <v>191</v>
      </c>
      <c r="C555" s="11"/>
      <c r="D555" s="11">
        <v>360000</v>
      </c>
      <c r="E555" t="s">
        <v>555</v>
      </c>
      <c r="F555" s="110" t="s">
        <v>107</v>
      </c>
    </row>
    <row r="556" spans="1:6" hidden="1" x14ac:dyDescent="0.3">
      <c r="A556" s="115">
        <v>46042</v>
      </c>
      <c r="B556" t="s">
        <v>527</v>
      </c>
      <c r="C556" s="11"/>
      <c r="D556" s="11">
        <v>100000</v>
      </c>
      <c r="E556" t="s">
        <v>556</v>
      </c>
      <c r="F556" s="110" t="s">
        <v>107</v>
      </c>
    </row>
    <row r="557" spans="1:6" hidden="1" x14ac:dyDescent="0.3">
      <c r="A557" s="38">
        <v>46042</v>
      </c>
      <c r="B557" t="s">
        <v>197</v>
      </c>
      <c r="C557" s="11">
        <v>12300</v>
      </c>
      <c r="D557" s="11"/>
      <c r="E557" t="s">
        <v>163</v>
      </c>
      <c r="F557" s="110" t="s">
        <v>107</v>
      </c>
    </row>
    <row r="558" spans="1:6" hidden="1" x14ac:dyDescent="0.3">
      <c r="A558" s="115">
        <v>46042</v>
      </c>
      <c r="B558" t="s">
        <v>191</v>
      </c>
      <c r="C558" s="11"/>
      <c r="D558" s="11">
        <v>190000</v>
      </c>
      <c r="E558" t="s">
        <v>557</v>
      </c>
      <c r="F558" s="110" t="s">
        <v>107</v>
      </c>
    </row>
    <row r="559" spans="1:6" hidden="1" x14ac:dyDescent="0.3">
      <c r="A559" s="38">
        <v>46042</v>
      </c>
      <c r="B559" t="s">
        <v>191</v>
      </c>
      <c r="C559" s="11"/>
      <c r="D559" s="11">
        <v>60000</v>
      </c>
      <c r="E559" t="s">
        <v>558</v>
      </c>
      <c r="F559" s="110" t="s">
        <v>107</v>
      </c>
    </row>
    <row r="560" spans="1:6" hidden="1" x14ac:dyDescent="0.3">
      <c r="A560" s="115">
        <v>46042</v>
      </c>
      <c r="B560" t="s">
        <v>9</v>
      </c>
      <c r="C560" s="11"/>
      <c r="D560" s="11">
        <v>100000</v>
      </c>
      <c r="E560" t="s">
        <v>249</v>
      </c>
      <c r="F560" s="110" t="s">
        <v>107</v>
      </c>
    </row>
    <row r="561" spans="1:6" hidden="1" x14ac:dyDescent="0.3">
      <c r="A561" s="38">
        <v>46042</v>
      </c>
      <c r="B561" t="s">
        <v>198</v>
      </c>
      <c r="C561" s="95"/>
      <c r="D561" s="95">
        <v>100000</v>
      </c>
      <c r="F561" s="110" t="s">
        <v>107</v>
      </c>
    </row>
    <row r="562" spans="1:6" hidden="1" x14ac:dyDescent="0.3">
      <c r="A562" s="115">
        <v>46042</v>
      </c>
      <c r="B562" t="s">
        <v>191</v>
      </c>
      <c r="C562" s="11">
        <v>100000</v>
      </c>
      <c r="D562" s="11"/>
      <c r="E562" t="s">
        <v>545</v>
      </c>
      <c r="F562" s="110" t="s">
        <v>107</v>
      </c>
    </row>
    <row r="563" spans="1:6" hidden="1" x14ac:dyDescent="0.3">
      <c r="A563" s="38">
        <v>46042</v>
      </c>
      <c r="B563" t="s">
        <v>51</v>
      </c>
      <c r="C563" s="11">
        <v>2185118</v>
      </c>
      <c r="D563" s="11"/>
      <c r="E563" t="s">
        <v>559</v>
      </c>
      <c r="F563" s="110" t="s">
        <v>107</v>
      </c>
    </row>
    <row r="564" spans="1:6" hidden="1" x14ac:dyDescent="0.3">
      <c r="A564" s="115">
        <v>46042</v>
      </c>
      <c r="B564" t="s">
        <v>50</v>
      </c>
      <c r="C564" s="11">
        <v>8000</v>
      </c>
      <c r="D564" s="11"/>
      <c r="E564" t="s">
        <v>560</v>
      </c>
      <c r="F564" s="110" t="s">
        <v>107</v>
      </c>
    </row>
    <row r="565" spans="1:6" hidden="1" x14ac:dyDescent="0.3">
      <c r="A565" s="38">
        <v>46042</v>
      </c>
      <c r="B565" t="s">
        <v>50</v>
      </c>
      <c r="C565" s="11">
        <v>2000</v>
      </c>
      <c r="D565" s="11"/>
      <c r="E565" t="s">
        <v>312</v>
      </c>
      <c r="F565" s="110" t="s">
        <v>107</v>
      </c>
    </row>
    <row r="566" spans="1:6" hidden="1" x14ac:dyDescent="0.3">
      <c r="A566" s="115">
        <v>46042</v>
      </c>
      <c r="B566" t="s">
        <v>55</v>
      </c>
      <c r="C566" s="11">
        <v>1650</v>
      </c>
      <c r="D566" s="11"/>
      <c r="F566" s="110" t="s">
        <v>107</v>
      </c>
    </row>
    <row r="567" spans="1:6" hidden="1" x14ac:dyDescent="0.3">
      <c r="A567" s="38">
        <v>46042</v>
      </c>
      <c r="B567" t="s">
        <v>55</v>
      </c>
      <c r="C567" s="11">
        <v>2100</v>
      </c>
      <c r="D567" s="11"/>
      <c r="F567" s="110" t="s">
        <v>107</v>
      </c>
    </row>
    <row r="568" spans="1:6" hidden="1" x14ac:dyDescent="0.3">
      <c r="A568" s="115">
        <v>46042</v>
      </c>
      <c r="B568" t="s">
        <v>55</v>
      </c>
      <c r="C568" s="11">
        <v>1430</v>
      </c>
      <c r="D568" s="11"/>
      <c r="F568" s="110" t="s">
        <v>107</v>
      </c>
    </row>
    <row r="569" spans="1:6" hidden="1" x14ac:dyDescent="0.3">
      <c r="A569" s="38">
        <v>46042</v>
      </c>
      <c r="B569" t="s">
        <v>55</v>
      </c>
      <c r="C569" s="11">
        <v>1500</v>
      </c>
      <c r="D569" s="11"/>
      <c r="F569" s="110" t="s">
        <v>107</v>
      </c>
    </row>
    <row r="570" spans="1:6" hidden="1" x14ac:dyDescent="0.3">
      <c r="A570" s="115">
        <v>46042</v>
      </c>
      <c r="B570" t="s">
        <v>54</v>
      </c>
      <c r="C570" s="11">
        <v>5000</v>
      </c>
      <c r="D570" s="11"/>
      <c r="E570" t="s">
        <v>235</v>
      </c>
      <c r="F570" s="110" t="s">
        <v>107</v>
      </c>
    </row>
    <row r="571" spans="1:6" hidden="1" x14ac:dyDescent="0.3">
      <c r="A571" s="1">
        <v>46048</v>
      </c>
      <c r="B571" t="s">
        <v>52</v>
      </c>
      <c r="C571">
        <v>37324</v>
      </c>
      <c r="E571" t="s">
        <v>563</v>
      </c>
      <c r="F571" s="110" t="s">
        <v>107</v>
      </c>
    </row>
    <row r="572" spans="1:6" hidden="1" x14ac:dyDescent="0.3">
      <c r="A572" s="1">
        <v>46051</v>
      </c>
      <c r="B572" t="s">
        <v>221</v>
      </c>
      <c r="C572">
        <v>562846</v>
      </c>
      <c r="F572" s="110" t="s">
        <v>107</v>
      </c>
    </row>
    <row r="573" spans="1:6" hidden="1" x14ac:dyDescent="0.3">
      <c r="A573" s="1">
        <v>46051</v>
      </c>
      <c r="B573" t="s">
        <v>191</v>
      </c>
      <c r="D573">
        <v>3036240</v>
      </c>
      <c r="F573" s="110" t="s">
        <v>107</v>
      </c>
    </row>
    <row r="574" spans="1:6" hidden="1" x14ac:dyDescent="0.3">
      <c r="A574" s="1">
        <v>46051</v>
      </c>
      <c r="B574" t="s">
        <v>176</v>
      </c>
      <c r="D574">
        <v>734060</v>
      </c>
      <c r="F574" s="110" t="s">
        <v>107</v>
      </c>
    </row>
    <row r="575" spans="1:6" hidden="1" x14ac:dyDescent="0.3">
      <c r="A575" s="1">
        <v>46051</v>
      </c>
      <c r="B575" t="s">
        <v>52</v>
      </c>
      <c r="C575">
        <v>879780</v>
      </c>
      <c r="E575" t="s">
        <v>566</v>
      </c>
      <c r="F575" s="110" t="s">
        <v>107</v>
      </c>
    </row>
    <row r="576" spans="1:6" hidden="1" x14ac:dyDescent="0.3">
      <c r="A576" s="1">
        <v>46051</v>
      </c>
      <c r="B576" t="s">
        <v>52</v>
      </c>
      <c r="C576">
        <v>65000</v>
      </c>
      <c r="E576" t="s">
        <v>442</v>
      </c>
      <c r="F576" s="110" t="s">
        <v>107</v>
      </c>
    </row>
    <row r="577" spans="1:6" hidden="1" x14ac:dyDescent="0.3">
      <c r="A577" s="1">
        <v>46051</v>
      </c>
      <c r="B577" t="s">
        <v>52</v>
      </c>
      <c r="C577">
        <v>9000</v>
      </c>
      <c r="E577" t="s">
        <v>442</v>
      </c>
      <c r="F577" s="110" t="s">
        <v>107</v>
      </c>
    </row>
    <row r="578" spans="1:6" hidden="1" x14ac:dyDescent="0.3"/>
    <row r="579" spans="1:6" hidden="1" x14ac:dyDescent="0.3"/>
    <row r="580" spans="1:6" hidden="1" x14ac:dyDescent="0.3"/>
    <row r="581" spans="1:6" hidden="1" x14ac:dyDescent="0.3"/>
    <row r="582" spans="1:6" hidden="1" x14ac:dyDescent="0.3"/>
    <row r="583" spans="1:6" hidden="1" x14ac:dyDescent="0.3"/>
    <row r="584" spans="1:6" hidden="1" x14ac:dyDescent="0.3"/>
    <row r="585" spans="1:6" hidden="1" x14ac:dyDescent="0.3"/>
    <row r="586" spans="1:6" hidden="1" x14ac:dyDescent="0.3"/>
    <row r="587" spans="1:6" hidden="1" x14ac:dyDescent="0.3"/>
    <row r="588" spans="1:6" hidden="1" x14ac:dyDescent="0.3"/>
    <row r="589" spans="1:6" hidden="1" x14ac:dyDescent="0.3"/>
    <row r="590" spans="1:6" hidden="1" x14ac:dyDescent="0.3"/>
    <row r="591" spans="1:6" hidden="1" x14ac:dyDescent="0.3"/>
    <row r="592" spans="1:6"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spans="3:6" hidden="1" x14ac:dyDescent="0.3"/>
    <row r="610" spans="3:6" hidden="1" x14ac:dyDescent="0.3"/>
    <row r="611" spans="3:6" hidden="1" x14ac:dyDescent="0.3"/>
    <row r="612" spans="3:6" hidden="1" x14ac:dyDescent="0.3"/>
    <row r="613" spans="3:6" hidden="1" x14ac:dyDescent="0.3"/>
    <row r="614" spans="3:6" hidden="1" x14ac:dyDescent="0.3"/>
    <row r="615" spans="3:6" hidden="1" x14ac:dyDescent="0.3"/>
    <row r="616" spans="3:6" hidden="1" x14ac:dyDescent="0.3"/>
    <row r="617" spans="3:6" hidden="1" x14ac:dyDescent="0.3"/>
    <row r="618" spans="3:6" hidden="1" x14ac:dyDescent="0.3"/>
    <row r="619" spans="3:6" hidden="1" x14ac:dyDescent="0.3"/>
    <row r="620" spans="3:6" hidden="1" x14ac:dyDescent="0.3"/>
    <row r="621" spans="3:6" hidden="1" x14ac:dyDescent="0.3"/>
    <row r="622" spans="3:6" hidden="1" x14ac:dyDescent="0.3"/>
    <row r="623" spans="3:6" hidden="1" x14ac:dyDescent="0.3">
      <c r="C623" s="11"/>
      <c r="D623" s="11"/>
      <c r="F623" s="110"/>
    </row>
    <row r="624" spans="3:6" hidden="1" x14ac:dyDescent="0.3">
      <c r="C624" s="11"/>
      <c r="D624" s="11"/>
      <c r="F624" s="110"/>
    </row>
    <row r="625" spans="1:6" hidden="1" x14ac:dyDescent="0.3">
      <c r="C625" s="11"/>
      <c r="D625" s="11"/>
      <c r="F625" s="110"/>
    </row>
    <row r="626" spans="1:6" hidden="1" x14ac:dyDescent="0.3">
      <c r="C626" s="11"/>
      <c r="D626" s="11"/>
      <c r="F626" s="110"/>
    </row>
    <row r="627" spans="1:6" hidden="1" x14ac:dyDescent="0.3">
      <c r="C627" s="11"/>
      <c r="D627" s="11"/>
      <c r="F627" s="110"/>
    </row>
    <row r="628" spans="1:6" hidden="1" x14ac:dyDescent="0.3">
      <c r="C628" s="11"/>
      <c r="D628" s="11"/>
      <c r="F628" s="110"/>
    </row>
    <row r="629" spans="1:6" hidden="1" x14ac:dyDescent="0.3">
      <c r="C629" s="11"/>
      <c r="D629" s="11"/>
      <c r="F629" s="110"/>
    </row>
    <row r="630" spans="1:6" x14ac:dyDescent="0.3">
      <c r="A630" s="38"/>
      <c r="C630" s="14">
        <f>SUBTOTAL(109,Table14[Debit])</f>
        <v>80000</v>
      </c>
      <c r="D630" s="14">
        <f>SUBTOTAL(109,Table14[Credit])</f>
        <v>0</v>
      </c>
      <c r="F630" s="53">
        <f>(Table14[[#Totals],[Credit]]-Table14[[#Totals],[Debit]])</f>
        <v>-80000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2"/>
  <sheetViews>
    <sheetView zoomScale="107" zoomScaleNormal="210" workbookViewId="0">
      <selection activeCell="K131" sqref="K1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109</v>
      </c>
      <c r="G1" s="8" t="s">
        <v>92</v>
      </c>
      <c r="H1" s="8" t="s">
        <v>18</v>
      </c>
      <c r="I1" s="8" t="s">
        <v>122</v>
      </c>
    </row>
    <row r="2" spans="1:14" x14ac:dyDescent="0.3">
      <c r="A2" s="84">
        <v>46008</v>
      </c>
      <c r="B2" s="81" t="s">
        <v>64</v>
      </c>
      <c r="C2" s="81"/>
      <c r="D2" s="81"/>
      <c r="E2" s="81"/>
      <c r="F2" s="96" t="s">
        <v>114</v>
      </c>
      <c r="G2" s="81">
        <f>SUMIFS(Table14[Debit], Table14[Date], Table8[[#This Row],[Date]], Table14[Party], Table8[[#This Row],[Party]])</f>
        <v>0</v>
      </c>
      <c r="H2" s="81">
        <v>0</v>
      </c>
      <c r="I2" s="81" t="s">
        <v>186</v>
      </c>
      <c r="K2" t="s">
        <v>75</v>
      </c>
      <c r="L2" t="s">
        <v>45</v>
      </c>
      <c r="M2" t="s">
        <v>36</v>
      </c>
      <c r="N2" t="s">
        <v>5</v>
      </c>
    </row>
    <row r="3" spans="1:14" x14ac:dyDescent="0.3">
      <c r="A3" s="94">
        <v>46008</v>
      </c>
      <c r="B3" s="81" t="s">
        <v>64</v>
      </c>
      <c r="C3" s="80"/>
      <c r="D3" s="80"/>
      <c r="E3" s="80"/>
      <c r="F3" s="80" t="s">
        <v>175</v>
      </c>
      <c r="G3" s="81">
        <f>SUMIFS(Table14[Debit], Table14[Date], Table8[[#This Row],[Date]], Table14[Party], Table8[[#This Row],[Party]])</f>
        <v>0</v>
      </c>
      <c r="H3" s="81">
        <v>0</v>
      </c>
      <c r="I3" s="81" t="s">
        <v>186</v>
      </c>
      <c r="K3" s="1"/>
      <c r="L3" t="s">
        <v>123</v>
      </c>
      <c r="N3" s="11">
        <f t="shared" ref="N3" si="0">47000+28750</f>
        <v>75750</v>
      </c>
    </row>
    <row r="4" spans="1:14" x14ac:dyDescent="0.3">
      <c r="A4" s="84">
        <v>46008</v>
      </c>
      <c r="B4" s="81" t="s">
        <v>64</v>
      </c>
      <c r="F4" s="80" t="s">
        <v>182</v>
      </c>
      <c r="G4" s="81">
        <f>SUMIFS(Table14[Debit], Table14[Date], Table8[[#This Row],[Date]], Table14[Party], Table8[[#This Row],[Party]])</f>
        <v>0</v>
      </c>
      <c r="H4" s="81">
        <v>0</v>
      </c>
      <c r="I4" s="81" t="s">
        <v>186</v>
      </c>
      <c r="K4" s="1"/>
      <c r="N4" s="11"/>
    </row>
    <row r="5" spans="1:14" x14ac:dyDescent="0.3">
      <c r="A5" s="94">
        <v>46008</v>
      </c>
      <c r="B5" s="81" t="s">
        <v>64</v>
      </c>
      <c r="F5" t="s">
        <v>196</v>
      </c>
      <c r="G5" s="81">
        <f>SUMIFS(Table14[Debit], Table14[Date], Table8[[#This Row],[Date]], Table14[Party], Table8[[#This Row],[Party]])</f>
        <v>0</v>
      </c>
      <c r="H5" s="81">
        <v>0</v>
      </c>
      <c r="I5" s="81" t="s">
        <v>186</v>
      </c>
      <c r="K5" s="1"/>
      <c r="N5" s="14">
        <f>SUM(Table7[Total])</f>
        <v>75750</v>
      </c>
    </row>
    <row r="6" spans="1:14" x14ac:dyDescent="0.3">
      <c r="A6" s="1">
        <v>46009</v>
      </c>
      <c r="B6" t="s">
        <v>64</v>
      </c>
      <c r="E6">
        <v>183750</v>
      </c>
      <c r="F6" t="s">
        <v>175</v>
      </c>
      <c r="G6">
        <f>SUMIFS(Table14[Debit], Table14[Date], Table8[[#This Row],[Date]], Table14[Party], Table8[[#This Row],[Party]])</f>
        <v>183750</v>
      </c>
      <c r="H6">
        <f>Table8[[#This Row],[Price]]-Table8[[#This Row],[Paid]]</f>
        <v>0</v>
      </c>
    </row>
    <row r="7" spans="1:14" x14ac:dyDescent="0.3">
      <c r="A7" s="1">
        <v>46013</v>
      </c>
      <c r="B7" t="s">
        <v>64</v>
      </c>
      <c r="E7">
        <v>111250</v>
      </c>
      <c r="F7" t="s">
        <v>175</v>
      </c>
      <c r="G7">
        <f>SUMIFS(Table14[Debit], Table14[Date], Table8[[#This Row],[Date]], Table14[Party], Table8[[#This Row],[Party]])</f>
        <v>111250</v>
      </c>
      <c r="H7">
        <f>Table8[[#This Row],[Price]]-Table8[[#This Row],[Paid]]</f>
        <v>0</v>
      </c>
      <c r="K7" s="3" t="s">
        <v>109</v>
      </c>
      <c r="L7" t="s">
        <v>87</v>
      </c>
    </row>
    <row r="8" spans="1:14" x14ac:dyDescent="0.3">
      <c r="A8" s="1">
        <v>46017</v>
      </c>
      <c r="B8" t="s">
        <v>64</v>
      </c>
      <c r="E8">
        <v>84000</v>
      </c>
      <c r="F8" t="s">
        <v>175</v>
      </c>
      <c r="G8">
        <v>50000</v>
      </c>
      <c r="H8">
        <f>Table8[[#This Row],[Price]]-Table8[[#This Row],[Paid]]</f>
        <v>34000</v>
      </c>
    </row>
    <row r="9" spans="1:14" x14ac:dyDescent="0.3">
      <c r="A9" s="1">
        <v>46016</v>
      </c>
      <c r="B9" t="s">
        <v>64</v>
      </c>
      <c r="E9">
        <v>162500</v>
      </c>
      <c r="F9" t="s">
        <v>309</v>
      </c>
      <c r="G9">
        <f>SUMIFS(Table14[Debit], Table14[Date], Table8[[#This Row],[Date]], Table14[Party], Table8[[#This Row],[Party]])</f>
        <v>162500</v>
      </c>
      <c r="H9">
        <f>Table8[[#This Row],[Price]]-Table8[[#This Row],[Paid]]</f>
        <v>0</v>
      </c>
      <c r="K9" s="3" t="s">
        <v>6</v>
      </c>
      <c r="L9" t="s">
        <v>126</v>
      </c>
      <c r="M9" t="s">
        <v>127</v>
      </c>
    </row>
    <row r="10" spans="1:14" x14ac:dyDescent="0.3">
      <c r="A10" s="1">
        <v>46018</v>
      </c>
      <c r="B10" t="s">
        <v>64</v>
      </c>
      <c r="E10">
        <v>111000</v>
      </c>
      <c r="F10" t="s">
        <v>175</v>
      </c>
      <c r="G10">
        <f>SUMIFS(Table14[Debit], Table14[Date], Table8[[#This Row],[Date]], Table14[Party], Table8[[#This Row],[Party]])</f>
        <v>84000</v>
      </c>
      <c r="H10">
        <f>Table8[[#This Row],[Price]]-Table8[[#This Row],[Paid]]</f>
        <v>27000</v>
      </c>
      <c r="K10" s="26">
        <v>46008</v>
      </c>
      <c r="M10">
        <v>0</v>
      </c>
    </row>
    <row r="11" spans="1:14" x14ac:dyDescent="0.3">
      <c r="A11" s="124">
        <v>46020</v>
      </c>
      <c r="B11" t="s">
        <v>64</v>
      </c>
      <c r="E11">
        <v>180250</v>
      </c>
      <c r="F11" t="s">
        <v>175</v>
      </c>
      <c r="G11">
        <f>SUMIFS(Table14[Debit], Table14[Date], Table8[[#This Row],[Date]], Table14[Party], Table8[[#This Row],[Party]])</f>
        <v>161000</v>
      </c>
      <c r="H11">
        <f>Table8[[#This Row],[Price]]-Table8[[#This Row],[Paid]]</f>
        <v>19250</v>
      </c>
      <c r="K11" s="26">
        <v>46009</v>
      </c>
      <c r="L11">
        <v>183750</v>
      </c>
      <c r="M11">
        <v>0</v>
      </c>
    </row>
    <row r="12" spans="1:14" x14ac:dyDescent="0.3">
      <c r="A12" s="1">
        <v>46024</v>
      </c>
      <c r="B12" t="s">
        <v>376</v>
      </c>
      <c r="F12" t="s">
        <v>175</v>
      </c>
      <c r="G12">
        <f>SUMIFS(Table14[Debit], Table14[Date], Table8[[#This Row],[Date]], Table14[Party], Table8[[#This Row],[Party]])</f>
        <v>80250</v>
      </c>
      <c r="H12">
        <f>Table8[[#This Row],[Price]]-Table8[[#This Row],[Paid]]</f>
        <v>-80250</v>
      </c>
      <c r="K12" s="26">
        <v>46013</v>
      </c>
      <c r="L12">
        <v>111250</v>
      </c>
      <c r="M12">
        <v>0</v>
      </c>
    </row>
    <row r="13" spans="1:14" x14ac:dyDescent="0.3">
      <c r="A13" s="1">
        <v>46025</v>
      </c>
      <c r="B13" t="s">
        <v>64</v>
      </c>
      <c r="E13">
        <v>187000</v>
      </c>
      <c r="F13" t="s">
        <v>175</v>
      </c>
      <c r="G13">
        <f>SUMIFS(Table14[Debit], Table14[Date], Table8[[#This Row],[Date]], Table14[Party], Table8[[#This Row],[Party]])</f>
        <v>80000</v>
      </c>
      <c r="H13">
        <f>Table8[[#This Row],[Price]]-Table8[[#This Row],[Paid]]</f>
        <v>107000</v>
      </c>
      <c r="K13" s="26">
        <v>46017</v>
      </c>
      <c r="L13">
        <v>84000</v>
      </c>
      <c r="M13">
        <v>34000</v>
      </c>
    </row>
    <row r="14" spans="1:14" x14ac:dyDescent="0.3">
      <c r="A14" s="1">
        <v>46028</v>
      </c>
      <c r="B14" t="s">
        <v>64</v>
      </c>
      <c r="E14">
        <v>218250</v>
      </c>
      <c r="F14" t="s">
        <v>175</v>
      </c>
      <c r="G14">
        <f>SUMIFS(Table14[Debit], Table14[Date], Table8[[#This Row],[Date]], Table14[Party], Table8[[#This Row],[Party]])</f>
        <v>107000</v>
      </c>
      <c r="H14">
        <f>Table8[[#This Row],[Price]]-Table8[[#This Row],[Paid]]</f>
        <v>111250</v>
      </c>
      <c r="K14" s="26">
        <v>46016</v>
      </c>
      <c r="L14">
        <v>162500</v>
      </c>
      <c r="M14">
        <v>0</v>
      </c>
    </row>
    <row r="15" spans="1:14" x14ac:dyDescent="0.3">
      <c r="A15" s="1">
        <v>46029</v>
      </c>
      <c r="B15" t="s">
        <v>408</v>
      </c>
      <c r="F15" t="s">
        <v>175</v>
      </c>
      <c r="G15">
        <f>SUMIFS(Table14[Debit], Table14[Date], Table8[[#This Row],[Date]], Table14[Party], Table8[[#This Row],[Party]])</f>
        <v>218250</v>
      </c>
      <c r="H15">
        <f>Table8[[#This Row],[Price]]-Table8[[#This Row],[Paid]]</f>
        <v>-218250</v>
      </c>
      <c r="K15" s="26">
        <v>46018</v>
      </c>
      <c r="L15">
        <v>111000</v>
      </c>
      <c r="M15">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v>180250</v>
      </c>
      <c r="M16">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M17">
        <v>-80250</v>
      </c>
    </row>
    <row r="18" spans="1:13" x14ac:dyDescent="0.3">
      <c r="A18" s="1">
        <v>46031</v>
      </c>
      <c r="B18" t="s">
        <v>129</v>
      </c>
      <c r="E18">
        <v>43500</v>
      </c>
      <c r="F18" t="s">
        <v>175</v>
      </c>
      <c r="G18">
        <f>SUMIFS(Table14[Debit], Table14[Date], Table8[[#This Row],[Date]], Table14[Party], Table8[[#This Row],[Party]])</f>
        <v>0</v>
      </c>
      <c r="H18">
        <f>Table8[[#This Row],[Price]]-Table8[[#This Row],[Paid]]</f>
        <v>43500</v>
      </c>
      <c r="K18" s="26">
        <v>46025</v>
      </c>
      <c r="L18">
        <v>187000</v>
      </c>
      <c r="M18">
        <v>107000</v>
      </c>
    </row>
    <row r="19" spans="1:13" x14ac:dyDescent="0.3">
      <c r="A19" s="1">
        <v>46034</v>
      </c>
      <c r="B19" t="s">
        <v>64</v>
      </c>
      <c r="F19" t="s">
        <v>175</v>
      </c>
      <c r="G19">
        <f>SUMIFS(Table14[Debit], Table14[Date], Table8[[#This Row],[Date]], Table14[Party], Table8[[#This Row],[Party]])</f>
        <v>43500</v>
      </c>
      <c r="H19">
        <f>Table8[[#This Row],[Price]]-Table8[[#This Row],[Paid]]</f>
        <v>-43500</v>
      </c>
      <c r="K19" s="26">
        <v>46028</v>
      </c>
      <c r="L19">
        <v>231750</v>
      </c>
      <c r="M19">
        <v>111250</v>
      </c>
    </row>
    <row r="20" spans="1:13" x14ac:dyDescent="0.3">
      <c r="A20" s="1">
        <v>46038</v>
      </c>
      <c r="B20" t="s">
        <v>64</v>
      </c>
      <c r="E20">
        <v>291250</v>
      </c>
      <c r="F20" t="s">
        <v>64</v>
      </c>
      <c r="G20">
        <f>SUMIFS(Table14[Debit], Table14[Date], Table8[[#This Row],[Date]], Table14[Party], Table8[[#This Row],[Party]])</f>
        <v>291250</v>
      </c>
      <c r="H20">
        <f>Table8[[#This Row],[Price]]-Table8[[#This Row],[Paid]]</f>
        <v>0</v>
      </c>
      <c r="K20" s="26">
        <v>46029</v>
      </c>
      <c r="M20">
        <v>-218250</v>
      </c>
    </row>
    <row r="21" spans="1:13" x14ac:dyDescent="0.3">
      <c r="E21">
        <f>SUBTOTAL(109,Table8[Price])</f>
        <v>1653125</v>
      </c>
      <c r="H21">
        <f>SUBTOTAL(109,Table8[Balance])</f>
        <v>0</v>
      </c>
      <c r="K21" s="26">
        <v>46031</v>
      </c>
      <c r="L21">
        <v>110375</v>
      </c>
      <c r="M21">
        <v>43500</v>
      </c>
    </row>
    <row r="22" spans="1:13" x14ac:dyDescent="0.3">
      <c r="K22" s="26">
        <v>46034</v>
      </c>
      <c r="M22">
        <v>-43500</v>
      </c>
    </row>
    <row r="23" spans="1:13" x14ac:dyDescent="0.3">
      <c r="K23" s="26">
        <v>46038</v>
      </c>
      <c r="L23">
        <v>291250</v>
      </c>
      <c r="M23">
        <v>0</v>
      </c>
    </row>
    <row r="24" spans="1:13" x14ac:dyDescent="0.3">
      <c r="K24" s="4" t="s">
        <v>28</v>
      </c>
      <c r="L24">
        <v>1653125</v>
      </c>
      <c r="M24">
        <v>0</v>
      </c>
    </row>
    <row r="32" spans="1:13" x14ac:dyDescent="0.3">
      <c r="L32" t="s">
        <v>162</v>
      </c>
    </row>
    <row r="33" spans="1:16" x14ac:dyDescent="0.3">
      <c r="L33" t="s">
        <v>57</v>
      </c>
      <c r="M33" t="s">
        <v>155</v>
      </c>
      <c r="N33" t="s">
        <v>156</v>
      </c>
      <c r="O33" t="s">
        <v>4</v>
      </c>
      <c r="P33" t="s">
        <v>157</v>
      </c>
    </row>
    <row r="34" spans="1:16" x14ac:dyDescent="0.3">
      <c r="L34" t="s">
        <v>130</v>
      </c>
      <c r="M34">
        <v>1</v>
      </c>
      <c r="N34">
        <v>5</v>
      </c>
      <c r="O34">
        <v>1400</v>
      </c>
      <c r="P34">
        <f>Table23[[#This Row],[boxes]]*Table23[[#This Row],[kgs]]*Table23[[#This Row],[Rate]]</f>
        <v>7000</v>
      </c>
    </row>
    <row r="35" spans="1:16" x14ac:dyDescent="0.3">
      <c r="A35" t="s">
        <v>57</v>
      </c>
      <c r="B35" t="s">
        <v>155</v>
      </c>
      <c r="C35" t="s">
        <v>156</v>
      </c>
      <c r="D35" t="s">
        <v>4</v>
      </c>
      <c r="E35" t="s">
        <v>157</v>
      </c>
      <c r="L35" t="s">
        <v>128</v>
      </c>
      <c r="M35">
        <v>1</v>
      </c>
      <c r="N35">
        <v>30</v>
      </c>
      <c r="O35">
        <v>1340</v>
      </c>
      <c r="P35">
        <f>Table23[[#This Row],[boxes]]*Table23[[#This Row],[kgs]]*Table23[[#This Row],[Rate]]</f>
        <v>40200</v>
      </c>
    </row>
    <row r="36" spans="1:16" x14ac:dyDescent="0.3">
      <c r="A36" t="s">
        <v>130</v>
      </c>
      <c r="B36">
        <v>1</v>
      </c>
      <c r="C36">
        <v>25</v>
      </c>
      <c r="D36">
        <v>1400</v>
      </c>
      <c r="E36">
        <f>Table2325[[#This Row],[boxes]]*Table2325[[#This Row],[kgs]]*Table2325[[#This Row],[Rate]]</f>
        <v>35000</v>
      </c>
      <c r="L36" t="s">
        <v>146</v>
      </c>
      <c r="M36">
        <v>1</v>
      </c>
      <c r="O36">
        <v>1140</v>
      </c>
      <c r="P36">
        <f>Table23[[#This Row],[boxes]]*Table23[[#This Row],[kgs]]*Table23[[#This Row],[Rate]]</f>
        <v>0</v>
      </c>
    </row>
    <row r="37" spans="1:16" x14ac:dyDescent="0.3">
      <c r="A37" t="s">
        <v>128</v>
      </c>
      <c r="B37">
        <v>1</v>
      </c>
      <c r="C37">
        <v>3</v>
      </c>
      <c r="D37">
        <v>1340</v>
      </c>
      <c r="E37">
        <f>Table2325[[#This Row],[boxes]]*Table2325[[#This Row],[kgs]]*Table2325[[#This Row],[Rate]]</f>
        <v>4020</v>
      </c>
      <c r="L37" t="s">
        <v>125</v>
      </c>
      <c r="M37">
        <v>1</v>
      </c>
      <c r="N37">
        <v>28</v>
      </c>
      <c r="O37">
        <v>1140</v>
      </c>
      <c r="P37">
        <f>Table23[[#This Row],[boxes]]*Table23[[#This Row],[kgs]]*Table23[[#This Row],[Rate]]</f>
        <v>31920</v>
      </c>
    </row>
    <row r="38" spans="1:16" x14ac:dyDescent="0.3">
      <c r="A38" t="s">
        <v>146</v>
      </c>
      <c r="B38">
        <v>1</v>
      </c>
      <c r="D38">
        <v>1120</v>
      </c>
      <c r="E38">
        <f>Table2325[[#This Row],[boxes]]*Table2325[[#This Row],[kgs]]*Table2325[[#This Row],[Rate]]</f>
        <v>0</v>
      </c>
      <c r="L38" t="s">
        <v>124</v>
      </c>
      <c r="M38">
        <v>1</v>
      </c>
      <c r="N38">
        <v>8</v>
      </c>
      <c r="O38">
        <v>1130</v>
      </c>
      <c r="P38">
        <f>Table23[[#This Row],[boxes]]*Table23[[#This Row],[kgs]]*Table23[[#This Row],[Rate]]</f>
        <v>9040</v>
      </c>
    </row>
    <row r="39" spans="1:16" x14ac:dyDescent="0.3">
      <c r="A39" t="s">
        <v>125</v>
      </c>
      <c r="B39">
        <v>1</v>
      </c>
      <c r="C39">
        <v>25</v>
      </c>
      <c r="D39">
        <v>1120</v>
      </c>
      <c r="E39">
        <f>Table2325[[#This Row],[boxes]]*Table2325[[#This Row],[kgs]]*Table2325[[#This Row],[Rate]]</f>
        <v>28000</v>
      </c>
      <c r="L39" t="s">
        <v>145</v>
      </c>
      <c r="M39">
        <v>1</v>
      </c>
      <c r="O39">
        <v>1300</v>
      </c>
      <c r="P39">
        <f>Table23[[#This Row],[boxes]]*Table23[[#This Row],[kgs]]*Table23[[#This Row],[Rate]]</f>
        <v>0</v>
      </c>
    </row>
    <row r="40" spans="1:16" x14ac:dyDescent="0.3">
      <c r="A40" t="s">
        <v>124</v>
      </c>
      <c r="B40">
        <v>1</v>
      </c>
      <c r="C40">
        <v>25</v>
      </c>
      <c r="D40">
        <v>1120</v>
      </c>
      <c r="E40">
        <f>Table2325[[#This Row],[boxes]]*Table2325[[#This Row],[kgs]]*Table2325[[#This Row],[Rate]]</f>
        <v>28000</v>
      </c>
      <c r="L40" t="s">
        <v>131</v>
      </c>
      <c r="M40">
        <v>1</v>
      </c>
      <c r="N40">
        <v>30</v>
      </c>
      <c r="O40">
        <v>1450</v>
      </c>
      <c r="P40">
        <f>Table23[[#This Row],[boxes]]*Table23[[#This Row],[kgs]]*Table23[[#This Row],[Rate]]</f>
        <v>43500</v>
      </c>
    </row>
    <row r="41" spans="1:16" x14ac:dyDescent="0.3">
      <c r="A41" t="s">
        <v>145</v>
      </c>
      <c r="B41">
        <v>1</v>
      </c>
      <c r="D41">
        <v>1300</v>
      </c>
      <c r="E41">
        <f>Table2325[[#This Row],[boxes]]*Table2325[[#This Row],[kgs]]*Table2325[[#This Row],[Rate]]</f>
        <v>0</v>
      </c>
      <c r="L41" t="s">
        <v>158</v>
      </c>
      <c r="M41">
        <v>1</v>
      </c>
      <c r="N41">
        <v>40</v>
      </c>
      <c r="O41">
        <v>910</v>
      </c>
      <c r="P41">
        <f>Table23[[#This Row],[boxes]]*Table23[[#This Row],[kgs]]*Table23[[#This Row],[Rate]]</f>
        <v>36400</v>
      </c>
    </row>
    <row r="42" spans="1:16" x14ac:dyDescent="0.3">
      <c r="A42" t="s">
        <v>131</v>
      </c>
      <c r="B42">
        <v>1</v>
      </c>
      <c r="C42">
        <v>25</v>
      </c>
      <c r="D42">
        <v>1450</v>
      </c>
      <c r="E42">
        <f>Table2325[[#This Row],[boxes]]*Table2325[[#This Row],[kgs]]*Table2325[[#This Row],[Rate]]</f>
        <v>36250</v>
      </c>
      <c r="L42" t="s">
        <v>124</v>
      </c>
      <c r="M42">
        <v>1</v>
      </c>
      <c r="O42">
        <v>1130</v>
      </c>
      <c r="P42">
        <f>Table23[[#This Row],[boxes]]*Table23[[#This Row],[kgs]]*Table23[[#This Row],[Rate]]</f>
        <v>0</v>
      </c>
    </row>
    <row r="43" spans="1:16" x14ac:dyDescent="0.3">
      <c r="A43" t="s">
        <v>158</v>
      </c>
      <c r="B43">
        <v>1</v>
      </c>
      <c r="C43">
        <v>25</v>
      </c>
      <c r="D43">
        <v>940</v>
      </c>
      <c r="E43">
        <f>Table2325[[#This Row],[boxes]]*Table2325[[#This Row],[kgs]]*Table2325[[#This Row],[Rate]]</f>
        <v>23500</v>
      </c>
      <c r="L43" t="s">
        <v>145</v>
      </c>
      <c r="M43">
        <v>1</v>
      </c>
      <c r="N43">
        <v>10</v>
      </c>
      <c r="O43">
        <v>1300</v>
      </c>
      <c r="P43">
        <f>Table23[[#This Row],[boxes]]*Table23[[#This Row],[kgs]]*Table23[[#This Row],[Rate]]</f>
        <v>13000</v>
      </c>
    </row>
    <row r="44" spans="1:16" x14ac:dyDescent="0.3">
      <c r="A44" t="s">
        <v>124</v>
      </c>
      <c r="D44">
        <v>1130</v>
      </c>
      <c r="E44">
        <f>Table2325[[#This Row],[boxes]]*Table2325[[#This Row],[kgs]]*Table2325[[#This Row],[Rate]]</f>
        <v>0</v>
      </c>
      <c r="L44" t="s">
        <v>132</v>
      </c>
      <c r="M44">
        <v>1</v>
      </c>
      <c r="N44">
        <v>4</v>
      </c>
      <c r="O44">
        <v>1650</v>
      </c>
      <c r="P44">
        <f>Table23[[#This Row],[boxes]]*Table23[[#This Row],[kgs]]*Table23[[#This Row],[Rate]]</f>
        <v>6600</v>
      </c>
    </row>
    <row r="45" spans="1:16" x14ac:dyDescent="0.3">
      <c r="A45" t="s">
        <v>145</v>
      </c>
      <c r="B45">
        <v>1</v>
      </c>
      <c r="C45">
        <v>12</v>
      </c>
      <c r="D45">
        <v>1300</v>
      </c>
      <c r="E45">
        <f>Table2325[[#This Row],[boxes]]*Table2325[[#This Row],[kgs]]*Table2325[[#This Row],[Rate]]</f>
        <v>15600</v>
      </c>
      <c r="L45" t="s">
        <v>128</v>
      </c>
      <c r="M45">
        <v>1</v>
      </c>
      <c r="O45">
        <v>1340</v>
      </c>
      <c r="P45">
        <f>Table23[[#This Row],[boxes]]*Table23[[#This Row],[kgs]]*Table23[[#This Row],[Rate]]</f>
        <v>0</v>
      </c>
    </row>
    <row r="46" spans="1:16" x14ac:dyDescent="0.3">
      <c r="A46" t="s">
        <v>132</v>
      </c>
      <c r="B46">
        <v>1</v>
      </c>
      <c r="C46">
        <v>8</v>
      </c>
      <c r="D46">
        <v>1650</v>
      </c>
      <c r="E46">
        <f>Table2325[[#This Row],[boxes]]*Table2325[[#This Row],[kgs]]*Table2325[[#This Row],[Rate]]</f>
        <v>13200</v>
      </c>
      <c r="L46" t="s">
        <v>131</v>
      </c>
      <c r="M46">
        <v>1</v>
      </c>
      <c r="O46">
        <v>1450</v>
      </c>
      <c r="P46">
        <f>Table23[[#This Row],[boxes]]*Table23[[#This Row],[kgs]]*Table23[[#This Row],[Rate]]</f>
        <v>0</v>
      </c>
    </row>
    <row r="47" spans="1:16" x14ac:dyDescent="0.3">
      <c r="A47" t="s">
        <v>128</v>
      </c>
      <c r="D47">
        <v>1340</v>
      </c>
      <c r="E47">
        <f>Table2325[[#This Row],[boxes]]*Table2325[[#This Row],[kgs]]*Table2325[[#This Row],[Rate]]</f>
        <v>0</v>
      </c>
      <c r="L47" t="s">
        <v>130</v>
      </c>
      <c r="M47">
        <v>1</v>
      </c>
      <c r="O47">
        <v>1400</v>
      </c>
      <c r="P47">
        <f>Table23[[#This Row],[boxes]]*Table23[[#This Row],[kgs]]*Table23[[#This Row],[Rate]]</f>
        <v>0</v>
      </c>
    </row>
    <row r="48" spans="1:16" x14ac:dyDescent="0.3">
      <c r="A48" t="s">
        <v>131</v>
      </c>
      <c r="B48">
        <v>1</v>
      </c>
      <c r="C48">
        <v>12</v>
      </c>
      <c r="D48">
        <v>1450</v>
      </c>
      <c r="E48">
        <f>Table2325[[#This Row],[boxes]]*Table2325[[#This Row],[kgs]]*Table2325[[#This Row],[Rate]]</f>
        <v>17400</v>
      </c>
      <c r="L48" t="s">
        <v>159</v>
      </c>
      <c r="M48">
        <v>1</v>
      </c>
      <c r="O48">
        <v>1000</v>
      </c>
      <c r="P48">
        <f>Table23[[#This Row],[boxes]]*Table23[[#This Row],[kgs]]*Table23[[#This Row],[Rate]]</f>
        <v>0</v>
      </c>
    </row>
    <row r="49" spans="1:16" x14ac:dyDescent="0.3">
      <c r="A49" t="s">
        <v>130</v>
      </c>
      <c r="B49">
        <v>1</v>
      </c>
      <c r="C49">
        <v>4</v>
      </c>
      <c r="D49">
        <v>1400</v>
      </c>
      <c r="E49">
        <f>Table2325[[#This Row],[boxes]]*Table2325[[#This Row],[kgs]]*Table2325[[#This Row],[Rate]]</f>
        <v>5600</v>
      </c>
      <c r="L49" t="s">
        <v>129</v>
      </c>
      <c r="M49">
        <v>1</v>
      </c>
      <c r="N49">
        <v>5</v>
      </c>
      <c r="O49">
        <v>1650</v>
      </c>
      <c r="P49">
        <f>Table23[[#This Row],[boxes]]*Table23[[#This Row],[kgs]]*Table23[[#This Row],[Rate]]</f>
        <v>8250</v>
      </c>
    </row>
    <row r="50" spans="1:16" x14ac:dyDescent="0.3">
      <c r="A50" t="s">
        <v>159</v>
      </c>
      <c r="D50">
        <v>1000</v>
      </c>
      <c r="E50">
        <f>Table2325[[#This Row],[boxes]]*Table2325[[#This Row],[kgs]]*Table2325[[#This Row],[Rate]]</f>
        <v>0</v>
      </c>
      <c r="L50" t="s">
        <v>113</v>
      </c>
      <c r="M50">
        <v>1</v>
      </c>
      <c r="N50">
        <v>20</v>
      </c>
      <c r="O50">
        <v>1130</v>
      </c>
      <c r="P50">
        <f>Table23[[#This Row],[boxes]]*Table23[[#This Row],[kgs]]*Table23[[#This Row],[Rate]]</f>
        <v>22600</v>
      </c>
    </row>
    <row r="51" spans="1:16" x14ac:dyDescent="0.3">
      <c r="A51" t="s">
        <v>129</v>
      </c>
      <c r="B51">
        <v>1</v>
      </c>
      <c r="C51">
        <v>12</v>
      </c>
      <c r="D51">
        <v>1650</v>
      </c>
      <c r="E51">
        <f>Table2325[[#This Row],[boxes]]*Table2325[[#This Row],[kgs]]*Table2325[[#This Row],[Rate]]</f>
        <v>19800</v>
      </c>
      <c r="L51" t="s">
        <v>152</v>
      </c>
      <c r="M51">
        <v>1</v>
      </c>
      <c r="O51">
        <v>3100</v>
      </c>
      <c r="P51">
        <f>Table23[[#This Row],[boxes]]*Table23[[#This Row],[kgs]]*Table23[[#This Row],[Rate]]</f>
        <v>0</v>
      </c>
    </row>
    <row r="52" spans="1:16" x14ac:dyDescent="0.3">
      <c r="A52" t="s">
        <v>113</v>
      </c>
      <c r="D52">
        <v>1130</v>
      </c>
      <c r="E52">
        <f>Table2325[[#This Row],[boxes]]*Table2325[[#This Row],[kgs]]*Table2325[[#This Row],[Rate]]</f>
        <v>0</v>
      </c>
      <c r="L52" t="s">
        <v>125</v>
      </c>
      <c r="M52">
        <v>1</v>
      </c>
      <c r="O52">
        <v>1140</v>
      </c>
      <c r="P52">
        <f>Table23[[#This Row],[boxes]]*Table23[[#This Row],[kgs]]*Table23[[#This Row],[Rate]]</f>
        <v>0</v>
      </c>
    </row>
    <row r="53" spans="1:16" x14ac:dyDescent="0.3">
      <c r="A53" t="s">
        <v>152</v>
      </c>
      <c r="B53">
        <v>1</v>
      </c>
      <c r="C53">
        <v>5</v>
      </c>
      <c r="D53">
        <v>3100</v>
      </c>
      <c r="E53">
        <f>Table2325[[#This Row],[boxes]]*Table2325[[#This Row],[kgs]]*Table2325[[#This Row],[Rate]]</f>
        <v>15500</v>
      </c>
      <c r="L53" t="s">
        <v>146</v>
      </c>
      <c r="M53">
        <v>1</v>
      </c>
      <c r="N53">
        <v>10</v>
      </c>
      <c r="O53">
        <v>1140</v>
      </c>
      <c r="P53">
        <f>Table23[[#This Row],[boxes]]*Table23[[#This Row],[kgs]]*Table23[[#This Row],[Rate]]</f>
        <v>11400</v>
      </c>
    </row>
    <row r="54" spans="1:16" x14ac:dyDescent="0.3">
      <c r="A54" t="s">
        <v>125</v>
      </c>
      <c r="B54">
        <v>1</v>
      </c>
      <c r="C54">
        <v>8</v>
      </c>
      <c r="D54">
        <v>1140</v>
      </c>
      <c r="E54">
        <f>Table2325[[#This Row],[boxes]]*Table2325[[#This Row],[kgs]]*Table2325[[#This Row],[Rate]]</f>
        <v>9120</v>
      </c>
      <c r="L54" t="s">
        <v>160</v>
      </c>
      <c r="M54">
        <v>1</v>
      </c>
      <c r="N54">
        <v>10</v>
      </c>
      <c r="O54">
        <v>1000</v>
      </c>
      <c r="P54">
        <f>Table23[[#This Row],[boxes]]*Table23[[#This Row],[kgs]]*Table23[[#This Row],[Rate]]</f>
        <v>10000</v>
      </c>
    </row>
    <row r="55" spans="1:16" x14ac:dyDescent="0.3">
      <c r="A55" t="s">
        <v>146</v>
      </c>
      <c r="B55">
        <v>1</v>
      </c>
      <c r="C55">
        <v>6</v>
      </c>
      <c r="D55">
        <v>1140</v>
      </c>
      <c r="E55">
        <f>Table2325[[#This Row],[boxes]]*Table2325[[#This Row],[kgs]]*Table2325[[#This Row],[Rate]]</f>
        <v>6840</v>
      </c>
      <c r="L55" t="s">
        <v>161</v>
      </c>
      <c r="M55">
        <v>1</v>
      </c>
      <c r="N55">
        <v>5</v>
      </c>
      <c r="O55">
        <v>1000</v>
      </c>
      <c r="P55">
        <f>Table23[[#This Row],[boxes]]*Table23[[#This Row],[kgs]]*Table23[[#This Row],[Rate]]</f>
        <v>5000</v>
      </c>
    </row>
    <row r="56" spans="1:16" x14ac:dyDescent="0.3">
      <c r="A56" t="s">
        <v>160</v>
      </c>
      <c r="D56">
        <v>1000</v>
      </c>
      <c r="E56">
        <f>Table2325[[#This Row],[boxes]]*Table2325[[#This Row],[kgs]]*Table2325[[#This Row],[Rate]]</f>
        <v>0</v>
      </c>
      <c r="L56" t="s">
        <v>5</v>
      </c>
      <c r="P56">
        <f>SUM(P34:P55)</f>
        <v>244910</v>
      </c>
    </row>
    <row r="57" spans="1:16" x14ac:dyDescent="0.3">
      <c r="A57" t="s">
        <v>161</v>
      </c>
      <c r="B57">
        <v>1</v>
      </c>
      <c r="C57">
        <v>10</v>
      </c>
      <c r="D57">
        <v>1600</v>
      </c>
      <c r="E57">
        <f>Table2325[[#This Row],[boxes]]*Table2325[[#This Row],[kgs]]*Table2325[[#This Row],[Rate]]</f>
        <v>16000</v>
      </c>
    </row>
    <row r="58" spans="1:16" x14ac:dyDescent="0.3">
      <c r="A58" t="s">
        <v>113</v>
      </c>
      <c r="B58">
        <v>1</v>
      </c>
      <c r="C58">
        <v>3</v>
      </c>
      <c r="D58">
        <v>1120</v>
      </c>
      <c r="E58">
        <f>Table2325[[#This Row],[boxes]]*Table2325[[#This Row],[kgs]]*Table2325[[#This Row],[Rate]]</f>
        <v>3360</v>
      </c>
    </row>
    <row r="59" spans="1:16" x14ac:dyDescent="0.3">
      <c r="A59" t="s">
        <v>187</v>
      </c>
      <c r="B59">
        <v>1</v>
      </c>
      <c r="C59">
        <v>4</v>
      </c>
      <c r="D59">
        <v>920</v>
      </c>
      <c r="E59">
        <f>Table2325[[#This Row],[boxes]]*Table2325[[#This Row],[kgs]]*Table2325[[#This Row],[Rate]]</f>
        <v>3680</v>
      </c>
    </row>
    <row r="62" spans="1:16" x14ac:dyDescent="0.3">
      <c r="E62">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G23" sqref="G2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100</v>
      </c>
      <c r="M4" t="s">
        <v>127</v>
      </c>
    </row>
    <row r="5" spans="1:13" x14ac:dyDescent="0.3">
      <c r="A5" s="84">
        <v>46008</v>
      </c>
      <c r="B5" s="84" t="s">
        <v>116</v>
      </c>
      <c r="C5" s="81" t="s">
        <v>215</v>
      </c>
      <c r="D5" s="81"/>
      <c r="E5" s="81"/>
      <c r="F5" s="81">
        <f>Table2[[#This Row],[Quantity]]*200*Table2[[#This Row],[Boxes]]</f>
        <v>0</v>
      </c>
      <c r="G5" s="81">
        <f>SUMIFS(Table14[Debit], Table14[Date], Table2[[#This Row],[Date]], Table14[Party], Table2[[#This Row],[Party Name]])</f>
        <v>0</v>
      </c>
      <c r="H5" s="81">
        <v>0</v>
      </c>
      <c r="J5" s="4" t="s">
        <v>102</v>
      </c>
      <c r="K5">
        <v>0</v>
      </c>
      <c r="L5">
        <v>0</v>
      </c>
      <c r="M5">
        <v>0</v>
      </c>
    </row>
    <row r="6" spans="1:13" x14ac:dyDescent="0.3">
      <c r="A6" s="84">
        <v>46008</v>
      </c>
      <c r="B6" s="84" t="s">
        <v>115</v>
      </c>
      <c r="C6" s="81" t="s">
        <v>215</v>
      </c>
      <c r="D6" s="81"/>
      <c r="E6" s="81"/>
      <c r="F6" s="81">
        <f>Table2[[#This Row],[Quantity]]*200*Table2[[#This Row],[Boxes]]</f>
        <v>0</v>
      </c>
      <c r="G6" s="81">
        <f>SUMIFS(Table14[Debit], Table14[Date], Table2[[#This Row],[Date]], Table14[Party], Table2[[#This Row],[Party Name]])</f>
        <v>0</v>
      </c>
      <c r="H6" s="81">
        <v>268000</v>
      </c>
      <c r="J6" s="4" t="s">
        <v>115</v>
      </c>
      <c r="K6">
        <v>0</v>
      </c>
      <c r="L6">
        <v>268000</v>
      </c>
      <c r="M6">
        <v>0</v>
      </c>
    </row>
    <row r="7" spans="1:13" x14ac:dyDescent="0.3">
      <c r="A7" s="84">
        <v>46008</v>
      </c>
      <c r="B7" s="84" t="s">
        <v>164</v>
      </c>
      <c r="C7" s="81" t="s">
        <v>215</v>
      </c>
      <c r="F7" s="81">
        <f>Table2[[#This Row],[Quantity]]*200*Table2[[#This Row],[Boxes]]</f>
        <v>0</v>
      </c>
      <c r="G7" s="81">
        <f>SUMIFS(Table14[Debit], Table14[Date], Table2[[#This Row],[Date]], Table14[Party], Table2[[#This Row],[Party Name]])</f>
        <v>0</v>
      </c>
      <c r="H7" s="80">
        <v>0</v>
      </c>
      <c r="J7" s="4" t="s">
        <v>116</v>
      </c>
      <c r="K7">
        <v>77500</v>
      </c>
      <c r="L7">
        <v>77500</v>
      </c>
      <c r="M7">
        <v>0</v>
      </c>
    </row>
    <row r="8" spans="1:13" x14ac:dyDescent="0.3">
      <c r="A8" s="84">
        <v>46008</v>
      </c>
      <c r="B8" s="94" t="s">
        <v>193</v>
      </c>
      <c r="C8" s="81" t="s">
        <v>215</v>
      </c>
      <c r="F8" s="81">
        <f>Table2[[#This Row],[Quantity]]*200*Table2[[#This Row],[Boxes]]</f>
        <v>0</v>
      </c>
      <c r="G8" s="81">
        <f>SUMIFS(Table14[Debit], Table14[Date], Table2[[#This Row],[Date]], Table14[Party], Table2[[#This Row],[Party Name]])</f>
        <v>0</v>
      </c>
      <c r="H8" s="80">
        <v>0</v>
      </c>
      <c r="J8" s="4" t="s">
        <v>164</v>
      </c>
      <c r="K8">
        <v>0</v>
      </c>
      <c r="L8">
        <v>0</v>
      </c>
      <c r="M8">
        <v>0</v>
      </c>
    </row>
    <row r="9" spans="1:13" x14ac:dyDescent="0.3">
      <c r="A9" s="116">
        <v>46008</v>
      </c>
      <c r="B9" s="116" t="s">
        <v>197</v>
      </c>
      <c r="C9" s="87" t="s">
        <v>215</v>
      </c>
      <c r="F9" s="81">
        <f>Table2[[#This Row],[Quantity]]*200*Table2[[#This Row],[Boxes]]</f>
        <v>0</v>
      </c>
      <c r="G9" s="81">
        <f>SUMIFS(Table14[Debit], Table14[Date], Table2[[#This Row],[Date]], Table14[Party], Table2[[#This Row],[Party Name]])</f>
        <v>0</v>
      </c>
      <c r="H9" s="80">
        <f>Table2[[#This Row],[Price]]-Table2[[#This Row],[Paid]]</f>
        <v>0</v>
      </c>
      <c r="J9" s="4" t="s">
        <v>193</v>
      </c>
      <c r="K9">
        <v>351000</v>
      </c>
      <c r="L9">
        <v>351000</v>
      </c>
      <c r="M9">
        <v>0</v>
      </c>
    </row>
    <row r="10" spans="1:13" x14ac:dyDescent="0.3">
      <c r="A10" s="1">
        <v>46011</v>
      </c>
      <c r="B10" s="1" t="s">
        <v>193</v>
      </c>
      <c r="C10" t="s">
        <v>61</v>
      </c>
      <c r="D10">
        <v>45</v>
      </c>
      <c r="F10">
        <v>351000</v>
      </c>
      <c r="G10">
        <f>SUMIFS(Table14[Debit], Table14[Date], Table2[[#This Row],[Date]], Table14[Party], Table2[[#This Row],[Party Name]])</f>
        <v>0</v>
      </c>
      <c r="H10">
        <f>Table2[[#This Row],[Price]]-Table2[[#This Row],[Paid]]</f>
        <v>351000</v>
      </c>
      <c r="J10" s="4" t="s">
        <v>197</v>
      </c>
      <c r="K10">
        <v>12300</v>
      </c>
      <c r="L10">
        <v>12300</v>
      </c>
      <c r="M10">
        <v>0</v>
      </c>
    </row>
    <row r="11" spans="1:13" x14ac:dyDescent="0.3">
      <c r="A11" s="1">
        <v>46014</v>
      </c>
      <c r="B11" s="1" t="s">
        <v>115</v>
      </c>
      <c r="C11" t="s">
        <v>281</v>
      </c>
      <c r="F11">
        <f>Table2[[#This Row],[Quantity]]*200*Table2[[#This Row],[Boxes]]</f>
        <v>0</v>
      </c>
      <c r="G11">
        <f>SUMIFS(Table14[Debit], Table14[Date], Table2[[#This Row],[Date]], Table14[Party], Table2[[#This Row],[Party Name]])</f>
        <v>150000</v>
      </c>
      <c r="H11">
        <f>Table2[[#This Row],[Price]]-Table2[[#This Row],[Paid]]</f>
        <v>-150000</v>
      </c>
      <c r="J11" s="4" t="s">
        <v>28</v>
      </c>
      <c r="K11">
        <v>440800</v>
      </c>
      <c r="L11">
        <v>708800</v>
      </c>
      <c r="M11">
        <v>0</v>
      </c>
    </row>
    <row r="12" spans="1:13" x14ac:dyDescent="0.3">
      <c r="A12" s="1">
        <v>46032</v>
      </c>
      <c r="B12" s="1" t="s">
        <v>115</v>
      </c>
      <c r="C12" t="s">
        <v>293</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193</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v>46036</v>
      </c>
      <c r="B14" s="1" t="s">
        <v>116</v>
      </c>
      <c r="C14" t="s">
        <v>61</v>
      </c>
      <c r="F14">
        <v>38750</v>
      </c>
      <c r="G14">
        <f>SUMIFS(Table14[Debit], Table14[Date], Table2[[#This Row],[Date]], Table14[Party], Table2[[#This Row],[Party Name]])</f>
        <v>38750</v>
      </c>
      <c r="H14">
        <f>Table2[[#This Row],[Price]]-Table2[[#This Row],[Paid]]</f>
        <v>0</v>
      </c>
    </row>
    <row r="15" spans="1:13" x14ac:dyDescent="0.3">
      <c r="A15" s="1">
        <v>46039</v>
      </c>
      <c r="B15" s="1" t="s">
        <v>116</v>
      </c>
      <c r="C15" t="s">
        <v>61</v>
      </c>
      <c r="F15">
        <v>38750</v>
      </c>
      <c r="G15">
        <f>SUMIFS(Table14[Debit], Table14[Date], Table2[[#This Row],[Date]], Table14[Party], Table2[[#This Row],[Party Name]])</f>
        <v>38750</v>
      </c>
      <c r="H15">
        <f>Table2[[#This Row],[Price]]-Table2[[#This Row],[Paid]]</f>
        <v>0</v>
      </c>
    </row>
    <row r="16" spans="1:13" x14ac:dyDescent="0.3">
      <c r="A16" s="1">
        <v>46042</v>
      </c>
      <c r="B16" s="1" t="s">
        <v>197</v>
      </c>
      <c r="C16" t="s">
        <v>163</v>
      </c>
      <c r="F16">
        <v>12300</v>
      </c>
      <c r="G16">
        <f>SUMIFS(Table14[Debit], Table14[Date], Table2[[#This Row],[Date]], Table14[Party], Table2[[#This Row],[Party Name]])</f>
        <v>12300</v>
      </c>
      <c r="H16">
        <f>Table2[[#This Row],[Price]]-Table2[[#This Row],[Paid]]</f>
        <v>0</v>
      </c>
    </row>
    <row r="17" spans="1:11" x14ac:dyDescent="0.3">
      <c r="A17" s="1"/>
      <c r="B17" s="1"/>
    </row>
    <row r="18" spans="1:11" x14ac:dyDescent="0.3">
      <c r="A18" s="1"/>
      <c r="B18" s="1"/>
    </row>
    <row r="19" spans="1:11" x14ac:dyDescent="0.3">
      <c r="A19" s="1"/>
      <c r="B19" s="1"/>
    </row>
    <row r="20" spans="1:11" x14ac:dyDescent="0.3">
      <c r="A20" s="1"/>
      <c r="B20" s="1"/>
      <c r="F20">
        <f>Table2[[#This Row],[Quantity]]*200*Table2[[#This Row],[Boxes]]</f>
        <v>0</v>
      </c>
      <c r="G20">
        <f>SUMIFS(Table14[Debit], Table14[Date], Table2[[#This Row],[Date]], Table14[Party], Table2[[#This Row],[Party Name]])</f>
        <v>0</v>
      </c>
      <c r="H20">
        <f>Table2[[#This Row],[Price]]-Table2[[#This Row],[Paid]]</f>
        <v>0</v>
      </c>
    </row>
    <row r="21" spans="1:11" x14ac:dyDescent="0.3">
      <c r="A21" s="1"/>
      <c r="F21">
        <f>SUBTOTAL(109,Table2[Price])</f>
        <v>440800</v>
      </c>
      <c r="G21">
        <f>SUBTOTAL(109,Table2[Paid])</f>
        <v>708800</v>
      </c>
      <c r="H21">
        <f>SUBTOTAL(109,Table2[Balance])</f>
        <v>0</v>
      </c>
    </row>
    <row r="24" spans="1:11" x14ac:dyDescent="0.3">
      <c r="I24" t="s">
        <v>57</v>
      </c>
      <c r="J24" t="s">
        <v>173</v>
      </c>
      <c r="K24" t="s">
        <v>206</v>
      </c>
    </row>
    <row r="25" spans="1:11" x14ac:dyDescent="0.3">
      <c r="I25" t="s">
        <v>61</v>
      </c>
      <c r="J25">
        <f>7800*60</f>
        <v>468000</v>
      </c>
      <c r="K25">
        <f>2*7800</f>
        <v>15600</v>
      </c>
    </row>
    <row r="26" spans="1:11" x14ac:dyDescent="0.3">
      <c r="I26" t="s">
        <v>61</v>
      </c>
      <c r="K26">
        <f>13*4000</f>
        <v>52000</v>
      </c>
    </row>
    <row r="27" spans="1:11" x14ac:dyDescent="0.3">
      <c r="I27" t="s">
        <v>163</v>
      </c>
      <c r="J27">
        <f>13000*3</f>
        <v>39000</v>
      </c>
      <c r="K27">
        <f>13000*3</f>
        <v>39000</v>
      </c>
    </row>
    <row r="30" spans="1:11" x14ac:dyDescent="0.3">
      <c r="I30" t="s">
        <v>157</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284</v>
      </c>
      <c r="C3" s="19" t="s">
        <v>97</v>
      </c>
      <c r="D3" s="19" t="s">
        <v>97</v>
      </c>
      <c r="E3" s="20">
        <v>2185118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K131" sqref="K13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3" t="s">
        <v>2</v>
      </c>
      <c r="B1" s="14" t="s">
        <v>87</v>
      </c>
      <c r="C1" s="14"/>
    </row>
    <row r="2" spans="1:12" x14ac:dyDescent="0.3">
      <c r="A2" s="31" t="s">
        <v>28</v>
      </c>
      <c r="B2" s="33">
        <f>SUM(B4:INDEX(B:B, MATCH(1E+100, B:B)-1))</f>
        <v>1921326</v>
      </c>
      <c r="C2" s="32">
        <f>GETPIVOTDATA("Sum of Tiyaar/gaz",$A$3)</f>
        <v>1919038.8824</v>
      </c>
      <c r="D2" s="31">
        <f>((B2*48)+((C2/1.0936)*10))/C2</f>
        <v>57.201317768979386</v>
      </c>
      <c r="J2">
        <v>48</v>
      </c>
    </row>
    <row r="3" spans="1:12" x14ac:dyDescent="0.3">
      <c r="A3" s="34" t="s">
        <v>139</v>
      </c>
      <c r="B3" s="35" t="s">
        <v>140</v>
      </c>
      <c r="C3" s="36" t="s">
        <v>88</v>
      </c>
      <c r="D3" s="32" t="s">
        <v>141</v>
      </c>
      <c r="E3" s="11" t="s">
        <v>142</v>
      </c>
      <c r="F3" s="11" t="str">
        <f t="shared" ref="F3:F38" si="0">C3</f>
        <v>Sum of Tiyaar/gaz</v>
      </c>
      <c r="G3" s="76" t="s">
        <v>82</v>
      </c>
      <c r="H3" s="11" t="s">
        <v>143</v>
      </c>
      <c r="I3" s="29" t="s">
        <v>144</v>
      </c>
    </row>
    <row r="4" spans="1:12" x14ac:dyDescent="0.3">
      <c r="A4" s="16" t="s">
        <v>102</v>
      </c>
      <c r="B4" s="14"/>
      <c r="C4" s="14"/>
      <c r="D4" s="28" t="e">
        <f>I4</f>
        <v>#DIV/0!</v>
      </c>
      <c r="E4" s="11">
        <f>B4 * 1.0936</f>
        <v>0</v>
      </c>
      <c r="F4" s="11">
        <f t="shared" si="0"/>
        <v>0</v>
      </c>
      <c r="G4" s="77"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7">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7">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7">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7">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7">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7">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7">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7">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7">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7">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7">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7">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7">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7">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7">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7">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7">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7">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7">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7">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7">
        <f t="shared" si="6"/>
        <v>1.3154310751199034</v>
      </c>
      <c r="H25" s="28">
        <f t="shared" si="3"/>
        <v>7487.1982443306515</v>
      </c>
      <c r="I25" s="28">
        <f t="shared" si="5"/>
        <v>53.620906502602161</v>
      </c>
    </row>
    <row r="26" spans="1:9" x14ac:dyDescent="0.3">
      <c r="A26" s="16" t="s">
        <v>330</v>
      </c>
      <c r="B26" s="14">
        <v>26630</v>
      </c>
      <c r="C26" s="14">
        <v>28452</v>
      </c>
      <c r="D26" s="28">
        <f t="shared" si="1"/>
        <v>54.070302672780123</v>
      </c>
      <c r="E26" s="11">
        <f t="shared" si="2"/>
        <v>29122.567999999999</v>
      </c>
      <c r="F26" s="11">
        <f t="shared" si="0"/>
        <v>28452</v>
      </c>
      <c r="G26" s="77">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7"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7">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7">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7">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7">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7">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7">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7">
        <f t="shared" si="10"/>
        <v>1.8491400210186981</v>
      </c>
      <c r="H34" s="28">
        <f t="shared" si="11"/>
        <v>8092.5384052670088</v>
      </c>
      <c r="I34" s="28">
        <f t="shared" si="12"/>
        <v>53.862755260188713</v>
      </c>
    </row>
    <row r="35" spans="1:9" x14ac:dyDescent="0.3">
      <c r="A35" s="16" t="s">
        <v>377</v>
      </c>
      <c r="B35" s="14">
        <v>17616</v>
      </c>
      <c r="C35" s="14">
        <v>18976</v>
      </c>
      <c r="D35" s="28">
        <f t="shared" si="7"/>
        <v>53.703976285140833</v>
      </c>
      <c r="E35" s="11">
        <f t="shared" si="8"/>
        <v>19264.857599999999</v>
      </c>
      <c r="F35" s="11">
        <f t="shared" si="9"/>
        <v>18976</v>
      </c>
      <c r="G35" s="77">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7">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7">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7">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7">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7">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7">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7">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7">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7">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7">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7">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7">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7">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7">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7">
        <f t="shared" si="22"/>
        <v>5.3992510104640843</v>
      </c>
      <c r="H50" s="28">
        <f t="shared" si="23"/>
        <v>28472.933430870522</v>
      </c>
      <c r="I50" s="28">
        <f t="shared" si="24"/>
        <v>55.540925374420489</v>
      </c>
    </row>
    <row r="51" spans="1:9" x14ac:dyDescent="0.3">
      <c r="A51" s="16">
        <v>2010</v>
      </c>
      <c r="B51" s="14">
        <v>32275</v>
      </c>
      <c r="C51" s="14">
        <v>33781</v>
      </c>
      <c r="D51" s="28">
        <f t="shared" si="19"/>
        <v>55.004210064539173</v>
      </c>
      <c r="E51" s="11">
        <f t="shared" si="20"/>
        <v>35295.939999999995</v>
      </c>
      <c r="F51" s="11">
        <f t="shared" si="21"/>
        <v>33781</v>
      </c>
      <c r="G51" s="77">
        <f t="shared" si="22"/>
        <v>4.2921083841370802</v>
      </c>
      <c r="H51" s="28">
        <f t="shared" si="23"/>
        <v>30889.722019019755</v>
      </c>
      <c r="I51" s="28">
        <f t="shared" si="24"/>
        <v>55.004210064539173</v>
      </c>
    </row>
    <row r="52" spans="1:9" x14ac:dyDescent="0.3">
      <c r="A52" s="16">
        <v>2022</v>
      </c>
      <c r="B52" s="14">
        <v>44988</v>
      </c>
      <c r="C52" s="14">
        <v>47157</v>
      </c>
      <c r="D52" s="28">
        <f t="shared" si="19"/>
        <v>54.936337160965167</v>
      </c>
      <c r="E52" s="11">
        <f t="shared" si="20"/>
        <v>49198.876799999998</v>
      </c>
      <c r="F52" s="11">
        <f t="shared" si="21"/>
        <v>47157</v>
      </c>
      <c r="G52" s="77">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7">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7">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7">
        <f t="shared" si="22"/>
        <v>1.7775707181680218</v>
      </c>
      <c r="H55" s="28">
        <f t="shared" si="23"/>
        <v>11787.673738112657</v>
      </c>
      <c r="I55" s="28">
        <f t="shared" si="24"/>
        <v>53.830171234281792</v>
      </c>
    </row>
    <row r="56" spans="1:9" x14ac:dyDescent="0.3">
      <c r="A56" s="16" t="s">
        <v>480</v>
      </c>
      <c r="B56" s="14">
        <v>51307</v>
      </c>
      <c r="C56" s="14">
        <v>55125</v>
      </c>
      <c r="D56" s="28">
        <f t="shared" si="19"/>
        <v>53.819594185589374</v>
      </c>
      <c r="E56" s="11">
        <f t="shared" si="20"/>
        <v>56109.335199999994</v>
      </c>
      <c r="F56" s="11">
        <f t="shared" si="21"/>
        <v>55125</v>
      </c>
      <c r="G56" s="77">
        <f t="shared" si="22"/>
        <v>1.7543162764117</v>
      </c>
      <c r="H56" s="28">
        <f t="shared" si="23"/>
        <v>50406.91294806145</v>
      </c>
      <c r="I56" s="28">
        <f t="shared" si="24"/>
        <v>53.819594185589374</v>
      </c>
    </row>
    <row r="57" spans="1:9" x14ac:dyDescent="0.3">
      <c r="A57" s="16">
        <v>2018</v>
      </c>
      <c r="B57" s="14">
        <v>48184</v>
      </c>
      <c r="C57" s="14">
        <v>51690</v>
      </c>
      <c r="D57" s="28">
        <f t="shared" si="19"/>
        <v>53.88839441932187</v>
      </c>
      <c r="E57" s="11">
        <f t="shared" si="20"/>
        <v>52694.022399999994</v>
      </c>
      <c r="F57" s="11">
        <f t="shared" si="21"/>
        <v>51690</v>
      </c>
      <c r="G57" s="77">
        <f t="shared" si="22"/>
        <v>1.9053819660576892</v>
      </c>
      <c r="H57" s="28">
        <f t="shared" si="23"/>
        <v>47265.910753474767</v>
      </c>
      <c r="I57" s="28">
        <f t="shared" si="24"/>
        <v>53.88839441932187</v>
      </c>
    </row>
    <row r="58" spans="1:9" x14ac:dyDescent="0.3">
      <c r="A58" s="16">
        <v>2030</v>
      </c>
      <c r="B58" s="14">
        <v>24735</v>
      </c>
      <c r="C58" s="14">
        <v>26408</v>
      </c>
      <c r="D58" s="28">
        <f t="shared" si="19"/>
        <v>54.103214494421792</v>
      </c>
      <c r="E58" s="11">
        <f t="shared" si="20"/>
        <v>27050.195999999996</v>
      </c>
      <c r="F58" s="11">
        <f t="shared" si="21"/>
        <v>26408</v>
      </c>
      <c r="G58" s="77">
        <f t="shared" si="22"/>
        <v>2.3740900065936614</v>
      </c>
      <c r="H58" s="28">
        <f t="shared" si="23"/>
        <v>24147.768836869058</v>
      </c>
      <c r="I58" s="28">
        <f t="shared" si="24"/>
        <v>54.103214494421792</v>
      </c>
    </row>
    <row r="59" spans="1:9" x14ac:dyDescent="0.3">
      <c r="A59" s="16">
        <v>2037</v>
      </c>
      <c r="B59" s="14">
        <v>14961</v>
      </c>
      <c r="C59" s="14">
        <v>14290</v>
      </c>
      <c r="D59" s="28">
        <f t="shared" ref="D59:D73" si="25">I59</f>
        <v>59.397995027241642</v>
      </c>
      <c r="E59" s="11">
        <f t="shared" ref="E59:E73" si="26">B59 * 1.0936</f>
        <v>16361.349599999998</v>
      </c>
      <c r="F59" s="11">
        <f t="shared" ref="F59:F73" si="27">C59</f>
        <v>14290</v>
      </c>
      <c r="G59" s="77">
        <f t="shared" ref="G59:G73" si="28">100- (F59/E59 *100)</f>
        <v>12.6600167506964</v>
      </c>
      <c r="H59" s="28">
        <f t="shared" ref="H59:H73" si="29">F59/1.0936</f>
        <v>13066.934893928312</v>
      </c>
      <c r="I59" s="28">
        <f t="shared" ref="I59:I73" si="30">((B59*48)+(H59*10))/C59</f>
        <v>59.397995027241642</v>
      </c>
    </row>
    <row r="60" spans="1:9" x14ac:dyDescent="0.3">
      <c r="A60" s="16">
        <v>2026</v>
      </c>
      <c r="B60" s="14">
        <v>70035</v>
      </c>
      <c r="C60" s="14">
        <v>67113</v>
      </c>
      <c r="D60" s="28">
        <f t="shared" si="25"/>
        <v>59.233959656922067</v>
      </c>
      <c r="E60" s="11">
        <f t="shared" si="26"/>
        <v>76590.275999999998</v>
      </c>
      <c r="F60" s="11">
        <f t="shared" si="27"/>
        <v>67113</v>
      </c>
      <c r="G60" s="77">
        <f t="shared" si="28"/>
        <v>12.373993795243663</v>
      </c>
      <c r="H60" s="28">
        <f t="shared" si="29"/>
        <v>61368.8734455011</v>
      </c>
      <c r="I60" s="28">
        <f t="shared" si="30"/>
        <v>59.233959656922067</v>
      </c>
    </row>
    <row r="61" spans="1:9" x14ac:dyDescent="0.3">
      <c r="A61" s="16">
        <v>2016</v>
      </c>
      <c r="B61" s="14">
        <v>29033</v>
      </c>
      <c r="C61" s="14">
        <v>30892</v>
      </c>
      <c r="D61" s="28">
        <f t="shared" si="25"/>
        <v>54.255596366547223</v>
      </c>
      <c r="E61" s="11">
        <f t="shared" si="26"/>
        <v>31750.488799999996</v>
      </c>
      <c r="F61" s="11">
        <f t="shared" si="27"/>
        <v>30892</v>
      </c>
      <c r="G61" s="77">
        <f t="shared" si="28"/>
        <v>2.703860105611966</v>
      </c>
      <c r="H61" s="28">
        <f t="shared" si="29"/>
        <v>28247.988295537678</v>
      </c>
      <c r="I61" s="28">
        <f t="shared" si="30"/>
        <v>54.255596366547223</v>
      </c>
    </row>
    <row r="62" spans="1:9" x14ac:dyDescent="0.3">
      <c r="A62" s="16">
        <v>2012</v>
      </c>
      <c r="B62" s="14">
        <v>28546</v>
      </c>
      <c r="C62" s="14">
        <v>15097</v>
      </c>
      <c r="D62" s="28">
        <f t="shared" si="25"/>
        <v>99.904394692425228</v>
      </c>
      <c r="E62" s="11">
        <f t="shared" si="26"/>
        <v>31217.905599999998</v>
      </c>
      <c r="F62" s="11">
        <f t="shared" si="27"/>
        <v>15097</v>
      </c>
      <c r="G62" s="77">
        <f t="shared" si="28"/>
        <v>51.639933205512669</v>
      </c>
      <c r="H62" s="28">
        <f t="shared" si="29"/>
        <v>13804.864667154354</v>
      </c>
      <c r="I62" s="28">
        <f t="shared" si="30"/>
        <v>99.904394692425228</v>
      </c>
    </row>
    <row r="63" spans="1:9" x14ac:dyDescent="0.3">
      <c r="A63" s="16">
        <v>2014</v>
      </c>
      <c r="B63" s="14">
        <v>28559</v>
      </c>
      <c r="C63" s="14">
        <v>29748</v>
      </c>
      <c r="D63" s="28">
        <f t="shared" si="25"/>
        <v>55.225595661936268</v>
      </c>
      <c r="E63" s="11">
        <f t="shared" si="26"/>
        <v>31232.122399999997</v>
      </c>
      <c r="F63" s="11">
        <f t="shared" si="27"/>
        <v>29748</v>
      </c>
      <c r="G63" s="77">
        <f t="shared" si="28"/>
        <v>4.751910167974998</v>
      </c>
      <c r="H63" s="28">
        <f t="shared" si="29"/>
        <v>27201.901975128021</v>
      </c>
      <c r="I63" s="28">
        <f t="shared" si="30"/>
        <v>55.225595661936268</v>
      </c>
    </row>
    <row r="64" spans="1:9" x14ac:dyDescent="0.3">
      <c r="A64" s="16">
        <v>2013</v>
      </c>
      <c r="B64" s="14">
        <v>26975</v>
      </c>
      <c r="C64" s="14">
        <v>28378</v>
      </c>
      <c r="D64" s="28">
        <f t="shared" si="25"/>
        <v>54.771005265265458</v>
      </c>
      <c r="E64" s="11">
        <f t="shared" si="26"/>
        <v>29499.859999999997</v>
      </c>
      <c r="F64" s="11">
        <f t="shared" si="27"/>
        <v>28378</v>
      </c>
      <c r="G64" s="77">
        <f t="shared" si="28"/>
        <v>3.8029333020563456</v>
      </c>
      <c r="H64" s="28">
        <f t="shared" si="29"/>
        <v>25949.158741770301</v>
      </c>
      <c r="I64" s="28">
        <f t="shared" si="30"/>
        <v>54.771005265265458</v>
      </c>
    </row>
    <row r="65" spans="1:9" x14ac:dyDescent="0.3">
      <c r="A65" s="16">
        <v>2031</v>
      </c>
      <c r="B65" s="14">
        <v>36016</v>
      </c>
      <c r="C65" s="14">
        <v>38699</v>
      </c>
      <c r="D65" s="28">
        <f t="shared" si="25"/>
        <v>53.816273263763456</v>
      </c>
      <c r="E65" s="11">
        <f t="shared" si="26"/>
        <v>39387.097599999994</v>
      </c>
      <c r="F65" s="11">
        <f t="shared" si="27"/>
        <v>38699</v>
      </c>
      <c r="G65" s="77">
        <f t="shared" si="28"/>
        <v>1.7470127070241261</v>
      </c>
      <c r="H65" s="28">
        <f t="shared" si="29"/>
        <v>35386.795903438186</v>
      </c>
      <c r="I65" s="28">
        <f t="shared" si="30"/>
        <v>53.816273263763456</v>
      </c>
    </row>
    <row r="66" spans="1:9" x14ac:dyDescent="0.3">
      <c r="A66" s="16">
        <v>2019</v>
      </c>
      <c r="B66" s="14">
        <v>52178</v>
      </c>
      <c r="C66" s="14">
        <v>56732</v>
      </c>
      <c r="D66" s="28">
        <f t="shared" si="25"/>
        <v>53.291047665634714</v>
      </c>
      <c r="E66" s="11">
        <f t="shared" si="26"/>
        <v>57061.860799999995</v>
      </c>
      <c r="F66" s="11">
        <f t="shared" si="27"/>
        <v>56732</v>
      </c>
      <c r="G66" s="77">
        <f t="shared" si="28"/>
        <v>0.57807578542899307</v>
      </c>
      <c r="H66" s="28">
        <f t="shared" si="29"/>
        <v>51876.371616678865</v>
      </c>
      <c r="I66" s="28">
        <f t="shared" si="30"/>
        <v>53.291047665634714</v>
      </c>
    </row>
    <row r="67" spans="1:9" x14ac:dyDescent="0.3">
      <c r="A67" s="16">
        <v>2039</v>
      </c>
      <c r="B67" s="14">
        <v>31746</v>
      </c>
      <c r="C67" s="14">
        <v>18900</v>
      </c>
      <c r="D67" s="28">
        <f t="shared" si="25"/>
        <v>89.768873097154</v>
      </c>
      <c r="E67" s="11">
        <f t="shared" si="26"/>
        <v>34717.425599999995</v>
      </c>
      <c r="F67" s="11">
        <f t="shared" si="27"/>
        <v>18900</v>
      </c>
      <c r="G67" s="77">
        <f t="shared" si="28"/>
        <v>45.560479576573208</v>
      </c>
      <c r="H67" s="28">
        <f t="shared" si="29"/>
        <v>17282.370153621068</v>
      </c>
      <c r="I67" s="28">
        <f t="shared" si="30"/>
        <v>89.768873097154</v>
      </c>
    </row>
    <row r="68" spans="1:9" x14ac:dyDescent="0.3">
      <c r="A68" s="16">
        <v>2023</v>
      </c>
      <c r="B68" s="14">
        <v>20503</v>
      </c>
      <c r="C68" s="14">
        <v>11000</v>
      </c>
      <c r="D68" s="28">
        <f t="shared" si="25"/>
        <v>98.611747556028462</v>
      </c>
      <c r="E68" s="11">
        <f t="shared" si="26"/>
        <v>22422.0808</v>
      </c>
      <c r="F68" s="11">
        <f t="shared" si="27"/>
        <v>11000</v>
      </c>
      <c r="G68" s="77">
        <f t="shared" si="28"/>
        <v>50.941216838358734</v>
      </c>
      <c r="H68" s="28">
        <f t="shared" si="29"/>
        <v>10058.52231163131</v>
      </c>
      <c r="I68" s="28">
        <f t="shared" si="30"/>
        <v>98.611747556028462</v>
      </c>
    </row>
    <row r="69" spans="1:9" x14ac:dyDescent="0.3">
      <c r="A69" s="16" t="s">
        <v>562</v>
      </c>
      <c r="B69" s="14">
        <v>28441</v>
      </c>
      <c r="C69" s="14">
        <v>30546</v>
      </c>
      <c r="D69" s="28">
        <f t="shared" si="25"/>
        <v>53.836313117357726</v>
      </c>
      <c r="E69" s="11">
        <f t="shared" si="26"/>
        <v>31103.077599999997</v>
      </c>
      <c r="F69" s="11">
        <f t="shared" si="27"/>
        <v>30546</v>
      </c>
      <c r="G69" s="77">
        <f t="shared" si="28"/>
        <v>1.7910690612815756</v>
      </c>
      <c r="H69" s="28">
        <f t="shared" si="29"/>
        <v>27931.602048280911</v>
      </c>
      <c r="I69" s="28">
        <f t="shared" si="30"/>
        <v>53.836313117357726</v>
      </c>
    </row>
    <row r="70" spans="1:9" x14ac:dyDescent="0.3">
      <c r="A70" s="16" t="s">
        <v>561</v>
      </c>
      <c r="B70" s="14">
        <v>57352</v>
      </c>
      <c r="C70" s="14">
        <v>15219</v>
      </c>
      <c r="D70" s="28">
        <f t="shared" si="25"/>
        <v>190.02958329962647</v>
      </c>
      <c r="E70" s="11">
        <f t="shared" si="26"/>
        <v>62720.147199999992</v>
      </c>
      <c r="F70" s="11">
        <f t="shared" si="27"/>
        <v>15219</v>
      </c>
      <c r="G70" s="77">
        <f t="shared" si="28"/>
        <v>75.735069703407845</v>
      </c>
      <c r="H70" s="28">
        <f t="shared" si="29"/>
        <v>13916.422823701538</v>
      </c>
      <c r="I70" s="28">
        <f t="shared" si="30"/>
        <v>190.02958329962647</v>
      </c>
    </row>
    <row r="71" spans="1:9" x14ac:dyDescent="0.3">
      <c r="A71" s="16" t="s">
        <v>28</v>
      </c>
      <c r="B71" s="30">
        <v>80202</v>
      </c>
      <c r="C71" s="30">
        <v>1919038.8824</v>
      </c>
      <c r="D71" s="28">
        <f t="shared" si="25"/>
        <v>11.150165387180207</v>
      </c>
      <c r="E71" s="11">
        <f t="shared" si="26"/>
        <v>87708.907199999987</v>
      </c>
      <c r="F71" s="11">
        <f t="shared" si="27"/>
        <v>1919038.8824</v>
      </c>
      <c r="G71" s="77">
        <f t="shared" si="28"/>
        <v>-2087.9635075421397</v>
      </c>
      <c r="H71" s="28">
        <f t="shared" si="29"/>
        <v>1754790.4923189469</v>
      </c>
      <c r="I71" s="28">
        <f t="shared" si="30"/>
        <v>11.150165387180207</v>
      </c>
    </row>
    <row r="72" spans="1:9" x14ac:dyDescent="0.3">
      <c r="D72" s="28" t="e">
        <f t="shared" si="25"/>
        <v>#DIV/0!</v>
      </c>
      <c r="E72" s="11">
        <f t="shared" si="26"/>
        <v>0</v>
      </c>
      <c r="F72" s="11">
        <f t="shared" si="27"/>
        <v>0</v>
      </c>
      <c r="G72" s="77" t="e">
        <f t="shared" si="28"/>
        <v>#DIV/0!</v>
      </c>
      <c r="H72" s="28">
        <f t="shared" si="29"/>
        <v>0</v>
      </c>
      <c r="I72" s="28" t="e">
        <f t="shared" si="30"/>
        <v>#DIV/0!</v>
      </c>
    </row>
    <row r="73" spans="1:9" x14ac:dyDescent="0.3">
      <c r="D73" s="28" t="e">
        <f t="shared" si="25"/>
        <v>#DIV/0!</v>
      </c>
      <c r="E73" s="11">
        <f t="shared" si="26"/>
        <v>0</v>
      </c>
      <c r="F73" s="11">
        <f t="shared" si="27"/>
        <v>0</v>
      </c>
      <c r="G73" s="77"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7"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7" t="e">
        <f t="shared" si="34"/>
        <v>#DIV/0!</v>
      </c>
      <c r="H75" s="28">
        <f t="shared" si="35"/>
        <v>0</v>
      </c>
      <c r="I75" s="28" t="e">
        <f t="shared" si="36"/>
        <v>#DIV/0!</v>
      </c>
    </row>
    <row r="76" spans="1:9" x14ac:dyDescent="0.3">
      <c r="D76" s="28" t="e">
        <f t="shared" si="31"/>
        <v>#DIV/0!</v>
      </c>
      <c r="E76" s="11">
        <f t="shared" si="32"/>
        <v>0</v>
      </c>
      <c r="F76" s="11">
        <f t="shared" si="33"/>
        <v>0</v>
      </c>
      <c r="G76" s="77" t="e">
        <f t="shared" si="34"/>
        <v>#DIV/0!</v>
      </c>
      <c r="H76" s="28">
        <f t="shared" si="35"/>
        <v>0</v>
      </c>
      <c r="I76" s="28" t="e">
        <f t="shared" si="36"/>
        <v>#DIV/0!</v>
      </c>
    </row>
    <row r="77" spans="1:9" x14ac:dyDescent="0.3">
      <c r="D77" s="28" t="e">
        <f t="shared" si="31"/>
        <v>#DIV/0!</v>
      </c>
      <c r="E77" s="11">
        <f t="shared" si="32"/>
        <v>0</v>
      </c>
      <c r="F77" s="11">
        <f t="shared" si="33"/>
        <v>0</v>
      </c>
      <c r="G77" s="77" t="e">
        <f t="shared" si="34"/>
        <v>#DIV/0!</v>
      </c>
      <c r="H77" s="28">
        <f t="shared" si="35"/>
        <v>0</v>
      </c>
      <c r="I77" s="28" t="e">
        <f t="shared" si="36"/>
        <v>#DIV/0!</v>
      </c>
    </row>
    <row r="78" spans="1:9" x14ac:dyDescent="0.3">
      <c r="D78" s="28" t="e">
        <f t="shared" si="31"/>
        <v>#DIV/0!</v>
      </c>
      <c r="E78" s="11">
        <f t="shared" si="32"/>
        <v>0</v>
      </c>
      <c r="F78" s="11">
        <f t="shared" si="33"/>
        <v>0</v>
      </c>
      <c r="G78" s="77" t="e">
        <f t="shared" si="34"/>
        <v>#DIV/0!</v>
      </c>
      <c r="H78" s="28">
        <f t="shared" si="35"/>
        <v>0</v>
      </c>
      <c r="I78" s="28" t="e">
        <f t="shared" si="36"/>
        <v>#DIV/0!</v>
      </c>
    </row>
    <row r="79" spans="1:9" x14ac:dyDescent="0.3">
      <c r="D79" s="28" t="e">
        <f t="shared" si="31"/>
        <v>#DIV/0!</v>
      </c>
      <c r="E79" s="11">
        <f t="shared" si="32"/>
        <v>0</v>
      </c>
      <c r="F79" s="11">
        <f t="shared" si="33"/>
        <v>0</v>
      </c>
      <c r="G79" s="77" t="e">
        <f t="shared" si="34"/>
        <v>#DIV/0!</v>
      </c>
      <c r="H79" s="28">
        <f t="shared" si="35"/>
        <v>0</v>
      </c>
      <c r="I79" s="28" t="e">
        <f t="shared" si="36"/>
        <v>#DIV/0!</v>
      </c>
    </row>
    <row r="80" spans="1:9" x14ac:dyDescent="0.3">
      <c r="D80" s="28" t="e">
        <f t="shared" si="31"/>
        <v>#DIV/0!</v>
      </c>
      <c r="E80" s="11">
        <f t="shared" si="32"/>
        <v>0</v>
      </c>
      <c r="F80" s="11">
        <f t="shared" si="33"/>
        <v>0</v>
      </c>
      <c r="G80" s="77" t="e">
        <f t="shared" si="34"/>
        <v>#DIV/0!</v>
      </c>
      <c r="H80" s="28">
        <f t="shared" si="35"/>
        <v>0</v>
      </c>
      <c r="I80" s="28" t="e">
        <f t="shared" si="36"/>
        <v>#DIV/0!</v>
      </c>
    </row>
    <row r="81" spans="4:9" x14ac:dyDescent="0.3">
      <c r="D81" s="28" t="e">
        <f t="shared" si="31"/>
        <v>#DIV/0!</v>
      </c>
      <c r="E81" s="11">
        <f t="shared" si="32"/>
        <v>0</v>
      </c>
      <c r="F81" s="11">
        <f t="shared" si="33"/>
        <v>0</v>
      </c>
      <c r="G81" s="77" t="e">
        <f t="shared" si="34"/>
        <v>#DIV/0!</v>
      </c>
      <c r="H81" s="28">
        <f t="shared" si="35"/>
        <v>0</v>
      </c>
      <c r="I81" s="28" t="e">
        <f t="shared" si="36"/>
        <v>#DIV/0!</v>
      </c>
    </row>
    <row r="82" spans="4:9" x14ac:dyDescent="0.3">
      <c r="D82" s="28" t="e">
        <f t="shared" si="31"/>
        <v>#DIV/0!</v>
      </c>
      <c r="E82" s="11">
        <f t="shared" si="32"/>
        <v>0</v>
      </c>
      <c r="F82" s="11">
        <f t="shared" si="33"/>
        <v>0</v>
      </c>
      <c r="G82" s="77" t="e">
        <f t="shared" si="34"/>
        <v>#DIV/0!</v>
      </c>
      <c r="H82" s="28">
        <f t="shared" si="35"/>
        <v>0</v>
      </c>
      <c r="I82" s="28" t="e">
        <f t="shared" si="36"/>
        <v>#DIV/0!</v>
      </c>
    </row>
    <row r="83" spans="4:9" x14ac:dyDescent="0.3">
      <c r="D83" s="28" t="e">
        <f t="shared" si="31"/>
        <v>#DIV/0!</v>
      </c>
      <c r="E83" s="11">
        <f t="shared" si="32"/>
        <v>0</v>
      </c>
      <c r="F83" s="11">
        <f t="shared" si="33"/>
        <v>0</v>
      </c>
      <c r="G83" s="77" t="e">
        <f t="shared" si="34"/>
        <v>#DIV/0!</v>
      </c>
      <c r="H83" s="28">
        <f t="shared" si="35"/>
        <v>0</v>
      </c>
      <c r="I83" s="28" t="e">
        <f t="shared" si="36"/>
        <v>#DIV/0!</v>
      </c>
    </row>
    <row r="84" spans="4:9" x14ac:dyDescent="0.3">
      <c r="D84" s="28" t="e">
        <f t="shared" si="31"/>
        <v>#DIV/0!</v>
      </c>
      <c r="E84" s="11">
        <f t="shared" si="32"/>
        <v>0</v>
      </c>
      <c r="F84" s="11">
        <f t="shared" si="33"/>
        <v>0</v>
      </c>
      <c r="G84" s="77"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7"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7" t="e">
        <f t="shared" si="40"/>
        <v>#DIV/0!</v>
      </c>
      <c r="H86" s="28">
        <f t="shared" si="41"/>
        <v>0</v>
      </c>
      <c r="I86" s="28" t="e">
        <f t="shared" si="42"/>
        <v>#DIV/0!</v>
      </c>
    </row>
    <row r="87" spans="4:9" x14ac:dyDescent="0.3">
      <c r="D87" s="28" t="e">
        <f t="shared" si="37"/>
        <v>#DIV/0!</v>
      </c>
      <c r="E87" s="11">
        <f t="shared" si="38"/>
        <v>0</v>
      </c>
      <c r="F87" s="11">
        <f t="shared" si="39"/>
        <v>0</v>
      </c>
      <c r="G87" s="77" t="e">
        <f t="shared" si="40"/>
        <v>#DIV/0!</v>
      </c>
      <c r="H87" s="28">
        <f t="shared" si="41"/>
        <v>0</v>
      </c>
      <c r="I87" s="28" t="e">
        <f t="shared" si="42"/>
        <v>#DIV/0!</v>
      </c>
    </row>
    <row r="88" spans="4:9" x14ac:dyDescent="0.3">
      <c r="D88" s="28" t="e">
        <f t="shared" si="37"/>
        <v>#DIV/0!</v>
      </c>
      <c r="E88" s="11">
        <f t="shared" si="38"/>
        <v>0</v>
      </c>
      <c r="F88" s="11">
        <f t="shared" si="39"/>
        <v>0</v>
      </c>
      <c r="G88" s="77" t="e">
        <f t="shared" si="40"/>
        <v>#DIV/0!</v>
      </c>
      <c r="H88" s="28">
        <f t="shared" si="41"/>
        <v>0</v>
      </c>
      <c r="I88" s="28" t="e">
        <f t="shared" si="42"/>
        <v>#DIV/0!</v>
      </c>
    </row>
    <row r="89" spans="4:9" x14ac:dyDescent="0.3">
      <c r="D89" s="28" t="e">
        <f t="shared" si="37"/>
        <v>#DIV/0!</v>
      </c>
      <c r="E89" s="11">
        <f t="shared" si="38"/>
        <v>0</v>
      </c>
      <c r="F89" s="11">
        <f t="shared" si="39"/>
        <v>0</v>
      </c>
      <c r="G89" s="77" t="e">
        <f t="shared" si="40"/>
        <v>#DIV/0!</v>
      </c>
      <c r="H89" s="28">
        <f t="shared" si="41"/>
        <v>0</v>
      </c>
      <c r="I89" s="28" t="e">
        <f t="shared" si="42"/>
        <v>#DIV/0!</v>
      </c>
    </row>
    <row r="90" spans="4:9" x14ac:dyDescent="0.3">
      <c r="D90" s="28" t="e">
        <f t="shared" si="37"/>
        <v>#DIV/0!</v>
      </c>
      <c r="E90" s="11">
        <f t="shared" si="38"/>
        <v>0</v>
      </c>
      <c r="F90" s="11">
        <f t="shared" si="39"/>
        <v>0</v>
      </c>
      <c r="G90" s="77" t="e">
        <f t="shared" si="40"/>
        <v>#DIV/0!</v>
      </c>
      <c r="H90" s="28">
        <f t="shared" si="41"/>
        <v>0</v>
      </c>
      <c r="I90" s="28" t="e">
        <f t="shared" si="42"/>
        <v>#DIV/0!</v>
      </c>
    </row>
    <row r="91" spans="4:9" x14ac:dyDescent="0.3">
      <c r="D91" s="28" t="e">
        <f t="shared" si="37"/>
        <v>#DIV/0!</v>
      </c>
      <c r="E91" s="11">
        <f t="shared" si="38"/>
        <v>0</v>
      </c>
      <c r="F91" s="11">
        <f t="shared" si="39"/>
        <v>0</v>
      </c>
      <c r="G91" s="77" t="e">
        <f t="shared" si="40"/>
        <v>#DIV/0!</v>
      </c>
      <c r="H91" s="28">
        <f t="shared" si="41"/>
        <v>0</v>
      </c>
      <c r="I91" s="28" t="e">
        <f t="shared" si="42"/>
        <v>#DIV/0!</v>
      </c>
    </row>
    <row r="92" spans="4:9" x14ac:dyDescent="0.3">
      <c r="D92" s="28" t="e">
        <f t="shared" si="37"/>
        <v>#DIV/0!</v>
      </c>
      <c r="E92" s="11">
        <f t="shared" si="38"/>
        <v>0</v>
      </c>
      <c r="F92" s="11">
        <f t="shared" si="39"/>
        <v>0</v>
      </c>
      <c r="G92" s="77" t="e">
        <f t="shared" si="40"/>
        <v>#DIV/0!</v>
      </c>
      <c r="H92" s="28">
        <f t="shared" si="41"/>
        <v>0</v>
      </c>
      <c r="I92" s="28" t="e">
        <f t="shared" si="42"/>
        <v>#DIV/0!</v>
      </c>
    </row>
    <row r="93" spans="4:9" x14ac:dyDescent="0.3">
      <c r="D93" s="28" t="e">
        <f t="shared" si="37"/>
        <v>#DIV/0!</v>
      </c>
      <c r="E93" s="11">
        <f t="shared" si="38"/>
        <v>0</v>
      </c>
      <c r="F93" s="11">
        <f t="shared" si="39"/>
        <v>0</v>
      </c>
      <c r="G93" s="77" t="e">
        <f t="shared" si="40"/>
        <v>#DIV/0!</v>
      </c>
      <c r="H93" s="28">
        <f t="shared" si="41"/>
        <v>0</v>
      </c>
      <c r="I93" s="28" t="e">
        <f t="shared" si="42"/>
        <v>#DIV/0!</v>
      </c>
    </row>
    <row r="94" spans="4:9" x14ac:dyDescent="0.3">
      <c r="D94" s="28" t="e">
        <f t="shared" si="37"/>
        <v>#DIV/0!</v>
      </c>
      <c r="E94" s="11">
        <f t="shared" si="38"/>
        <v>0</v>
      </c>
      <c r="F94" s="11">
        <f t="shared" si="39"/>
        <v>0</v>
      </c>
      <c r="G94" s="77" t="e">
        <f t="shared" si="40"/>
        <v>#DIV/0!</v>
      </c>
      <c r="H94" s="28">
        <f t="shared" si="41"/>
        <v>0</v>
      </c>
      <c r="I94" s="28" t="e">
        <f t="shared" si="42"/>
        <v>#DIV/0!</v>
      </c>
    </row>
    <row r="95" spans="4:9" x14ac:dyDescent="0.3">
      <c r="D95" s="28" t="e">
        <f t="shared" si="37"/>
        <v>#DIV/0!</v>
      </c>
      <c r="E95" s="11">
        <f t="shared" si="38"/>
        <v>0</v>
      </c>
      <c r="F95" s="11">
        <f t="shared" si="39"/>
        <v>0</v>
      </c>
      <c r="G95" s="77" t="e">
        <f t="shared" si="40"/>
        <v>#DIV/0!</v>
      </c>
      <c r="H95" s="28">
        <f t="shared" si="41"/>
        <v>0</v>
      </c>
      <c r="I95" s="28" t="e">
        <f t="shared" si="42"/>
        <v>#DIV/0!</v>
      </c>
    </row>
    <row r="96" spans="4:9" x14ac:dyDescent="0.3">
      <c r="D96" s="28" t="e">
        <f t="shared" si="37"/>
        <v>#DIV/0!</v>
      </c>
      <c r="E96" s="11">
        <f t="shared" si="38"/>
        <v>0</v>
      </c>
      <c r="F96" s="11">
        <f t="shared" si="39"/>
        <v>0</v>
      </c>
      <c r="G96" s="77" t="e">
        <f t="shared" si="40"/>
        <v>#DIV/0!</v>
      </c>
      <c r="H96" s="28">
        <f t="shared" si="41"/>
        <v>0</v>
      </c>
      <c r="I96" s="28" t="e">
        <f t="shared" si="42"/>
        <v>#DIV/0!</v>
      </c>
    </row>
    <row r="97" spans="4:9" x14ac:dyDescent="0.3">
      <c r="D97" s="28" t="e">
        <f t="shared" si="37"/>
        <v>#DIV/0!</v>
      </c>
      <c r="E97" s="11">
        <f t="shared" si="38"/>
        <v>0</v>
      </c>
      <c r="F97" s="11">
        <f t="shared" si="39"/>
        <v>0</v>
      </c>
      <c r="G97" s="77" t="e">
        <f t="shared" si="40"/>
        <v>#DIV/0!</v>
      </c>
      <c r="H97" s="28">
        <f t="shared" si="41"/>
        <v>0</v>
      </c>
      <c r="I97" s="28" t="e">
        <f t="shared" si="42"/>
        <v>#DIV/0!</v>
      </c>
    </row>
    <row r="98" spans="4:9" x14ac:dyDescent="0.3">
      <c r="D98" s="28" t="e">
        <f t="shared" si="37"/>
        <v>#DIV/0!</v>
      </c>
      <c r="E98" s="11">
        <f t="shared" si="38"/>
        <v>0</v>
      </c>
      <c r="F98" s="11">
        <f t="shared" si="39"/>
        <v>0</v>
      </c>
      <c r="G98" s="77" t="e">
        <f t="shared" si="40"/>
        <v>#DIV/0!</v>
      </c>
      <c r="H98" s="28">
        <f t="shared" si="41"/>
        <v>0</v>
      </c>
      <c r="I98" s="28" t="e">
        <f t="shared" si="42"/>
        <v>#DIV/0!</v>
      </c>
    </row>
    <row r="99" spans="4:9" x14ac:dyDescent="0.3">
      <c r="D99" s="28" t="e">
        <f t="shared" si="37"/>
        <v>#DIV/0!</v>
      </c>
      <c r="E99" s="11">
        <f t="shared" si="38"/>
        <v>0</v>
      </c>
      <c r="F99" s="11">
        <f t="shared" si="39"/>
        <v>0</v>
      </c>
      <c r="G99" s="77" t="e">
        <f t="shared" si="40"/>
        <v>#DIV/0!</v>
      </c>
      <c r="H99" s="28">
        <f t="shared" si="41"/>
        <v>0</v>
      </c>
      <c r="I99" s="28" t="e">
        <f t="shared" si="42"/>
        <v>#DIV/0!</v>
      </c>
    </row>
    <row r="100" spans="4:9" x14ac:dyDescent="0.3">
      <c r="D100" s="28" t="e">
        <f t="shared" si="37"/>
        <v>#DIV/0!</v>
      </c>
      <c r="E100" s="11">
        <f t="shared" si="38"/>
        <v>0</v>
      </c>
      <c r="F100" s="11">
        <f t="shared" si="39"/>
        <v>0</v>
      </c>
      <c r="G100" s="77" t="e">
        <f t="shared" si="40"/>
        <v>#DIV/0!</v>
      </c>
      <c r="H100" s="28">
        <f t="shared" si="41"/>
        <v>0</v>
      </c>
      <c r="I100" s="28" t="e">
        <f t="shared" si="42"/>
        <v>#DIV/0!</v>
      </c>
    </row>
    <row r="101" spans="4:9" x14ac:dyDescent="0.3">
      <c r="D101" s="28" t="e">
        <f t="shared" si="37"/>
        <v>#DIV/0!</v>
      </c>
      <c r="E101" s="11">
        <f t="shared" si="38"/>
        <v>0</v>
      </c>
      <c r="F101" s="11">
        <f t="shared" si="39"/>
        <v>0</v>
      </c>
      <c r="G101" s="77" t="e">
        <f t="shared" si="40"/>
        <v>#DIV/0!</v>
      </c>
      <c r="H101" s="28">
        <f t="shared" si="41"/>
        <v>0</v>
      </c>
      <c r="I101" s="28" t="e">
        <f t="shared" si="42"/>
        <v>#DIV/0!</v>
      </c>
    </row>
    <row r="102" spans="4:9" x14ac:dyDescent="0.3">
      <c r="D102" s="28" t="e">
        <f t="shared" si="37"/>
        <v>#DIV/0!</v>
      </c>
      <c r="E102" s="11">
        <f t="shared" si="38"/>
        <v>0</v>
      </c>
      <c r="F102" s="11">
        <f t="shared" si="39"/>
        <v>0</v>
      </c>
      <c r="G102" s="77" t="e">
        <f t="shared" si="40"/>
        <v>#DIV/0!</v>
      </c>
      <c r="H102" s="28">
        <f t="shared" si="41"/>
        <v>0</v>
      </c>
      <c r="I102" s="28" t="e">
        <f t="shared" si="42"/>
        <v>#DIV/0!</v>
      </c>
    </row>
    <row r="103" spans="4:9" x14ac:dyDescent="0.3">
      <c r="D103" s="28" t="e">
        <f t="shared" si="37"/>
        <v>#DIV/0!</v>
      </c>
      <c r="E103" s="11">
        <f t="shared" si="38"/>
        <v>0</v>
      </c>
      <c r="F103" s="11">
        <f t="shared" si="39"/>
        <v>0</v>
      </c>
      <c r="G103" s="77" t="e">
        <f t="shared" si="40"/>
        <v>#DIV/0!</v>
      </c>
      <c r="H103" s="28">
        <f t="shared" si="41"/>
        <v>0</v>
      </c>
      <c r="I103" s="28" t="e">
        <f t="shared" si="42"/>
        <v>#DIV/0!</v>
      </c>
    </row>
    <row r="104" spans="4:9" x14ac:dyDescent="0.3">
      <c r="D104" s="28" t="e">
        <f t="shared" si="37"/>
        <v>#DIV/0!</v>
      </c>
      <c r="E104" s="11">
        <f t="shared" si="38"/>
        <v>0</v>
      </c>
      <c r="F104" s="11">
        <f t="shared" si="39"/>
        <v>0</v>
      </c>
      <c r="G104" s="77" t="e">
        <f t="shared" si="40"/>
        <v>#DIV/0!</v>
      </c>
      <c r="H104" s="28">
        <f t="shared" si="41"/>
        <v>0</v>
      </c>
      <c r="I104" s="28" t="e">
        <f t="shared" si="42"/>
        <v>#DIV/0!</v>
      </c>
    </row>
    <row r="105" spans="4:9" x14ac:dyDescent="0.3">
      <c r="D105" s="28" t="e">
        <f t="shared" si="37"/>
        <v>#DIV/0!</v>
      </c>
      <c r="E105" s="11">
        <f t="shared" si="38"/>
        <v>0</v>
      </c>
      <c r="F105" s="11">
        <f t="shared" si="39"/>
        <v>0</v>
      </c>
      <c r="G105" s="77" t="e">
        <f t="shared" si="40"/>
        <v>#DIV/0!</v>
      </c>
      <c r="H105" s="28">
        <f t="shared" si="41"/>
        <v>0</v>
      </c>
      <c r="I105" s="28" t="e">
        <f t="shared" si="42"/>
        <v>#DIV/0!</v>
      </c>
    </row>
    <row r="106" spans="4:9" x14ac:dyDescent="0.3">
      <c r="D106" s="28" t="e">
        <f t="shared" si="37"/>
        <v>#DIV/0!</v>
      </c>
      <c r="E106" s="11">
        <f t="shared" si="38"/>
        <v>0</v>
      </c>
      <c r="F106" s="11">
        <f t="shared" si="39"/>
        <v>0</v>
      </c>
      <c r="G106" s="77" t="e">
        <f t="shared" si="40"/>
        <v>#DIV/0!</v>
      </c>
      <c r="H106" s="28">
        <f t="shared" si="41"/>
        <v>0</v>
      </c>
      <c r="I106" s="28" t="e">
        <f t="shared" si="42"/>
        <v>#DIV/0!</v>
      </c>
    </row>
    <row r="107" spans="4:9" x14ac:dyDescent="0.3">
      <c r="D107" s="28" t="e">
        <f t="shared" si="37"/>
        <v>#DIV/0!</v>
      </c>
      <c r="E107" s="11">
        <f t="shared" si="38"/>
        <v>0</v>
      </c>
      <c r="F107" s="11">
        <f t="shared" si="39"/>
        <v>0</v>
      </c>
      <c r="G107" s="77" t="e">
        <f t="shared" si="40"/>
        <v>#DIV/0!</v>
      </c>
      <c r="H107" s="28">
        <f t="shared" si="41"/>
        <v>0</v>
      </c>
      <c r="I107" s="28" t="e">
        <f t="shared" si="42"/>
        <v>#DIV/0!</v>
      </c>
    </row>
    <row r="108" spans="4:9" x14ac:dyDescent="0.3">
      <c r="D108" s="28" t="e">
        <f t="shared" si="37"/>
        <v>#DIV/0!</v>
      </c>
      <c r="E108" s="11">
        <f t="shared" si="38"/>
        <v>0</v>
      </c>
      <c r="F108" s="11">
        <f t="shared" si="39"/>
        <v>0</v>
      </c>
      <c r="G108" s="77" t="e">
        <f t="shared" si="40"/>
        <v>#DIV/0!</v>
      </c>
      <c r="H108" s="28">
        <f t="shared" si="41"/>
        <v>0</v>
      </c>
      <c r="I108" s="28" t="e">
        <f t="shared" si="42"/>
        <v>#DIV/0!</v>
      </c>
    </row>
    <row r="109" spans="4:9" x14ac:dyDescent="0.3">
      <c r="D109" s="28" t="e">
        <f t="shared" si="37"/>
        <v>#DIV/0!</v>
      </c>
      <c r="E109" s="11">
        <f t="shared" si="38"/>
        <v>0</v>
      </c>
      <c r="F109" s="11">
        <f t="shared" si="39"/>
        <v>0</v>
      </c>
      <c r="G109" s="77" t="e">
        <f t="shared" si="40"/>
        <v>#DIV/0!</v>
      </c>
      <c r="H109" s="28">
        <f t="shared" si="41"/>
        <v>0</v>
      </c>
      <c r="I109" s="28" t="e">
        <f t="shared" si="42"/>
        <v>#DIV/0!</v>
      </c>
    </row>
    <row r="110" spans="4:9" x14ac:dyDescent="0.3">
      <c r="D110" s="28" t="e">
        <f t="shared" si="37"/>
        <v>#DIV/0!</v>
      </c>
      <c r="E110" s="11">
        <f t="shared" si="38"/>
        <v>0</v>
      </c>
      <c r="F110" s="11">
        <f t="shared" si="39"/>
        <v>0</v>
      </c>
      <c r="G110" s="77" t="e">
        <f t="shared" si="40"/>
        <v>#DIV/0!</v>
      </c>
      <c r="H110" s="28">
        <f t="shared" si="41"/>
        <v>0</v>
      </c>
      <c r="I110" s="28" t="e">
        <f t="shared" si="42"/>
        <v>#DIV/0!</v>
      </c>
    </row>
    <row r="111" spans="4:9" x14ac:dyDescent="0.3">
      <c r="D111" s="28" t="e">
        <f t="shared" si="37"/>
        <v>#DIV/0!</v>
      </c>
      <c r="E111" s="11">
        <f t="shared" si="38"/>
        <v>0</v>
      </c>
      <c r="F111" s="11">
        <f t="shared" si="39"/>
        <v>0</v>
      </c>
      <c r="G111" s="77" t="e">
        <f t="shared" si="40"/>
        <v>#DIV/0!</v>
      </c>
      <c r="H111" s="28">
        <f t="shared" si="41"/>
        <v>0</v>
      </c>
      <c r="I111" s="28" t="e">
        <f t="shared" si="42"/>
        <v>#DIV/0!</v>
      </c>
    </row>
    <row r="112" spans="4:9" x14ac:dyDescent="0.3">
      <c r="D112" s="28" t="e">
        <f t="shared" si="37"/>
        <v>#DIV/0!</v>
      </c>
      <c r="E112" s="11">
        <f t="shared" si="38"/>
        <v>0</v>
      </c>
      <c r="F112" s="11">
        <f t="shared" si="39"/>
        <v>0</v>
      </c>
      <c r="G112" s="77" t="e">
        <f t="shared" si="40"/>
        <v>#DIV/0!</v>
      </c>
      <c r="H112" s="28">
        <f t="shared" si="41"/>
        <v>0</v>
      </c>
      <c r="I112" s="28" t="e">
        <f t="shared" si="42"/>
        <v>#DIV/0!</v>
      </c>
    </row>
    <row r="113" spans="4:9" x14ac:dyDescent="0.3">
      <c r="D113" s="28" t="e">
        <f t="shared" si="37"/>
        <v>#DIV/0!</v>
      </c>
      <c r="E113" s="11">
        <f t="shared" si="38"/>
        <v>0</v>
      </c>
      <c r="F113" s="11">
        <f t="shared" si="39"/>
        <v>0</v>
      </c>
      <c r="G113" s="77" t="e">
        <f t="shared" si="40"/>
        <v>#DIV/0!</v>
      </c>
      <c r="H113" s="28">
        <f t="shared" si="41"/>
        <v>0</v>
      </c>
      <c r="I113" s="28" t="e">
        <f t="shared" si="42"/>
        <v>#DIV/0!</v>
      </c>
    </row>
    <row r="114" spans="4:9" x14ac:dyDescent="0.3">
      <c r="D114" s="28" t="e">
        <f t="shared" si="37"/>
        <v>#DIV/0!</v>
      </c>
      <c r="E114" s="11">
        <f t="shared" si="38"/>
        <v>0</v>
      </c>
      <c r="F114" s="11">
        <f t="shared" si="39"/>
        <v>0</v>
      </c>
      <c r="G114" s="77" t="e">
        <f t="shared" si="40"/>
        <v>#DIV/0!</v>
      </c>
      <c r="H114" s="28">
        <f t="shared" si="41"/>
        <v>0</v>
      </c>
      <c r="I114" s="28" t="e">
        <f t="shared" si="42"/>
        <v>#DIV/0!</v>
      </c>
    </row>
    <row r="115" spans="4:9" x14ac:dyDescent="0.3">
      <c r="D115" s="28" t="e">
        <f t="shared" si="37"/>
        <v>#DIV/0!</v>
      </c>
      <c r="E115" s="11">
        <f t="shared" si="38"/>
        <v>0</v>
      </c>
      <c r="F115" s="11">
        <f t="shared" si="39"/>
        <v>0</v>
      </c>
      <c r="G115" s="77" t="e">
        <f t="shared" si="40"/>
        <v>#DIV/0!</v>
      </c>
      <c r="H115" s="28">
        <f t="shared" si="41"/>
        <v>0</v>
      </c>
      <c r="I115" s="28" t="e">
        <f t="shared" si="42"/>
        <v>#DIV/0!</v>
      </c>
    </row>
    <row r="116" spans="4:9" x14ac:dyDescent="0.3">
      <c r="D116" s="28" t="e">
        <f t="shared" si="37"/>
        <v>#DIV/0!</v>
      </c>
      <c r="E116" s="11">
        <f t="shared" si="38"/>
        <v>0</v>
      </c>
      <c r="F116" s="11">
        <f t="shared" si="39"/>
        <v>0</v>
      </c>
      <c r="G116" s="77" t="e">
        <f t="shared" si="40"/>
        <v>#DIV/0!</v>
      </c>
      <c r="H116" s="28">
        <f t="shared" si="41"/>
        <v>0</v>
      </c>
      <c r="I116" s="28" t="e">
        <f t="shared" si="42"/>
        <v>#DIV/0!</v>
      </c>
    </row>
    <row r="117" spans="4:9" x14ac:dyDescent="0.3">
      <c r="D117" s="28" t="e">
        <f t="shared" si="37"/>
        <v>#DIV/0!</v>
      </c>
      <c r="E117" s="11">
        <f t="shared" si="38"/>
        <v>0</v>
      </c>
      <c r="F117" s="11">
        <f t="shared" si="39"/>
        <v>0</v>
      </c>
      <c r="G117" s="77" t="e">
        <f t="shared" si="40"/>
        <v>#DIV/0!</v>
      </c>
      <c r="H117" s="28">
        <f t="shared" si="41"/>
        <v>0</v>
      </c>
      <c r="I117" s="28" t="e">
        <f t="shared" si="42"/>
        <v>#DIV/0!</v>
      </c>
    </row>
    <row r="118" spans="4:9" x14ac:dyDescent="0.3">
      <c r="D118" s="28" t="e">
        <f t="shared" si="37"/>
        <v>#DIV/0!</v>
      </c>
      <c r="E118" s="11">
        <f t="shared" si="38"/>
        <v>0</v>
      </c>
      <c r="F118" s="11">
        <f t="shared" si="39"/>
        <v>0</v>
      </c>
      <c r="G118" s="77" t="e">
        <f t="shared" si="40"/>
        <v>#DIV/0!</v>
      </c>
      <c r="H118" s="28">
        <f t="shared" si="41"/>
        <v>0</v>
      </c>
      <c r="I118" s="28" t="e">
        <f t="shared" si="42"/>
        <v>#DIV/0!</v>
      </c>
    </row>
    <row r="119" spans="4:9" x14ac:dyDescent="0.3">
      <c r="D119" s="28" t="e">
        <f t="shared" si="37"/>
        <v>#DIV/0!</v>
      </c>
      <c r="E119" s="11">
        <f t="shared" si="38"/>
        <v>0</v>
      </c>
      <c r="F119" s="11">
        <f t="shared" si="39"/>
        <v>0</v>
      </c>
      <c r="G119" s="77"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112</v>
      </c>
      <c r="D3">
        <f>SUMIFS(Table14[Debit], Table14[Date], Table5[[#This Row],[Date]], Table14[Party], "Rashan")</f>
        <v>0</v>
      </c>
      <c r="H3" s="1">
        <v>46008</v>
      </c>
      <c r="J3">
        <f>SUMIFS(Table14[Debit], Table14[Date], Table15[[#This Row],[Date]], Table14[Party], "Parts")</f>
        <v>0</v>
      </c>
    </row>
    <row r="4" spans="2:10" x14ac:dyDescent="0.3">
      <c r="B4" s="1">
        <v>46009</v>
      </c>
      <c r="C4" t="s">
        <v>112</v>
      </c>
      <c r="D4">
        <f>SUMIFS(Table14[Debit], Table14[Date], Table5[[#This Row],[Date]], Table14[Party], "Rashan")</f>
        <v>0</v>
      </c>
      <c r="H4" s="1">
        <v>46009</v>
      </c>
      <c r="I4" t="s">
        <v>55</v>
      </c>
      <c r="J4">
        <f>SUMIFS(Table14[Debit], Table14[Date], Table15[[#This Row],[Date]], Table14[Party], "Parts")</f>
        <v>0</v>
      </c>
    </row>
    <row r="5" spans="2:10" x14ac:dyDescent="0.3">
      <c r="B5" s="1">
        <v>46010</v>
      </c>
      <c r="C5" t="s">
        <v>112</v>
      </c>
      <c r="D5">
        <f>SUMIFS(Table14[Debit], Table14[Date], Table5[[#This Row],[Date]], Table14[Party], "Rashan")</f>
        <v>0</v>
      </c>
      <c r="H5" s="1">
        <v>46010</v>
      </c>
      <c r="I5" t="s">
        <v>55</v>
      </c>
      <c r="J5">
        <f>SUMIFS(Table14[Debit], Table14[Date], Table15[[#This Row],[Date]], Table14[Party], "Parts")</f>
        <v>12075</v>
      </c>
    </row>
    <row r="6" spans="2:10" x14ac:dyDescent="0.3">
      <c r="B6" s="1">
        <v>46011</v>
      </c>
      <c r="C6" t="s">
        <v>112</v>
      </c>
      <c r="D6">
        <f>SUMIFS(Table14[Debit], Table14[Date], Table5[[#This Row],[Date]], Table14[Party], "Rashan")</f>
        <v>0</v>
      </c>
      <c r="H6" s="1">
        <v>46011</v>
      </c>
      <c r="I6" t="s">
        <v>55</v>
      </c>
      <c r="J6">
        <f>SUMIFS(Table14[Debit], Table14[Date], Table15[[#This Row],[Date]], Table14[Party], "Parts")</f>
        <v>1100</v>
      </c>
    </row>
    <row r="7" spans="2:10" x14ac:dyDescent="0.3">
      <c r="B7" s="1">
        <v>46012</v>
      </c>
      <c r="C7" t="s">
        <v>112</v>
      </c>
      <c r="D7">
        <f>SUMIFS(Table14[Debit], Table14[Date], Table5[[#This Row],[Date]], Table14[Party], "Rashan")</f>
        <v>0</v>
      </c>
      <c r="H7" s="1">
        <v>46012</v>
      </c>
      <c r="I7" t="s">
        <v>55</v>
      </c>
      <c r="J7">
        <f>SUMIFS(Table14[Debit], Table14[Date], Table15[[#This Row],[Date]], Table14[Party], "Parts")</f>
        <v>0</v>
      </c>
    </row>
    <row r="8" spans="2:10" x14ac:dyDescent="0.3">
      <c r="B8" s="1">
        <v>46013</v>
      </c>
      <c r="C8" t="s">
        <v>112</v>
      </c>
      <c r="D8">
        <f>SUMIFS(Table14[Debit], Table14[Date], Table5[[#This Row],[Date]], Table14[Party], "Rashan")</f>
        <v>0</v>
      </c>
      <c r="H8" s="1">
        <v>46013</v>
      </c>
      <c r="J8">
        <f>SUMIFS(Table14[Debit], Table14[Date], Table15[[#This Row],[Date]], Table14[Party], "Parts")</f>
        <v>0</v>
      </c>
    </row>
    <row r="9" spans="2:10" x14ac:dyDescent="0.3">
      <c r="B9" s="1">
        <v>46014</v>
      </c>
      <c r="C9" t="s">
        <v>112</v>
      </c>
      <c r="D9">
        <f>SUMIFS(Table14[Debit], Table14[Date], Table5[[#This Row],[Date]], Table14[Party], "Rashan")</f>
        <v>0</v>
      </c>
      <c r="H9" s="1">
        <v>46014</v>
      </c>
      <c r="J9">
        <f>SUMIFS(Table14[Debit], Table14[Date], Table15[[#This Row],[Date]], Table14[Party], "Parts")</f>
        <v>3400</v>
      </c>
    </row>
    <row r="10" spans="2:10" x14ac:dyDescent="0.3">
      <c r="B10" s="1">
        <v>46015</v>
      </c>
      <c r="C10" t="s">
        <v>112</v>
      </c>
      <c r="D10">
        <f>SUMIFS(Table14[Debit], Table14[Date], Table5[[#This Row],[Date]], Table14[Party], "Rashan")</f>
        <v>16865</v>
      </c>
      <c r="H10" s="1">
        <v>46015</v>
      </c>
      <c r="J10">
        <f>SUMIFS(Table14[Debit], Table14[Date], Table15[[#This Row],[Date]], Table14[Party], "Parts")</f>
        <v>4000</v>
      </c>
    </row>
    <row r="11" spans="2:10" x14ac:dyDescent="0.3">
      <c r="B11" s="1">
        <v>46016</v>
      </c>
      <c r="C11" t="s">
        <v>112</v>
      </c>
      <c r="D11">
        <f>SUMIFS(Table14[Debit], Table14[Date], Table5[[#This Row],[Date]], Table14[Party], "Rashan")</f>
        <v>20000</v>
      </c>
      <c r="H11" s="1">
        <v>46016</v>
      </c>
      <c r="J11">
        <f>SUMIFS(Table14[Debit], Table14[Date], Table15[[#This Row],[Date]], Table14[Party], "Parts")</f>
        <v>2630</v>
      </c>
    </row>
    <row r="12" spans="2:10" x14ac:dyDescent="0.3">
      <c r="B12" s="1">
        <v>46017</v>
      </c>
      <c r="C12" t="s">
        <v>112</v>
      </c>
      <c r="D12">
        <f>SUMIFS(Table14[Debit], Table14[Date], Table5[[#This Row],[Date]], Table14[Party], "Rashan")</f>
        <v>0</v>
      </c>
      <c r="H12" s="1">
        <v>46017</v>
      </c>
      <c r="J12">
        <f>SUMIFS(Table14[Debit], Table14[Date], Table15[[#This Row],[Date]], Table14[Party], "Parts")</f>
        <v>2600</v>
      </c>
    </row>
    <row r="13" spans="2:10" x14ac:dyDescent="0.3">
      <c r="B13" s="1">
        <v>46018</v>
      </c>
      <c r="C13" t="s">
        <v>112</v>
      </c>
      <c r="D13">
        <f>SUMIFS(Table14[Debit], Table14[Date], Table5[[#This Row],[Date]], Table14[Party], "Rashan")</f>
        <v>0</v>
      </c>
      <c r="H13" s="1">
        <v>46018</v>
      </c>
      <c r="J13">
        <f>SUMIFS(Table14[Debit], Table14[Date], Table15[[#This Row],[Date]], Table14[Party], "Parts")</f>
        <v>5740</v>
      </c>
    </row>
    <row r="14" spans="2:10" x14ac:dyDescent="0.3">
      <c r="B14" s="1">
        <v>46019</v>
      </c>
      <c r="C14" t="s">
        <v>112</v>
      </c>
      <c r="D14">
        <f>SUMIFS(Table14[Debit], Table14[Date], Table5[[#This Row],[Date]], Table14[Party], "Rashan")</f>
        <v>0</v>
      </c>
      <c r="H14" s="1">
        <v>46019</v>
      </c>
      <c r="J14">
        <f>SUMIFS(Table14[Debit], Table14[Date], Table15[[#This Row],[Date]], Table14[Party], "Parts")</f>
        <v>23630</v>
      </c>
    </row>
    <row r="15" spans="2:10" x14ac:dyDescent="0.3">
      <c r="B15" s="1">
        <v>46020</v>
      </c>
      <c r="C15" t="s">
        <v>112</v>
      </c>
      <c r="D15">
        <f>SUMIFS(Table14[Debit], Table14[Date], Table5[[#This Row],[Date]], Table14[Party], "Rashan")</f>
        <v>0</v>
      </c>
      <c r="H15" s="1">
        <v>46020</v>
      </c>
      <c r="J15">
        <f>SUMIFS(Table14[Debit], Table14[Date], Table15[[#This Row],[Date]], Table14[Party], "Parts")</f>
        <v>0</v>
      </c>
    </row>
    <row r="16" spans="2:10" x14ac:dyDescent="0.3">
      <c r="B16" s="1">
        <v>46021</v>
      </c>
      <c r="C16" t="s">
        <v>112</v>
      </c>
      <c r="D16">
        <f>SUMIFS(Table14[Debit], Table14[Date], Table5[[#This Row],[Date]], Table14[Party], "Rashan")</f>
        <v>0</v>
      </c>
      <c r="H16" s="1">
        <v>46021</v>
      </c>
      <c r="J16">
        <f>SUMIFS(Table14[Debit], Table14[Date], Table15[[#This Row],[Date]], Table14[Party], "Parts")</f>
        <v>10600</v>
      </c>
    </row>
    <row r="17" spans="2:10" x14ac:dyDescent="0.3">
      <c r="B17" s="1">
        <v>46022</v>
      </c>
      <c r="C17" t="s">
        <v>112</v>
      </c>
      <c r="D17">
        <f>SUMIFS(Table14[Debit], Table14[Date], Table5[[#This Row],[Date]], Table14[Party], "Rashan")</f>
        <v>0</v>
      </c>
      <c r="H17" s="1">
        <v>46022</v>
      </c>
      <c r="J17">
        <f>SUMIFS(Table14[Debit], Table14[Date], Table15[[#This Row],[Date]], Table14[Party], "Parts")</f>
        <v>2270</v>
      </c>
    </row>
    <row r="18" spans="2:10" x14ac:dyDescent="0.3">
      <c r="B18" s="1">
        <v>46023</v>
      </c>
      <c r="C18" t="s">
        <v>112</v>
      </c>
      <c r="D18">
        <f>SUMIFS(Table14[Debit], Table14[Date], Table5[[#This Row],[Date]], Table14[Party], "Rashan")</f>
        <v>17595</v>
      </c>
      <c r="H18" s="1">
        <v>46023</v>
      </c>
      <c r="J18">
        <f>SUMIFS(Table14[Debit], Table14[Date], Table15[[#This Row],[Date]], Table14[Party], "Parts")</f>
        <v>1950</v>
      </c>
    </row>
    <row r="19" spans="2:10" x14ac:dyDescent="0.3">
      <c r="B19" s="1">
        <v>46024</v>
      </c>
      <c r="C19" t="s">
        <v>112</v>
      </c>
      <c r="D19">
        <f>SUMIFS(Table14[Debit], Table14[Date], Table5[[#This Row],[Date]], Table14[Party], "Rashan")</f>
        <v>21000</v>
      </c>
      <c r="H19" s="1">
        <v>46024</v>
      </c>
      <c r="J19">
        <f>SUMIFS(Table14[Debit], Table14[Date], Table15[[#This Row],[Date]], Table14[Party], "Parts")</f>
        <v>0</v>
      </c>
    </row>
    <row r="20" spans="2:10" x14ac:dyDescent="0.3">
      <c r="B20" s="1">
        <v>46025</v>
      </c>
      <c r="C20" t="s">
        <v>112</v>
      </c>
      <c r="D20">
        <f>SUMIFS(Table14[Debit], Table14[Date], Table5[[#This Row],[Date]], Table14[Party], "Rashan")</f>
        <v>0</v>
      </c>
      <c r="H20" s="1">
        <v>46025</v>
      </c>
      <c r="J20">
        <f>SUMIFS(Table14[Debit], Table14[Date], Table15[[#This Row],[Date]], Table14[Party], "Parts")</f>
        <v>7500</v>
      </c>
    </row>
    <row r="21" spans="2:10" x14ac:dyDescent="0.3">
      <c r="B21" s="1">
        <v>46026</v>
      </c>
      <c r="C21" t="s">
        <v>112</v>
      </c>
      <c r="D21">
        <f>SUMIFS(Table14[Debit], Table14[Date], Table5[[#This Row],[Date]], Table14[Party], "Rashan")</f>
        <v>0</v>
      </c>
      <c r="H21" s="1">
        <v>46026</v>
      </c>
      <c r="J21">
        <f>SUMIFS(Table14[Debit], Table14[Date], Table15[[#This Row],[Date]], Table14[Party], "Parts")</f>
        <v>0</v>
      </c>
    </row>
    <row r="22" spans="2:10" x14ac:dyDescent="0.3">
      <c r="B22" s="1">
        <v>46027</v>
      </c>
      <c r="C22" t="s">
        <v>112</v>
      </c>
      <c r="D22">
        <f>SUMIFS(Table14[Debit], Table14[Date], Table5[[#This Row],[Date]], Table14[Party], "Rashan")</f>
        <v>0</v>
      </c>
      <c r="H22" s="1">
        <v>46027</v>
      </c>
      <c r="J22">
        <f>SUMIFS(Table14[Debit], Table14[Date], Table15[[#This Row],[Date]], Table14[Party], "Parts")</f>
        <v>8960</v>
      </c>
    </row>
    <row r="23" spans="2:10" x14ac:dyDescent="0.3">
      <c r="B23" s="1">
        <v>46028</v>
      </c>
      <c r="C23" t="s">
        <v>112</v>
      </c>
      <c r="D23">
        <f>SUMIFS(Table14[Debit], Table14[Date], Table5[[#This Row],[Date]], Table14[Party], "Rashan")</f>
        <v>0</v>
      </c>
      <c r="H23" s="1">
        <v>46028</v>
      </c>
      <c r="J23">
        <f>SUMIFS(Table14[Debit], Table14[Date], Table15[[#This Row],[Date]], Table14[Party], "Parts")</f>
        <v>2900</v>
      </c>
    </row>
    <row r="24" spans="2:10" x14ac:dyDescent="0.3">
      <c r="B24" s="1">
        <v>46029</v>
      </c>
      <c r="C24" t="s">
        <v>112</v>
      </c>
      <c r="D24">
        <f>SUMIFS(Table14[Debit], Table14[Date], Table5[[#This Row],[Date]], Table14[Party], "Rashan")</f>
        <v>0</v>
      </c>
      <c r="H24" s="1">
        <v>46029</v>
      </c>
      <c r="J24">
        <f>SUMIFS(Table14[Debit], Table14[Date], Table15[[#This Row],[Date]], Table14[Party], "Parts")</f>
        <v>14000</v>
      </c>
    </row>
    <row r="25" spans="2:10" x14ac:dyDescent="0.3">
      <c r="B25" s="1">
        <v>46030</v>
      </c>
      <c r="C25" t="s">
        <v>112</v>
      </c>
      <c r="D25">
        <f>SUMIFS(Table14[Debit], Table14[Date], Table5[[#This Row],[Date]], Table14[Party], "Rashan")</f>
        <v>0</v>
      </c>
      <c r="H25" s="1">
        <v>46030</v>
      </c>
      <c r="J25">
        <f>SUMIFS(Table14[Debit], Table14[Date], Table15[[#This Row],[Date]], Table14[Party], "Parts")</f>
        <v>256380</v>
      </c>
    </row>
    <row r="26" spans="2:10" x14ac:dyDescent="0.3">
      <c r="B26" s="1">
        <v>46031</v>
      </c>
      <c r="C26" t="s">
        <v>112</v>
      </c>
      <c r="D26">
        <f>SUMIFS(Table14[Debit], Table14[Date], Table5[[#This Row],[Date]], Table14[Party], "Rashan")</f>
        <v>0</v>
      </c>
      <c r="H26" s="1">
        <v>46031</v>
      </c>
      <c r="J26">
        <f>SUMIFS(Table14[Debit], Table14[Date], Table15[[#This Row],[Date]], Table14[Party], "Parts")</f>
        <v>6850</v>
      </c>
    </row>
    <row r="27" spans="2:10" x14ac:dyDescent="0.3">
      <c r="B27" s="1">
        <v>46032</v>
      </c>
      <c r="C27" t="s">
        <v>112</v>
      </c>
      <c r="D27">
        <f>SUMIFS(Table14[Debit], Table14[Date], Table5[[#This Row],[Date]], Table14[Party], "Rashan")</f>
        <v>16270</v>
      </c>
      <c r="H27" s="1">
        <v>46032</v>
      </c>
      <c r="J27">
        <f>SUMIFS(Table14[Debit], Table14[Date], Table15[[#This Row],[Date]], Table14[Party], "Parts")</f>
        <v>15513</v>
      </c>
    </row>
    <row r="28" spans="2:10" x14ac:dyDescent="0.3">
      <c r="B28" s="1">
        <v>46033</v>
      </c>
      <c r="C28" t="s">
        <v>112</v>
      </c>
      <c r="D28">
        <f>SUMIFS(Table14[Debit], Table14[Date], Table5[[#This Row],[Date]], Table14[Party], "Rashan")</f>
        <v>20000</v>
      </c>
      <c r="H28" s="1">
        <v>46033</v>
      </c>
      <c r="J28">
        <f>SUMIFS(Table14[Debit], Table14[Date], Table15[[#This Row],[Date]], Table14[Party], "Parts")</f>
        <v>0</v>
      </c>
    </row>
    <row r="29" spans="2:10" x14ac:dyDescent="0.3">
      <c r="B29" s="1">
        <v>46034</v>
      </c>
      <c r="C29" t="s">
        <v>112</v>
      </c>
      <c r="D29">
        <f>SUMIFS(Table14[Debit], Table14[Date], Table5[[#This Row],[Date]], Table14[Party], "Rashan")</f>
        <v>0</v>
      </c>
      <c r="H29" s="1">
        <v>46034</v>
      </c>
      <c r="J29">
        <f>SUMIFS(Table14[Debit], Table14[Date], Table15[[#This Row],[Date]], Table14[Party], "Parts")</f>
        <v>15513</v>
      </c>
    </row>
    <row r="30" spans="2:10" x14ac:dyDescent="0.3">
      <c r="B30" s="1">
        <v>46035</v>
      </c>
      <c r="C30" t="s">
        <v>112</v>
      </c>
      <c r="D30">
        <f>SUMIFS(Table14[Debit], Table14[Date], Table5[[#This Row],[Date]], Table14[Party], "Rashan")</f>
        <v>0</v>
      </c>
      <c r="H30" s="1">
        <v>46035</v>
      </c>
      <c r="J30">
        <f>SUMIFS(Table14[Debit], Table14[Date], Table15[[#This Row],[Date]], Table14[Party], "Parts")</f>
        <v>15513</v>
      </c>
    </row>
    <row r="31" spans="2:10" x14ac:dyDescent="0.3">
      <c r="B31" s="1">
        <v>46036</v>
      </c>
      <c r="C31" t="s">
        <v>112</v>
      </c>
      <c r="D31">
        <f>SUMIFS(Table14[Debit], Table14[Date], Table5[[#This Row],[Date]], Table14[Party], "Rashan")</f>
        <v>0</v>
      </c>
      <c r="H31" s="1">
        <v>46036</v>
      </c>
      <c r="J31">
        <f>SUMIFS(Table14[Debit], Table14[Date], Table15[[#This Row],[Date]], Table14[Party], "Parts")</f>
        <v>24110</v>
      </c>
    </row>
    <row r="32" spans="2:10" x14ac:dyDescent="0.3">
      <c r="B32" s="1">
        <v>46037</v>
      </c>
      <c r="C32" t="s">
        <v>112</v>
      </c>
      <c r="D32">
        <f>SUMIFS(Table14[Debit], Table14[Date], Table5[[#This Row],[Date]], Table14[Party], "Rashan")</f>
        <v>0</v>
      </c>
      <c r="H32" s="1">
        <v>46037</v>
      </c>
      <c r="J32">
        <f>SUMIFS(Table14[Debit], Table14[Date], Table15[[#This Row],[Date]], Table14[Party], "Parts")</f>
        <v>12000</v>
      </c>
    </row>
    <row r="33" spans="2:10" x14ac:dyDescent="0.3">
      <c r="B33" s="1">
        <v>46038</v>
      </c>
      <c r="C33" t="s">
        <v>112</v>
      </c>
      <c r="D33">
        <f>SUMIFS(Table14[Debit], Table14[Date], Table5[[#This Row],[Date]], Table14[Party], "Rashan")</f>
        <v>0</v>
      </c>
      <c r="H33" s="1">
        <v>46038</v>
      </c>
      <c r="J33">
        <f>SUMIFS(Table14[Debit], Table14[Date], Table15[[#This Row],[Date]], Table14[Party], "Parts")</f>
        <v>40976</v>
      </c>
    </row>
    <row r="34" spans="2:10" x14ac:dyDescent="0.3">
      <c r="B34" s="1">
        <v>46039</v>
      </c>
      <c r="C34" t="s">
        <v>112</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144000</v>
      </c>
    </row>
    <row r="37" spans="2:10" x14ac:dyDescent="0.3">
      <c r="B37" s="1">
        <v>46042</v>
      </c>
      <c r="D37">
        <f>SUMIFS(Table14[Debit], Table14[Date], Table5[[#This Row],[Date]], Table14[Party], "Rashan")</f>
        <v>0</v>
      </c>
      <c r="H37" s="1">
        <v>46042</v>
      </c>
      <c r="J37">
        <f>SUMIFS(Table14[Debit], Table14[Date], Table15[[#This Row],[Date]], Table14[Party], "Parts")</f>
        <v>16480</v>
      </c>
    </row>
    <row r="38" spans="2:10" x14ac:dyDescent="0.3">
      <c r="B38" s="1">
        <v>46043</v>
      </c>
      <c r="D38">
        <f>SUMIFS(Table14[Debit], Table14[Date], Table5[[#This Row],[Date]], Table14[Party], "Rashan")</f>
        <v>0</v>
      </c>
      <c r="H38" s="1">
        <v>46043</v>
      </c>
      <c r="J38">
        <f>SUMIFS(Table14[Debit], Table14[Date], Table15[[#This Row],[Date]], Table14[Party], "Parts")</f>
        <v>0</v>
      </c>
    </row>
    <row r="39" spans="2:10" x14ac:dyDescent="0.3">
      <c r="B39" s="1">
        <v>46044</v>
      </c>
      <c r="D39">
        <f>SUMIFS(Table14[Debit], Table14[Date], Table5[[#This Row],[Date]], Table14[Party], "Rashan")</f>
        <v>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0</v>
      </c>
    </row>
    <row r="42" spans="2:10" x14ac:dyDescent="0.3">
      <c r="B42" s="1"/>
      <c r="D42">
        <f>SUM(Table5[Amount])</f>
        <v>111730</v>
      </c>
      <c r="H42" s="1">
        <v>46047</v>
      </c>
      <c r="J42">
        <f>SUMIFS(Table14[Debit], Table14[Date], Table15[[#This Row],[Date]], Table14[Party], "Parts")</f>
        <v>0</v>
      </c>
    </row>
    <row r="43" spans="2:10" x14ac:dyDescent="0.3">
      <c r="H43" s="1"/>
      <c r="J43">
        <f>SUM(Table15[Amount])</f>
        <v>650690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opLeftCell="A4" zoomScale="67" workbookViewId="0">
      <selection activeCell="L18" sqref="L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99" t="s">
        <v>18</v>
      </c>
    </row>
    <row r="2" spans="1:3" ht="21" x14ac:dyDescent="0.4">
      <c r="A2" s="101" t="str">
        <f>Billing!Q5</f>
        <v>BSC</v>
      </c>
      <c r="B2" s="104">
        <f>Billing!AD5</f>
        <v>19750734</v>
      </c>
      <c r="C2" s="102">
        <f>Billing!AE5</f>
        <v>9780710.6086320467</v>
      </c>
    </row>
    <row r="3" spans="1:3" ht="21" x14ac:dyDescent="0.4">
      <c r="A3" s="101" t="str">
        <f>Billing!Q6</f>
        <v>Ejaz Sahab</v>
      </c>
      <c r="B3" s="104">
        <f>Billing!AD6</f>
        <v>5195319</v>
      </c>
      <c r="C3" s="102">
        <f>Billing!AE6</f>
        <v>0.12948061525821686</v>
      </c>
    </row>
    <row r="4" spans="1:3" ht="21" x14ac:dyDescent="0.4">
      <c r="A4" s="101" t="str">
        <f>Billing!Q7</f>
        <v>Arshad</v>
      </c>
      <c r="B4" s="104">
        <f>Billing!AD7</f>
        <v>7835501</v>
      </c>
      <c r="C4" s="103">
        <f>Billing!AE7</f>
        <v>60684.076810535043</v>
      </c>
    </row>
    <row r="5" spans="1:3" ht="21" x14ac:dyDescent="0.4">
      <c r="A5" s="101" t="str">
        <f>Billing!Q8</f>
        <v>Shehzad Kamoki</v>
      </c>
      <c r="B5" s="104">
        <f>Billing!AD8</f>
        <v>1353710</v>
      </c>
      <c r="C5" s="103">
        <f>Billing!AE8</f>
        <v>531.99729334330186</v>
      </c>
    </row>
    <row r="6" spans="1:3" ht="21" x14ac:dyDescent="0.4">
      <c r="A6" s="101" t="str">
        <f>Billing!Q9</f>
        <v>Sufi Nawaz Sahab</v>
      </c>
      <c r="B6" s="104">
        <f>Billing!AD9</f>
        <v>11478764</v>
      </c>
      <c r="C6" s="102">
        <f>Billing!AE9</f>
        <v>0.23847842030227184</v>
      </c>
    </row>
    <row r="7" spans="1:3" ht="21" x14ac:dyDescent="0.4">
      <c r="A7" s="101" t="str">
        <f>Billing!Q10</f>
        <v>Sajad Khan</v>
      </c>
      <c r="B7" s="104">
        <f>Billing!AD10</f>
        <v>7997871</v>
      </c>
      <c r="C7" s="102">
        <f>Billing!AE10</f>
        <v>452054.93269934133</v>
      </c>
    </row>
    <row r="8" spans="1:3" ht="21" x14ac:dyDescent="0.4">
      <c r="A8" s="101" t="str">
        <f>Billing!Q11</f>
        <v>Raaz Fabrics</v>
      </c>
      <c r="B8" s="104">
        <f>Billing!AD11</f>
        <v>1400000</v>
      </c>
      <c r="C8" s="103">
        <f>Billing!AE11</f>
        <v>226380.76079005143</v>
      </c>
    </row>
    <row r="9" spans="1:3" ht="21" x14ac:dyDescent="0.4">
      <c r="A9" s="101" t="str">
        <f>Billing!Q12</f>
        <v>Azam</v>
      </c>
      <c r="B9" s="104">
        <f>Billing!AD12</f>
        <v>4330540</v>
      </c>
      <c r="C9" s="102">
        <f>Billing!AE12</f>
        <v>928555.64740307257</v>
      </c>
    </row>
    <row r="10" spans="1:3" ht="21" x14ac:dyDescent="0.4">
      <c r="A10" s="101" t="str">
        <f>Billing!Q13</f>
        <v>Ubaidullah</v>
      </c>
      <c r="B10" s="104">
        <f>Billing!AD13</f>
        <v>1390190</v>
      </c>
      <c r="C10" s="102">
        <f>Billing!AE13</f>
        <v>-40453.350402340759</v>
      </c>
    </row>
    <row r="11" spans="1:3" ht="21" x14ac:dyDescent="0.4">
      <c r="A11" s="101" t="str">
        <f>Billing!Q14</f>
        <v>Ashraf Zia</v>
      </c>
      <c r="B11" s="104">
        <f>Billing!AD14</f>
        <v>130000</v>
      </c>
      <c r="C11" s="102">
        <f>Billing!AE14</f>
        <v>125724.21360643749</v>
      </c>
    </row>
    <row r="12" spans="1:3" ht="21" x14ac:dyDescent="0.4">
      <c r="A12" s="101" t="str">
        <f>Billing!Q15</f>
        <v>Hafiz Qureshi</v>
      </c>
      <c r="B12" s="104">
        <f>Billing!AD15</f>
        <v>2869679</v>
      </c>
      <c r="C12" s="102">
        <f>Billing!AE15</f>
        <v>10021.073152889963</v>
      </c>
    </row>
    <row r="13" spans="1:3" ht="21" x14ac:dyDescent="0.4">
      <c r="A13" s="101" t="str">
        <f>Billing!Q16</f>
        <v>Badshah Fabrics</v>
      </c>
      <c r="B13" s="104">
        <f>Billing!AD16</f>
        <v>6545761</v>
      </c>
      <c r="C13" s="102">
        <f>Billing!AE16</f>
        <v>91938.341623995453</v>
      </c>
    </row>
    <row r="14" spans="1:3" ht="21" x14ac:dyDescent="0.4">
      <c r="A14" s="101" t="str">
        <f>Billing!Q17</f>
        <v>Reject</v>
      </c>
      <c r="B14" s="104">
        <f>Billing!AD17</f>
        <v>0</v>
      </c>
      <c r="C14" s="102">
        <f>Billing!AE17</f>
        <v>0</v>
      </c>
    </row>
    <row r="15" spans="1:3" ht="21" x14ac:dyDescent="0.4">
      <c r="A15" s="101" t="str">
        <f>Billing!Q18</f>
        <v>Amjad 7up</v>
      </c>
      <c r="B15" s="104">
        <f>Billing!AD18</f>
        <v>480000</v>
      </c>
      <c r="C15" s="103">
        <f>Billing!AE18</f>
        <v>3851.4996342355735</v>
      </c>
    </row>
    <row r="16" spans="1:3" ht="21" x14ac:dyDescent="0.4">
      <c r="A16" s="101" t="str">
        <f>Billing!Q19</f>
        <v>Hazrat Khan</v>
      </c>
      <c r="B16" s="104">
        <f>Billing!AD19</f>
        <v>95000</v>
      </c>
      <c r="C16" s="103">
        <f>Billing!AE19</f>
        <v>-5844.9158741770225</v>
      </c>
    </row>
    <row r="17" spans="1:3" ht="21" x14ac:dyDescent="0.4">
      <c r="A17" s="101" t="str">
        <f>Billing!Q20</f>
        <v>Haseeb Shamsi</v>
      </c>
      <c r="B17" s="104">
        <f>Billing!AD20</f>
        <v>594405</v>
      </c>
      <c r="C17" s="102">
        <f>Billing!AE20</f>
        <v>-0.28163862461224198</v>
      </c>
    </row>
    <row r="18" spans="1:3" ht="21" x14ac:dyDescent="0.4">
      <c r="A18" s="101" t="str">
        <f>Billing!Q21</f>
        <v>Faizan</v>
      </c>
      <c r="B18" s="104">
        <f>Billing!AD21</f>
        <v>4915571</v>
      </c>
      <c r="C18" s="103">
        <f>Billing!AE21</f>
        <v>308616.08851499762</v>
      </c>
    </row>
    <row r="19" spans="1:3" ht="21" x14ac:dyDescent="0.4">
      <c r="A19" s="101" t="str">
        <f>Billing!Q22</f>
        <v>Shafique Ansari</v>
      </c>
      <c r="B19" s="104">
        <f>Billing!AD22</f>
        <v>835660</v>
      </c>
      <c r="C19" s="103">
        <f>Billing!AE22</f>
        <v>356.82516459410544</v>
      </c>
    </row>
    <row r="20" spans="1:3" ht="21" x14ac:dyDescent="0.4">
      <c r="A20" s="101" t="str">
        <f>Billing!Q23</f>
        <v>Amjad sohail</v>
      </c>
      <c r="B20" s="104">
        <f>Billing!AD23</f>
        <v>2709310</v>
      </c>
      <c r="C20" s="102">
        <f>Billing!AE23</f>
        <v>353867.57863935642</v>
      </c>
    </row>
    <row r="21" spans="1:3" ht="21" x14ac:dyDescent="0.4">
      <c r="A21" s="101" t="str">
        <f>Billing!Q24</f>
        <v>Salman Zaffar</v>
      </c>
      <c r="B21" s="104">
        <f>Billing!AD24</f>
        <v>2146025</v>
      </c>
      <c r="C21" s="102">
        <f>Billing!AE24</f>
        <v>495773.64667154383</v>
      </c>
    </row>
    <row r="22" spans="1:3" ht="21" x14ac:dyDescent="0.4">
      <c r="A22" s="101" t="str">
        <f>Billing!Q25</f>
        <v>Shahid Qasayi</v>
      </c>
      <c r="B22" s="104">
        <f>Billing!AD25</f>
        <v>2761895</v>
      </c>
      <c r="C22" s="102">
        <f>Billing!AE25</f>
        <v>174664.98536942201</v>
      </c>
    </row>
    <row r="23" spans="1:3" ht="21" x14ac:dyDescent="0.4">
      <c r="A23" s="101" t="str">
        <f>Billing!Q26</f>
        <v>Hameed corporation</v>
      </c>
      <c r="B23" s="104">
        <f>Billing!AD26</f>
        <v>424323</v>
      </c>
      <c r="C23" s="102">
        <f>Billing!AE26</f>
        <v>0.33577176299877465</v>
      </c>
    </row>
    <row r="24" spans="1:3" ht="21" x14ac:dyDescent="0.4">
      <c r="A24" s="101" t="str">
        <f>Billing!Q27</f>
        <v>ibraheem behraam</v>
      </c>
      <c r="B24" s="104">
        <f>Billing!AD27</f>
        <v>790500</v>
      </c>
      <c r="C24" s="102">
        <f>Billing!AE27</f>
        <v>2445.3182150695939</v>
      </c>
    </row>
    <row r="25" spans="1:3" ht="21" x14ac:dyDescent="0.4">
      <c r="A25" s="101" t="str">
        <f>Billing!Q28</f>
        <v>Zia-ullah karachi</v>
      </c>
      <c r="B25" s="104">
        <f>Billing!AD28</f>
        <v>124560</v>
      </c>
      <c r="C25" s="102">
        <f>Billing!AE28</f>
        <v>1.0826627651840681</v>
      </c>
    </row>
    <row r="26" spans="1:3" ht="21" x14ac:dyDescent="0.4">
      <c r="A26" s="101" t="str">
        <f>Billing!Q29</f>
        <v>ZA</v>
      </c>
      <c r="B26" s="104">
        <f>Billing!AD29</f>
        <v>250000</v>
      </c>
      <c r="C26" s="102">
        <f>Billing!AE29</f>
        <v>135138.07607900514</v>
      </c>
    </row>
    <row r="27" spans="1:3" ht="21" x14ac:dyDescent="0.4">
      <c r="A27" s="101" t="str">
        <f>Billing!Q30</f>
        <v>Ahmad Javaid</v>
      </c>
      <c r="B27" s="104">
        <f>Billing!AD30</f>
        <v>0</v>
      </c>
      <c r="C27" s="102">
        <f>Billing!AE30</f>
        <v>151504.2062911485</v>
      </c>
    </row>
    <row r="28" spans="1:3" ht="21" x14ac:dyDescent="0.4">
      <c r="A28" s="101" t="str">
        <f>Billing!Q31</f>
        <v>Gauhar Kashif</v>
      </c>
      <c r="B28" s="104">
        <f>Billing!AD31</f>
        <v>485800</v>
      </c>
      <c r="C28" s="102">
        <f>Billing!AE31</f>
        <v>18269.129480614502</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166</v>
      </c>
      <c r="B1" t="s">
        <v>69</v>
      </c>
    </row>
    <row r="2" spans="1:2" x14ac:dyDescent="0.3">
      <c r="A2" s="80" t="s">
        <v>21</v>
      </c>
      <c r="B2" s="10">
        <f>_xlfn.XLOOKUP($A2,[1]Billing!$Q$5:$Q$40,[1]Billing!$AD$5:$AD$40)</f>
        <v>19750734</v>
      </c>
    </row>
    <row r="3" spans="1:2" x14ac:dyDescent="0.3">
      <c r="A3" s="80" t="s">
        <v>22</v>
      </c>
      <c r="B3" s="10">
        <f>_xlfn.XLOOKUP($A3,[1]Billing!$Q$5:$Q$40,[1]Billing!$AD$5:$AD$40)</f>
        <v>3963904</v>
      </c>
    </row>
    <row r="4" spans="1:2" x14ac:dyDescent="0.3">
      <c r="A4" s="80" t="s">
        <v>9</v>
      </c>
      <c r="B4" s="10">
        <f>_xlfn.XLOOKUP($A4,[1]Billing!$Q$5:$Q$40,[1]Billing!$AD$5:$AD$40)</f>
        <v>6002935</v>
      </c>
    </row>
    <row r="5" spans="1:2" x14ac:dyDescent="0.3">
      <c r="A5" s="80" t="s">
        <v>23</v>
      </c>
      <c r="B5" s="10">
        <f>_xlfn.XLOOKUP($A5,[1]Billing!$Q$5:$Q$40,[1]Billing!$AD$5:$AD$40)</f>
        <v>1268740</v>
      </c>
    </row>
    <row r="6" spans="1:2" x14ac:dyDescent="0.3">
      <c r="A6" s="80" t="s">
        <v>24</v>
      </c>
      <c r="B6" s="10">
        <f>_xlfn.XLOOKUP($A6,[1]Billing!$Q$5:$Q$40,[1]Billing!$AD$5:$AD$40)</f>
        <v>10629100</v>
      </c>
    </row>
    <row r="7" spans="1:2" x14ac:dyDescent="0.3">
      <c r="A7" s="80" t="s">
        <v>25</v>
      </c>
      <c r="B7" s="10">
        <f>_xlfn.XLOOKUP($A7,[1]Billing!$Q$5:$Q$40,[1]Billing!$AD$5:$AD$40)</f>
        <v>7397871</v>
      </c>
    </row>
    <row r="8" spans="1:2" x14ac:dyDescent="0.3">
      <c r="A8" s="80" t="s">
        <v>26</v>
      </c>
      <c r="B8" s="10">
        <f>_xlfn.XLOOKUP($A8,[1]Billing!$Q$5:$Q$40,[1]Billing!$AD$5:$AD$40)</f>
        <v>1100000</v>
      </c>
    </row>
    <row r="9" spans="1:2" x14ac:dyDescent="0.3">
      <c r="A9" s="80" t="s">
        <v>151</v>
      </c>
      <c r="B9" s="10">
        <f>_xlfn.XLOOKUP($A9,[1]Billing!$Q$5:$Q$40,[1]Billing!$AD$5:$AD$40)</f>
        <v>3322620</v>
      </c>
    </row>
    <row r="10" spans="1:2" x14ac:dyDescent="0.3">
      <c r="A10" s="80" t="s">
        <v>35</v>
      </c>
      <c r="B10" s="10">
        <f>_xlfn.XLOOKUP($A10,[1]Billing!$Q$5:$Q$40,[1]Billing!$AD$5:$AD$40)</f>
        <v>640190</v>
      </c>
    </row>
    <row r="11" spans="1:2" x14ac:dyDescent="0.3">
      <c r="A11" s="80" t="s">
        <v>147</v>
      </c>
      <c r="B11" s="10">
        <f>_xlfn.XLOOKUP($A11,[1]Billing!$Q$5:$Q$40,[1]Billing!$AD$5:$AD$40)</f>
        <v>130000</v>
      </c>
    </row>
    <row r="12" spans="1:2" x14ac:dyDescent="0.3">
      <c r="A12" s="80" t="s">
        <v>27</v>
      </c>
      <c r="B12" s="10">
        <f>_xlfn.XLOOKUP($A12,[1]Billing!$Q$5:$Q$40,[1]Billing!$AD$5:$AD$40)</f>
        <v>1805980</v>
      </c>
    </row>
    <row r="13" spans="1:2" x14ac:dyDescent="0.3">
      <c r="A13" s="80" t="s">
        <v>165</v>
      </c>
      <c r="B13" s="10">
        <f>_xlfn.XLOOKUP($A13,[1]Billing!$Q$5:$Q$40,[1]Billing!$AD$5:$AD$40)</f>
        <v>4925761</v>
      </c>
    </row>
    <row r="14" spans="1:2" x14ac:dyDescent="0.3">
      <c r="A14" s="80" t="s">
        <v>167</v>
      </c>
      <c r="B14" s="10">
        <f>_xlfn.XLOOKUP($A14,[1]Billing!$Q$5:$Q$40,[1]Billing!$AD$5:$AD$40)</f>
        <v>0</v>
      </c>
    </row>
    <row r="15" spans="1:2" x14ac:dyDescent="0.3">
      <c r="A15" s="80" t="s">
        <v>169</v>
      </c>
      <c r="B15" s="10">
        <f>_xlfn.XLOOKUP($A15,[1]Billing!$Q$5:$Q$40,[1]Billing!$AD$5:$AD$40)</f>
        <v>480000</v>
      </c>
    </row>
    <row r="16" spans="1:2" x14ac:dyDescent="0.3">
      <c r="A16" s="80" t="s">
        <v>170</v>
      </c>
      <c r="B16" s="10">
        <f>_xlfn.XLOOKUP($A16,[1]Billing!$Q$5:$Q$40,[1]Billing!$AD$5:$AD$40)</f>
        <v>95000</v>
      </c>
    </row>
    <row r="17" spans="1:2" x14ac:dyDescent="0.3">
      <c r="A17" s="80" t="s">
        <v>172</v>
      </c>
      <c r="B17" s="10">
        <f>_xlfn.XLOOKUP($A17,[1]Billing!$Q$5:$Q$40,[1]Billing!$AD$5:$AD$40)</f>
        <v>594405</v>
      </c>
    </row>
    <row r="18" spans="1:2" x14ac:dyDescent="0.3">
      <c r="A18" s="80" t="s">
        <v>174</v>
      </c>
      <c r="B18" s="10">
        <f>_xlfn.XLOOKUP($A18,[1]Billing!$Q$5:$Q$40,[1]Billing!$AD$5:$AD$40)</f>
        <v>4915571</v>
      </c>
    </row>
    <row r="19" spans="1:2" x14ac:dyDescent="0.3">
      <c r="A19" s="80" t="s">
        <v>177</v>
      </c>
      <c r="B19" s="10">
        <f>_xlfn.XLOOKUP($A19,[1]Billing!$Q$5:$Q$40,[1]Billing!$AD$5:$AD$40)</f>
        <v>835660</v>
      </c>
    </row>
    <row r="20" spans="1:2" x14ac:dyDescent="0.3">
      <c r="A20" s="80" t="s">
        <v>178</v>
      </c>
      <c r="B20" s="10">
        <f>_xlfn.XLOOKUP($A20,[1]Billing!$Q$5:$Q$40,[1]Billing!$AD$5:$AD$40)</f>
        <v>2300000</v>
      </c>
    </row>
    <row r="21" spans="1:2" x14ac:dyDescent="0.3">
      <c r="A21" s="80" t="s">
        <v>183</v>
      </c>
      <c r="B21" s="10">
        <f>_xlfn.XLOOKUP($A21,[1]Billing!$Q$5:$Q$40,[1]Billing!$AD$5:$AD$40)</f>
        <v>0</v>
      </c>
    </row>
    <row r="22" spans="1:2" x14ac:dyDescent="0.3">
      <c r="A22" s="80" t="s">
        <v>192</v>
      </c>
      <c r="B22" s="10">
        <f>_xlfn.XLOOKUP($A22,[1]Billing!$Q$5:$Q$40,[1]Billing!$AD$5:$AD$40)</f>
        <v>1468325</v>
      </c>
    </row>
    <row r="23" spans="1:2" x14ac:dyDescent="0.3">
      <c r="A23" s="80" t="s">
        <v>195</v>
      </c>
      <c r="B23" s="10">
        <f>_xlfn.XLOOKUP($A23,[1]Billing!$Q$5:$Q$40,[1]Billing!$AD$5:$AD$40)</f>
        <v>424323</v>
      </c>
    </row>
    <row r="24" spans="1:2" x14ac:dyDescent="0.3">
      <c r="A24" s="80" t="s">
        <v>194</v>
      </c>
      <c r="B24" s="10">
        <f>_xlfn.XLOOKUP($A24,[1]Billing!$Q$5:$Q$40,[1]Billing!$AD$5:$AD$40)</f>
        <v>790500</v>
      </c>
    </row>
    <row r="25" spans="1:2" x14ac:dyDescent="0.3">
      <c r="A25" s="80" t="s">
        <v>200</v>
      </c>
      <c r="B25" s="10">
        <f>_xlfn.XLOOKUP($A25,[1]Billing!$Q$5:$Q$40,[1]Billing!$AD$5:$AD$40)</f>
        <v>124560</v>
      </c>
    </row>
    <row r="26" spans="1:2" x14ac:dyDescent="0.3">
      <c r="A26" s="80" t="s">
        <v>205</v>
      </c>
      <c r="B26" s="10">
        <f>_xlfn.XLOOKUP($A26,[1]Billing!$Q$5:$Q$40,[1]Billing!$AD$5:$AD$40)</f>
        <v>250000</v>
      </c>
    </row>
    <row r="27" spans="1:2" x14ac:dyDescent="0.3">
      <c r="A27" s="117" t="s">
        <v>207</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2026-02-01T20:04:14Z</dcterms:modified>
  <cp:category/>
  <cp:contentStatus/>
</cp:coreProperties>
</file>