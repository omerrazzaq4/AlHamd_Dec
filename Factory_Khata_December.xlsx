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305" documentId="8_{882B14A6-A67C-4C60-A7D4-43427E6D1DAC}" xr6:coauthVersionLast="47" xr6:coauthVersionMax="47" xr10:uidLastSave="{BACA7D5B-8C75-40B3-983D-8DE40B58EA7B}"/>
  <bookViews>
    <workbookView xWindow="-108" yWindow="-108" windowWidth="23256" windowHeight="12456" tabRatio="597" firstSheet="6" activeTab="6"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6" r:id="rId20"/>
    <pivotCache cacheId="7" r:id="rId21"/>
    <pivotCache cacheId="8" r:id="rId22"/>
    <pivotCache cacheId="9" r:id="rId23"/>
    <pivotCache cacheId="10" r:id="rId24"/>
    <pivotCache cacheId="11"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21" l="1"/>
  <c r="B24" i="21"/>
  <c r="B25" i="21"/>
  <c r="B26" i="21"/>
  <c r="B27" i="21"/>
  <c r="B6" i="21"/>
  <c r="B7" i="21"/>
  <c r="B8" i="21"/>
  <c r="B9" i="21"/>
  <c r="B10" i="21"/>
  <c r="B11" i="21"/>
  <c r="B12" i="21"/>
  <c r="B13" i="21"/>
  <c r="B18" i="21"/>
  <c r="B19" i="21"/>
  <c r="B20" i="21"/>
  <c r="B21" i="21"/>
  <c r="B22" i="21"/>
  <c r="B3" i="21"/>
  <c r="B4" i="21"/>
  <c r="B5" i="21"/>
  <c r="B14" i="21"/>
  <c r="B15" i="21"/>
  <c r="B16" i="21"/>
  <c r="B17" i="21"/>
  <c r="C110" i="9"/>
  <c r="D110" i="9"/>
  <c r="E110" i="9"/>
  <c r="F110" i="9"/>
  <c r="G110" i="9"/>
  <c r="H110" i="9"/>
  <c r="I110" i="9"/>
  <c r="J110" i="9"/>
  <c r="K110" i="9"/>
  <c r="L110" i="9"/>
  <c r="M110" i="9"/>
  <c r="O110" i="9"/>
  <c r="AD31" i="9" s="1"/>
  <c r="C111" i="9"/>
  <c r="D111" i="9"/>
  <c r="E111" i="9"/>
  <c r="F111" i="9"/>
  <c r="G111" i="9"/>
  <c r="H111" i="9"/>
  <c r="I111" i="9"/>
  <c r="X32" i="9" s="1" a="1"/>
  <c r="X32" i="9" s="1"/>
  <c r="J111" i="9"/>
  <c r="K111" i="9"/>
  <c r="Z32" i="9" s="1" a="1"/>
  <c r="Z32" i="9" s="1"/>
  <c r="L111" i="9"/>
  <c r="AA32" i="9" s="1" a="1"/>
  <c r="AA32" i="9" s="1"/>
  <c r="M111" i="9"/>
  <c r="O111" i="9"/>
  <c r="AD32" i="9" s="1"/>
  <c r="C112" i="9"/>
  <c r="D112" i="9"/>
  <c r="E112" i="9"/>
  <c r="F112" i="9"/>
  <c r="G112" i="9"/>
  <c r="H112" i="9"/>
  <c r="W33" i="9" s="1" a="1"/>
  <c r="W33" i="9" s="1"/>
  <c r="I112" i="9"/>
  <c r="X33" i="9" s="1" a="1"/>
  <c r="X33" i="9" s="1"/>
  <c r="J112" i="9"/>
  <c r="Y33" i="9" s="1" a="1"/>
  <c r="Y33" i="9" s="1"/>
  <c r="K112" i="9"/>
  <c r="Z33" i="9" s="1" a="1"/>
  <c r="Z33" i="9" s="1"/>
  <c r="L112" i="9"/>
  <c r="AA33" i="9" s="1" a="1"/>
  <c r="AA33" i="9" s="1"/>
  <c r="M112" i="9"/>
  <c r="O112" i="9"/>
  <c r="AD33" i="9" s="1"/>
  <c r="C113" i="9"/>
  <c r="D113" i="9"/>
  <c r="E113" i="9"/>
  <c r="F113" i="9"/>
  <c r="G113" i="9"/>
  <c r="V34" i="9" s="1" a="1"/>
  <c r="V34" i="9" s="1"/>
  <c r="H113" i="9"/>
  <c r="W34" i="9" s="1" a="1"/>
  <c r="W34" i="9" s="1"/>
  <c r="I113" i="9"/>
  <c r="X34" i="9" s="1" a="1"/>
  <c r="X34" i="9" s="1"/>
  <c r="J113" i="9"/>
  <c r="Y34" i="9" s="1" a="1"/>
  <c r="Y34" i="9" s="1"/>
  <c r="K113" i="9"/>
  <c r="Z34" i="9" s="1" a="1"/>
  <c r="Z34" i="9" s="1"/>
  <c r="L113" i="9"/>
  <c r="AA34" i="9" s="1" a="1"/>
  <c r="AA34" i="9" s="1"/>
  <c r="M113" i="9"/>
  <c r="O113" i="9"/>
  <c r="AD34" i="9" s="1"/>
  <c r="C114" i="9"/>
  <c r="D114" i="9"/>
  <c r="E114" i="9"/>
  <c r="F114" i="9"/>
  <c r="G114" i="9"/>
  <c r="H114" i="9"/>
  <c r="W35" i="9" s="1" a="1"/>
  <c r="W35" i="9" s="1"/>
  <c r="I114" i="9"/>
  <c r="X35" i="9" s="1" a="1"/>
  <c r="X35" i="9" s="1"/>
  <c r="J114" i="9"/>
  <c r="Y35" i="9" s="1" a="1"/>
  <c r="Y35" i="9" s="1"/>
  <c r="K114" i="9"/>
  <c r="Z35" i="9" s="1" a="1"/>
  <c r="Z35" i="9" s="1"/>
  <c r="L114" i="9"/>
  <c r="AA35" i="9" s="1" a="1"/>
  <c r="AA35" i="9" s="1"/>
  <c r="M114" i="9"/>
  <c r="AB35" i="9" s="1" a="1"/>
  <c r="AB35" i="9" s="1"/>
  <c r="O114" i="9"/>
  <c r="AD35" i="9" s="1"/>
  <c r="C115" i="9"/>
  <c r="D115" i="9"/>
  <c r="E115" i="9"/>
  <c r="F115" i="9"/>
  <c r="G115" i="9"/>
  <c r="V36" i="9" s="1" a="1"/>
  <c r="V36" i="9" s="1"/>
  <c r="H115" i="9"/>
  <c r="W36" i="9" s="1" a="1"/>
  <c r="W36" i="9" s="1"/>
  <c r="I115" i="9"/>
  <c r="X36" i="9" s="1" a="1"/>
  <c r="X36" i="9" s="1"/>
  <c r="J115" i="9"/>
  <c r="Y36" i="9" s="1" a="1"/>
  <c r="Y36" i="9" s="1"/>
  <c r="K115" i="9"/>
  <c r="Z36" i="9" s="1" a="1"/>
  <c r="Z36" i="9" s="1"/>
  <c r="L115" i="9"/>
  <c r="M115" i="9"/>
  <c r="O115" i="9"/>
  <c r="AD36" i="9" s="1"/>
  <c r="H37" i="1"/>
  <c r="H38" i="1"/>
  <c r="H39" i="1"/>
  <c r="H40" i="1"/>
  <c r="H41" i="1"/>
  <c r="H42" i="1"/>
  <c r="H43" i="1"/>
  <c r="H44" i="1"/>
  <c r="H45" i="1"/>
  <c r="H46" i="1"/>
  <c r="H47" i="1"/>
  <c r="K60" i="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C4" i="8"/>
  <c r="C5" i="8"/>
  <c r="G5" i="7"/>
  <c r="G3" i="7"/>
  <c r="G4" i="7"/>
  <c r="G6" i="7"/>
  <c r="G7" i="7"/>
  <c r="G8" i="7"/>
  <c r="H8" i="7" s="1"/>
  <c r="G9" i="7"/>
  <c r="H6" i="7"/>
  <c r="H7" i="7"/>
  <c r="H9" i="7"/>
  <c r="G8" i="6"/>
  <c r="G9" i="6"/>
  <c r="G10" i="6"/>
  <c r="G11" i="6"/>
  <c r="G12" i="6"/>
  <c r="I10" i="6"/>
  <c r="I11" i="6"/>
  <c r="I12" i="6"/>
  <c r="D3" i="17"/>
  <c r="D2" i="17"/>
  <c r="V32" i="9" a="1"/>
  <c r="V32" i="9" s="1"/>
  <c r="W32" i="9" a="1"/>
  <c r="W32" i="9" s="1"/>
  <c r="V33" i="9" a="1"/>
  <c r="V33" i="9" s="1"/>
  <c r="Y32" i="9" a="1"/>
  <c r="Y32" i="9" s="1"/>
  <c r="AB32" i="9" a="1"/>
  <c r="AB32" i="9" s="1"/>
  <c r="AB33" i="9" a="1"/>
  <c r="AB33" i="9" s="1"/>
  <c r="AB34" i="9" a="1"/>
  <c r="AB34" i="9" s="1"/>
  <c r="AA36" i="9" a="1"/>
  <c r="AA36" i="9" s="1"/>
  <c r="AB36" i="9" a="1"/>
  <c r="AB36" i="9" s="1"/>
  <c r="G79" i="9" a="1"/>
  <c r="G79" i="9" s="1"/>
  <c r="H79" i="9" a="1"/>
  <c r="H79" i="9" s="1"/>
  <c r="I79" i="9" a="1"/>
  <c r="I79" i="9" s="1"/>
  <c r="J79" i="9" a="1"/>
  <c r="J79" i="9" s="1"/>
  <c r="K79" i="9" a="1"/>
  <c r="K79" i="9" s="1"/>
  <c r="L79" i="9" a="1"/>
  <c r="L79" i="9" s="1"/>
  <c r="M79" i="9" a="1"/>
  <c r="M79" i="9" s="1"/>
  <c r="G76" i="9" a="1"/>
  <c r="G76" i="9" s="1"/>
  <c r="H76" i="9" a="1"/>
  <c r="H76" i="9" s="1"/>
  <c r="I76" i="9" a="1"/>
  <c r="I76" i="9" s="1"/>
  <c r="J76" i="9" a="1"/>
  <c r="J76" i="9" s="1"/>
  <c r="K76" i="9" a="1"/>
  <c r="K76" i="9" s="1"/>
  <c r="L76" i="9" a="1"/>
  <c r="L76" i="9" s="1"/>
  <c r="M76" i="9" a="1"/>
  <c r="M76"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N110" i="9" l="1"/>
  <c r="P110" i="9" s="1"/>
  <c r="N114" i="9"/>
  <c r="P114" i="9" s="1"/>
  <c r="V35" i="9" a="1"/>
  <c r="V35" i="9" s="1"/>
  <c r="N115" i="9"/>
  <c r="P115" i="9" s="1"/>
  <c r="J60" i="1" a="1"/>
  <c r="J60" i="1" s="1"/>
  <c r="N112" i="9"/>
  <c r="P112" i="9" s="1"/>
  <c r="N111" i="9"/>
  <c r="P111" i="9" s="1"/>
  <c r="N113" i="9"/>
  <c r="P113" i="9" s="1"/>
  <c r="I60" i="1" a="1"/>
  <c r="I60" i="1" s="1"/>
  <c r="P35" i="7" l="1"/>
  <c r="P36" i="7"/>
  <c r="P37" i="7"/>
  <c r="P38" i="7"/>
  <c r="P39" i="7"/>
  <c r="P40" i="7"/>
  <c r="P41" i="7"/>
  <c r="P42" i="7"/>
  <c r="P43" i="7"/>
  <c r="P44" i="7"/>
  <c r="P45" i="7"/>
  <c r="P46" i="7"/>
  <c r="P47" i="7"/>
  <c r="P48" i="7"/>
  <c r="P49" i="7"/>
  <c r="P50" i="7"/>
  <c r="P51" i="7"/>
  <c r="P52" i="7"/>
  <c r="P53" i="7"/>
  <c r="P54" i="7"/>
  <c r="P55" i="7"/>
  <c r="P34" i="7"/>
  <c r="K27" i="15"/>
  <c r="K26" i="15"/>
  <c r="P56" i="7" l="1"/>
  <c r="K25" i="15" l="1"/>
  <c r="K30" i="15" s="1"/>
  <c r="B49" i="9" a="1"/>
  <c r="AC36" i="9"/>
  <c r="C6" i="17"/>
  <c r="K4" i="17" s="1"/>
  <c r="E10" i="7"/>
  <c r="F10" i="15"/>
  <c r="F11" i="15"/>
  <c r="F12" i="15"/>
  <c r="F13" i="15"/>
  <c r="H9" i="15"/>
  <c r="G10" i="15"/>
  <c r="G11" i="15"/>
  <c r="G12" i="15"/>
  <c r="G13" i="15"/>
  <c r="O76" i="9"/>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2" i="9" a="1"/>
  <c r="R32" i="9" s="1"/>
  <c r="S32" i="9" a="1"/>
  <c r="S32" i="9" s="1"/>
  <c r="T32" i="9" a="1"/>
  <c r="T32" i="9" s="1"/>
  <c r="U32" i="9" a="1"/>
  <c r="U32" i="9" s="1"/>
  <c r="R33" i="9" a="1"/>
  <c r="R33" i="9" s="1"/>
  <c r="S33" i="9" a="1"/>
  <c r="S33" i="9" s="1"/>
  <c r="T33" i="9" a="1"/>
  <c r="T33" i="9" s="1"/>
  <c r="U33" i="9" a="1"/>
  <c r="U33" i="9" s="1"/>
  <c r="R34" i="9" a="1"/>
  <c r="R34" i="9" s="1"/>
  <c r="S34" i="9" a="1"/>
  <c r="S34" i="9" s="1"/>
  <c r="T34" i="9" a="1"/>
  <c r="T34" i="9" s="1"/>
  <c r="U34" i="9" a="1"/>
  <c r="U34" i="9" s="1"/>
  <c r="R35" i="9" a="1"/>
  <c r="R35" i="9" s="1"/>
  <c r="S35" i="9" a="1"/>
  <c r="S35" i="9" s="1"/>
  <c r="T35" i="9" a="1"/>
  <c r="T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14" i="15" s="1"/>
  <c r="F6" i="15"/>
  <c r="B84" i="9" a="1"/>
  <c r="B84" i="9" s="1"/>
  <c r="E16" i="7"/>
  <c r="E17" i="7"/>
  <c r="E18" i="7"/>
  <c r="E19" i="7"/>
  <c r="E20" i="7"/>
  <c r="E21" i="7"/>
  <c r="E22" i="7"/>
  <c r="E23" i="7"/>
  <c r="E24" i="7"/>
  <c r="E25" i="7"/>
  <c r="E26" i="7"/>
  <c r="E27" i="7"/>
  <c r="E28" i="7"/>
  <c r="E29" i="7"/>
  <c r="E30" i="7"/>
  <c r="E31" i="7"/>
  <c r="E32" i="7"/>
  <c r="E33" i="7"/>
  <c r="E34" i="7"/>
  <c r="E35" i="7"/>
  <c r="E36" i="7"/>
  <c r="E15" i="7"/>
  <c r="E83" i="2"/>
  <c r="F83" i="2"/>
  <c r="H83" i="2" s="1"/>
  <c r="I83" i="2" s="1"/>
  <c r="D83" i="2" s="1"/>
  <c r="E84" i="2"/>
  <c r="G84" i="2" s="1"/>
  <c r="F84" i="2"/>
  <c r="H84" i="2" s="1"/>
  <c r="I84" i="2" s="1"/>
  <c r="D84" i="2" s="1"/>
  <c r="E85" i="2"/>
  <c r="F85" i="2"/>
  <c r="H85" i="2" s="1"/>
  <c r="I85" i="2" s="1"/>
  <c r="D85" i="2" s="1"/>
  <c r="E86" i="2"/>
  <c r="F86" i="2"/>
  <c r="E87" i="2"/>
  <c r="F87" i="2"/>
  <c r="H87" i="2"/>
  <c r="I87" i="2" s="1"/>
  <c r="D87" i="2" s="1"/>
  <c r="E88" i="2"/>
  <c r="F88" i="2"/>
  <c r="E89" i="2"/>
  <c r="F89" i="2"/>
  <c r="G89" i="2" s="1"/>
  <c r="E90" i="2"/>
  <c r="F90" i="2"/>
  <c r="G90" i="2" s="1"/>
  <c r="E91" i="2"/>
  <c r="F91" i="2"/>
  <c r="H91" i="2"/>
  <c r="I91" i="2" s="1"/>
  <c r="D91" i="2" s="1"/>
  <c r="E92" i="2"/>
  <c r="F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G75" i="2" s="1"/>
  <c r="E76" i="2"/>
  <c r="F76" i="2"/>
  <c r="H76" i="2" s="1"/>
  <c r="I76" i="2" s="1"/>
  <c r="D76" i="2" s="1"/>
  <c r="E77" i="2"/>
  <c r="G77" i="2" s="1"/>
  <c r="F77" i="2"/>
  <c r="E78" i="2"/>
  <c r="F78" i="2"/>
  <c r="G78" i="2" s="1"/>
  <c r="E79" i="2"/>
  <c r="F79" i="2"/>
  <c r="H79" i="2" s="1"/>
  <c r="I79" i="2" s="1"/>
  <c r="D79" i="2" s="1"/>
  <c r="E80" i="2"/>
  <c r="F80" i="2"/>
  <c r="H80" i="2"/>
  <c r="I80" i="2" s="1"/>
  <c r="D80" i="2" s="1"/>
  <c r="E81" i="2"/>
  <c r="F81" i="2"/>
  <c r="G81" i="2" s="1"/>
  <c r="H81" i="2"/>
  <c r="I81" i="2" s="1"/>
  <c r="D81" i="2" s="1"/>
  <c r="E82" i="2"/>
  <c r="G82" i="2" s="1"/>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56" i="2"/>
  <c r="I56" i="2" s="1"/>
  <c r="D56" i="2" s="1"/>
  <c r="E57" i="2"/>
  <c r="F57" i="2"/>
  <c r="E58" i="2"/>
  <c r="F58" i="2"/>
  <c r="G58" i="2" s="1"/>
  <c r="F27" i="2"/>
  <c r="H27" i="2"/>
  <c r="I27" i="2" s="1"/>
  <c r="D27" i="2" s="1"/>
  <c r="E27" i="2"/>
  <c r="E59" i="2"/>
  <c r="F59" i="2"/>
  <c r="H59" i="2" s="1"/>
  <c r="I59" i="2" s="1"/>
  <c r="D59" i="2" s="1"/>
  <c r="F28" i="2"/>
  <c r="H28" i="2" s="1"/>
  <c r="I28" i="2" s="1"/>
  <c r="D28" i="2" s="1"/>
  <c r="E28" i="2"/>
  <c r="G28" i="2" s="1"/>
  <c r="E60" i="2"/>
  <c r="G60" i="2" s="1"/>
  <c r="F60" i="2"/>
  <c r="H60" i="2" s="1"/>
  <c r="I60" i="2" s="1"/>
  <c r="D60" i="2" s="1"/>
  <c r="E61" i="2"/>
  <c r="F61" i="2"/>
  <c r="E62" i="2"/>
  <c r="F62" i="2"/>
  <c r="H62" i="2" s="1"/>
  <c r="I62" i="2" s="1"/>
  <c r="D62" i="2" s="1"/>
  <c r="E63" i="2"/>
  <c r="G63" i="2" s="1"/>
  <c r="F63" i="2"/>
  <c r="H63" i="2"/>
  <c r="I63" i="2" s="1"/>
  <c r="D63" i="2" s="1"/>
  <c r="E64" i="2"/>
  <c r="F64" i="2"/>
  <c r="E65" i="2"/>
  <c r="F65" i="2"/>
  <c r="G65" i="2" s="1"/>
  <c r="E66" i="2"/>
  <c r="F66" i="2"/>
  <c r="H66" i="2" s="1"/>
  <c r="I66" i="2" s="1"/>
  <c r="D66" i="2" s="1"/>
  <c r="E67" i="2"/>
  <c r="F67" i="2"/>
  <c r="H67" i="2" s="1"/>
  <c r="I67" i="2" s="1"/>
  <c r="D67" i="2" s="1"/>
  <c r="E68" i="2"/>
  <c r="G68" i="2" s="1"/>
  <c r="F68" i="2"/>
  <c r="E69" i="2"/>
  <c r="F69" i="2"/>
  <c r="H69" i="2" s="1"/>
  <c r="I69" i="2" s="1"/>
  <c r="D69" i="2" s="1"/>
  <c r="E70" i="2"/>
  <c r="F70" i="2"/>
  <c r="H70" i="2" s="1"/>
  <c r="I70" i="2" s="1"/>
  <c r="D70" i="2" s="1"/>
  <c r="E71" i="2"/>
  <c r="F71" i="2"/>
  <c r="H71" i="2"/>
  <c r="I71" i="2" s="1"/>
  <c r="D71" i="2" s="1"/>
  <c r="E72" i="2"/>
  <c r="F72" i="2"/>
  <c r="H72" i="2" s="1"/>
  <c r="I72" i="2" s="1"/>
  <c r="D72" i="2" s="1"/>
  <c r="E73" i="2"/>
  <c r="F73" i="2"/>
  <c r="H73" i="2" s="1"/>
  <c r="I73" i="2" s="1"/>
  <c r="D73" i="2" s="1"/>
  <c r="E45" i="2"/>
  <c r="F45" i="2"/>
  <c r="E46" i="2"/>
  <c r="F46" i="2"/>
  <c r="H46" i="2" s="1"/>
  <c r="I46" i="2" s="1"/>
  <c r="D46" i="2" s="1"/>
  <c r="E47" i="2"/>
  <c r="F47" i="2"/>
  <c r="H47" i="2" s="1"/>
  <c r="I47" i="2" s="1"/>
  <c r="D47" i="2" s="1"/>
  <c r="E48" i="2"/>
  <c r="F48" i="2"/>
  <c r="F20" i="2"/>
  <c r="G20" i="2" s="1"/>
  <c r="H20" i="2"/>
  <c r="I20" i="2" s="1"/>
  <c r="D20" i="2" s="1"/>
  <c r="E20" i="2"/>
  <c r="E49" i="2"/>
  <c r="F49" i="2"/>
  <c r="F21" i="2"/>
  <c r="H21" i="2"/>
  <c r="I21" i="2" s="1"/>
  <c r="D21" i="2" s="1"/>
  <c r="E21" i="2"/>
  <c r="G21" i="2" s="1"/>
  <c r="E50" i="2"/>
  <c r="F50" i="2"/>
  <c r="H50" i="2" s="1"/>
  <c r="I50" i="2" s="1"/>
  <c r="D50" i="2" s="1"/>
  <c r="E51" i="2"/>
  <c r="F51" i="2"/>
  <c r="H51" i="2" s="1"/>
  <c r="I51" i="2" s="1"/>
  <c r="D51" i="2" s="1"/>
  <c r="E52" i="2"/>
  <c r="F52" i="2"/>
  <c r="H52" i="2" s="1"/>
  <c r="I52" i="2" s="1"/>
  <c r="D52" i="2" s="1"/>
  <c r="E53" i="2"/>
  <c r="F53" i="2"/>
  <c r="H53" i="2" s="1"/>
  <c r="I53" i="2" s="1"/>
  <c r="D53" i="2" s="1"/>
  <c r="E54" i="2"/>
  <c r="F54" i="2"/>
  <c r="H54" i="2" s="1"/>
  <c r="I54" i="2" s="1"/>
  <c r="D54" i="2" s="1"/>
  <c r="F24" i="2"/>
  <c r="G24" i="2" s="1"/>
  <c r="H24" i="2"/>
  <c r="I24" i="2" s="1"/>
  <c r="D24" i="2" s="1"/>
  <c r="E24" i="2"/>
  <c r="E55" i="2"/>
  <c r="F55" i="2"/>
  <c r="H55" i="2" s="1"/>
  <c r="I55" i="2" s="1"/>
  <c r="D55" i="2" s="1"/>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c r="I6" i="2" s="1"/>
  <c r="D6" i="2" s="1"/>
  <c r="E6" i="2"/>
  <c r="G6" i="2" s="1"/>
  <c r="F5" i="2"/>
  <c r="H5" i="2"/>
  <c r="I5" i="2" s="1"/>
  <c r="D5" i="2" s="1"/>
  <c r="E5" i="2"/>
  <c r="E34" i="2"/>
  <c r="F34" i="2"/>
  <c r="H34" i="2" s="1"/>
  <c r="I34" i="2" s="1"/>
  <c r="D34" i="2" s="1"/>
  <c r="F18" i="2"/>
  <c r="H18" i="2" s="1"/>
  <c r="I18" i="2" s="1"/>
  <c r="D18" i="2" s="1"/>
  <c r="E18" i="2"/>
  <c r="E35" i="2"/>
  <c r="F35" i="2"/>
  <c r="H35" i="2" s="1"/>
  <c r="I35" i="2" s="1"/>
  <c r="D35" i="2" s="1"/>
  <c r="E36" i="2"/>
  <c r="F36" i="2"/>
  <c r="H36" i="2" s="1"/>
  <c r="I36" i="2" s="1"/>
  <c r="D36" i="2" s="1"/>
  <c r="F22" i="2"/>
  <c r="H22" i="2" s="1"/>
  <c r="I22" i="2" s="1"/>
  <c r="D22" i="2" s="1"/>
  <c r="E22" i="2"/>
  <c r="F7" i="2"/>
  <c r="E7" i="2"/>
  <c r="G7" i="2" s="1"/>
  <c r="E37" i="2"/>
  <c r="F37" i="2"/>
  <c r="G37" i="2"/>
  <c r="E39" i="2"/>
  <c r="F39" i="2"/>
  <c r="H39" i="2" s="1"/>
  <c r="I39" i="2" s="1"/>
  <c r="D39" i="2" s="1"/>
  <c r="E40" i="2"/>
  <c r="F40" i="2"/>
  <c r="H40" i="2" s="1"/>
  <c r="I40" i="2" s="1"/>
  <c r="D40" i="2" s="1"/>
  <c r="E41" i="2"/>
  <c r="F41" i="2"/>
  <c r="H41" i="2" s="1"/>
  <c r="I41" i="2" s="1"/>
  <c r="D41" i="2" s="1"/>
  <c r="E42" i="2"/>
  <c r="F42" i="2"/>
  <c r="G42" i="2" s="1"/>
  <c r="E43" i="2"/>
  <c r="F43" i="2"/>
  <c r="H43" i="2" s="1"/>
  <c r="I43" i="2" s="1"/>
  <c r="D43" i="2" s="1"/>
  <c r="E44" i="2"/>
  <c r="F44" i="2"/>
  <c r="G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E13" i="2"/>
  <c r="F23" i="2"/>
  <c r="H23" i="2" s="1"/>
  <c r="I23" i="2" s="1"/>
  <c r="D23" i="2" s="1"/>
  <c r="E23" i="2"/>
  <c r="F15" i="2"/>
  <c r="H15" i="2" s="1"/>
  <c r="I15" i="2" s="1"/>
  <c r="D15" i="2" s="1"/>
  <c r="E15" i="2"/>
  <c r="F16" i="2"/>
  <c r="H16" i="2" s="1"/>
  <c r="I16" i="2" s="1"/>
  <c r="D16" i="2" s="1"/>
  <c r="E16" i="2"/>
  <c r="G16" i="2" s="1"/>
  <c r="F26" i="2"/>
  <c r="H26" i="2" s="1"/>
  <c r="I26" i="2" s="1"/>
  <c r="D26" i="2" s="1"/>
  <c r="E26" i="2"/>
  <c r="F29" i="2"/>
  <c r="H29" i="2" s="1"/>
  <c r="I29" i="2" s="1"/>
  <c r="D29" i="2" s="1"/>
  <c r="E29" i="2"/>
  <c r="G29" i="2" s="1"/>
  <c r="F30" i="2"/>
  <c r="G30" i="2" s="1"/>
  <c r="F31" i="2"/>
  <c r="H31" i="2"/>
  <c r="I31" i="2" s="1"/>
  <c r="D31" i="2" s="1"/>
  <c r="E31" i="2"/>
  <c r="F32" i="2"/>
  <c r="H32" i="2" s="1"/>
  <c r="I32" i="2" s="1"/>
  <c r="D32" i="2" s="1"/>
  <c r="F14" i="2"/>
  <c r="H14" i="2" s="1"/>
  <c r="I14" i="2" s="1"/>
  <c r="D14" i="2" s="1"/>
  <c r="E14" i="2"/>
  <c r="E30" i="2"/>
  <c r="E32" i="2"/>
  <c r="N4" i="17"/>
  <c r="F12" i="2"/>
  <c r="E12" i="2"/>
  <c r="F11" i="2"/>
  <c r="H11" i="2" s="1"/>
  <c r="I11" i="2" s="1"/>
  <c r="E11" i="2"/>
  <c r="E17" i="2"/>
  <c r="F17" i="2"/>
  <c r="H17" i="2" s="1"/>
  <c r="I17" i="2" s="1"/>
  <c r="D17" i="2" s="1"/>
  <c r="F9" i="2"/>
  <c r="H9" i="2" s="1"/>
  <c r="I9" i="2" s="1"/>
  <c r="D9" i="2" s="1"/>
  <c r="E9" i="2"/>
  <c r="E8" i="2"/>
  <c r="F8" i="2"/>
  <c r="H8" i="2" s="1"/>
  <c r="I8" i="2" s="1"/>
  <c r="D8" i="2" s="1"/>
  <c r="E10" i="2"/>
  <c r="G10" i="2" s="1"/>
  <c r="E4" i="2"/>
  <c r="C8" i="8"/>
  <c r="F10" i="2"/>
  <c r="H10" i="2" s="1"/>
  <c r="I10" i="2" s="1"/>
  <c r="D10" i="2" s="1"/>
  <c r="F4" i="2"/>
  <c r="H4" i="2" s="1"/>
  <c r="I4" i="2" s="1"/>
  <c r="D4" i="2" s="1"/>
  <c r="N3" i="7"/>
  <c r="N5" i="7" s="1"/>
  <c r="E6" i="11"/>
  <c r="D6" i="11"/>
  <c r="F3" i="2"/>
  <c r="J15" i="14"/>
  <c r="H92" i="2"/>
  <c r="I92" i="2" s="1"/>
  <c r="D92" i="2" s="1"/>
  <c r="G87" i="2"/>
  <c r="H94" i="2"/>
  <c r="I94" i="2"/>
  <c r="D94" i="2"/>
  <c r="G91" i="2"/>
  <c r="H89" i="2"/>
  <c r="I89" i="2"/>
  <c r="D89" i="2"/>
  <c r="H98" i="2"/>
  <c r="I98" i="2"/>
  <c r="D98" i="2"/>
  <c r="H93" i="2"/>
  <c r="I93" i="2"/>
  <c r="D93" i="2"/>
  <c r="H95" i="2"/>
  <c r="I95" i="2"/>
  <c r="D95" i="2"/>
  <c r="H97" i="2"/>
  <c r="I97" i="2"/>
  <c r="D97" i="2"/>
  <c r="H82" i="2"/>
  <c r="I82" i="2" s="1"/>
  <c r="D82" i="2" s="1"/>
  <c r="B2" i="2"/>
  <c r="J30" i="15"/>
  <c r="N5" i="17"/>
  <c r="H48" i="1"/>
  <c r="H25" i="1"/>
  <c r="H35" i="1"/>
  <c r="H51" i="1"/>
  <c r="H23" i="1"/>
  <c r="H29" i="1"/>
  <c r="H9" i="1"/>
  <c r="H11" i="1"/>
  <c r="H32" i="1"/>
  <c r="H52" i="1"/>
  <c r="H7" i="1"/>
  <c r="H13" i="1"/>
  <c r="H21" i="1"/>
  <c r="H15" i="1"/>
  <c r="H33" i="1"/>
  <c r="H24" i="1"/>
  <c r="H18" i="1"/>
  <c r="H57" i="1"/>
  <c r="H36" i="1"/>
  <c r="H27" i="1"/>
  <c r="H14" i="1"/>
  <c r="H12" i="1"/>
  <c r="H49" i="1"/>
  <c r="H2" i="1"/>
  <c r="H5" i="1"/>
  <c r="H56" i="1"/>
  <c r="H31" i="1"/>
  <c r="H16" i="1"/>
  <c r="H55" i="1"/>
  <c r="H6" i="1"/>
  <c r="H34" i="1"/>
  <c r="H4" i="1"/>
  <c r="H22" i="1"/>
  <c r="H53" i="1"/>
  <c r="H30" i="1"/>
  <c r="H50" i="1"/>
  <c r="H10" i="1"/>
  <c r="H20" i="1"/>
  <c r="H26" i="1"/>
  <c r="H17" i="1"/>
  <c r="H58" i="1"/>
  <c r="H8" i="1"/>
  <c r="H28" i="1"/>
  <c r="H3" i="1"/>
  <c r="H59" i="1"/>
  <c r="H54" i="1"/>
  <c r="H19" i="1"/>
  <c r="H49" i="2"/>
  <c r="I49" i="2" s="1"/>
  <c r="D49" i="2" s="1"/>
  <c r="H37" i="2"/>
  <c r="I37" i="2" s="1"/>
  <c r="D37" i="2" s="1"/>
  <c r="H58" i="2"/>
  <c r="I58" i="2" s="1"/>
  <c r="D58" i="2" s="1"/>
  <c r="G64" i="2"/>
  <c r="C16" i="10"/>
  <c r="G55" i="2"/>
  <c r="G50" i="2"/>
  <c r="H64" i="2"/>
  <c r="I64" i="2" s="1"/>
  <c r="D64" i="2" s="1"/>
  <c r="G39" i="2"/>
  <c r="H7" i="2"/>
  <c r="I7" i="2" s="1"/>
  <c r="D7" i="2" s="1"/>
  <c r="G49" i="2"/>
  <c r="G69" i="2"/>
  <c r="G33" i="2"/>
  <c r="G51" i="2"/>
  <c r="G57" i="2"/>
  <c r="G15" i="2"/>
  <c r="G66" i="2"/>
  <c r="G72" i="2"/>
  <c r="G45" i="2"/>
  <c r="H57" i="2"/>
  <c r="I57" i="2" s="1"/>
  <c r="D57" i="2" s="1"/>
  <c r="G53" i="2"/>
  <c r="G38" i="2"/>
  <c r="G31" i="2"/>
  <c r="G71" i="2"/>
  <c r="H45" i="2"/>
  <c r="I45" i="2"/>
  <c r="D45" i="2" s="1"/>
  <c r="G35" i="2"/>
  <c r="H68" i="2"/>
  <c r="I68" i="2" s="1"/>
  <c r="D68" i="2" s="1"/>
  <c r="H77" i="2"/>
  <c r="I77" i="2" s="1"/>
  <c r="D77" i="2" s="1"/>
  <c r="G76" i="2"/>
  <c r="C2" i="2"/>
  <c r="J51" i="9" l="1" a="1"/>
  <c r="J51" i="9" s="1"/>
  <c r="H53" i="9" a="1"/>
  <c r="H53" i="9" s="1"/>
  <c r="L54" i="9" a="1"/>
  <c r="L54" i="9" s="1"/>
  <c r="J56" i="9" a="1"/>
  <c r="J56" i="9" s="1"/>
  <c r="G58" i="9" a="1"/>
  <c r="G58" i="9" s="1"/>
  <c r="L59" i="9" a="1"/>
  <c r="L59" i="9" s="1"/>
  <c r="J61" i="9" a="1"/>
  <c r="J61" i="9" s="1"/>
  <c r="H63" i="9" a="1"/>
  <c r="H63" i="9" s="1"/>
  <c r="M64" i="9" a="1"/>
  <c r="M64" i="9" s="1"/>
  <c r="K66" i="9" a="1"/>
  <c r="K66" i="9" s="1"/>
  <c r="I68" i="9" a="1"/>
  <c r="I68" i="9" s="1"/>
  <c r="G70" i="9" a="1"/>
  <c r="G70" i="9" s="1"/>
  <c r="L71" i="9" a="1"/>
  <c r="L71" i="9" s="1"/>
  <c r="J73" i="9" a="1"/>
  <c r="J73" i="9" s="1"/>
  <c r="H75" i="9" a="1"/>
  <c r="H75" i="9" s="1"/>
  <c r="K51" i="9" a="1"/>
  <c r="K51" i="9" s="1"/>
  <c r="I53" i="9" a="1"/>
  <c r="I53" i="9" s="1"/>
  <c r="M54" i="9" a="1"/>
  <c r="M54" i="9" s="1"/>
  <c r="K56" i="9" a="1"/>
  <c r="K56" i="9" s="1"/>
  <c r="H58" i="9" a="1"/>
  <c r="H58" i="9" s="1"/>
  <c r="M59" i="9" a="1"/>
  <c r="M59" i="9" s="1"/>
  <c r="K61" i="9" a="1"/>
  <c r="K61" i="9" s="1"/>
  <c r="I63" i="9" a="1"/>
  <c r="I63" i="9" s="1"/>
  <c r="G65" i="9" a="1"/>
  <c r="G65" i="9" s="1"/>
  <c r="L66" i="9" a="1"/>
  <c r="L66" i="9" s="1"/>
  <c r="J68" i="9" a="1"/>
  <c r="J68" i="9" s="1"/>
  <c r="H70" i="9" a="1"/>
  <c r="H70" i="9" s="1"/>
  <c r="M71" i="9" a="1"/>
  <c r="M71" i="9" s="1"/>
  <c r="K73" i="9" a="1"/>
  <c r="K73" i="9" s="1"/>
  <c r="I75" i="9" a="1"/>
  <c r="I75" i="9" s="1"/>
  <c r="G50" i="9" a="1"/>
  <c r="G50" i="9" s="1"/>
  <c r="L51" i="9" a="1"/>
  <c r="L51" i="9" s="1"/>
  <c r="G55" i="9" a="1"/>
  <c r="G55" i="9" s="1"/>
  <c r="L56" i="9" a="1"/>
  <c r="L56" i="9" s="1"/>
  <c r="I58" i="9" a="1"/>
  <c r="I58" i="9" s="1"/>
  <c r="G60" i="9" a="1"/>
  <c r="G60" i="9" s="1"/>
  <c r="L61" i="9" a="1"/>
  <c r="L61" i="9" s="1"/>
  <c r="J63" i="9" a="1"/>
  <c r="J63" i="9" s="1"/>
  <c r="H65" i="9" a="1"/>
  <c r="H65" i="9" s="1"/>
  <c r="M66" i="9" a="1"/>
  <c r="M66" i="9" s="1"/>
  <c r="K68" i="9" a="1"/>
  <c r="K68" i="9" s="1"/>
  <c r="I70" i="9" a="1"/>
  <c r="I70" i="9" s="1"/>
  <c r="G72" i="9" a="1"/>
  <c r="G72" i="9" s="1"/>
  <c r="L73" i="9" a="1"/>
  <c r="L73" i="9" s="1"/>
  <c r="J75" i="9" a="1"/>
  <c r="J75" i="9" s="1"/>
  <c r="H50" i="9" a="1"/>
  <c r="H50" i="9" s="1"/>
  <c r="M51" i="9" a="1"/>
  <c r="M51" i="9" s="1"/>
  <c r="J53" i="9" a="1"/>
  <c r="J53" i="9" s="1"/>
  <c r="H55" i="9" a="1"/>
  <c r="H55" i="9" s="1"/>
  <c r="M56" i="9" a="1"/>
  <c r="M56" i="9" s="1"/>
  <c r="J58" i="9" a="1"/>
  <c r="J58" i="9" s="1"/>
  <c r="H60" i="9" a="1"/>
  <c r="H60" i="9" s="1"/>
  <c r="M61" i="9" a="1"/>
  <c r="M61" i="9" s="1"/>
  <c r="K63" i="9" a="1"/>
  <c r="K63" i="9" s="1"/>
  <c r="I65" i="9" a="1"/>
  <c r="I65" i="9" s="1"/>
  <c r="G67" i="9" a="1"/>
  <c r="G67" i="9" s="1"/>
  <c r="L68" i="9" a="1"/>
  <c r="L68" i="9" s="1"/>
  <c r="J70" i="9" a="1"/>
  <c r="J70" i="9" s="1"/>
  <c r="H72" i="9" a="1"/>
  <c r="H72" i="9" s="1"/>
  <c r="M73" i="9" a="1"/>
  <c r="M73" i="9" s="1"/>
  <c r="K75" i="9" a="1"/>
  <c r="K75" i="9" s="1"/>
  <c r="O86" i="9"/>
  <c r="AD7" i="9" s="1"/>
  <c r="O98" i="9"/>
  <c r="AD19" i="9" s="1"/>
  <c r="C86" i="9"/>
  <c r="R7" i="9" s="1" a="1"/>
  <c r="R7" i="9" s="1"/>
  <c r="D87" i="9"/>
  <c r="S8" i="9" s="1" a="1"/>
  <c r="S8" i="9" s="1"/>
  <c r="E88" i="9"/>
  <c r="T9" i="9" s="1" a="1"/>
  <c r="T9" i="9" s="1"/>
  <c r="F89" i="9"/>
  <c r="U10" i="9" s="1" a="1"/>
  <c r="U10" i="9" s="1"/>
  <c r="G90" i="9"/>
  <c r="V11" i="9" s="1" a="1"/>
  <c r="V11" i="9" s="1"/>
  <c r="H91" i="9"/>
  <c r="W12" i="9" s="1" a="1"/>
  <c r="W12" i="9" s="1"/>
  <c r="I92" i="9"/>
  <c r="J93" i="9"/>
  <c r="Y14" i="9" s="1" a="1"/>
  <c r="Y14" i="9" s="1"/>
  <c r="K94" i="9"/>
  <c r="Z15" i="9" s="1" a="1"/>
  <c r="Z15" i="9" s="1"/>
  <c r="L95" i="9"/>
  <c r="AA16" i="9" s="1" a="1"/>
  <c r="AA16" i="9" s="1"/>
  <c r="M96" i="9"/>
  <c r="AB17" i="9" s="1" a="1"/>
  <c r="AB17" i="9" s="1"/>
  <c r="C98" i="9"/>
  <c r="D99" i="9"/>
  <c r="S20" i="9" s="1" a="1"/>
  <c r="S20" i="9" s="1"/>
  <c r="E100" i="9"/>
  <c r="T21" i="9" s="1" a="1"/>
  <c r="T21" i="9" s="1"/>
  <c r="F101" i="9"/>
  <c r="U22" i="9" s="1" a="1"/>
  <c r="U22" i="9" s="1"/>
  <c r="G102" i="9"/>
  <c r="V23" i="9" s="1" a="1"/>
  <c r="V23" i="9" s="1"/>
  <c r="H103" i="9"/>
  <c r="W24" i="9" s="1" a="1"/>
  <c r="W24" i="9" s="1"/>
  <c r="I104" i="9"/>
  <c r="X25" i="9" s="1" a="1"/>
  <c r="X25" i="9" s="1"/>
  <c r="J105" i="9"/>
  <c r="K106" i="9"/>
  <c r="L107" i="9"/>
  <c r="AA28" i="9" s="1" a="1"/>
  <c r="AA28" i="9" s="1"/>
  <c r="M108" i="9"/>
  <c r="AB29" i="9" s="1" a="1"/>
  <c r="AB29" i="9" s="1"/>
  <c r="O87" i="9"/>
  <c r="AD8" i="9" s="1"/>
  <c r="O99" i="9"/>
  <c r="AD20" i="9" s="1"/>
  <c r="C85" i="9"/>
  <c r="R6" i="9" s="1" a="1"/>
  <c r="R6" i="9" s="1"/>
  <c r="D86" i="9"/>
  <c r="S7" i="9" s="1" a="1"/>
  <c r="S7" i="9" s="1"/>
  <c r="E87" i="9"/>
  <c r="T8" i="9" s="1" a="1"/>
  <c r="T8" i="9" s="1"/>
  <c r="F88" i="9"/>
  <c r="U9" i="9" s="1" a="1"/>
  <c r="U9" i="9" s="1"/>
  <c r="G89" i="9"/>
  <c r="V10" i="9" s="1" a="1"/>
  <c r="V10" i="9" s="1"/>
  <c r="H90" i="9"/>
  <c r="W11" i="9" s="1" a="1"/>
  <c r="W11" i="9" s="1"/>
  <c r="I91" i="9"/>
  <c r="J92" i="9"/>
  <c r="K93" i="9"/>
  <c r="Z14" i="9" s="1" a="1"/>
  <c r="Z14" i="9" s="1"/>
  <c r="M95" i="9"/>
  <c r="AB16" i="9" s="1" a="1"/>
  <c r="AB16" i="9" s="1"/>
  <c r="C97" i="9"/>
  <c r="R18" i="9" s="1" a="1"/>
  <c r="R18" i="9" s="1"/>
  <c r="D98" i="9"/>
  <c r="E99" i="9"/>
  <c r="F100" i="9"/>
  <c r="G101" i="9"/>
  <c r="V22" i="9" s="1" a="1"/>
  <c r="V22" i="9" s="1"/>
  <c r="H102" i="9"/>
  <c r="W23" i="9" s="1" a="1"/>
  <c r="W23" i="9" s="1"/>
  <c r="I103" i="9"/>
  <c r="X24" i="9" s="1" a="1"/>
  <c r="X24" i="9" s="1"/>
  <c r="K105" i="9"/>
  <c r="Z26" i="9" s="1" a="1"/>
  <c r="Z26" i="9" s="1"/>
  <c r="L106" i="9"/>
  <c r="X12" i="9" a="1"/>
  <c r="X12" i="9" s="1"/>
  <c r="Y26" i="9" a="1"/>
  <c r="Y26" i="9" s="1"/>
  <c r="I50" i="9" a="1"/>
  <c r="I50" i="9" s="1"/>
  <c r="G52" i="9" a="1"/>
  <c r="G52" i="9" s="1"/>
  <c r="K53" i="9" a="1"/>
  <c r="K53" i="9" s="1"/>
  <c r="I55" i="9" a="1"/>
  <c r="I55" i="9" s="1"/>
  <c r="G57" i="9" a="1"/>
  <c r="G57" i="9" s="1"/>
  <c r="K58" i="9" a="1"/>
  <c r="K58" i="9" s="1"/>
  <c r="I60" i="9" a="1"/>
  <c r="I60" i="9" s="1"/>
  <c r="G62" i="9" a="1"/>
  <c r="G62" i="9" s="1"/>
  <c r="L63" i="9" a="1"/>
  <c r="L63" i="9" s="1"/>
  <c r="J65" i="9" a="1"/>
  <c r="J65" i="9" s="1"/>
  <c r="H67" i="9" a="1"/>
  <c r="H67" i="9" s="1"/>
  <c r="M68" i="9" a="1"/>
  <c r="M68" i="9" s="1"/>
  <c r="K70" i="9" a="1"/>
  <c r="K70" i="9" s="1"/>
  <c r="I72" i="9" a="1"/>
  <c r="I72" i="9" s="1"/>
  <c r="G74" i="9" a="1"/>
  <c r="G74" i="9" s="1"/>
  <c r="L75" i="9" a="1"/>
  <c r="L75" i="9" s="1"/>
  <c r="L94" i="9"/>
  <c r="J104" i="9"/>
  <c r="M107" i="9"/>
  <c r="AB28" i="9" s="1" a="1"/>
  <c r="AB28" i="9" s="1"/>
  <c r="X31" i="9" a="1"/>
  <c r="X31" i="9" s="1"/>
  <c r="K50" i="9" a="1"/>
  <c r="K50" i="9" s="1"/>
  <c r="I52" i="9" a="1"/>
  <c r="I52" i="9" s="1"/>
  <c r="M53" i="9" a="1"/>
  <c r="M53" i="9" s="1"/>
  <c r="K55" i="9" a="1"/>
  <c r="K55" i="9" s="1"/>
  <c r="I57" i="9" a="1"/>
  <c r="I57" i="9" s="1"/>
  <c r="M58" i="9" a="1"/>
  <c r="M58" i="9" s="1"/>
  <c r="K60" i="9" a="1"/>
  <c r="K60" i="9" s="1"/>
  <c r="I62" i="9" a="1"/>
  <c r="I62" i="9" s="1"/>
  <c r="G64" i="9" a="1"/>
  <c r="G64" i="9" s="1"/>
  <c r="L65" i="9" a="1"/>
  <c r="L65" i="9" s="1"/>
  <c r="J67" i="9" a="1"/>
  <c r="J67" i="9" s="1"/>
  <c r="Z31" i="9" a="1"/>
  <c r="Z31" i="9" s="1"/>
  <c r="M50" i="9" a="1"/>
  <c r="M50" i="9" s="1"/>
  <c r="K52" i="9" a="1"/>
  <c r="K52" i="9" s="1"/>
  <c r="H54" i="9" a="1"/>
  <c r="H54" i="9" s="1"/>
  <c r="M55" i="9" a="1"/>
  <c r="M55" i="9" s="1"/>
  <c r="J57" i="9" a="1"/>
  <c r="J57" i="9" s="1"/>
  <c r="H59" i="9" a="1"/>
  <c r="H59" i="9" s="1"/>
  <c r="M60" i="9" a="1"/>
  <c r="M60" i="9" s="1"/>
  <c r="K62" i="9" a="1"/>
  <c r="K62" i="9" s="1"/>
  <c r="I64" i="9" a="1"/>
  <c r="I64" i="9" s="1"/>
  <c r="G66" i="9" a="1"/>
  <c r="G66" i="9" s="1"/>
  <c r="L67" i="9" a="1"/>
  <c r="L67" i="9" s="1"/>
  <c r="J69" i="9" a="1"/>
  <c r="J69" i="9" s="1"/>
  <c r="H71" i="9" a="1"/>
  <c r="H71" i="9" s="1"/>
  <c r="M72" i="9" a="1"/>
  <c r="M72" i="9" s="1"/>
  <c r="K74" i="9" a="1"/>
  <c r="K74" i="9" s="1"/>
  <c r="V13" i="9" a="1"/>
  <c r="V13" i="9" s="1"/>
  <c r="X13" i="9" a="1"/>
  <c r="X13" i="9" s="1"/>
  <c r="AA31" i="9" a="1"/>
  <c r="AA31" i="9" s="1"/>
  <c r="G51" i="9" a="1"/>
  <c r="G51" i="9" s="1"/>
  <c r="L52" i="9" a="1"/>
  <c r="L52" i="9" s="1"/>
  <c r="I54" i="9" a="1"/>
  <c r="I54" i="9" s="1"/>
  <c r="G56" i="9" a="1"/>
  <c r="G56" i="9" s="1"/>
  <c r="K57" i="9" a="1"/>
  <c r="K57" i="9" s="1"/>
  <c r="I59" i="9" a="1"/>
  <c r="I59" i="9" s="1"/>
  <c r="G61" i="9" a="1"/>
  <c r="G61" i="9" s="1"/>
  <c r="L62" i="9" a="1"/>
  <c r="L62" i="9" s="1"/>
  <c r="J64" i="9" a="1"/>
  <c r="J64" i="9" s="1"/>
  <c r="H66" i="9" a="1"/>
  <c r="H66" i="9" s="1"/>
  <c r="M67" i="9" a="1"/>
  <c r="M67" i="9" s="1"/>
  <c r="K69" i="9" a="1"/>
  <c r="K69" i="9" s="1"/>
  <c r="I71" i="9" a="1"/>
  <c r="I71" i="9" s="1"/>
  <c r="G73" i="9" a="1"/>
  <c r="G73" i="9" s="1"/>
  <c r="L74" i="9" a="1"/>
  <c r="L74" i="9" s="1"/>
  <c r="W25" i="9" a="1"/>
  <c r="W25" i="9" s="1"/>
  <c r="I51" i="9" a="1"/>
  <c r="I51" i="9" s="1"/>
  <c r="I56" i="9" a="1"/>
  <c r="I56" i="9" s="1"/>
  <c r="I61" i="9" a="1"/>
  <c r="I61" i="9" s="1"/>
  <c r="J66" i="9" a="1"/>
  <c r="J66" i="9" s="1"/>
  <c r="G71" i="9" a="1"/>
  <c r="G71" i="9" s="1"/>
  <c r="G75" i="9" a="1"/>
  <c r="G75" i="9" s="1"/>
  <c r="O95" i="9"/>
  <c r="AD16" i="9" s="1"/>
  <c r="O109" i="9"/>
  <c r="AD30" i="9" s="1"/>
  <c r="F86" i="9"/>
  <c r="I87" i="9"/>
  <c r="X8" i="9" s="1" a="1"/>
  <c r="X8" i="9" s="1"/>
  <c r="L88" i="9"/>
  <c r="AA9" i="9" s="1" a="1"/>
  <c r="AA9" i="9" s="1"/>
  <c r="D90" i="9"/>
  <c r="S11" i="9" s="1" a="1"/>
  <c r="S11" i="9" s="1"/>
  <c r="G91" i="9"/>
  <c r="L92" i="9"/>
  <c r="AA13" i="9" s="1" a="1"/>
  <c r="AA13" i="9" s="1"/>
  <c r="D94" i="9"/>
  <c r="S15" i="9" s="1" a="1"/>
  <c r="S15" i="9" s="1"/>
  <c r="G95" i="9"/>
  <c r="J96" i="9"/>
  <c r="Y17" i="9" s="1" a="1"/>
  <c r="Y17" i="9" s="1"/>
  <c r="M97" i="9"/>
  <c r="AB18" i="9" s="1" a="1"/>
  <c r="AB18" i="9" s="1"/>
  <c r="G99" i="9"/>
  <c r="J100" i="9"/>
  <c r="Y21" i="9" s="1" a="1"/>
  <c r="Y21" i="9" s="1"/>
  <c r="M101" i="9"/>
  <c r="AB22" i="9" s="1" a="1"/>
  <c r="AB22" i="9" s="1"/>
  <c r="E103" i="9"/>
  <c r="H104" i="9"/>
  <c r="M105" i="9"/>
  <c r="AB26" i="9" s="1" a="1"/>
  <c r="AB26" i="9" s="1"/>
  <c r="E107" i="9"/>
  <c r="T28" i="9" s="1" a="1"/>
  <c r="T28" i="9" s="1"/>
  <c r="H108" i="9"/>
  <c r="W29" i="9" s="1" a="1"/>
  <c r="W29" i="9" s="1"/>
  <c r="J109" i="9"/>
  <c r="Y30" i="9" s="1" a="1"/>
  <c r="Y30" i="9" s="1"/>
  <c r="G63" i="9" a="1"/>
  <c r="G63" i="9" s="1"/>
  <c r="O101" i="9"/>
  <c r="AD22" i="9" s="1"/>
  <c r="B19" i="20" s="1"/>
  <c r="J86" i="9"/>
  <c r="Y7" i="9" s="1" a="1"/>
  <c r="Y7" i="9" s="1"/>
  <c r="J90" i="9"/>
  <c r="Y11" i="9" s="1" a="1"/>
  <c r="Y11" i="9" s="1"/>
  <c r="H94" i="9"/>
  <c r="W15" i="9" s="1" a="1"/>
  <c r="W15" i="9" s="1"/>
  <c r="E97" i="9"/>
  <c r="K99" i="9"/>
  <c r="Z20" i="9" s="1" a="1"/>
  <c r="Z20" i="9" s="1"/>
  <c r="F102" i="9"/>
  <c r="C105" i="9"/>
  <c r="I107" i="9"/>
  <c r="X28" i="9" s="1" a="1"/>
  <c r="X28" i="9" s="1"/>
  <c r="J60" i="9" a="1"/>
  <c r="J60" i="9" s="1"/>
  <c r="V6" i="9" a="1"/>
  <c r="V6" i="9" s="1"/>
  <c r="H52" i="9" a="1"/>
  <c r="H52" i="9" s="1"/>
  <c r="H57" i="9" a="1"/>
  <c r="H57" i="9" s="1"/>
  <c r="H62" i="9" a="1"/>
  <c r="H62" i="9" s="1"/>
  <c r="I67" i="9" a="1"/>
  <c r="I67" i="9" s="1"/>
  <c r="J71" i="9" a="1"/>
  <c r="J71" i="9" s="1"/>
  <c r="M75" i="9" a="1"/>
  <c r="M75" i="9" s="1"/>
  <c r="O96" i="9"/>
  <c r="AD17" i="9" s="1"/>
  <c r="D85" i="9"/>
  <c r="G86" i="9"/>
  <c r="J87" i="9"/>
  <c r="Y8" i="9" s="1" a="1"/>
  <c r="Y8" i="9" s="1"/>
  <c r="M88" i="9"/>
  <c r="AB9" i="9" s="1" a="1"/>
  <c r="AB9" i="9" s="1"/>
  <c r="E90" i="9"/>
  <c r="T11" i="9" s="1" a="1"/>
  <c r="T11" i="9" s="1"/>
  <c r="J91" i="9"/>
  <c r="Y12" i="9" s="1" a="1"/>
  <c r="Y12" i="9" s="1"/>
  <c r="M92" i="9"/>
  <c r="AB13" i="9" s="1" a="1"/>
  <c r="AB13" i="9" s="1"/>
  <c r="E94" i="9"/>
  <c r="H95" i="9"/>
  <c r="W16" i="9" s="1" a="1"/>
  <c r="W16" i="9" s="1"/>
  <c r="K96" i="9"/>
  <c r="Z17" i="9" s="1" a="1"/>
  <c r="Z17" i="9" s="1"/>
  <c r="E98" i="9"/>
  <c r="H99" i="9"/>
  <c r="W20" i="9" s="1" a="1"/>
  <c r="W20" i="9" s="1"/>
  <c r="K100" i="9"/>
  <c r="Z21" i="9" s="1" a="1"/>
  <c r="Z21" i="9" s="1"/>
  <c r="C102" i="9"/>
  <c r="R23" i="9" s="1" a="1"/>
  <c r="R23" i="9" s="1"/>
  <c r="F103" i="9"/>
  <c r="U24" i="9" s="1" a="1"/>
  <c r="U24" i="9" s="1"/>
  <c r="K104" i="9"/>
  <c r="Z25" i="9" s="1" a="1"/>
  <c r="Z25" i="9" s="1"/>
  <c r="C106" i="9"/>
  <c r="R27" i="9" s="1" a="1"/>
  <c r="R27" i="9" s="1"/>
  <c r="F107" i="9"/>
  <c r="U28" i="9" s="1" a="1"/>
  <c r="U28" i="9" s="1"/>
  <c r="I108" i="9"/>
  <c r="X29" i="9" s="1" a="1"/>
  <c r="X29" i="9" s="1"/>
  <c r="K109" i="9"/>
  <c r="Z30" i="9" s="1" a="1"/>
  <c r="Z30" i="9" s="1"/>
  <c r="K71" i="9" a="1"/>
  <c r="K71" i="9" s="1"/>
  <c r="O97" i="9"/>
  <c r="AD18" i="9" s="1"/>
  <c r="B15" i="20" s="1"/>
  <c r="H86" i="9"/>
  <c r="C89" i="9"/>
  <c r="R10" i="9" s="1" a="1"/>
  <c r="R10" i="9" s="1"/>
  <c r="K91" i="9"/>
  <c r="Z12" i="9" s="1" a="1"/>
  <c r="Z12" i="9" s="1"/>
  <c r="C93" i="9"/>
  <c r="R14" i="9" s="1" a="1"/>
  <c r="R14" i="9" s="1"/>
  <c r="I95" i="9"/>
  <c r="X16" i="9" s="1" a="1"/>
  <c r="X16" i="9" s="1"/>
  <c r="F98" i="9"/>
  <c r="U19" i="9" s="1" a="1"/>
  <c r="U19" i="9" s="1"/>
  <c r="L100" i="9"/>
  <c r="AA21" i="9" s="1" a="1"/>
  <c r="AA21" i="9" s="1"/>
  <c r="G103" i="9"/>
  <c r="D106" i="9"/>
  <c r="J108" i="9"/>
  <c r="L57" i="9" a="1"/>
  <c r="L57" i="9" s="1"/>
  <c r="J72" i="9" a="1"/>
  <c r="J72" i="9" s="1"/>
  <c r="V12" i="9" a="1"/>
  <c r="V12" i="9" s="1"/>
  <c r="G53" i="9" a="1"/>
  <c r="G53" i="9" s="1"/>
  <c r="K72" i="9" a="1"/>
  <c r="K72" i="9" s="1"/>
  <c r="O85" i="9"/>
  <c r="AD6" i="9" s="1"/>
  <c r="G85" i="9"/>
  <c r="M87" i="9"/>
  <c r="AB8" i="9" s="1" a="1"/>
  <c r="AB8" i="9" s="1"/>
  <c r="E89" i="9"/>
  <c r="M91" i="9"/>
  <c r="AB12" i="9" s="1" a="1"/>
  <c r="AB12" i="9" s="1"/>
  <c r="E93" i="9"/>
  <c r="T14" i="9" s="1" a="1"/>
  <c r="T14" i="9" s="1"/>
  <c r="K95" i="9"/>
  <c r="Z16" i="9" s="1" a="1"/>
  <c r="Z16" i="9" s="1"/>
  <c r="H98" i="9"/>
  <c r="C101" i="9"/>
  <c r="R22" i="9" s="1" a="1"/>
  <c r="R22" i="9" s="1"/>
  <c r="K103" i="9"/>
  <c r="Z24" i="9" s="1" a="1"/>
  <c r="Z24" i="9" s="1"/>
  <c r="F106" i="9"/>
  <c r="U27" i="9" s="1" a="1"/>
  <c r="U27" i="9" s="1"/>
  <c r="L108" i="9"/>
  <c r="AA29" i="9" s="1" a="1"/>
  <c r="AA29" i="9" s="1"/>
  <c r="L55" i="9" a="1"/>
  <c r="L55" i="9" s="1"/>
  <c r="O93" i="9"/>
  <c r="O107" i="9"/>
  <c r="AD28" i="9" s="1"/>
  <c r="B25" i="20" s="1"/>
  <c r="G87" i="9"/>
  <c r="V8" i="9" s="1" a="1"/>
  <c r="V8" i="9" s="1"/>
  <c r="J88" i="9"/>
  <c r="Y9" i="9" s="1" a="1"/>
  <c r="Y9" i="9" s="1"/>
  <c r="E91" i="9"/>
  <c r="T12" i="9" s="1" a="1"/>
  <c r="T12" i="9" s="1"/>
  <c r="M93" i="9"/>
  <c r="AB14" i="9" s="1" a="1"/>
  <c r="AB14" i="9" s="1"/>
  <c r="E95" i="9"/>
  <c r="K97" i="9"/>
  <c r="Z18" i="9" s="1" a="1"/>
  <c r="Z18" i="9" s="1"/>
  <c r="C103" i="9"/>
  <c r="R24" i="9" s="1" a="1"/>
  <c r="R24" i="9" s="1"/>
  <c r="H109" i="9"/>
  <c r="W30" i="9" s="1" a="1"/>
  <c r="W30" i="9" s="1"/>
  <c r="W7" i="9" a="1"/>
  <c r="W7" i="9" s="1"/>
  <c r="V31" i="9" a="1"/>
  <c r="V31" i="9" s="1"/>
  <c r="AA15" i="9" a="1"/>
  <c r="AA15" i="9" s="1"/>
  <c r="J52" i="9" a="1"/>
  <c r="J52" i="9" s="1"/>
  <c r="J62" i="9" a="1"/>
  <c r="J62" i="9" s="1"/>
  <c r="K67" i="9" a="1"/>
  <c r="K67" i="9" s="1"/>
  <c r="E85" i="9"/>
  <c r="T6" i="9" s="1" a="1"/>
  <c r="T6" i="9" s="1"/>
  <c r="K87" i="9"/>
  <c r="Z8" i="9" s="1" a="1"/>
  <c r="Z8" i="9" s="1"/>
  <c r="F90" i="9"/>
  <c r="U11" i="9" s="1" a="1"/>
  <c r="U11" i="9" s="1"/>
  <c r="F94" i="9"/>
  <c r="U15" i="9" s="1" a="1"/>
  <c r="U15" i="9" s="1"/>
  <c r="L96" i="9"/>
  <c r="AA17" i="9" s="1" a="1"/>
  <c r="AA17" i="9" s="1"/>
  <c r="I99" i="9"/>
  <c r="X20" i="9" s="1" a="1"/>
  <c r="X20" i="9" s="1"/>
  <c r="D102" i="9"/>
  <c r="S23" i="9" s="1" a="1"/>
  <c r="S23" i="9" s="1"/>
  <c r="L104" i="9"/>
  <c r="AA25" i="9" s="1" a="1"/>
  <c r="AA25" i="9" s="1"/>
  <c r="G107" i="9"/>
  <c r="L109" i="9"/>
  <c r="AA30" i="9" s="1" a="1"/>
  <c r="AA30" i="9" s="1"/>
  <c r="W31" i="9" a="1"/>
  <c r="W31" i="9" s="1"/>
  <c r="Y25" i="9" a="1"/>
  <c r="Y25" i="9" s="1"/>
  <c r="M52" i="9" a="1"/>
  <c r="M52" i="9" s="1"/>
  <c r="M62" i="9" a="1"/>
  <c r="M62" i="9" s="1"/>
  <c r="G68" i="9" a="1"/>
  <c r="G68" i="9" s="1"/>
  <c r="O100" i="9"/>
  <c r="F85" i="9"/>
  <c r="U6" i="9" s="1" a="1"/>
  <c r="U6" i="9" s="1"/>
  <c r="I86" i="9"/>
  <c r="X7" i="9" s="1" a="1"/>
  <c r="X7" i="9" s="1"/>
  <c r="L87" i="9"/>
  <c r="D89" i="9"/>
  <c r="S10" i="9" s="1" a="1"/>
  <c r="S10" i="9" s="1"/>
  <c r="I90" i="9"/>
  <c r="X11" i="9" s="1" a="1"/>
  <c r="X11" i="9" s="1"/>
  <c r="L91" i="9"/>
  <c r="AA12" i="9" s="1" a="1"/>
  <c r="AA12" i="9" s="1"/>
  <c r="D93" i="9"/>
  <c r="G94" i="9"/>
  <c r="V15" i="9" s="1" a="1"/>
  <c r="V15" i="9" s="1"/>
  <c r="J95" i="9"/>
  <c r="Y16" i="9" s="1" a="1"/>
  <c r="Y16" i="9" s="1"/>
  <c r="D97" i="9"/>
  <c r="S18" i="9" s="1" a="1"/>
  <c r="S18" i="9" s="1"/>
  <c r="G98" i="9"/>
  <c r="J99" i="9"/>
  <c r="Y20" i="9" s="1" a="1"/>
  <c r="Y20" i="9" s="1"/>
  <c r="M100" i="9"/>
  <c r="AB21" i="9" s="1" a="1"/>
  <c r="AB21" i="9" s="1"/>
  <c r="E102" i="9"/>
  <c r="T23" i="9" s="1" a="1"/>
  <c r="T23" i="9" s="1"/>
  <c r="J103" i="9"/>
  <c r="Y24" i="9" s="1" a="1"/>
  <c r="Y24" i="9" s="1"/>
  <c r="M104" i="9"/>
  <c r="AB25" i="9" s="1" a="1"/>
  <c r="AB25" i="9" s="1"/>
  <c r="E106" i="9"/>
  <c r="T27" i="9" s="1" a="1"/>
  <c r="T27" i="9" s="1"/>
  <c r="H107" i="9"/>
  <c r="W28" i="9" s="1" a="1"/>
  <c r="W28" i="9" s="1"/>
  <c r="K108" i="9"/>
  <c r="Z29" i="9" s="1" a="1"/>
  <c r="Z29" i="9" s="1"/>
  <c r="M109" i="9"/>
  <c r="AB30" i="9" s="1" a="1"/>
  <c r="AB30" i="9" s="1"/>
  <c r="M57" i="9" a="1"/>
  <c r="M57" i="9" s="1"/>
  <c r="H68" i="9" a="1"/>
  <c r="H68" i="9" s="1"/>
  <c r="O89" i="9"/>
  <c r="O103" i="9"/>
  <c r="AD24" i="9" s="1"/>
  <c r="B21" i="20" s="1"/>
  <c r="I85" i="9"/>
  <c r="X6" i="9" s="1" a="1"/>
  <c r="X6" i="9" s="1"/>
  <c r="L86" i="9"/>
  <c r="AA7" i="9" s="1" a="1"/>
  <c r="AA7" i="9" s="1"/>
  <c r="D88" i="9"/>
  <c r="I89" i="9"/>
  <c r="X10" i="9" s="1" a="1"/>
  <c r="X10" i="9" s="1"/>
  <c r="L90" i="9"/>
  <c r="AA11" i="9" s="1" a="1"/>
  <c r="AA11" i="9" s="1"/>
  <c r="D92" i="9"/>
  <c r="S13" i="9" s="1" a="1"/>
  <c r="S13" i="9" s="1"/>
  <c r="G93" i="9"/>
  <c r="V14" i="9" s="1" a="1"/>
  <c r="V14" i="9" s="1"/>
  <c r="J94" i="9"/>
  <c r="Y15" i="9" s="1" a="1"/>
  <c r="Y15" i="9" s="1"/>
  <c r="D96" i="9"/>
  <c r="S17" i="9" s="1" a="1"/>
  <c r="S17" i="9" s="1"/>
  <c r="G97" i="9"/>
  <c r="J98" i="9"/>
  <c r="Y19" i="9" s="1" a="1"/>
  <c r="Y19" i="9" s="1"/>
  <c r="M99" i="9"/>
  <c r="AB20" i="9" s="1" a="1"/>
  <c r="AB20" i="9" s="1"/>
  <c r="E101" i="9"/>
  <c r="T22" i="9" s="1" a="1"/>
  <c r="T22" i="9" s="1"/>
  <c r="J102" i="9"/>
  <c r="Y23" i="9" s="1" a="1"/>
  <c r="Y23" i="9" s="1"/>
  <c r="M103" i="9"/>
  <c r="AB24" i="9" s="1" a="1"/>
  <c r="AB24" i="9" s="1"/>
  <c r="E105" i="9"/>
  <c r="H106" i="9"/>
  <c r="W27" i="9" s="1" a="1"/>
  <c r="W27" i="9" s="1"/>
  <c r="K107" i="9"/>
  <c r="Z28" i="9" s="1" a="1"/>
  <c r="Z28" i="9" s="1"/>
  <c r="D109" i="9"/>
  <c r="S30" i="9" s="1" a="1"/>
  <c r="S30" i="9" s="1"/>
  <c r="H74" i="9" a="1"/>
  <c r="H74" i="9" s="1"/>
  <c r="O91" i="9"/>
  <c r="AD12" i="9" s="1"/>
  <c r="B9" i="20" s="1"/>
  <c r="K85" i="9"/>
  <c r="Z6" i="9" s="1" a="1"/>
  <c r="Z6" i="9" s="1"/>
  <c r="H88" i="9"/>
  <c r="W9" i="9" s="1" a="1"/>
  <c r="W9" i="9" s="1"/>
  <c r="K89" i="9"/>
  <c r="Z10" i="9" s="1" a="1"/>
  <c r="Z10" i="9" s="1"/>
  <c r="F92" i="9"/>
  <c r="U13" i="9" s="1" a="1"/>
  <c r="U13" i="9" s="1"/>
  <c r="I93" i="9"/>
  <c r="X14" i="9" s="1" a="1"/>
  <c r="X14" i="9" s="1"/>
  <c r="F96" i="9"/>
  <c r="I97" i="9"/>
  <c r="X18" i="9" s="1" a="1"/>
  <c r="X18" i="9" s="1"/>
  <c r="D100" i="9"/>
  <c r="S21" i="9" s="1" a="1"/>
  <c r="S21" i="9" s="1"/>
  <c r="I101" i="9"/>
  <c r="X22" i="9" s="1" a="1"/>
  <c r="X22" i="9" s="1"/>
  <c r="D104" i="9"/>
  <c r="G105" i="9"/>
  <c r="D108" i="9"/>
  <c r="S29" i="9" s="1" a="1"/>
  <c r="S29" i="9" s="1"/>
  <c r="J50" i="9" a="1"/>
  <c r="J50" i="9" s="1"/>
  <c r="K65" i="9" a="1"/>
  <c r="K65" i="9" s="1"/>
  <c r="M69" i="9" a="1"/>
  <c r="M69" i="9" s="1"/>
  <c r="O92" i="9"/>
  <c r="AD13" i="9" s="1"/>
  <c r="O106" i="9"/>
  <c r="AD27" i="9" s="1"/>
  <c r="L85" i="9"/>
  <c r="AA6" i="9" s="1" a="1"/>
  <c r="AA6" i="9" s="1"/>
  <c r="F87" i="9"/>
  <c r="U8" i="9" s="1" a="1"/>
  <c r="U8" i="9" s="1"/>
  <c r="I88" i="9"/>
  <c r="X9" i="9" s="1" a="1"/>
  <c r="X9" i="9" s="1"/>
  <c r="L89" i="9"/>
  <c r="AA10" i="9" s="1" a="1"/>
  <c r="AA10" i="9" s="1"/>
  <c r="D91" i="9"/>
  <c r="S12" i="9" s="1" a="1"/>
  <c r="S12" i="9" s="1"/>
  <c r="G92" i="9"/>
  <c r="L93" i="9"/>
  <c r="AA14" i="9" s="1" a="1"/>
  <c r="AA14" i="9" s="1"/>
  <c r="D95" i="9"/>
  <c r="S16" i="9" s="1" a="1"/>
  <c r="S16" i="9" s="1"/>
  <c r="G96" i="9"/>
  <c r="G100" i="9"/>
  <c r="V21" i="9" s="1" a="1"/>
  <c r="V21" i="9" s="1"/>
  <c r="J101" i="9"/>
  <c r="Y22" i="9" s="1" a="1"/>
  <c r="Y22" i="9" s="1"/>
  <c r="M102" i="9"/>
  <c r="AB23" i="9" s="1" a="1"/>
  <c r="AB23" i="9" s="1"/>
  <c r="E104" i="9"/>
  <c r="H105" i="9"/>
  <c r="W26" i="9" s="1" a="1"/>
  <c r="W26" i="9" s="1"/>
  <c r="M106" i="9"/>
  <c r="AB27" i="9" s="1" a="1"/>
  <c r="AB27" i="9" s="1"/>
  <c r="L50" i="9" a="1"/>
  <c r="L50" i="9" s="1"/>
  <c r="L70" i="9" a="1"/>
  <c r="L70" i="9" s="1"/>
  <c r="M85" i="9"/>
  <c r="AB6" i="9" s="1" a="1"/>
  <c r="AB6" i="9" s="1"/>
  <c r="H92" i="9"/>
  <c r="W13" i="9" s="1" a="1"/>
  <c r="W13" i="9" s="1"/>
  <c r="H96" i="9"/>
  <c r="W17" i="9" s="1" a="1"/>
  <c r="W17" i="9" s="1"/>
  <c r="C99" i="9"/>
  <c r="R20" i="9" s="1" a="1"/>
  <c r="R20" i="9" s="1"/>
  <c r="K101" i="9"/>
  <c r="Z22" i="9" s="1" a="1"/>
  <c r="Z22" i="9" s="1"/>
  <c r="I105" i="9"/>
  <c r="X26" i="9" s="1" a="1"/>
  <c r="X26" i="9" s="1"/>
  <c r="F108" i="9"/>
  <c r="Y13" i="9" a="1"/>
  <c r="Y13" i="9" s="1"/>
  <c r="Z27" i="9" a="1"/>
  <c r="Z27" i="9" s="1"/>
  <c r="L53" i="9" a="1"/>
  <c r="L53" i="9" s="1"/>
  <c r="L58" i="9" a="1"/>
  <c r="L58" i="9" s="1"/>
  <c r="M63" i="9" a="1"/>
  <c r="M63" i="9" s="1"/>
  <c r="G69" i="9" a="1"/>
  <c r="G69" i="9" s="1"/>
  <c r="L72" i="9" a="1"/>
  <c r="L72" i="9" s="1"/>
  <c r="O88" i="9"/>
  <c r="AD9" i="9" s="1"/>
  <c r="O102" i="9"/>
  <c r="AD23" i="9" s="1"/>
  <c r="H85" i="9"/>
  <c r="W6" i="9" s="1" a="1"/>
  <c r="W6" i="9" s="1"/>
  <c r="K86" i="9"/>
  <c r="Z7" i="9" s="1" a="1"/>
  <c r="Z7" i="9" s="1"/>
  <c r="C88" i="9"/>
  <c r="R9" i="9" s="1" a="1"/>
  <c r="R9" i="9" s="1"/>
  <c r="H89" i="9"/>
  <c r="W10" i="9" s="1" a="1"/>
  <c r="W10" i="9" s="1"/>
  <c r="K90" i="9"/>
  <c r="Z11" i="9" s="1" a="1"/>
  <c r="Z11" i="9" s="1"/>
  <c r="C92" i="9"/>
  <c r="F93" i="9"/>
  <c r="U14" i="9" s="1" a="1"/>
  <c r="U14" i="9" s="1"/>
  <c r="I94" i="9"/>
  <c r="X15" i="9" s="1" a="1"/>
  <c r="X15" i="9" s="1"/>
  <c r="C96" i="9"/>
  <c r="R17" i="9" s="1" a="1"/>
  <c r="R17" i="9" s="1"/>
  <c r="F97" i="9"/>
  <c r="U18" i="9" s="1" a="1"/>
  <c r="U18" i="9" s="1"/>
  <c r="I98" i="9"/>
  <c r="X19" i="9" s="1" a="1"/>
  <c r="X19" i="9" s="1"/>
  <c r="L99" i="9"/>
  <c r="AA20" i="9" s="1" a="1"/>
  <c r="AA20" i="9" s="1"/>
  <c r="D101" i="9"/>
  <c r="S22" i="9" s="1" a="1"/>
  <c r="S22" i="9" s="1"/>
  <c r="I102" i="9"/>
  <c r="X23" i="9" s="1" a="1"/>
  <c r="X23" i="9" s="1"/>
  <c r="L103" i="9"/>
  <c r="AA24" i="9" s="1" a="1"/>
  <c r="AA24" i="9" s="1"/>
  <c r="D105" i="9"/>
  <c r="G106" i="9"/>
  <c r="J107" i="9"/>
  <c r="Y28" i="9" s="1" a="1"/>
  <c r="Y28" i="9" s="1"/>
  <c r="C109" i="9"/>
  <c r="R30" i="9" s="1" a="1"/>
  <c r="R30" i="9" s="1"/>
  <c r="AA8" i="9" a="1"/>
  <c r="AA8" i="9" s="1"/>
  <c r="AA27" i="9" a="1"/>
  <c r="AA27" i="9" s="1"/>
  <c r="G54" i="9" a="1"/>
  <c r="G54" i="9" s="1"/>
  <c r="G59" i="9" a="1"/>
  <c r="G59" i="9" s="1"/>
  <c r="H64" i="9" a="1"/>
  <c r="H64" i="9" s="1"/>
  <c r="H69" i="9" a="1"/>
  <c r="H69" i="9" s="1"/>
  <c r="H73" i="9" a="1"/>
  <c r="H73" i="9" s="1"/>
  <c r="M98" i="9"/>
  <c r="AB19" i="9" s="1" a="1"/>
  <c r="AB19" i="9" s="1"/>
  <c r="G109" i="9"/>
  <c r="L60" i="9" a="1"/>
  <c r="L60" i="9" s="1"/>
  <c r="J74" i="9" a="1"/>
  <c r="J74" i="9" s="1"/>
  <c r="F104" i="9"/>
  <c r="U25" i="9" s="1" a="1"/>
  <c r="U25" i="9" s="1"/>
  <c r="Y29" i="9" a="1"/>
  <c r="Y29" i="9" s="1"/>
  <c r="J54" i="9" a="1"/>
  <c r="J54" i="9" s="1"/>
  <c r="J59" i="9" a="1"/>
  <c r="J59" i="9" s="1"/>
  <c r="K64" i="9" a="1"/>
  <c r="K64" i="9" s="1"/>
  <c r="I69" i="9" a="1"/>
  <c r="I69" i="9" s="1"/>
  <c r="I73" i="9" a="1"/>
  <c r="I73" i="9" s="1"/>
  <c r="O90" i="9"/>
  <c r="O104" i="9"/>
  <c r="AD25" i="9" s="1"/>
  <c r="J85" i="9"/>
  <c r="Y6" i="9" s="1" a="1"/>
  <c r="Y6" i="9" s="1"/>
  <c r="M86" i="9"/>
  <c r="AB7" i="9" s="1" a="1"/>
  <c r="AB7" i="9" s="1"/>
  <c r="G88" i="9"/>
  <c r="V9" i="9" s="1" a="1"/>
  <c r="V9" i="9" s="1"/>
  <c r="J89" i="9"/>
  <c r="Y10" i="9" s="1" a="1"/>
  <c r="Y10" i="9" s="1"/>
  <c r="M90" i="9"/>
  <c r="AB11" i="9" s="1" a="1"/>
  <c r="AB11" i="9" s="1"/>
  <c r="E92" i="9"/>
  <c r="H93" i="9"/>
  <c r="W14" i="9" s="1" a="1"/>
  <c r="W14" i="9" s="1"/>
  <c r="M94" i="9"/>
  <c r="AB15" i="9" s="1" a="1"/>
  <c r="AB15" i="9" s="1"/>
  <c r="E96" i="9"/>
  <c r="H97" i="9"/>
  <c r="W18" i="9" s="1" a="1"/>
  <c r="W18" i="9" s="1"/>
  <c r="K98" i="9"/>
  <c r="Z19" i="9" s="1" a="1"/>
  <c r="Z19" i="9" s="1"/>
  <c r="C100" i="9"/>
  <c r="R21" i="9" s="1" a="1"/>
  <c r="R21" i="9" s="1"/>
  <c r="H101" i="9"/>
  <c r="W22" i="9" s="1" a="1"/>
  <c r="W22" i="9" s="1"/>
  <c r="K102" i="9"/>
  <c r="Z23" i="9" s="1" a="1"/>
  <c r="Z23" i="9" s="1"/>
  <c r="C104" i="9"/>
  <c r="R25" i="9" s="1" a="1"/>
  <c r="R25" i="9" s="1"/>
  <c r="F105" i="9"/>
  <c r="U26" i="9" s="1" a="1"/>
  <c r="U26" i="9" s="1"/>
  <c r="I106" i="9"/>
  <c r="X27" i="9" s="1" a="1"/>
  <c r="X27" i="9" s="1"/>
  <c r="C108" i="9"/>
  <c r="R29" i="9" s="1" a="1"/>
  <c r="R29" i="9" s="1"/>
  <c r="E109" i="9"/>
  <c r="T30" i="9" s="1" a="1"/>
  <c r="T30" i="9" s="1"/>
  <c r="K54" i="9" a="1"/>
  <c r="K54" i="9" s="1"/>
  <c r="K59" i="9" a="1"/>
  <c r="K59" i="9" s="1"/>
  <c r="L64" i="9" a="1"/>
  <c r="L64" i="9" s="1"/>
  <c r="L69" i="9" a="1"/>
  <c r="L69" i="9" s="1"/>
  <c r="O105" i="9"/>
  <c r="AD26" i="9" s="1"/>
  <c r="C87" i="9"/>
  <c r="R8" i="9" s="1" a="1"/>
  <c r="R8" i="9" s="1"/>
  <c r="C91" i="9"/>
  <c r="R12" i="9" s="1" a="1"/>
  <c r="R12" i="9" s="1"/>
  <c r="C95" i="9"/>
  <c r="R16" i="9" s="1" a="1"/>
  <c r="R16" i="9" s="1"/>
  <c r="L98" i="9"/>
  <c r="AA19" i="9" s="1" a="1"/>
  <c r="AA19" i="9" s="1"/>
  <c r="L102" i="9"/>
  <c r="AA23" i="9" s="1" a="1"/>
  <c r="AA23" i="9" s="1"/>
  <c r="J106" i="9"/>
  <c r="Y27" i="9" s="1" a="1"/>
  <c r="Y27" i="9" s="1"/>
  <c r="F109" i="9"/>
  <c r="U30" i="9" s="1" a="1"/>
  <c r="U30" i="9" s="1"/>
  <c r="W19" i="9" a="1"/>
  <c r="W19" i="9" s="1"/>
  <c r="J55" i="9" a="1"/>
  <c r="J55" i="9" s="1"/>
  <c r="I74" i="9" a="1"/>
  <c r="I74" i="9" s="1"/>
  <c r="J97" i="9"/>
  <c r="Y18" i="9" s="1" a="1"/>
  <c r="Y18" i="9" s="1"/>
  <c r="E108" i="9"/>
  <c r="T29" i="9" s="1" a="1"/>
  <c r="T29" i="9" s="1"/>
  <c r="Y31" i="9" a="1"/>
  <c r="Y31" i="9" s="1"/>
  <c r="M65" i="9" a="1"/>
  <c r="M65" i="9" s="1"/>
  <c r="M89" i="9"/>
  <c r="AB10" i="9" s="1" a="1"/>
  <c r="AB10" i="9" s="1"/>
  <c r="H100" i="9"/>
  <c r="W21" i="9" s="1" a="1"/>
  <c r="W21" i="9" s="1"/>
  <c r="C107" i="9"/>
  <c r="R28" i="9" s="1" a="1"/>
  <c r="R28" i="9" s="1"/>
  <c r="AB31" i="9" a="1"/>
  <c r="AB31" i="9" s="1"/>
  <c r="H51" i="9" a="1"/>
  <c r="H51" i="9" s="1"/>
  <c r="H87" i="9"/>
  <c r="W8" i="9" s="1" a="1"/>
  <c r="W8" i="9" s="1"/>
  <c r="D103" i="9"/>
  <c r="F91" i="9"/>
  <c r="D107" i="9"/>
  <c r="S28" i="9" s="1" a="1"/>
  <c r="S28" i="9" s="1"/>
  <c r="I66" i="9" a="1"/>
  <c r="I66" i="9" s="1"/>
  <c r="O94" i="9"/>
  <c r="K88" i="9"/>
  <c r="Z9" i="9" s="1" a="1"/>
  <c r="Z9" i="9" s="1"/>
  <c r="G104" i="9"/>
  <c r="V25" i="9" s="1" a="1"/>
  <c r="V25" i="9" s="1"/>
  <c r="AC25" i="9" s="1"/>
  <c r="C90" i="9"/>
  <c r="R11" i="9" s="1" a="1"/>
  <c r="R11" i="9" s="1"/>
  <c r="L105" i="9"/>
  <c r="B23" i="20" s="1"/>
  <c r="H61" i="9" a="1"/>
  <c r="H61" i="9" s="1"/>
  <c r="C94" i="9"/>
  <c r="I109" i="9"/>
  <c r="X30" i="9" s="1" a="1"/>
  <c r="X30" i="9" s="1"/>
  <c r="L97" i="9"/>
  <c r="AA18" i="9" s="1" a="1"/>
  <c r="AA18" i="9" s="1"/>
  <c r="I100" i="9"/>
  <c r="X21" i="9" s="1" a="1"/>
  <c r="X21" i="9" s="1"/>
  <c r="H56" i="9" a="1"/>
  <c r="H56" i="9" s="1"/>
  <c r="K92" i="9"/>
  <c r="Z13" i="9" s="1" a="1"/>
  <c r="Z13" i="9" s="1"/>
  <c r="G108" i="9"/>
  <c r="M70" i="9" a="1"/>
  <c r="M70" i="9" s="1"/>
  <c r="F95" i="9"/>
  <c r="U16" i="9" s="1" a="1"/>
  <c r="U16" i="9" s="1"/>
  <c r="L101" i="9"/>
  <c r="AA22" i="9" s="1" a="1"/>
  <c r="AA22" i="9" s="1"/>
  <c r="M74" i="9" a="1"/>
  <c r="M74" i="9" s="1"/>
  <c r="I96" i="9"/>
  <c r="X17" i="9" s="1" a="1"/>
  <c r="X17" i="9" s="1"/>
  <c r="F99" i="9"/>
  <c r="O108" i="9"/>
  <c r="AD29" i="9" s="1"/>
  <c r="E86" i="9"/>
  <c r="H13" i="15"/>
  <c r="H12" i="15"/>
  <c r="H11" i="15"/>
  <c r="C6" i="8"/>
  <c r="H10" i="15"/>
  <c r="E41" i="7"/>
  <c r="O75" i="9"/>
  <c r="R31" i="9" a="1"/>
  <c r="R31" i="9" s="1"/>
  <c r="S31" i="9" a="1"/>
  <c r="S31" i="9" s="1"/>
  <c r="B28" i="20"/>
  <c r="A28" i="20"/>
  <c r="U31" i="9" a="1"/>
  <c r="U31" i="9" s="1"/>
  <c r="T31" i="9" a="1"/>
  <c r="T31" i="9" s="1"/>
  <c r="B14" i="9"/>
  <c r="C14" i="9" s="1"/>
  <c r="O52" i="9"/>
  <c r="O55" i="9"/>
  <c r="R13" i="9" a="1"/>
  <c r="R13" i="9" s="1"/>
  <c r="U21" i="9" a="1"/>
  <c r="U21" i="9" s="1"/>
  <c r="U17" i="9" a="1"/>
  <c r="U17" i="9" s="1"/>
  <c r="S19" i="9" a="1"/>
  <c r="S19" i="9" s="1"/>
  <c r="T10" i="9" a="1"/>
  <c r="T10" i="9" s="1"/>
  <c r="O54" i="9"/>
  <c r="B16" i="9"/>
  <c r="E16" i="9" s="1"/>
  <c r="S14" i="9" a="1"/>
  <c r="S14" i="9" s="1"/>
  <c r="O51" i="9"/>
  <c r="B17" i="9"/>
  <c r="E17" i="9" s="1"/>
  <c r="R19" i="9" a="1"/>
  <c r="R19" i="9" s="1"/>
  <c r="O65" i="9"/>
  <c r="T7" i="9" a="1"/>
  <c r="T7" i="9" s="1"/>
  <c r="T20" i="9" a="1"/>
  <c r="T20" i="9" s="1"/>
  <c r="U20" i="9" a="1"/>
  <c r="U20" i="9" s="1"/>
  <c r="S9" i="9" a="1"/>
  <c r="S9" i="9" s="1"/>
  <c r="O67" i="9"/>
  <c r="T19" i="9" a="1"/>
  <c r="T19" i="9" s="1"/>
  <c r="O50" i="9"/>
  <c r="B8" i="9"/>
  <c r="C8" i="9" s="1"/>
  <c r="U12" i="9" a="1"/>
  <c r="U12" i="9" s="1"/>
  <c r="B7" i="9"/>
  <c r="C7" i="9" s="1"/>
  <c r="O53" i="9"/>
  <c r="B13" i="9"/>
  <c r="C13" i="9" s="1"/>
  <c r="T15" i="9" a="1"/>
  <c r="T15" i="9" s="1"/>
  <c r="B13" i="20"/>
  <c r="T18" i="9" a="1"/>
  <c r="T18" i="9" s="1"/>
  <c r="B20" i="20"/>
  <c r="T17" i="9" a="1"/>
  <c r="T17" i="9" s="1"/>
  <c r="B4" i="9"/>
  <c r="E4" i="9" s="1"/>
  <c r="B17" i="20"/>
  <c r="U23" i="9" a="1"/>
  <c r="U23" i="9" s="1"/>
  <c r="B5" i="20"/>
  <c r="B11" i="9"/>
  <c r="E11" i="9" s="1"/>
  <c r="B18" i="9"/>
  <c r="E18" i="9" s="1"/>
  <c r="T24" i="9" a="1"/>
  <c r="T24" i="9" s="1"/>
  <c r="O63" i="9"/>
  <c r="O60" i="9"/>
  <c r="S24" i="9" a="1"/>
  <c r="S24" i="9" s="1"/>
  <c r="O58" i="9"/>
  <c r="O56" i="9"/>
  <c r="B9" i="9"/>
  <c r="C9" i="9" s="1"/>
  <c r="O57" i="9"/>
  <c r="U7" i="9" a="1"/>
  <c r="U7" i="9" s="1"/>
  <c r="B15" i="9"/>
  <c r="E15" i="9" s="1"/>
  <c r="T13" i="9" a="1"/>
  <c r="T13" i="9" s="1"/>
  <c r="O62" i="9"/>
  <c r="B5" i="9"/>
  <c r="C5" i="9" s="1"/>
  <c r="O68" i="9"/>
  <c r="O66" i="9"/>
  <c r="B4" i="20"/>
  <c r="B12" i="9"/>
  <c r="E12" i="9" s="1"/>
  <c r="S6" i="9" a="1"/>
  <c r="S6" i="9" s="1"/>
  <c r="B10" i="9"/>
  <c r="E10" i="9" s="1"/>
  <c r="O61" i="9"/>
  <c r="R15" i="9" a="1"/>
  <c r="R15" i="9" s="1"/>
  <c r="B6" i="9"/>
  <c r="E6" i="9" s="1"/>
  <c r="O59" i="9"/>
  <c r="T16" i="9" a="1"/>
  <c r="T16" i="9" s="1"/>
  <c r="B3" i="9"/>
  <c r="C3" i="9" s="1"/>
  <c r="O69" i="9"/>
  <c r="R26" i="9" a="1"/>
  <c r="R26" i="9" s="1"/>
  <c r="S26" i="9" a="1"/>
  <c r="S26" i="9" s="1"/>
  <c r="T25" i="9" a="1"/>
  <c r="T25" i="9" s="1"/>
  <c r="T26" i="9" a="1"/>
  <c r="T26" i="9" s="1"/>
  <c r="O70" i="9"/>
  <c r="O72" i="9"/>
  <c r="S27" i="9" a="1"/>
  <c r="S27" i="9" s="1"/>
  <c r="U29" i="9" a="1"/>
  <c r="U29" i="9" s="1"/>
  <c r="S25" i="9" a="1"/>
  <c r="S25" i="9" s="1"/>
  <c r="O71" i="9"/>
  <c r="O73" i="9"/>
  <c r="G73" i="2"/>
  <c r="H30" i="2"/>
  <c r="I30" i="2" s="1"/>
  <c r="D30" i="2" s="1"/>
  <c r="G67" i="2"/>
  <c r="G40" i="2"/>
  <c r="G11" i="2"/>
  <c r="G61" i="2"/>
  <c r="H75" i="2"/>
  <c r="I75" i="2" s="1"/>
  <c r="D75" i="2" s="1"/>
  <c r="G32" i="2"/>
  <c r="G23" i="2"/>
  <c r="G86" i="2"/>
  <c r="G79" i="2"/>
  <c r="H44" i="2"/>
  <c r="I44" i="2" s="1"/>
  <c r="D44" i="2" s="1"/>
  <c r="G80" i="2"/>
  <c r="H90" i="2"/>
  <c r="I90" i="2" s="1"/>
  <c r="D90" i="2" s="1"/>
  <c r="G22" i="2"/>
  <c r="G85" i="2"/>
  <c r="G12" i="2"/>
  <c r="G59" i="2"/>
  <c r="G9" i="2"/>
  <c r="G74" i="2"/>
  <c r="G5" i="2"/>
  <c r="G92" i="2"/>
  <c r="G88" i="2"/>
  <c r="G83" i="2"/>
  <c r="G8" i="2"/>
  <c r="G36" i="2"/>
  <c r="G47" i="2"/>
  <c r="H65" i="2"/>
  <c r="I65" i="2" s="1"/>
  <c r="D65" i="2" s="1"/>
  <c r="G26" i="2"/>
  <c r="H12" i="2"/>
  <c r="I12" i="2" s="1"/>
  <c r="D12" i="2" s="1"/>
  <c r="H88" i="2"/>
  <c r="I88" i="2" s="1"/>
  <c r="D88" i="2" s="1"/>
  <c r="G13" i="2"/>
  <c r="G18" i="2"/>
  <c r="G17" i="2"/>
  <c r="G34" i="2"/>
  <c r="G48" i="2"/>
  <c r="G62" i="2"/>
  <c r="G52" i="2"/>
  <c r="G14" i="2"/>
  <c r="G19" i="2"/>
  <c r="G27" i="2"/>
  <c r="H78" i="2"/>
  <c r="I78" i="2" s="1"/>
  <c r="D78" i="2" s="1"/>
  <c r="H86" i="2"/>
  <c r="I86" i="2" s="1"/>
  <c r="D86" i="2" s="1"/>
  <c r="B27" i="20"/>
  <c r="O74" i="9"/>
  <c r="K6" i="6"/>
  <c r="H48" i="2"/>
  <c r="I48" i="2" s="1"/>
  <c r="D48" i="2" s="1"/>
  <c r="G54" i="2"/>
  <c r="H42" i="2"/>
  <c r="I42" i="2" s="1"/>
  <c r="D42" i="2" s="1"/>
  <c r="G43" i="2"/>
  <c r="G4" i="2"/>
  <c r="G41" i="2"/>
  <c r="G46" i="2"/>
  <c r="H61" i="2"/>
  <c r="I61" i="2" s="1"/>
  <c r="D61" i="2" s="1"/>
  <c r="G25" i="2"/>
  <c r="H13" i="2"/>
  <c r="I13" i="2" s="1"/>
  <c r="D13" i="2" s="1"/>
  <c r="G70" i="2"/>
  <c r="A16" i="20"/>
  <c r="A9" i="20"/>
  <c r="A24" i="20"/>
  <c r="B22" i="20"/>
  <c r="A27" i="20"/>
  <c r="A22" i="20"/>
  <c r="A4" i="20"/>
  <c r="A19" i="20"/>
  <c r="A14" i="20"/>
  <c r="A5" i="20"/>
  <c r="A13" i="20"/>
  <c r="A17" i="20"/>
  <c r="A18" i="20"/>
  <c r="B26" i="20"/>
  <c r="A15" i="20"/>
  <c r="A7" i="20"/>
  <c r="A12" i="20"/>
  <c r="A25" i="20"/>
  <c r="A23" i="20"/>
  <c r="A26" i="20"/>
  <c r="A3" i="20"/>
  <c r="A10" i="20"/>
  <c r="A21" i="20"/>
  <c r="A8" i="20"/>
  <c r="A20" i="20"/>
  <c r="B24" i="20"/>
  <c r="A6" i="20"/>
  <c r="C10" i="9"/>
  <c r="Q5" i="9"/>
  <c r="B49" i="9"/>
  <c r="N76" i="9"/>
  <c r="P76" i="9" s="1"/>
  <c r="AC33" i="9"/>
  <c r="AE33" i="9" s="1"/>
  <c r="AC35" i="9"/>
  <c r="AE35" i="9" s="1"/>
  <c r="AC34" i="9"/>
  <c r="AE34" i="9" s="1"/>
  <c r="N78" i="9"/>
  <c r="P78" i="9" s="1"/>
  <c r="AC32" i="9"/>
  <c r="AE32" i="9" s="1"/>
  <c r="N79" i="9"/>
  <c r="N77" i="9"/>
  <c r="P77" i="9" s="1"/>
  <c r="G13" i="6"/>
  <c r="C12" i="10"/>
  <c r="N6" i="17"/>
  <c r="N7" i="17" s="1"/>
  <c r="I37" i="12"/>
  <c r="D38" i="14"/>
  <c r="C10" i="8" s="1"/>
  <c r="G14" i="15"/>
  <c r="D38" i="18"/>
  <c r="C11" i="8" s="1"/>
  <c r="H13" i="6"/>
  <c r="E38" i="18"/>
  <c r="J37" i="14"/>
  <c r="C12" i="8" s="1"/>
  <c r="C43" i="12"/>
  <c r="H10" i="7"/>
  <c r="I13" i="6"/>
  <c r="H14" i="15"/>
  <c r="D6" i="17"/>
  <c r="D2" i="2"/>
  <c r="N96" i="9" l="1"/>
  <c r="AD15" i="9"/>
  <c r="AD21" i="9"/>
  <c r="B18" i="20" s="1"/>
  <c r="N108" i="9"/>
  <c r="P108" i="9" s="1"/>
  <c r="AD11" i="9"/>
  <c r="B8" i="20" s="1"/>
  <c r="N106" i="9"/>
  <c r="P106" i="9" s="1"/>
  <c r="AD10" i="9"/>
  <c r="AE25" i="9"/>
  <c r="C22" i="20" s="1"/>
  <c r="B10" i="20"/>
  <c r="N86" i="9"/>
  <c r="P86" i="9" s="1"/>
  <c r="B14" i="20"/>
  <c r="N103" i="9"/>
  <c r="P103" i="9" s="1"/>
  <c r="AD14" i="9"/>
  <c r="N97" i="9"/>
  <c r="N104" i="9"/>
  <c r="P104" i="9" s="1"/>
  <c r="N109" i="9"/>
  <c r="P109" i="9" s="1"/>
  <c r="N98" i="9"/>
  <c r="P98" i="9" s="1"/>
  <c r="N99" i="9"/>
  <c r="P99" i="9" s="1"/>
  <c r="AA26" i="9" a="1"/>
  <c r="AA26" i="9" s="1"/>
  <c r="N85" i="9"/>
  <c r="V19" i="9" a="1"/>
  <c r="V19" i="9" s="1"/>
  <c r="AC19" i="9" s="1"/>
  <c r="N92" i="9"/>
  <c r="P92" i="9" s="1"/>
  <c r="N105" i="9"/>
  <c r="P105" i="9" s="1"/>
  <c r="M49" i="9" a="1"/>
  <c r="M49" i="9" s="1"/>
  <c r="O84" i="9"/>
  <c r="AD5" i="9" s="1"/>
  <c r="M84" i="9"/>
  <c r="AB5" i="9" s="1" a="1"/>
  <c r="AB5" i="9" s="1"/>
  <c r="L49" i="9" a="1"/>
  <c r="L49" i="9" s="1"/>
  <c r="J49" i="9" a="1"/>
  <c r="J49" i="9" s="1"/>
  <c r="D84" i="9"/>
  <c r="S5" i="9" s="1" a="1"/>
  <c r="S5" i="9" s="1"/>
  <c r="L84" i="9"/>
  <c r="AA5" i="9" s="1" a="1"/>
  <c r="AA5" i="9" s="1"/>
  <c r="I49" i="9" a="1"/>
  <c r="I49" i="9" s="1"/>
  <c r="C84" i="9"/>
  <c r="R5" i="9" s="1" a="1"/>
  <c r="R5" i="9" s="1"/>
  <c r="D8" i="19" s="1" a="1"/>
  <c r="D8" i="19" s="1"/>
  <c r="H49" i="9" a="1"/>
  <c r="H49" i="9" s="1"/>
  <c r="G49" i="9" a="1"/>
  <c r="G49" i="9" s="1"/>
  <c r="J84" i="9"/>
  <c r="Y5" i="9" s="1" a="1"/>
  <c r="Y5" i="9" s="1"/>
  <c r="H84" i="9"/>
  <c r="W5" i="9" s="1" a="1"/>
  <c r="W5" i="9" s="1"/>
  <c r="G84" i="9"/>
  <c r="V5" i="9" s="1" a="1"/>
  <c r="V5" i="9" s="1"/>
  <c r="K84" i="9"/>
  <c r="Z5" i="9" s="1" a="1"/>
  <c r="Z5" i="9" s="1"/>
  <c r="I84" i="9"/>
  <c r="X5" i="9" s="1" a="1"/>
  <c r="X5" i="9" s="1"/>
  <c r="F84" i="9"/>
  <c r="E84" i="9"/>
  <c r="T5" i="9" s="1" a="1"/>
  <c r="T5" i="9" s="1"/>
  <c r="D12" i="19" s="1" a="1"/>
  <c r="D12" i="19" s="1"/>
  <c r="K49" i="9" a="1"/>
  <c r="K49" i="9" s="1"/>
  <c r="N94" i="9"/>
  <c r="P94" i="9" s="1"/>
  <c r="N95" i="9"/>
  <c r="P95" i="9" s="1"/>
  <c r="N89" i="9"/>
  <c r="N90" i="9"/>
  <c r="V16" i="9" a="1"/>
  <c r="V16" i="9" s="1"/>
  <c r="AC16" i="9" s="1"/>
  <c r="N102" i="9"/>
  <c r="P102" i="9" s="1"/>
  <c r="N101" i="9"/>
  <c r="P101" i="9" s="1"/>
  <c r="N88" i="9"/>
  <c r="P88" i="9" s="1"/>
  <c r="N91" i="9"/>
  <c r="P91" i="9" s="1"/>
  <c r="V30" i="9" a="1"/>
  <c r="V30" i="9" s="1"/>
  <c r="AC30" i="9" s="1"/>
  <c r="V27" i="9" a="1"/>
  <c r="V27" i="9" s="1"/>
  <c r="AC27" i="9" s="1"/>
  <c r="AE27" i="9" s="1"/>
  <c r="V26" i="9" a="1"/>
  <c r="V26" i="9" s="1"/>
  <c r="AC26" i="9" s="1"/>
  <c r="AE26" i="9" s="1"/>
  <c r="N93" i="9"/>
  <c r="P93" i="9" s="1"/>
  <c r="V17" i="9" a="1"/>
  <c r="V17" i="9" s="1"/>
  <c r="AC17" i="9" s="1"/>
  <c r="V7" i="9" a="1"/>
  <c r="V7" i="9" s="1"/>
  <c r="C11" i="9"/>
  <c r="V18" i="9" a="1"/>
  <c r="V18" i="9" s="1"/>
  <c r="AC18" i="9" s="1"/>
  <c r="N107" i="9"/>
  <c r="P107" i="9" s="1"/>
  <c r="V24" i="9" a="1"/>
  <c r="V24" i="9" s="1"/>
  <c r="AC24" i="9" s="1"/>
  <c r="V20" i="9" a="1"/>
  <c r="V20" i="9" s="1"/>
  <c r="AC20" i="9" s="1"/>
  <c r="N87" i="9"/>
  <c r="N100" i="9"/>
  <c r="V29" i="9" a="1"/>
  <c r="V29" i="9" s="1"/>
  <c r="AC29" i="9" s="1"/>
  <c r="AE29" i="9" s="1"/>
  <c r="V28" i="9" a="1"/>
  <c r="V28" i="9" s="1"/>
  <c r="AC28" i="9" s="1"/>
  <c r="AE28" i="9" s="1"/>
  <c r="E5" i="9"/>
  <c r="C12" i="9"/>
  <c r="E14" i="9"/>
  <c r="E7" i="9" a="1"/>
  <c r="E7" i="9" s="1"/>
  <c r="P96" i="9"/>
  <c r="C16" i="9"/>
  <c r="E8" i="9"/>
  <c r="C6" i="9"/>
  <c r="AC12" i="9"/>
  <c r="N75" i="9"/>
  <c r="P75" i="9" s="1"/>
  <c r="AC31" i="9"/>
  <c r="P100" i="9"/>
  <c r="P90" i="9"/>
  <c r="N53" i="9"/>
  <c r="P53" i="9" s="1"/>
  <c r="P87" i="9"/>
  <c r="C4" i="9"/>
  <c r="C17" i="9"/>
  <c r="P89" i="9"/>
  <c r="E13" i="9"/>
  <c r="C15" i="9"/>
  <c r="N57" i="9"/>
  <c r="P57" i="9" s="1"/>
  <c r="AC9" i="9"/>
  <c r="AC21" i="9"/>
  <c r="AC22" i="9"/>
  <c r="AE22" i="9" s="1"/>
  <c r="N52" i="9"/>
  <c r="P52" i="9" s="1"/>
  <c r="AC10" i="9"/>
  <c r="C18" i="9"/>
  <c r="P85" i="9"/>
  <c r="E3" i="9"/>
  <c r="E9" i="9"/>
  <c r="AC8" i="9"/>
  <c r="P97" i="9"/>
  <c r="AC14" i="9"/>
  <c r="N61" i="9"/>
  <c r="P61" i="9" s="1"/>
  <c r="AC13" i="9"/>
  <c r="N64" i="9"/>
  <c r="P64" i="9" s="1"/>
  <c r="AC15" i="9"/>
  <c r="N58" i="9"/>
  <c r="P58" i="9" s="1"/>
  <c r="N63" i="9"/>
  <c r="P63" i="9" s="1"/>
  <c r="P7" i="17"/>
  <c r="C19" i="10"/>
  <c r="C49" i="9" a="1"/>
  <c r="C49" i="9" s="1"/>
  <c r="N72" i="9"/>
  <c r="P72" i="9" s="1"/>
  <c r="E18" i="19" a="1"/>
  <c r="E18" i="19" s="1"/>
  <c r="N74" i="9"/>
  <c r="P74" i="9" s="1"/>
  <c r="O49" i="9"/>
  <c r="D49" i="9" a="1"/>
  <c r="D49" i="9" s="1"/>
  <c r="B2" i="9"/>
  <c r="E2" i="9" s="1"/>
  <c r="C14" i="19" a="1"/>
  <c r="C14" i="19" s="1"/>
  <c r="C12" i="19" a="1"/>
  <c r="C12" i="19" s="1"/>
  <c r="E49" i="9" a="1"/>
  <c r="E49" i="9" s="1"/>
  <c r="F49" i="9" a="1"/>
  <c r="F49" i="9" s="1"/>
  <c r="N68" i="9"/>
  <c r="P68" i="9" s="1"/>
  <c r="AC11" i="9"/>
  <c r="N55" i="9"/>
  <c r="P55" i="9" s="1"/>
  <c r="U5" i="9" a="1"/>
  <c r="U5" i="9" s="1"/>
  <c r="D14" i="19" s="1" a="1"/>
  <c r="D14" i="19" s="1"/>
  <c r="N62" i="9"/>
  <c r="P62" i="9" s="1"/>
  <c r="B2" i="21"/>
  <c r="A2" i="20"/>
  <c r="AC7" i="9"/>
  <c r="D10" i="19" a="1"/>
  <c r="D10" i="19" s="1"/>
  <c r="N54" i="9"/>
  <c r="P54" i="9" s="1"/>
  <c r="AC23" i="9"/>
  <c r="AE23" i="9" s="1"/>
  <c r="N71" i="9"/>
  <c r="P71" i="9" s="1"/>
  <c r="N73" i="9"/>
  <c r="P73" i="9" s="1"/>
  <c r="N51" i="9"/>
  <c r="P51" i="9" s="1"/>
  <c r="AC6" i="9"/>
  <c r="N50" i="9"/>
  <c r="P50" i="9" s="1"/>
  <c r="N60" i="9"/>
  <c r="P60" i="9" s="1"/>
  <c r="N66" i="9"/>
  <c r="P66" i="9" s="1"/>
  <c r="N59" i="9"/>
  <c r="P59" i="9" s="1"/>
  <c r="N56" i="9"/>
  <c r="P56" i="9" s="1"/>
  <c r="N67" i="9"/>
  <c r="P67" i="9" s="1"/>
  <c r="N69" i="9"/>
  <c r="P69" i="9" s="1"/>
  <c r="N65" i="9"/>
  <c r="P65" i="9" s="1"/>
  <c r="N70" i="9"/>
  <c r="P70" i="9" s="1"/>
  <c r="B6" i="20"/>
  <c r="B16" i="20"/>
  <c r="B3" i="20"/>
  <c r="F38" i="18"/>
  <c r="C14" i="8"/>
  <c r="C4" i="10" s="1"/>
  <c r="K5" i="17"/>
  <c r="K6" i="17" s="1"/>
  <c r="F6" i="17"/>
  <c r="AE14" i="9" l="1"/>
  <c r="AE17" i="9"/>
  <c r="C14" i="20" s="1"/>
  <c r="AE20" i="9"/>
  <c r="C17" i="20" s="1"/>
  <c r="AE16" i="9"/>
  <c r="C13" i="20" s="1"/>
  <c r="AE21" i="9"/>
  <c r="C18" i="20" s="1"/>
  <c r="AE31" i="9"/>
  <c r="C28" i="20" s="1"/>
  <c r="AE9" i="9"/>
  <c r="C6" i="20" s="1"/>
  <c r="AE24" i="9"/>
  <c r="C21" i="20" s="1"/>
  <c r="C25" i="20"/>
  <c r="AE10" i="9"/>
  <c r="C7" i="20" s="1"/>
  <c r="AE15" i="9"/>
  <c r="C12" i="20" s="1"/>
  <c r="C26" i="20"/>
  <c r="AE30" i="9"/>
  <c r="C27" i="20" s="1"/>
  <c r="AE19" i="9"/>
  <c r="C16" i="20" s="1"/>
  <c r="AE7" i="9"/>
  <c r="C4" i="20" s="1"/>
  <c r="B7" i="20"/>
  <c r="B12" i="20"/>
  <c r="AE6" i="9"/>
  <c r="C3" i="20" s="1"/>
  <c r="AE12" i="9"/>
  <c r="C9" i="20" s="1"/>
  <c r="B11" i="20"/>
  <c r="C24" i="20"/>
  <c r="C11" i="20"/>
  <c r="C19" i="20"/>
  <c r="AE8" i="9"/>
  <c r="C5" i="20" s="1"/>
  <c r="C23" i="20"/>
  <c r="C20" i="20"/>
  <c r="AE18" i="9"/>
  <c r="C15" i="20" s="1"/>
  <c r="AE11" i="9"/>
  <c r="C8" i="20" s="1"/>
  <c r="AE13" i="9"/>
  <c r="C10" i="20" s="1"/>
  <c r="N84" i="9"/>
  <c r="P84" i="9" s="1"/>
  <c r="B2" i="20"/>
  <c r="E14" i="19"/>
  <c r="AC5" i="9"/>
  <c r="AE5" i="9" s="1"/>
  <c r="C2" i="20" s="1"/>
  <c r="E12" i="19"/>
  <c r="E20" i="19" a="1"/>
  <c r="E20" i="19" s="1"/>
  <c r="C2" i="9"/>
  <c r="N49" i="9"/>
  <c r="P49" i="9" s="1"/>
  <c r="C15" i="10"/>
  <c r="C17" i="10" s="1"/>
  <c r="E16" i="1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<sst xmlns="http://schemas.openxmlformats.org/spreadsheetml/2006/main" count="749" uniqueCount="253">
  <si>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</si>
  <si>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</si>
  <si>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</si>
  <si>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</si>
  <si>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</si>
  <si>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</si>
  <si>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</si>
  <si>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</si>
  <si>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</si>
  <si>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</si>
  <si>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</si>
  <si>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</si>
  <si>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</si>
  <si>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</si>
  <si>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</si>
  <si>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</si>
  <si>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</si>
  <si>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</si>
  <si>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</si>
  <si>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</si>
  <si>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</si>
  <si>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</si>
  <si>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</si>
  <si>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</si>
  <si>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</si>
  <si>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</si>
  <si>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</si>
  <si>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</si>
  <si>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</si>
  <si>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</si>
  <si>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</si>
  <si>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</si>
  <si>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</si>
  <si>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</si>
  <si>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</si>
  <si>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</si>
  <si>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</si>
  <si>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</si>
  <si>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</si>
  <si>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</si>
  <si>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</si>
  <si>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</si>
  <si>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</si>
  <si>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</si>
  <si>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</si>
  <si>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</si>
  <si>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</si>
  <si>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</si>
  <si>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</si>
  <si>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</si>
  <si>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</si>
  <si>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</si>
  <si>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</si>
  <si>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</si>
  <si>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</si>
  <si>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</si>
  <si>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</si>
  <si>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</si>
  <si>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</si>
  <si>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</si>
  <si>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</si>
  <si>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</si>
  <si>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</si>
  <si>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</si>
  <si>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</si>
  <si>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</si>
  <si>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</si>
  <si>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</si>
  <si>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</si>
  <si>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</si>
  <si>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</si>
  <si>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</si>
  <si>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</si>
  <si>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</si>
  <si>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</si>
  <si>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</si>
  <si>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</si>
  <si>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</si>
  <si>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</si>
  <si>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</si>
  <si>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</si>
  <si>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</si>
  <si>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</si>
  <si>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</si>
  <si>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</si>
  <si>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</si>
  <si>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</si>
  <si>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</si>
  <si>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</si>
  <si>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</si>
  <si>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</si>
  <si>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</si>
  <si>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</si>
  <si>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</si>
  <si>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</si>
  <si>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</si>
  <si>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</si>
  <si>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</si>
  <si>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</si>
  <si>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</si>
  <si>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</si>
  <si>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</si>
  <si>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</si>
  <si>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</si>
  <si>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</si>
  <si>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</si>
  <si>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</si>
  <si>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</si>
  <si>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</si>
  <si>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</si>
  <si>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</si>
  <si>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</si>
  <si>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</si>
  <si>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</si>
  <si>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</si>
  <si>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</si>
  <si>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</si>
  <si>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</si>
  <si>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</si>
  <si>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</si>
  <si>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</si>
  <si>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</si>
  <si>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</si>
  <si>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</si>
  <si>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</si>
  <si>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</si>
  <si>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</si>
  <si>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</si>
  <si>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</si>
  <si>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</si>
  <si>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</si>
  <si>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</si>
  <si>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</si>
  <si>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</si>
  <si>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</si>
  <si>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</si>
  <si>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</si>
  <si>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</si>
  <si>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</si>
  <si>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</si>
  <si>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</si>
  <si>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</si>
  <si>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</si>
  <si>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</si>
  <si>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</si>
  <si>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</si>
  <si>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</si>
  <si>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</si>
  <si>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</si>
  <si>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</si>
  <si>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</si>
  <si>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</si>
  <si>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</si>
  <si>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</si>
  <si>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</si>
  <si>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</si>
  <si>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</si>
  <si>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</si>
  <si>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</si>
  <si>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</si>
  <si>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</si>
  <si>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</si>
  <si>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</si>
  <si>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</si>
  <si>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</si>
  <si>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</si>
  <si>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</si>
  <si>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</si>
  <si>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</si>
  <si>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</si>
  <si>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</si>
  <si>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</si>
  <si>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</si>
  <si>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</si>
  <si>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</si>
  <si>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oct-Nov</t>
  </si>
  <si>
    <t>Omer</t>
  </si>
  <si>
    <t>Faizan</t>
  </si>
  <si>
    <t>madina dyes</t>
  </si>
  <si>
    <t>Dasti</t>
  </si>
  <si>
    <t>Shafique Ansari</t>
  </si>
  <si>
    <t>Amjad sohail</t>
  </si>
  <si>
    <t>Billing (Slub)</t>
  </si>
  <si>
    <t>Billing (Satin)</t>
  </si>
  <si>
    <t>Aurangzeb</t>
  </si>
  <si>
    <t>General Dyes</t>
  </si>
  <si>
    <t>Salman Zaffar</t>
  </si>
  <si>
    <t>1880+1885</t>
  </si>
  <si>
    <t>Slub</t>
  </si>
  <si>
    <t>Satin</t>
  </si>
  <si>
    <t>closing CF</t>
  </si>
  <si>
    <t>black</t>
  </si>
  <si>
    <t>Closing October CF</t>
  </si>
  <si>
    <t>kaleem ullah</t>
  </si>
  <si>
    <t>salary</t>
  </si>
  <si>
    <t>60 bags starch 3 bp26</t>
  </si>
  <si>
    <t>700*810</t>
  </si>
  <si>
    <t>advance salary</t>
  </si>
  <si>
    <t>TKL 364</t>
  </si>
  <si>
    <t>ejaz sahab</t>
  </si>
  <si>
    <t>Amjad Sohail</t>
  </si>
  <si>
    <t>Arb Dasti</t>
  </si>
  <si>
    <t>Shahid Qasayi</t>
  </si>
  <si>
    <t>1670+1671</t>
  </si>
  <si>
    <t>misc</t>
  </si>
  <si>
    <t>1822+1823</t>
  </si>
  <si>
    <t>APL</t>
  </si>
  <si>
    <t>C 8947</t>
  </si>
  <si>
    <t>E 3229</t>
  </si>
  <si>
    <t>Abid ghafoor</t>
  </si>
  <si>
    <t>abid ghafoor</t>
  </si>
  <si>
    <t>TAD 290</t>
  </si>
  <si>
    <t>E 9399</t>
  </si>
  <si>
    <t>loom ac</t>
  </si>
  <si>
    <t>NAD 668</t>
  </si>
  <si>
    <t>ibraheem behraam</t>
  </si>
  <si>
    <t>Hameed corporation</t>
  </si>
  <si>
    <t>Shafi Dyes</t>
  </si>
  <si>
    <t>CAR 6957</t>
  </si>
  <si>
    <t>Madina Dyes</t>
  </si>
  <si>
    <t>shahid Qasayi</t>
  </si>
  <si>
    <t>irfan punjabi</t>
  </si>
  <si>
    <t>LES 8294</t>
  </si>
  <si>
    <t>Irfan Punjabi</t>
  </si>
  <si>
    <t>C 1605</t>
  </si>
  <si>
    <t>Zia-ullah karachi</t>
  </si>
  <si>
    <t>Amjad wood</t>
  </si>
  <si>
    <t>TKT 364</t>
  </si>
  <si>
    <t>LEI 9662</t>
  </si>
  <si>
    <t>LEI 2223</t>
  </si>
  <si>
    <t>JU 4472</t>
  </si>
  <si>
    <t>LEJ 9662</t>
  </si>
  <si>
    <t>LES 3785</t>
  </si>
  <si>
    <t>Black-Chamki</t>
  </si>
  <si>
    <t>Raaz fabrics</t>
  </si>
  <si>
    <t>Billing (Black-chamki)</t>
  </si>
  <si>
    <t>Temp</t>
  </si>
  <si>
    <t>1953+1952</t>
  </si>
  <si>
    <t>Billing (Kataan)</t>
  </si>
  <si>
    <t>SAB 3612</t>
  </si>
  <si>
    <t>ZA</t>
  </si>
  <si>
    <t>1957-67</t>
  </si>
  <si>
    <t>TAC 734</t>
  </si>
  <si>
    <t>This month</t>
  </si>
  <si>
    <t>Ahmad Javaid</t>
  </si>
  <si>
    <t>Munaar</t>
  </si>
  <si>
    <t>Billing (Munaar)</t>
  </si>
  <si>
    <t>November Closing CF</t>
  </si>
  <si>
    <t>Kataan</t>
  </si>
  <si>
    <t>billing (Slub)</t>
  </si>
  <si>
    <t>Billing (Black-Chamki)</t>
  </si>
  <si>
    <t>Billing (kataan</t>
  </si>
  <si>
    <t>Closing CF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</si>
</sst>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2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64" fontId="10" fillId="0" borderId="0" xfId="0" applyNumberFormat="1" applyFont="1"/>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cellXfs>
  <cellStyles count="2">
    <cellStyle name="Comma" xfId="1" builtinId="3"/>
    <cellStyle name="Normal" xfId="0" builtinId="0"/>
  </cellStyles>
  <dxfs count="133">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53869</xdr:rowOff>
    </xdr:from>
    <xdr:to>
      <xdr:col>11</xdr:col>
      <xdr:colOff>66829</xdr:colOff>
      <xdr:row>40</xdr:row>
      <xdr:rowOff>90443</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495310</xdr:colOff>
      <xdr:row>7</xdr:row>
      <xdr:rowOff>43181</xdr:rowOff>
    </xdr:from>
    <xdr:to>
      <xdr:col>13</xdr:col>
      <xdr:colOff>390397</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193599</xdr:colOff>
      <xdr:row>12</xdr:row>
      <xdr:rowOff>138748</xdr:rowOff>
    </xdr:from>
    <xdr:to>
      <xdr:col>14</xdr:col>
      <xdr:colOff>526140</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727497</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583333" createdVersion="8" refreshedVersion="8" minRefreshableVersion="3" recordCount="245" xr:uid="{46CBB50D-3613-4E5B-8212-DD0313DCD05A}">
  <cacheSource type="worksheet">
    <worksheetSource name="Table1"/>
  </cacheSource>
  <cacheFields count="14">
    <cacheField name="Date" numFmtId="0">
      <sharedItems containsSemiMixedTypes="0" containsNonDate="0" containsDate="1" containsString="0" minDate="2025-11-18T00:00:00" maxDate="2025-12-18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u="1"/>
        <s v="YING" u="1"/>
        <s v="Meow" u="1"/>
        <s v="Umer Sb" u="1"/>
        <s v="-" u="1"/>
        <s v="Sajjad" u="1"/>
        <s v="Haji Ejaz" u="1"/>
      </sharedItems>
    </cacheField>
    <cacheField name="Bill Number" numFmtId="0">
      <sharedItems containsMixedTypes="1" containsNumber="1" containsInteger="1" minValue="1091" maxValue="1255"/>
    </cacheField>
    <cacheField name="Quality" numFmtId="0">
      <sharedItems/>
    </cacheField>
    <cacheField name="Shipment Number" numFmtId="164">
      <sharedItems containsBlank="1" containsMixedTypes="1" containsNumber="1" containsInteger="1" minValue="1558" maxValue="17000" count="332">
        <m/>
        <n v="1879"/>
        <n v="1867"/>
        <s v="1880+1885"/>
        <n v="1878"/>
        <n v="1897"/>
        <n v="1920"/>
        <n v="1898"/>
        <n v="1875"/>
        <n v="1918"/>
        <n v="1906"/>
        <n v="1873"/>
        <n v="1883"/>
        <n v="1917"/>
        <n v="1900"/>
        <n v="1930"/>
        <n v="1911"/>
        <n v="1887"/>
        <s v="1670+1671"/>
        <n v="1882"/>
        <n v="1890"/>
        <n v="1877"/>
        <n v="1853"/>
        <n v="1889"/>
        <s v="1822+1823"/>
        <n v="1884"/>
        <n v="1926"/>
        <n v="1905"/>
        <n v="1934"/>
        <n v="1843"/>
        <n v="1935"/>
        <n v="1888"/>
        <n v="1925"/>
        <n v="1893"/>
        <n v="1894"/>
        <n v="1936"/>
        <n v="1937"/>
        <n v="1939"/>
        <n v="1913"/>
        <n v="1912"/>
        <n v="1915"/>
        <n v="1899"/>
        <n v="1919"/>
        <n v="1886"/>
        <n v="1907"/>
        <n v="1938"/>
        <n v="1870"/>
        <n v="1921"/>
        <n v="1922"/>
        <n v="1933"/>
        <n v="1842"/>
        <n v="1958"/>
        <n v="1910"/>
        <n v="1923"/>
        <n v="1914"/>
        <n v="1904"/>
        <n v="1909"/>
        <n v="1940"/>
        <n v="1943"/>
        <n v="1961"/>
        <n v="1928"/>
        <n v="1927"/>
        <n v="1852"/>
        <n v="1931"/>
        <n v="1908"/>
        <n v="1929"/>
        <n v="1975"/>
        <n v="1903"/>
        <n v="1942"/>
        <n v="1946"/>
        <n v="1968"/>
        <s v="1953+1952"/>
        <n v="1945"/>
        <n v="1962"/>
        <n v="1970"/>
        <n v="1944"/>
        <n v="1955"/>
        <n v="1902"/>
        <n v="1959"/>
        <n v="1960"/>
        <n v="1966"/>
        <n v="1892"/>
        <s v="1957-67"/>
        <n v="1924"/>
        <n v="1949"/>
        <n v="1956"/>
        <n v="1971"/>
        <n v="1972"/>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3042" maxValue="79388"/>
    </cacheField>
    <cacheField name="Tiyaar/gaz" numFmtId="164">
      <sharedItems containsString="0" containsBlank="1" containsNumber="1" containsInteger="1" minValue="330" maxValue="50222"/>
    </cacheField>
    <cacheField name="shortage %" numFmtId="165">
      <sharedItems containsBlank="1" containsMixedTypes="1" containsNumber="1" minValue="-0.94232659281401254" maxValue="98.2144584337385"/>
    </cacheField>
    <cacheField name="tiyar/meters" numFmtId="165">
      <sharedItems containsString="0" containsBlank="1" containsNumber="1" minValue="0" maxValue="1895402.3408924653"/>
    </cacheField>
    <cacheField name="billing" numFmtId="165">
      <sharedItems containsSemiMixedTypes="0" containsString="0"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412038" createdVersion="8" refreshedVersion="8" minRefreshableVersion="3" recordCount="15" xr:uid="{376A650C-1F79-4049-BC45-E34989F046B2}">
  <cacheSource type="worksheet">
    <worksheetSource name="Table2"/>
  </cacheSource>
  <cacheFields count="8">
    <cacheField name="Date" numFmtId="14">
      <sharedItems containsNonDate="0" containsDate="1" containsString="0" containsBlank="1" minDate="2025-11-18T00:00:00" maxDate="2025-12-0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2" maxValue="8"/>
    </cacheField>
    <cacheField name="Quantity" numFmtId="0">
      <sharedItems containsString="0" containsBlank="1" containsNumber="1" containsInteger="1" minValue="125" maxValue="125"/>
    </cacheField>
    <cacheField name="Price" numFmtId="0">
      <sharedItems containsSemiMixedTypes="0" containsString="0" containsNumber="1" containsInteger="1" minValue="0" maxValue="200000"/>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624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6759261" createdVersion="8" refreshedVersion="8" minRefreshableVersion="3" recordCount="70" xr:uid="{3E5C2981-ACF5-44A9-8567-B1D65DB3A8D2}">
  <cacheSource type="worksheet">
    <worksheetSource name="Table3"/>
  </cacheSource>
  <cacheFields count="9">
    <cacheField name="Date" numFmtId="14">
      <sharedItems containsSemiMixedTypes="0" containsNonDate="0" containsDate="1" containsString="0" minDate="2025-05-02T00:00:00" maxDate="2025-12-18T00:00:00" count="135">
        <d v="2025-10-17T00:00:00"/>
        <d v="2025-11-18T00:00:00"/>
        <d v="2025-11-19T00:00:00"/>
        <d v="2025-11-20T00:00:00"/>
        <d v="2025-11-21T00:00:00"/>
        <d v="2025-11-23T00:00:00"/>
        <d v="2025-11-24T00:00:00"/>
        <d v="2025-11-25T00:00:00"/>
        <d v="2025-11-26T00:00:00"/>
        <d v="2025-11-27T00:00:00"/>
        <d v="2025-11-28T00:00:00"/>
        <d v="2025-11-29T00:00:00"/>
        <d v="2025-12-01T00:00:00"/>
        <d v="2025-12-02T00:00:00"/>
        <d v="2025-12-03T00:00:00"/>
        <d v="2025-12-04T00:00:00"/>
        <d v="2025-12-05T00:00:00"/>
        <d v="2025-12-06T00:00:00"/>
        <d v="2025-12-07T00:00:00"/>
        <d v="2025-12-08T00:00:00"/>
        <d v="2025-12-09T00:00:00"/>
        <d v="2025-12-10T00:00:00"/>
        <d v="2025-12-11T00:00:00"/>
        <d v="2025-12-12T00:00:00"/>
        <d v="2025-12-14T00:00:00"/>
        <d v="2025-12-13T00:00:00"/>
        <d v="2025-12-15T00:00:00"/>
        <d v="2025-12-16T00:00:00"/>
        <d v="2025-12-17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1">
        <s v="Malik Zaheer"/>
        <s v="Aqib"/>
        <s v="Rafaqat"/>
        <s v="Kaleem ullah"/>
        <s v="Ishaq"/>
        <s v="Aurangzeb"/>
        <s v="Irfan Punjabi"/>
        <s v="Amjad wood"/>
        <m u="1"/>
        <s v="Shamil" u="1"/>
        <s v="Aqib Freight" u="1"/>
      </sharedItems>
    </cacheField>
    <cacheField name="Vehicle Number" numFmtId="0">
      <sharedItems containsBlank="1" containsMixedTypes="1" containsNumber="1" containsInteger="1" minValue="31" maxValue="9940" count="76">
        <s v="Closing Balance CF"/>
        <m/>
        <s v="TKL 364"/>
        <n v="9662"/>
        <s v="APL"/>
        <s v="C 8947"/>
        <s v="E 3229"/>
        <s v="E 9399"/>
        <s v="TAD 290"/>
        <s v="NAD 668"/>
        <s v="CAR 6957"/>
        <s v="LES 8294"/>
        <s v="LEI 2223"/>
        <s v="C 1605"/>
        <s v="JU 4472"/>
        <s v="TKT 364"/>
        <s v="LEI 9662"/>
        <n v="8618"/>
        <s v="LEJ 9662"/>
        <s v="-"/>
        <s v="LES 3785"/>
        <s v="SAB 3612"/>
        <s v="TAC 73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0" maxValue="496"/>
    </cacheField>
    <cacheField name="Rate" numFmtId="164">
      <sharedItems containsString="0" containsBlank="1" containsNumber="1" containsInteger="1" minValue="580" maxValue="830"/>
    </cacheField>
    <cacheField name="Rent" numFmtId="164">
      <sharedItems containsString="0" containsBlank="1" containsNumber="1" containsInteger="1" minValue="35000" maxValue="118000"/>
    </cacheField>
    <cacheField name="Total" numFmtId="164">
      <sharedItems containsSemiMixedTypes="0" containsString="0" containsNumber="1" containsInteger="1" minValue="0" maxValue="401760"/>
    </cacheField>
    <cacheField name="Paid" numFmtId="164">
      <sharedItems containsString="0" containsBlank="1" containsNumber="1" containsInteger="1" minValue="0" maxValue="418188"/>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106485" createdVersion="8" refreshedVersion="8" minRefreshableVersion="3" recordCount="19" xr:uid="{AC867DCC-CE64-4D1A-827D-F1F3EE10EE4E}">
  <cacheSource type="worksheet">
    <worksheetSource name="Table8"/>
  </cacheSource>
  <cacheFields count="9">
    <cacheField name="Date" numFmtId="14">
      <sharedItems containsSemiMixedTypes="0" containsNonDate="0" containsDate="1" containsString="0" minDate="2025-05-16T00:00:00" maxDate="2025-12-17T00:00:00" count="50">
        <d v="2025-10-17T00:00:00"/>
        <d v="2025-11-18T00:00:00"/>
        <d v="2025-11-20T00:00:00"/>
        <d v="2025-11-22T00:00:00"/>
        <d v="2025-11-25T00:00:00"/>
        <d v="2025-11-26T00:00:00"/>
        <d v="2025-11-27T00:00:00"/>
        <d v="2025-11-29T00:00:00"/>
        <d v="2025-12-01T00:00:00"/>
        <d v="2025-12-02T00:00:00"/>
        <d v="2025-12-04T00:00:00"/>
        <d v="2025-12-11T00:00:00"/>
        <d v="2025-12-09T00:00:00"/>
        <d v="2025-12-06T00:00:00"/>
        <d v="2025-12-12T00:00:00"/>
        <d v="2025-12-16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32000" maxValue="242450"/>
    </cacheField>
    <cacheField name="Party" numFmtId="0">
      <sharedItems containsBlank="1" count="7">
        <s v="Unicolour"/>
        <s v="madina dyes"/>
        <s v="General Dyes"/>
        <s v="shafi dyes"/>
        <m u="1"/>
        <s v="Al madina" u="1"/>
        <s v="-" u="1"/>
      </sharedItems>
    </cacheField>
    <cacheField name="Paid" numFmtId="0">
      <sharedItems containsSemiMixedTypes="0" containsString="0" containsNumber="1" containsInteger="1" minValue="0" maxValue="242450"/>
    </cacheField>
    <cacheField name="Balance" numFmtId="0">
      <sharedItems containsSemiMixedTypes="0" containsString="0" containsNumber="1" containsInteger="1" minValue="-240125"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56944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301326.81053401611"/>
    </cacheField>
    <cacheField name="Rate" numFmtId="0">
      <sharedItems containsString="0" containsBlank="1" containsNumber="1" minValue="10" maxValue="12"/>
    </cacheField>
    <cacheField name="Total" numFmtId="164">
      <sharedItems containsSemiMixedTypes="0" containsString="0" containsNumber="1" minValue="0" maxValue="3335711.4118507681"/>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09.074947800924" createdVersion="8" refreshedVersion="8" minRefreshableVersion="3" recordCount="484" xr:uid="{B5BDFB73-D93A-4A7A-8149-666BC190B09B}">
  <cacheSource type="worksheet">
    <worksheetSource name="Table14"/>
  </cacheSource>
  <cacheFields count="7">
    <cacheField name="Date" numFmtId="14">
      <sharedItems containsNonDate="0" containsDate="1" containsString="0" containsBlank="1" minDate="2025-10-17T00:00:00" maxDate="2025-12-18T00:00:00"/>
    </cacheField>
    <cacheField name="Party" numFmtId="0">
      <sharedItems containsBlank="1" count="74">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s v="General Dyes"/>
        <s v="Faizan"/>
        <s v="misc"/>
        <s v="Rafaqat"/>
        <s v="Sajad Khan"/>
        <s v="abid ghafoor"/>
        <s v="Hafiz Qureshi"/>
        <s v="Zia-ullah karachi"/>
        <s v="Ishaq"/>
        <s v="Unicolour"/>
        <s v="loom ac"/>
        <s v="ibraheem behraam"/>
        <s v="Shafi Dyes"/>
        <m/>
        <s v="Ubaidullah"/>
        <s v="shahid Qasayi"/>
        <s v="irfan punjabi"/>
        <s v="Hameed corporation"/>
        <s v="Amjad wood"/>
        <s v="Raaz fabrics"/>
        <s v="Temp"/>
        <s v="ZA"/>
        <s v="Zia-ullah" u="1"/>
        <s v="Closing September CF" u="1"/>
        <s v="copper" u="1"/>
        <s v="sunsuper theka" u="1"/>
        <s v="Dyes" u="1"/>
        <s v="electric bill" u="1"/>
        <s v="Shafique Ansari" u="1"/>
        <s v="Chain Acc" u="1"/>
        <s v="Amjad 7up" u="1"/>
        <s v="Hazrat khan" u="1"/>
        <s v="Sufi Nawaz Sahab" u="1"/>
        <s v="Faysal Akraam"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673115" maxValue="1353061"/>
    </cacheField>
    <cacheField name="Description" numFmtId="0">
      <sharedItems containsDate="1" containsBlank="1" containsMixedTypes="1" minDate="2025-11-19T00:00:00" maxDate="2025-11-26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5">
  <r>
    <d v="2025-11-18T00:00:00"/>
    <x v="0"/>
    <s v="October Closing CF"/>
    <s v="Chamki"/>
    <x v="0"/>
    <m/>
    <m/>
    <e v="#DIV/0!"/>
    <n v="1895402.3408924653"/>
    <n v="18954023.408924658"/>
    <m/>
  </r>
  <r>
    <d v="2025-11-18T00:00:00"/>
    <x v="1"/>
    <s v="October Closing CF"/>
    <s v="Chamki"/>
    <x v="0"/>
    <m/>
    <m/>
    <e v="#DIV/0!"/>
    <n v="148145.57425018289"/>
    <n v="1481455.7425018288"/>
    <m/>
  </r>
  <r>
    <d v="2025-11-18T00:00:00"/>
    <x v="2"/>
    <s v="October Closing CF"/>
    <s v="Chamki"/>
    <x v="0"/>
    <m/>
    <m/>
    <e v="#DIV/0!"/>
    <n v="392581.38258961233"/>
    <n v="3925813.8258961234"/>
    <m/>
  </r>
  <r>
    <d v="2025-11-18T00:00:00"/>
    <x v="3"/>
    <s v="October Closing CF"/>
    <s v="Chamki"/>
    <x v="0"/>
    <m/>
    <m/>
    <e v="#DIV/0!"/>
    <n v="123086.13752743235"/>
    <n v="1269270.3440380397"/>
    <m/>
  </r>
  <r>
    <d v="2025-11-18T00:00:00"/>
    <x v="4"/>
    <s v="October Closing CF"/>
    <s v="Chamki"/>
    <x v="0"/>
    <m/>
    <m/>
    <e v="#DIV/0!"/>
    <n v="599330.65106071695"/>
    <n v="5408917.8595464528"/>
    <m/>
  </r>
  <r>
    <d v="2025-11-18T00:00:00"/>
    <x v="5"/>
    <s v="October Closing CF"/>
    <s v="Chamki"/>
    <x v="0"/>
    <m/>
    <m/>
    <e v="#DIV/0!"/>
    <n v="547436.90563277248"/>
    <n v="5474369.0563277248"/>
    <m/>
  </r>
  <r>
    <d v="2025-11-18T00:00:00"/>
    <x v="6"/>
    <s v="October Closing CF"/>
    <s v="Chamki"/>
    <x v="0"/>
    <m/>
    <m/>
    <e v="#DIV/0!"/>
    <n v="92278.712509144127"/>
    <n v="922787.12509144121"/>
    <m/>
  </r>
  <r>
    <d v="2025-11-18T00:00:00"/>
    <x v="7"/>
    <s v="October Closing CF"/>
    <s v="Chamki"/>
    <x v="0"/>
    <m/>
    <m/>
    <e v="#DIV/0!"/>
    <n v="161808.70519385519"/>
    <n v="1618087.0519385519"/>
    <m/>
  </r>
  <r>
    <d v="2025-11-18T00:00:00"/>
    <x v="8"/>
    <s v="October Closing CF"/>
    <s v="Chamki"/>
    <x v="0"/>
    <m/>
    <m/>
    <e v="#DIV/0!"/>
    <n v="46132.955376737387"/>
    <n v="461329.5537673739"/>
    <m/>
  </r>
  <r>
    <d v="2025-11-18T00:00:00"/>
    <x v="9"/>
    <s v="October Closing CF"/>
    <s v="Crinkle"/>
    <x v="0"/>
    <m/>
    <m/>
    <e v="#DIV/0!"/>
    <n v="21310.35113386979"/>
    <n v="255724.21360643749"/>
    <m/>
  </r>
  <r>
    <d v="2025-11-18T00:00:00"/>
    <x v="10"/>
    <s v="October Closing CF"/>
    <s v="Chamki"/>
    <x v="0"/>
    <m/>
    <m/>
    <e v="#DIV/0!"/>
    <n v="121151.24359912217"/>
    <n v="1211512.4359912218"/>
    <m/>
  </r>
  <r>
    <d v="2025-11-18T00:00:00"/>
    <x v="11"/>
    <s v="October Closing CF"/>
    <s v="Chamki"/>
    <x v="0"/>
    <m/>
    <m/>
    <e v="#DIV/0!"/>
    <n v="341790.4169714704"/>
    <n v="3417904.1697147042"/>
    <m/>
  </r>
  <r>
    <d v="2025-11-18T00:00:00"/>
    <x v="12"/>
    <s v="October Closing CF"/>
    <s v="Chamki"/>
    <x v="0"/>
    <m/>
    <m/>
    <e v="#DIV/0!"/>
    <n v="0"/>
    <n v="0"/>
    <m/>
  </r>
  <r>
    <d v="2025-11-18T00:00:00"/>
    <x v="13"/>
    <s v="October Closing CF"/>
    <s v="Chamki"/>
    <x v="0"/>
    <m/>
    <m/>
    <e v="#DIV/0!"/>
    <n v="48385.149963423559"/>
    <n v="483851.49963423557"/>
    <m/>
  </r>
  <r>
    <d v="2025-11-18T00:00:00"/>
    <x v="14"/>
    <s v="October Closing CF"/>
    <s v="Chamki"/>
    <x v="0"/>
    <m/>
    <m/>
    <e v="#DIV/0!"/>
    <n v="8915.5084125822978"/>
    <n v="89155.084125822978"/>
    <m/>
  </r>
  <r>
    <d v="2025-11-18T00:00:00"/>
    <x v="15"/>
    <s v="October Closing CF"/>
    <s v="Chamki"/>
    <x v="0"/>
    <m/>
    <m/>
    <e v="#DIV/0!"/>
    <n v="47437.820043891741"/>
    <n v="474378.20043891744"/>
    <m/>
  </r>
  <r>
    <d v="2025-11-18T00:00:00"/>
    <x v="16"/>
    <s v="October Closing CF"/>
    <s v="Chamki"/>
    <x v="0"/>
    <m/>
    <m/>
    <e v="#DIV/0!"/>
    <n v="0"/>
    <n v="0"/>
    <m/>
  </r>
  <r>
    <d v="2025-11-18T00:00:00"/>
    <x v="17"/>
    <s v="October Closing CF"/>
    <s v="Chamki"/>
    <x v="0"/>
    <m/>
    <m/>
    <e v="#DIV/0!"/>
    <n v="64300.475493782011"/>
    <n v="643004.75493782014"/>
    <m/>
  </r>
  <r>
    <d v="2025-11-18T00:00:00"/>
    <x v="18"/>
    <s v="October Closing CF"/>
    <s v="Chamki"/>
    <x v="0"/>
    <m/>
    <m/>
    <e v="#DIV/0!"/>
    <n v="43834.125822970011"/>
    <n v="552414.04535479157"/>
    <m/>
  </r>
  <r>
    <d v="2025-11-18T00:00:00"/>
    <x v="19"/>
    <s v="October Closing CF"/>
    <s v="Chamki"/>
    <x v="0"/>
    <m/>
    <m/>
    <e v="#DIV/0!"/>
    <n v="0"/>
    <n v="0"/>
    <m/>
  </r>
  <r>
    <d v="2025-11-18T00:00:00"/>
    <x v="0"/>
    <s v="October Closing CF"/>
    <s v="Silky"/>
    <x v="0"/>
    <m/>
    <m/>
    <e v="#DIV/0!"/>
    <n v="121247.2567666423"/>
    <n v="1487858.4491587421"/>
    <m/>
  </r>
  <r>
    <d v="2025-11-18T00:00:00"/>
    <x v="1"/>
    <s v="October Closing CF"/>
    <s v="Silky"/>
    <x v="0"/>
    <m/>
    <m/>
    <e v="#DIV/0!"/>
    <n v="105915.32553035846"/>
    <n v="1317755.1207022679"/>
    <m/>
  </r>
  <r>
    <d v="2025-11-18T00:00:00"/>
    <x v="2"/>
    <s v="October Closing CF"/>
    <s v="Silky"/>
    <x v="0"/>
    <m/>
    <m/>
    <e v="#DIV/0!"/>
    <n v="14794.257498171179"/>
    <n v="177531.08997805414"/>
    <m/>
  </r>
  <r>
    <d v="2025-11-18T00:00:00"/>
    <x v="3"/>
    <s v="October Closing CF"/>
    <s v="Silky"/>
    <x v="0"/>
    <m/>
    <m/>
    <e v="#DIV/0!"/>
    <n v="0"/>
    <n v="0"/>
    <m/>
  </r>
  <r>
    <d v="2025-11-18T00:00:00"/>
    <x v="4"/>
    <s v="October Closing CF"/>
    <s v="Silky"/>
    <x v="0"/>
    <m/>
    <m/>
    <e v="#DIV/0!"/>
    <n v="485823.88441843458"/>
    <n v="5829886.6130212145"/>
    <m/>
  </r>
  <r>
    <d v="2025-11-18T00:00:00"/>
    <x v="5"/>
    <s v="October Closing CF"/>
    <s v="Silky"/>
    <x v="0"/>
    <m/>
    <m/>
    <e v="#DIV/0!"/>
    <n v="0"/>
    <n v="0"/>
    <m/>
  </r>
  <r>
    <d v="2025-11-18T00:00:00"/>
    <x v="6"/>
    <s v="October Closing CF"/>
    <s v="Silky"/>
    <x v="0"/>
    <m/>
    <m/>
    <e v="#DIV/0!"/>
    <n v="0"/>
    <n v="0"/>
    <m/>
  </r>
  <r>
    <d v="2025-11-18T00:00:00"/>
    <x v="7"/>
    <s v="October Closing CF"/>
    <s v="Silky"/>
    <x v="0"/>
    <m/>
    <m/>
    <e v="#DIV/0!"/>
    <n v="25188.368690563279"/>
    <n v="327448.79297732259"/>
    <m/>
  </r>
  <r>
    <d v="2025-11-18T00:00:00"/>
    <x v="8"/>
    <s v="October Closing CF"/>
    <s v="Silky"/>
    <x v="0"/>
    <m/>
    <m/>
    <e v="#DIV/0!"/>
    <n v="14995.427944403806"/>
    <n v="179945.13533284568"/>
    <m/>
  </r>
  <r>
    <d v="2025-11-18T00:00:00"/>
    <x v="9"/>
    <s v="October Closing CF"/>
    <s v="Silky"/>
    <x v="0"/>
    <m/>
    <m/>
    <e v="#DIV/0!"/>
    <n v="0"/>
    <n v="0"/>
    <m/>
  </r>
  <r>
    <d v="2025-11-18T00:00:00"/>
    <x v="10"/>
    <s v="October Closing CF"/>
    <s v="Silky"/>
    <x v="0"/>
    <m/>
    <m/>
    <e v="#DIV/0!"/>
    <n v="0"/>
    <n v="0"/>
    <m/>
  </r>
  <r>
    <d v="2025-11-18T00:00:00"/>
    <x v="11"/>
    <s v="October Closing CF"/>
    <s v="Silky"/>
    <x v="0"/>
    <m/>
    <m/>
    <e v="#DIV/0!"/>
    <n v="63154.718361375279"/>
    <n v="757856.62033650337"/>
    <m/>
  </r>
  <r>
    <d v="2025-11-18T00:00:00"/>
    <x v="12"/>
    <s v="October Closing CF"/>
    <s v="Silky"/>
    <x v="0"/>
    <m/>
    <m/>
    <e v="#DIV/0!"/>
    <n v="0"/>
    <n v="0"/>
    <m/>
  </r>
  <r>
    <d v="2025-11-18T00:00:00"/>
    <x v="13"/>
    <s v="October Closing CF"/>
    <s v="Silky"/>
    <x v="0"/>
    <m/>
    <m/>
    <e v="#DIV/0!"/>
    <n v="0"/>
    <n v="0"/>
    <m/>
  </r>
  <r>
    <d v="2025-11-18T00:00:00"/>
    <x v="14"/>
    <s v="October Closing CF"/>
    <s v="Silky"/>
    <x v="0"/>
    <m/>
    <m/>
    <e v="#DIV/0!"/>
    <n v="0"/>
    <n v="0"/>
    <m/>
  </r>
  <r>
    <d v="2025-11-18T00:00:00"/>
    <x v="15"/>
    <s v="October Closing CF"/>
    <s v="Silky"/>
    <x v="0"/>
    <m/>
    <m/>
    <e v="#DIV/0!"/>
    <n v="9232.809070958303"/>
    <n v="120026.51792245793"/>
    <m/>
  </r>
  <r>
    <d v="2025-11-18T00:00:00"/>
    <x v="16"/>
    <s v="October Closing CF"/>
    <s v="Silky"/>
    <x v="0"/>
    <m/>
    <m/>
    <m/>
    <n v="200198.42721287493"/>
    <n v="2602579.5537673743"/>
    <m/>
  </r>
  <r>
    <d v="2025-11-18T00:00:00"/>
    <x v="17"/>
    <s v="October Closing CF"/>
    <s v="Silky"/>
    <x v="0"/>
    <m/>
    <m/>
    <m/>
    <n v="7565.8376005852242"/>
    <n v="98355.888807607917"/>
    <m/>
  </r>
  <r>
    <d v="2025-11-18T00:00:00"/>
    <x v="18"/>
    <s v="October Closing CF"/>
    <s v="Silky"/>
    <x v="0"/>
    <m/>
    <m/>
    <m/>
    <n v="43834.125822970011"/>
    <n v="569843.63569861022"/>
    <m/>
  </r>
  <r>
    <d v="2025-11-18T00:00:00"/>
    <x v="19"/>
    <s v="October Closing CF"/>
    <s v="Silky"/>
    <x v="0"/>
    <m/>
    <m/>
    <m/>
    <n v="0"/>
    <n v="0"/>
    <m/>
  </r>
  <r>
    <d v="2025-11-18T00:00:00"/>
    <x v="0"/>
    <s v="October Closing CF"/>
    <s v="Slub"/>
    <x v="0"/>
    <m/>
    <m/>
    <m/>
    <m/>
    <n v="0"/>
    <m/>
  </r>
  <r>
    <d v="2025-11-18T00:00:00"/>
    <x v="1"/>
    <s v="October Closing CF"/>
    <s v="Slub"/>
    <x v="0"/>
    <m/>
    <m/>
    <m/>
    <m/>
    <n v="0"/>
    <m/>
  </r>
  <r>
    <d v="2025-11-18T00:00:00"/>
    <x v="2"/>
    <s v="October Closing CF"/>
    <s v="Slub"/>
    <x v="0"/>
    <m/>
    <m/>
    <m/>
    <m/>
    <n v="0"/>
    <m/>
  </r>
  <r>
    <d v="2025-11-18T00:00:00"/>
    <x v="3"/>
    <s v="October Closing CF"/>
    <s v="Slub"/>
    <x v="0"/>
    <m/>
    <m/>
    <m/>
    <m/>
    <n v="0"/>
    <m/>
  </r>
  <r>
    <d v="2025-11-18T00:00:00"/>
    <x v="4"/>
    <s v="October Closing CF"/>
    <s v="Slub"/>
    <x v="0"/>
    <m/>
    <m/>
    <e v="#DIV/0!"/>
    <m/>
    <n v="0"/>
    <m/>
  </r>
  <r>
    <d v="2025-11-18T00:00:00"/>
    <x v="5"/>
    <s v="October Closing CF"/>
    <s v="Slub"/>
    <x v="0"/>
    <m/>
    <m/>
    <e v="#DIV/0!"/>
    <m/>
    <n v="71359.729334308722"/>
    <m/>
  </r>
  <r>
    <d v="2025-11-18T00:00:00"/>
    <x v="6"/>
    <s v="October Closing CF"/>
    <s v="Slub"/>
    <x v="0"/>
    <m/>
    <m/>
    <e v="#DIV/0!"/>
    <m/>
    <n v="0"/>
    <m/>
  </r>
  <r>
    <d v="2025-11-18T00:00:00"/>
    <x v="7"/>
    <s v="October Closing CF"/>
    <s v="Slub"/>
    <x v="0"/>
    <m/>
    <m/>
    <e v="#DIV/0!"/>
    <m/>
    <n v="0"/>
    <m/>
  </r>
  <r>
    <d v="2025-11-18T00:00:00"/>
    <x v="8"/>
    <s v="October Closing CF"/>
    <s v="Slub"/>
    <x v="0"/>
    <m/>
    <m/>
    <e v="#DIV/0!"/>
    <m/>
    <n v="0"/>
    <m/>
  </r>
  <r>
    <d v="2025-11-18T00:00:00"/>
    <x v="9"/>
    <s v="October Closing CF"/>
    <s v="Slub"/>
    <x v="0"/>
    <m/>
    <m/>
    <e v="#DIV/0!"/>
    <m/>
    <n v="0"/>
    <m/>
  </r>
  <r>
    <d v="2025-11-18T00:00:00"/>
    <x v="10"/>
    <s v="October Closing CF"/>
    <s v="Slub"/>
    <x v="0"/>
    <m/>
    <m/>
    <e v="#DIV/0!"/>
    <m/>
    <n v="0"/>
    <m/>
  </r>
  <r>
    <d v="2025-11-18T00:00:00"/>
    <x v="11"/>
    <s v="October Closing CF"/>
    <s v="Slub"/>
    <x v="0"/>
    <m/>
    <m/>
    <e v="#DIV/0!"/>
    <m/>
    <n v="0"/>
    <m/>
  </r>
  <r>
    <d v="2025-11-18T00:00:00"/>
    <x v="12"/>
    <s v="October Closing CF"/>
    <s v="Slub"/>
    <x v="0"/>
    <m/>
    <m/>
    <e v="#DIV/0!"/>
    <m/>
    <n v="0"/>
    <m/>
  </r>
  <r>
    <d v="2025-11-18T00:00:00"/>
    <x v="13"/>
    <s v="October Closing CF"/>
    <s v="Slub"/>
    <x v="0"/>
    <m/>
    <m/>
    <e v="#DIV/0!"/>
    <m/>
    <n v="0"/>
    <m/>
  </r>
  <r>
    <d v="2025-11-18T00:00:00"/>
    <x v="14"/>
    <s v="October Closing CF"/>
    <s v="Slub"/>
    <x v="0"/>
    <m/>
    <m/>
    <e v="#DIV/0!"/>
    <m/>
    <n v="0"/>
    <m/>
  </r>
  <r>
    <d v="2025-11-18T00:00:00"/>
    <x v="15"/>
    <s v="October Closing CF"/>
    <s v="Slub"/>
    <x v="0"/>
    <m/>
    <m/>
    <e v="#DIV/0!"/>
    <m/>
    <n v="0"/>
    <m/>
  </r>
  <r>
    <d v="2025-11-18T00:00:00"/>
    <x v="16"/>
    <s v="October Closing CF"/>
    <s v="Slub"/>
    <x v="0"/>
    <m/>
    <m/>
    <e v="#DIV/0!"/>
    <m/>
    <n v="44550.109729334312"/>
    <m/>
  </r>
  <r>
    <d v="2025-11-18T00:00:00"/>
    <x v="17"/>
    <s v="October Closing CF"/>
    <s v="Slub"/>
    <x v="0"/>
    <m/>
    <m/>
    <e v="#DIV/0!"/>
    <m/>
    <n v="0"/>
    <m/>
  </r>
  <r>
    <d v="2025-11-18T00:00:00"/>
    <x v="18"/>
    <s v="October Closing CF"/>
    <s v="Slub"/>
    <x v="0"/>
    <m/>
    <m/>
    <e v="#DIV/0!"/>
    <m/>
    <n v="0"/>
    <m/>
  </r>
  <r>
    <d v="2025-11-18T00:00:00"/>
    <x v="19"/>
    <s v="October Closing CF"/>
    <s v="Slub"/>
    <x v="0"/>
    <m/>
    <m/>
    <e v="#DIV/0!"/>
    <m/>
    <n v="0"/>
    <m/>
  </r>
  <r>
    <d v="2025-11-18T00:00:00"/>
    <x v="0"/>
    <s v="October Closing CF"/>
    <s v="Satin"/>
    <x v="0"/>
    <m/>
    <m/>
    <e v="#DIV/0!"/>
    <m/>
    <n v="0"/>
    <m/>
  </r>
  <r>
    <d v="2025-11-18T00:00:00"/>
    <x v="1"/>
    <s v="October Closing CF"/>
    <s v="Satin"/>
    <x v="0"/>
    <m/>
    <m/>
    <e v="#DIV/0!"/>
    <m/>
    <n v="0"/>
    <m/>
  </r>
  <r>
    <d v="2025-11-18T00:00:00"/>
    <x v="2"/>
    <s v="October Closing CF"/>
    <s v="Satin"/>
    <x v="0"/>
    <m/>
    <m/>
    <e v="#DIV/0!"/>
    <m/>
    <n v="0"/>
    <m/>
  </r>
  <r>
    <d v="2025-11-18T00:00:00"/>
    <x v="3"/>
    <s v="October Closing CF"/>
    <s v="Satin"/>
    <x v="0"/>
    <m/>
    <m/>
    <e v="#DIV/0!"/>
    <m/>
    <n v="0"/>
    <m/>
  </r>
  <r>
    <d v="2025-11-18T00:00:00"/>
    <x v="4"/>
    <s v="October Closing CF"/>
    <s v="Satin"/>
    <x v="0"/>
    <m/>
    <m/>
    <e v="#DIV/0!"/>
    <m/>
    <n v="0"/>
    <m/>
  </r>
  <r>
    <d v="2025-11-18T00:00:00"/>
    <x v="5"/>
    <s v="October Closing CF"/>
    <s v="Satin"/>
    <x v="0"/>
    <m/>
    <m/>
    <e v="#DIV/0!"/>
    <m/>
    <n v="0"/>
    <m/>
  </r>
  <r>
    <d v="2025-11-18T00:00:00"/>
    <x v="6"/>
    <s v="October Closing CF"/>
    <s v="Satin"/>
    <x v="0"/>
    <m/>
    <m/>
    <e v="#DIV/0!"/>
    <m/>
    <n v="0"/>
    <m/>
  </r>
  <r>
    <d v="2025-11-18T00:00:00"/>
    <x v="7"/>
    <s v="October Closing CF"/>
    <s v="Satin"/>
    <x v="0"/>
    <m/>
    <m/>
    <e v="#DIV/0!"/>
    <m/>
    <n v="0"/>
    <m/>
  </r>
  <r>
    <d v="2025-11-18T00:00:00"/>
    <x v="8"/>
    <s v="October Closing CF"/>
    <s v="Satin"/>
    <x v="0"/>
    <m/>
    <m/>
    <e v="#DIV/0!"/>
    <m/>
    <n v="0"/>
    <m/>
  </r>
  <r>
    <d v="2025-11-18T00:00:00"/>
    <x v="9"/>
    <s v="October Closing CF"/>
    <s v="Satin"/>
    <x v="0"/>
    <m/>
    <m/>
    <e v="#DIV/0!"/>
    <m/>
    <n v="0"/>
    <m/>
  </r>
  <r>
    <d v="2025-11-18T00:00:00"/>
    <x v="10"/>
    <s v="October Closing CF"/>
    <s v="Satin"/>
    <x v="0"/>
    <m/>
    <m/>
    <e v="#DIV/0!"/>
    <m/>
    <n v="0"/>
    <m/>
  </r>
  <r>
    <d v="2025-11-18T00:00:00"/>
    <x v="11"/>
    <s v="October Closing CF"/>
    <s v="Satin"/>
    <x v="0"/>
    <m/>
    <m/>
    <e v="#DIV/0!"/>
    <m/>
    <n v="0"/>
    <m/>
  </r>
  <r>
    <d v="2025-11-18T00:00:00"/>
    <x v="12"/>
    <s v="October Closing CF"/>
    <s v="Satin"/>
    <x v="0"/>
    <m/>
    <m/>
    <e v="#DIV/0!"/>
    <m/>
    <n v="0"/>
    <m/>
  </r>
  <r>
    <d v="2025-11-18T00:00:00"/>
    <x v="13"/>
    <s v="October Closing CF"/>
    <s v="Satin"/>
    <x v="0"/>
    <m/>
    <m/>
    <e v="#DIV/0!"/>
    <m/>
    <n v="0"/>
    <m/>
  </r>
  <r>
    <d v="2025-11-18T00:00:00"/>
    <x v="14"/>
    <s v="October Closing CF"/>
    <s v="Satin"/>
    <x v="0"/>
    <m/>
    <m/>
    <e v="#DIV/0!"/>
    <m/>
    <n v="0"/>
    <m/>
  </r>
  <r>
    <d v="2025-11-18T00:00:00"/>
    <x v="15"/>
    <s v="October Closing CF"/>
    <s v="Satin"/>
    <x v="0"/>
    <m/>
    <m/>
    <e v="#DIV/0!"/>
    <m/>
    <n v="0"/>
    <m/>
  </r>
  <r>
    <d v="2025-11-18T00:00:00"/>
    <x v="16"/>
    <s v="October Closing CF"/>
    <s v="Satin"/>
    <x v="0"/>
    <m/>
    <m/>
    <e v="#DIV/0!"/>
    <m/>
    <n v="0"/>
    <m/>
  </r>
  <r>
    <d v="2025-11-18T00:00:00"/>
    <x v="17"/>
    <s v="October Closing CF"/>
    <s v="Satin"/>
    <x v="0"/>
    <m/>
    <m/>
    <e v="#DIV/0!"/>
    <m/>
    <n v="94656.181419166067"/>
    <m/>
  </r>
  <r>
    <d v="2025-11-18T00:00:00"/>
    <x v="18"/>
    <s v="October Closing CF"/>
    <s v="Satin"/>
    <x v="0"/>
    <m/>
    <m/>
    <e v="#DIV/0!"/>
    <m/>
    <n v="0"/>
    <m/>
  </r>
  <r>
    <d v="2025-11-18T00:00:00"/>
    <x v="19"/>
    <s v="October Closing CF"/>
    <s v="Satin"/>
    <x v="0"/>
    <m/>
    <m/>
    <e v="#DIV/0!"/>
    <m/>
    <n v="0"/>
    <m/>
  </r>
  <r>
    <d v="2025-11-18T00:00:00"/>
    <x v="19"/>
    <n v="1091"/>
    <s v="Silky"/>
    <x v="1"/>
    <n v="15061"/>
    <n v="8370"/>
    <n v="1.5221542124693741"/>
    <n v="7653.6210680321883"/>
    <n v="99497.073884418453"/>
    <m/>
  </r>
  <r>
    <d v="2025-11-18T00:00:00"/>
    <x v="1"/>
    <n v="1092"/>
    <s v="Silky"/>
    <x v="2"/>
    <n v="15147"/>
    <n v="16288"/>
    <n v="1.6707710426602347"/>
    <n v="14893.928310168252"/>
    <n v="193621.06803218729"/>
    <m/>
  </r>
  <r>
    <d v="2025-11-18T00:00:00"/>
    <x v="19"/>
    <n v="1093"/>
    <s v="Silky"/>
    <x v="1"/>
    <n v="15061"/>
    <n v="7850"/>
    <n v="1.5221542124693741"/>
    <n v="7178.1272860277986"/>
    <n v="93315.654718361387"/>
    <m/>
  </r>
  <r>
    <d v="2025-11-18T00:00:00"/>
    <x v="19"/>
    <n v="1094"/>
    <s v="Silky"/>
    <x v="3"/>
    <n v="17020"/>
    <n v="3280"/>
    <n v="2.6007098667001287"/>
    <n v="2999.268471104609"/>
    <n v="38990.490124359916"/>
    <m/>
  </r>
  <r>
    <d v="2025-11-18T00:00:00"/>
    <x v="19"/>
    <n v="1095"/>
    <s v="Silky"/>
    <x v="3"/>
    <n v="17020"/>
    <n v="2238"/>
    <n v="2.6007098667001287"/>
    <n v="2046.452084857352"/>
    <n v="26603.877103145576"/>
    <m/>
  </r>
  <r>
    <d v="2025-11-18T00:00:00"/>
    <x v="19"/>
    <n v="1096"/>
    <s v="Silky"/>
    <x v="3"/>
    <n v="17020"/>
    <n v="7449"/>
    <n v="2.6007098667001287"/>
    <n v="6811.4484272128757"/>
    <n v="88548.829553767384"/>
    <m/>
  </r>
  <r>
    <d v="2025-11-18T00:00:00"/>
    <x v="19"/>
    <n v="1097"/>
    <s v="Silky"/>
    <x v="3"/>
    <n v="17020"/>
    <n v="5162"/>
    <n v="2.6007098667001287"/>
    <n v="4720.1901975128021"/>
    <n v="61362.472567666424"/>
    <m/>
  </r>
  <r>
    <d v="2025-11-19T00:00:00"/>
    <x v="2"/>
    <n v="1098"/>
    <s v="Silky"/>
    <x v="4"/>
    <n v="25021"/>
    <n v="26629"/>
    <n v="2.6823320641823756"/>
    <n v="24349.853694220925"/>
    <n v="316548.09802487202"/>
    <m/>
  </r>
  <r>
    <d v="2025-11-19T00:00:00"/>
    <x v="0"/>
    <n v="1099"/>
    <s v="Silky"/>
    <x v="5"/>
    <n v="11127"/>
    <n v="11819"/>
    <n v="2.8720677784827728"/>
    <n v="10807.425018288222"/>
    <n v="140496.52523774689"/>
    <m/>
  </r>
  <r>
    <d v="2025-11-19T00:00:00"/>
    <x v="0"/>
    <n v="1100"/>
    <s v="Silky"/>
    <x v="6"/>
    <n v="12000"/>
    <n v="6508"/>
    <n v="1.4645818093147938"/>
    <n v="5950.9875640087785"/>
    <n v="77362.838332114115"/>
    <m/>
  </r>
  <r>
    <d v="2025-11-19T00:00:00"/>
    <x v="0"/>
    <n v="1101"/>
    <s v="Silky"/>
    <x v="7"/>
    <n v="8003"/>
    <n v="5167"/>
    <n v="2.5031852996603874"/>
    <n v="4724.7622531089983"/>
    <n v="61421.909290416981"/>
    <m/>
  </r>
  <r>
    <d v="2025-11-19T00:00:00"/>
    <x v="0"/>
    <n v="1102"/>
    <s v="Silky"/>
    <x v="7"/>
    <n v="8003"/>
    <n v="3366"/>
    <n v="2.5031852996603874"/>
    <n v="3077.9078273591808"/>
    <n v="40012.801755669352"/>
    <m/>
  </r>
  <r>
    <d v="2025-11-19T00:00:00"/>
    <x v="0"/>
    <n v="1103"/>
    <s v="Silky"/>
    <x v="6"/>
    <n v="12000"/>
    <n v="6423"/>
    <n v="1.4645818093147938"/>
    <n v="5873.2626188734457"/>
    <n v="76352.414045354788"/>
    <m/>
  </r>
  <r>
    <d v="2025-11-19T00:00:00"/>
    <x v="0"/>
    <n v="1104"/>
    <s v="Silky"/>
    <x v="8"/>
    <n v="8051"/>
    <n v="8739"/>
    <n v="0.74476746948880646"/>
    <n v="7991.0387710314562"/>
    <n v="103883.50402340892"/>
    <m/>
  </r>
  <r>
    <d v="2025-11-19T00:00:00"/>
    <x v="0"/>
    <n v="1105"/>
    <s v="Silky"/>
    <x v="9"/>
    <n v="24516"/>
    <n v="6876"/>
    <n v="2.0092636455680974"/>
    <n v="6287.4908558888083"/>
    <n v="81737.381126554508"/>
    <m/>
  </r>
  <r>
    <d v="2025-11-20T00:00:00"/>
    <x v="16"/>
    <n v="1106"/>
    <s v="Silky"/>
    <x v="10"/>
    <n v="36489"/>
    <n v="27661"/>
    <n v="1.9756492637207401"/>
    <n v="25293.52596927579"/>
    <n v="328815.83760058525"/>
    <m/>
  </r>
  <r>
    <d v="2025-11-20T00:00:00"/>
    <x v="16"/>
    <n v="1107"/>
    <s v="Silky"/>
    <x v="11"/>
    <n v="42762"/>
    <n v="835"/>
    <n v="98.2144584337385"/>
    <n v="763.53328456474037"/>
    <n v="9925.9326993416253"/>
    <m/>
  </r>
  <r>
    <d v="2025-11-20T00:00:00"/>
    <x v="16"/>
    <n v="1108"/>
    <s v="Silky"/>
    <x v="12"/>
    <n v="8030"/>
    <n v="1819"/>
    <n v="2.5804841209035771"/>
    <n v="1663.313825896123"/>
    <n v="21623.079736649601"/>
    <m/>
  </r>
  <r>
    <d v="2025-11-20T00:00:00"/>
    <x v="0"/>
    <n v="1109"/>
    <s v="Silky"/>
    <x v="9"/>
    <n v="24116"/>
    <n v="6626"/>
    <n v="2.0092636455680974"/>
    <n v="6058.8880760790053"/>
    <n v="78765.544989027068"/>
    <m/>
  </r>
  <r>
    <d v="2025-11-20T00:00:00"/>
    <x v="0"/>
    <n v="1110"/>
    <s v="Silky"/>
    <x v="13"/>
    <n v="10009"/>
    <n v="1806"/>
    <n v="-0.16588581615243925"/>
    <n v="1651.4264813460134"/>
    <n v="21468.544257498175"/>
    <m/>
  </r>
  <r>
    <d v="2025-11-20T00:00:00"/>
    <x v="20"/>
    <n v="1111"/>
    <s v="Chamki"/>
    <x v="14"/>
    <n v="15833"/>
    <n v="16832"/>
    <n v="2.7893137179663796"/>
    <n v="15391.367959034384"/>
    <n v="153913.67959034385"/>
    <m/>
  </r>
  <r>
    <d v="2025-11-20T00:00:00"/>
    <x v="0"/>
    <n v="1112"/>
    <s v="Chamki"/>
    <x v="15"/>
    <n v="19698"/>
    <n v="21453"/>
    <n v="0.41191115321976213"/>
    <n v="19616.861741038774"/>
    <n v="196168.61741038773"/>
    <m/>
  </r>
  <r>
    <d v="2025-11-21T00:00:00"/>
    <x v="20"/>
    <n v="1113"/>
    <s v="Chamki"/>
    <x v="16"/>
    <n v="25728"/>
    <n v="26729"/>
    <n v="5.0011862323350158"/>
    <n v="24441.294806144844"/>
    <n v="244412.94806144843"/>
    <m/>
  </r>
  <r>
    <d v="2025-11-21T00:00:00"/>
    <x v="5"/>
    <n v="1114"/>
    <s v="Chamki"/>
    <x v="17"/>
    <n v="53910"/>
    <n v="19686"/>
    <n v="2.2914996776577681"/>
    <n v="18001.097293343089"/>
    <n v="180010.97293343089"/>
    <m/>
  </r>
  <r>
    <d v="2025-11-21T00:00:00"/>
    <x v="6"/>
    <n v="1115"/>
    <s v="Chamki"/>
    <x v="18"/>
    <n v="24227"/>
    <n v="25825"/>
    <n v="2.5274810981442357"/>
    <n v="23614.667154352599"/>
    <n v="236146.671543526"/>
    <m/>
  </r>
  <r>
    <d v="2025-11-21T00:00:00"/>
    <x v="7"/>
    <n v="1116"/>
    <s v="Chamki"/>
    <x v="19"/>
    <n v="26019"/>
    <n v="4064"/>
    <n v="3.0061398213499473"/>
    <n v="3716.1667885881498"/>
    <n v="37161.667885881499"/>
    <m/>
  </r>
  <r>
    <d v="2025-11-22T00:00:00"/>
    <x v="5"/>
    <n v="1117"/>
    <s v="Chamki"/>
    <x v="17"/>
    <n v="53910"/>
    <n v="33096"/>
    <n v="2.2914996776577681"/>
    <n v="30263.350402340897"/>
    <n v="302633.50402340898"/>
    <m/>
  </r>
  <r>
    <d v="2025-11-22T00:00:00"/>
    <x v="5"/>
    <n v="1118"/>
    <s v="Chamki"/>
    <x v="20"/>
    <n v="24030"/>
    <n v="8374"/>
    <n v="2.8052900224390385"/>
    <n v="7657.2787125091445"/>
    <n v="76572.787125091447"/>
    <m/>
  </r>
  <r>
    <d v="2025-11-22T00:00:00"/>
    <x v="5"/>
    <n v="1119"/>
    <s v="Chamki"/>
    <x v="20"/>
    <n v="24030"/>
    <n v="17168"/>
    <n v="2.8052900224390385"/>
    <n v="15698.610095098758"/>
    <n v="156986.10095098757"/>
    <m/>
  </r>
  <r>
    <d v="2025-11-22T00:00:00"/>
    <x v="5"/>
    <n v="1120"/>
    <s v="Chamki"/>
    <x v="21"/>
    <n v="25519"/>
    <n v="27328"/>
    <n v="2.0767778260545811"/>
    <n v="24989.027066569131"/>
    <n v="249890.27066569132"/>
    <m/>
  </r>
  <r>
    <d v="2025-11-22T00:00:00"/>
    <x v="5"/>
    <n v="1121"/>
    <s v="Chamki"/>
    <x v="17"/>
    <n v="53910"/>
    <n v="2234"/>
    <n v="2.2914996776577681"/>
    <n v="2042.7944403803951"/>
    <n v="20427.944403803951"/>
    <m/>
  </r>
  <r>
    <d v="2025-11-22T00:00:00"/>
    <x v="7"/>
    <n v="1122"/>
    <s v="Chamki"/>
    <x v="19"/>
    <n v="26019"/>
    <n v="23535"/>
    <n v="3.0061398213499473"/>
    <n v="21520.665691294809"/>
    <n v="215206.65691294809"/>
    <m/>
  </r>
  <r>
    <d v="2025-11-22T00:00:00"/>
    <x v="7"/>
    <n v="1123"/>
    <s v="Chamki"/>
    <x v="22"/>
    <n v="40243"/>
    <n v="25269"/>
    <n v="2.1693940838302552"/>
    <n v="23106.254572055597"/>
    <n v="231062.54572055597"/>
    <m/>
  </r>
  <r>
    <d v="2025-11-22T00:00:00"/>
    <x v="7"/>
    <n v="1124"/>
    <s v="Chamki"/>
    <x v="22"/>
    <n v="40243"/>
    <n v="17786"/>
    <n v="2.1693940838302552"/>
    <n v="16263.71616678859"/>
    <n v="162637.1616678859"/>
    <m/>
  </r>
  <r>
    <d v="2025-11-24T00:00:00"/>
    <x v="5"/>
    <n v="1125"/>
    <s v="Chamki"/>
    <x v="23"/>
    <n v="35271"/>
    <n v="32780"/>
    <n v="2.7905096906993947"/>
    <n v="29974.396488661303"/>
    <n v="299743.96488661302"/>
    <m/>
  </r>
  <r>
    <d v="2025-11-24T00:00:00"/>
    <x v="5"/>
    <n v="1126"/>
    <s v="Chamki"/>
    <x v="17"/>
    <n v="53910"/>
    <n v="2589"/>
    <n v="2.2914996776577681"/>
    <n v="2367.4103877103148"/>
    <n v="23674.103877103149"/>
    <m/>
  </r>
  <r>
    <d v="2025-11-24T00:00:00"/>
    <x v="11"/>
    <n v="1127"/>
    <s v="Chamki"/>
    <x v="24"/>
    <n v="69241"/>
    <n v="6844"/>
    <n v="79.608292641393618"/>
    <n v="6258.2297000731533"/>
    <n v="62582.297000731531"/>
    <m/>
  </r>
  <r>
    <d v="2025-11-24T00:00:00"/>
    <x v="18"/>
    <n v="1128"/>
    <s v="Chamki"/>
    <x v="25"/>
    <n v="34783"/>
    <n v="37340"/>
    <n v="1.8367846580453033"/>
    <n v="34144.111192392105"/>
    <n v="341441.11192392104"/>
    <m/>
  </r>
  <r>
    <d v="2025-11-24T00:00:00"/>
    <x v="18"/>
    <n v="1129"/>
    <s v="Chamki"/>
    <x v="26"/>
    <n v="79388"/>
    <n v="21877"/>
    <n v="2.8492897513085467"/>
    <n v="20004.572055596196"/>
    <n v="200045.72055596195"/>
    <m/>
  </r>
  <r>
    <d v="2025-11-24T00:00:00"/>
    <x v="5"/>
    <n v="1130"/>
    <s v="Chamki"/>
    <x v="23"/>
    <n v="35271"/>
    <n v="4716"/>
    <n v="2.7905096906993947"/>
    <n v="4312.3628383321147"/>
    <n v="43123.628383321149"/>
    <m/>
  </r>
  <r>
    <d v="2025-11-24T00:00:00"/>
    <x v="11"/>
    <n v="1131"/>
    <s v="Chamki"/>
    <x v="24"/>
    <n v="69241"/>
    <n v="8597"/>
    <n v="79.608292641393618"/>
    <n v="7861.1923920994886"/>
    <n v="78611.923920994886"/>
    <m/>
  </r>
  <r>
    <d v="2025-11-25T00:00:00"/>
    <x v="2"/>
    <n v="1132"/>
    <s v="Chamki"/>
    <x v="27"/>
    <n v="62248"/>
    <n v="38493"/>
    <n v="2.2231742261903094"/>
    <n v="35198.427212874914"/>
    <n v="351984.27212874917"/>
    <m/>
  </r>
  <r>
    <d v="2025-11-25T00:00:00"/>
    <x v="0"/>
    <n v="1133"/>
    <s v="Chamki"/>
    <x v="28"/>
    <n v="34441"/>
    <n v="9822"/>
    <n v="0.96556674097216444"/>
    <n v="8981.3460131675201"/>
    <n v="89813.460131675209"/>
    <m/>
  </r>
  <r>
    <d v="2025-11-25T00:00:00"/>
    <x v="10"/>
    <n v="1134"/>
    <s v="Chamki"/>
    <x v="29"/>
    <n v="21089"/>
    <n v="22527"/>
    <n v="2.3237740855342395"/>
    <n v="20598.939283101685"/>
    <n v="205989.39283101686"/>
    <m/>
  </r>
  <r>
    <d v="2025-11-25T00:00:00"/>
    <x v="0"/>
    <n v="1135"/>
    <s v="Chamki"/>
    <x v="28"/>
    <n v="34441"/>
    <n v="8240"/>
    <n v="0.96556674097216444"/>
    <n v="7534.7476225310902"/>
    <n v="75347.476225310907"/>
    <m/>
  </r>
  <r>
    <d v="2025-11-25T00:00:00"/>
    <x v="18"/>
    <n v="1136"/>
    <s v="Chamki"/>
    <x v="26"/>
    <n v="79388"/>
    <n v="8891"/>
    <n v="2.8492897513085467"/>
    <n v="8130.0292611558161"/>
    <n v="81300.292611558165"/>
    <m/>
  </r>
  <r>
    <d v="2025-11-26T00:00:00"/>
    <x v="18"/>
    <n v="1137"/>
    <s v="Chamki"/>
    <x v="26"/>
    <n v="79388"/>
    <n v="35579"/>
    <n v="2.8492897513085467"/>
    <n v="32533.833211411853"/>
    <n v="325338.3321141185"/>
    <m/>
  </r>
  <r>
    <d v="2025-11-26T00:00:00"/>
    <x v="2"/>
    <n v="1138"/>
    <s v="Chamki"/>
    <x v="27"/>
    <n v="62248"/>
    <n v="6313"/>
    <n v="2.2231742261903094"/>
    <n v="5772.6773957571331"/>
    <n v="57726.773957571335"/>
    <m/>
  </r>
  <r>
    <d v="2025-11-26T00:00:00"/>
    <x v="18"/>
    <n v="1139"/>
    <s v="Chamki"/>
    <x v="26"/>
    <n v="79388"/>
    <n v="11064"/>
    <n v="2.8492897513085467"/>
    <n v="10117.04462326262"/>
    <n v="101170.4462326262"/>
    <m/>
  </r>
  <r>
    <d v="2025-11-27T00:00:00"/>
    <x v="21"/>
    <n v="1140"/>
    <s v="Chamki"/>
    <x v="30"/>
    <n v="9377"/>
    <n v="10015"/>
    <n v="2.3373428689272799"/>
    <n v="9157.8273591806883"/>
    <n v="91578.273591806879"/>
    <m/>
  </r>
  <r>
    <d v="2025-11-27T00:00:00"/>
    <x v="2"/>
    <n v="1141"/>
    <s v="Chamki"/>
    <x v="27"/>
    <n v="62248"/>
    <n v="16439"/>
    <n v="2.2231742261903094"/>
    <n v="15032.004389173373"/>
    <n v="150320.04389173375"/>
    <m/>
  </r>
  <r>
    <d v="2025-11-27T00:00:00"/>
    <x v="11"/>
    <n v="1142"/>
    <s v="Silky"/>
    <x v="31"/>
    <n v="28436"/>
    <n v="5770"/>
    <n v="4.3752867744535422"/>
    <n v="5276.1521580102417"/>
    <n v="68589.978054133142"/>
    <m/>
  </r>
  <r>
    <d v="2025-11-27T00:00:00"/>
    <x v="11"/>
    <n v="1143"/>
    <s v="Silky"/>
    <x v="31"/>
    <n v="28436"/>
    <n v="20407"/>
    <n v="4.3752867744535422"/>
    <n v="18660.387710314561"/>
    <n v="242585.04023408928"/>
    <m/>
  </r>
  <r>
    <d v="2025-11-27T00:00:00"/>
    <x v="11"/>
    <n v="1144"/>
    <s v="Silky"/>
    <x v="32"/>
    <n v="10000"/>
    <n v="10647"/>
    <n v="2.642648134601302"/>
    <n v="9735.7351865398687"/>
    <n v="126564.5574250183"/>
    <m/>
  </r>
  <r>
    <d v="2025-11-27T00:00:00"/>
    <x v="11"/>
    <n v="1145"/>
    <s v="Silky"/>
    <x v="33"/>
    <n v="10212"/>
    <n v="10280"/>
    <n v="7.9499970056886156"/>
    <n v="9400.1463057790788"/>
    <n v="122201.90197512803"/>
    <m/>
  </r>
  <r>
    <d v="2025-11-28T00:00:00"/>
    <x v="11"/>
    <n v="1146"/>
    <s v="Silky"/>
    <x v="34"/>
    <n v="8049"/>
    <n v="4909"/>
    <n v="3.9465025075472653"/>
    <n v="4488.844184345282"/>
    <n v="58354.974396488666"/>
    <m/>
  </r>
  <r>
    <d v="2025-11-28T00:00:00"/>
    <x v="16"/>
    <n v="1147"/>
    <s v="Silky"/>
    <x v="10"/>
    <n v="36489"/>
    <n v="11455"/>
    <n v="1.9756492637207401"/>
    <n v="10474.579370885151"/>
    <n v="136169.53182150697"/>
    <m/>
  </r>
  <r>
    <d v="2025-11-28T00:00:00"/>
    <x v="16"/>
    <n v="1148"/>
    <s v="Silky"/>
    <x v="12"/>
    <n v="8030"/>
    <n v="6736"/>
    <n v="2.5804841209035771"/>
    <n v="6159.4732991953188"/>
    <n v="80073.152889539138"/>
    <m/>
  </r>
  <r>
    <d v="2025-11-29T00:00:00"/>
    <x v="16"/>
    <n v="1149"/>
    <s v="Silky"/>
    <x v="35"/>
    <n v="35101"/>
    <n v="33442"/>
    <n v="2.418701163891825"/>
    <n v="30579.73664959766"/>
    <n v="397536.57644476957"/>
    <m/>
  </r>
  <r>
    <d v="2025-11-29T00:00:00"/>
    <x v="16"/>
    <n v="1150"/>
    <s v="Silky"/>
    <x v="35"/>
    <n v="35101"/>
    <n v="4016"/>
    <n v="2.418701163891825"/>
    <n v="3672.2750548646673"/>
    <n v="47739.575713240672"/>
    <m/>
  </r>
  <r>
    <d v="2025-11-29T00:00:00"/>
    <x v="16"/>
    <n v="1151"/>
    <s v="Silky"/>
    <x v="36"/>
    <n v="11699"/>
    <n v="12441"/>
    <n v="2.7593064838446679"/>
    <n v="11376.188734455012"/>
    <n v="147890.45354791515"/>
    <m/>
  </r>
  <r>
    <d v="2025-11-29T00:00:00"/>
    <x v="16"/>
    <n v="1152"/>
    <s v="Silky"/>
    <x v="37"/>
    <n v="26689"/>
    <n v="25635"/>
    <n v="3.9061461227392442"/>
    <n v="23440.929041697149"/>
    <n v="304732.07754206297"/>
    <m/>
  </r>
  <r>
    <d v="2025-11-29T00:00:00"/>
    <x v="22"/>
    <n v="1153"/>
    <s v="Silky"/>
    <x v="38"/>
    <n v="10441"/>
    <n v="10780"/>
    <n v="5.5899639364171634"/>
    <n v="9857.3518653986848"/>
    <n v="128145.57425018291"/>
    <m/>
  </r>
  <r>
    <d v="2025-11-29T00:00:00"/>
    <x v="22"/>
    <n v="1154"/>
    <s v="Silky"/>
    <x v="39"/>
    <n v="16530"/>
    <n v="17770"/>
    <n v="1.6994217248592776"/>
    <n v="16249.085588880762"/>
    <n v="211238.11265544989"/>
    <m/>
  </r>
  <r>
    <d v="2025-11-29T00:00:00"/>
    <x v="1"/>
    <n v="1155"/>
    <s v="Silky"/>
    <x v="40"/>
    <n v="20458"/>
    <n v="4931"/>
    <n v="3.9550976135880944"/>
    <n v="4508.9612289685447"/>
    <n v="58616.495976591083"/>
    <m/>
  </r>
  <r>
    <d v="2025-11-29T00:00:00"/>
    <x v="1"/>
    <n v="1156"/>
    <s v="Silky"/>
    <x v="41"/>
    <n v="12051"/>
    <n v="6942"/>
    <n v="2.3823827980048407"/>
    <n v="6347.8419897585964"/>
    <n v="82521.945866861759"/>
    <m/>
  </r>
  <r>
    <d v="2025-11-29T00:00:00"/>
    <x v="0"/>
    <n v="1157"/>
    <s v="Chamki"/>
    <x v="28"/>
    <n v="34441"/>
    <n v="2751"/>
    <n v="0.96556674097216444"/>
    <n v="2515.544989027067"/>
    <n v="25155.449890270669"/>
    <m/>
  </r>
  <r>
    <d v="2025-12-01T00:00:00"/>
    <x v="2"/>
    <n v="1158"/>
    <s v="Silky"/>
    <x v="42"/>
    <n v="20185"/>
    <n v="21517"/>
    <n v="2.5247260209557538"/>
    <n v="19675.384052670081"/>
    <n v="255779.99268471106"/>
    <m/>
  </r>
  <r>
    <d v="2025-12-01T00:00:00"/>
    <x v="2"/>
    <n v="1159"/>
    <s v="Silky"/>
    <x v="43"/>
    <n v="16886"/>
    <n v="18025"/>
    <n v="2.3909722593464409"/>
    <n v="16482.26042428676"/>
    <n v="214269.38551572789"/>
    <m/>
  </r>
  <r>
    <d v="2025-12-01T00:00:00"/>
    <x v="2"/>
    <n v="1160"/>
    <s v="Silky"/>
    <x v="44"/>
    <n v="3042"/>
    <n v="3074"/>
    <n v="7.5969828881876538"/>
    <n v="2810.8997805413314"/>
    <n v="36541.69714703731"/>
    <m/>
  </r>
  <r>
    <d v="2025-12-01T00:00:00"/>
    <x v="0"/>
    <n v="1161"/>
    <s v="Silky"/>
    <x v="9"/>
    <n v="24516"/>
    <n v="12770"/>
    <n v="2.0092636455680974"/>
    <n v="11677.029992684713"/>
    <n v="151801.38990490127"/>
    <m/>
  </r>
  <r>
    <d v="2025-12-01T00:00:00"/>
    <x v="1"/>
    <n v="1162"/>
    <s v="Silky"/>
    <x v="40"/>
    <n v="20458"/>
    <n v="10970"/>
    <n v="3.9550976135880944"/>
    <n v="10031.089978054133"/>
    <n v="130404.16971470373"/>
    <m/>
  </r>
  <r>
    <d v="2025-12-01T00:00:00"/>
    <x v="1"/>
    <n v="1163"/>
    <s v="Silky"/>
    <x v="41"/>
    <n v="12051"/>
    <n v="5923"/>
    <n v="2.3823827980048407"/>
    <n v="5416.0570592538406"/>
    <n v="70408.741770299923"/>
    <m/>
  </r>
  <r>
    <d v="2025-12-01T00:00:00"/>
    <x v="1"/>
    <n v="1164"/>
    <s v="Silky"/>
    <x v="45"/>
    <n v="12099"/>
    <n v="6492"/>
    <n v="3.0644101548714104"/>
    <n v="5936.3569861009519"/>
    <n v="77172.640819312379"/>
    <m/>
  </r>
  <r>
    <d v="2025-12-01T00:00:00"/>
    <x v="0"/>
    <n v="1165"/>
    <s v="Silky"/>
    <x v="46"/>
    <n v="12087"/>
    <n v="12007"/>
    <n v="0.69859889853668733"/>
    <n v="10979.334308705194"/>
    <n v="142731.34601316752"/>
    <m/>
  </r>
  <r>
    <d v="2025-12-01T00:00:00"/>
    <x v="0"/>
    <n v="1166"/>
    <s v="Silky"/>
    <x v="47"/>
    <n v="12000"/>
    <n v="12170"/>
    <n v="1.2207388441843392"/>
    <n v="11128.383321141186"/>
    <n v="144668.98317483542"/>
    <m/>
  </r>
  <r>
    <d v="2025-12-01T00:00:00"/>
    <x v="0"/>
    <n v="1167"/>
    <s v="Silky"/>
    <x v="48"/>
    <n v="4048"/>
    <n v="4300"/>
    <n v="2.8664077883250201"/>
    <n v="3931.9678127286029"/>
    <n v="51115.581565471839"/>
    <m/>
  </r>
  <r>
    <d v="2025-12-01T00:00:00"/>
    <x v="0"/>
    <n v="1168"/>
    <s v="Silky"/>
    <x v="13"/>
    <n v="10009"/>
    <n v="9158"/>
    <n v="-0.16588581615243925"/>
    <n v="8374.1770299926848"/>
    <n v="108864.3013899049"/>
    <m/>
  </r>
  <r>
    <d v="2025-12-02T00:00:00"/>
    <x v="16"/>
    <n v="1169"/>
    <s v="Silky"/>
    <x v="37"/>
    <n v="26689"/>
    <n v="2412"/>
    <n v="3.9061461227392442"/>
    <n v="2205.5596196049746"/>
    <n v="28672.275054864669"/>
    <m/>
  </r>
  <r>
    <d v="2025-12-02T00:00:00"/>
    <x v="1"/>
    <n v="1170"/>
    <s v="Silky"/>
    <x v="45"/>
    <n v="12099"/>
    <n v="6334"/>
    <n v="3.0644101548714104"/>
    <n v="5791.8800292611559"/>
    <n v="75294.440380395026"/>
    <m/>
  </r>
  <r>
    <d v="2025-12-02T00:00:00"/>
    <x v="21"/>
    <n v="1171"/>
    <s v="Chamki"/>
    <x v="49"/>
    <n v="34339"/>
    <n v="31700"/>
    <n v="3.0999556830553843"/>
    <n v="28986.832479882956"/>
    <n v="289868.32479882956"/>
    <m/>
  </r>
  <r>
    <d v="2025-12-02T00:00:00"/>
    <x v="1"/>
    <n v="1172"/>
    <s v="Silky"/>
    <x v="40"/>
    <n v="20458"/>
    <n v="3204"/>
    <n v="3.9550976135880944"/>
    <n v="2929.7732260424291"/>
    <n v="38087.05193855158"/>
    <m/>
  </r>
  <r>
    <d v="2025-12-02T00:00:00"/>
    <x v="11"/>
    <n v="1173"/>
    <s v="Silky"/>
    <x v="34"/>
    <n v="8049"/>
    <n v="3546"/>
    <n v="3.9465025075472653"/>
    <n v="3242.5018288222386"/>
    <n v="42152.5237746891"/>
    <m/>
  </r>
  <r>
    <d v="2025-12-02T00:00:00"/>
    <x v="18"/>
    <n v="1174"/>
    <s v="Chamki"/>
    <x v="50"/>
    <n v="6327"/>
    <n v="6375"/>
    <n v="3.0958344476228348"/>
    <n v="5829.3708851499641"/>
    <n v="58293.708851499643"/>
    <m/>
  </r>
  <r>
    <d v="2025-12-02T00:00:00"/>
    <x v="0"/>
    <n v="1175"/>
    <s v="Chamki"/>
    <x v="51"/>
    <n v="54197"/>
    <n v="6304"/>
    <n v="0.37091242859318641"/>
    <n v="5764.4476956839799"/>
    <n v="57644.476956839797"/>
    <m/>
  </r>
  <r>
    <d v="2025-12-02T00:00:00"/>
    <x v="20"/>
    <n v="1176"/>
    <s v="Chamki"/>
    <x v="52"/>
    <n v="28367"/>
    <n v="3396"/>
    <n v="2.9822277444124978"/>
    <n v="3105.3401609363573"/>
    <n v="31053.401609363573"/>
    <m/>
  </r>
  <r>
    <d v="2025-12-02T00:00:00"/>
    <x v="0"/>
    <n v="1177"/>
    <s v="Chamki"/>
    <x v="51"/>
    <n v="54197"/>
    <n v="2197"/>
    <n v="0.37091242859318641"/>
    <n v="2008.9612289685444"/>
    <n v="20089.612289685443"/>
    <m/>
  </r>
  <r>
    <d v="2025-12-03T00:00:00"/>
    <x v="0"/>
    <n v="1178"/>
    <s v="Chamki"/>
    <x v="51"/>
    <n v="54197"/>
    <n v="30179"/>
    <n v="0.37091242859318641"/>
    <n v="27596.013167520119"/>
    <n v="275960.13167520118"/>
    <m/>
  </r>
  <r>
    <d v="2025-12-03T00:00:00"/>
    <x v="21"/>
    <n v="1179"/>
    <s v="Chamki"/>
    <x v="49"/>
    <n v="34339"/>
    <n v="4689"/>
    <n v="3.0999556830553843"/>
    <n v="4287.6737381126559"/>
    <n v="42876.737381126557"/>
    <m/>
  </r>
  <r>
    <d v="2025-12-03T00:00:00"/>
    <x v="18"/>
    <n v="1180"/>
    <s v="Chamki"/>
    <x v="26"/>
    <n v="79338"/>
    <n v="6934"/>
    <n v="2.8492897513085467"/>
    <n v="6340.5267008046822"/>
    <n v="63405.267008046823"/>
    <m/>
  </r>
  <r>
    <d v="2025-12-03T00:00:00"/>
    <x v="18"/>
    <n v="1181"/>
    <s v="Chamki"/>
    <x v="50"/>
    <n v="6327"/>
    <n v="330"/>
    <n v="3.0958344476228348"/>
    <n v="301.75566934893931"/>
    <n v="3017.5566934893932"/>
    <m/>
  </r>
  <r>
    <d v="2025-12-03T00:00:00"/>
    <x v="0"/>
    <n v="1182"/>
    <s v="Chamki"/>
    <x v="53"/>
    <n v="15040"/>
    <n v="13217"/>
    <n v="2.8681380254945452"/>
    <n v="12085.771762984639"/>
    <n v="120857.71762984639"/>
    <m/>
  </r>
  <r>
    <d v="2025-12-03T00:00:00"/>
    <x v="20"/>
    <n v="1183"/>
    <s v="Chamki"/>
    <x v="54"/>
    <n v="26497"/>
    <n v="10929"/>
    <n v="2.7508573039931434"/>
    <n v="9993.5991221653258"/>
    <n v="99935.991221653254"/>
    <m/>
  </r>
  <r>
    <d v="2025-12-03T00:00:00"/>
    <x v="0"/>
    <n v="1184"/>
    <s v="Chamki"/>
    <x v="51"/>
    <n v="54197"/>
    <n v="8094"/>
    <n v="0.37091242859318641"/>
    <n v="7401.2435991221664"/>
    <n v="74012.435991221661"/>
    <m/>
  </r>
  <r>
    <d v="2025-12-03T00:00:00"/>
    <x v="0"/>
    <n v="1185"/>
    <s v="Chamki"/>
    <x v="28"/>
    <n v="34441"/>
    <n v="2146"/>
    <n v="0.96556674097216444"/>
    <n v="1962.3262618873448"/>
    <n v="19623.262618873447"/>
    <m/>
  </r>
  <r>
    <d v="2025-12-03T00:00:00"/>
    <x v="20"/>
    <n v="1186"/>
    <s v="Chamki"/>
    <x v="52"/>
    <n v="28367"/>
    <n v="4854"/>
    <n v="2.9822277444124978"/>
    <n v="4438.5515727871252"/>
    <n v="44385.51572787125"/>
    <m/>
  </r>
  <r>
    <d v="2025-12-03T00:00:00"/>
    <x v="10"/>
    <n v="1187"/>
    <s v="Chamki"/>
    <x v="55"/>
    <n v="44990"/>
    <n v="30694"/>
    <n v="2.8537269031417623"/>
    <n v="28066.934893928312"/>
    <n v="280669.34893928311"/>
    <m/>
  </r>
  <r>
    <d v="2025-12-04T00:00:00"/>
    <x v="2"/>
    <n v="1188"/>
    <s v="Chamki"/>
    <x v="56"/>
    <n v="33679"/>
    <n v="9005"/>
    <n v="2.6128672585551129"/>
    <n v="8234.2721287490858"/>
    <n v="82342.721287490858"/>
    <m/>
  </r>
  <r>
    <d v="2025-12-04T00:00:00"/>
    <x v="2"/>
    <n v="1189"/>
    <s v="Chamki"/>
    <x v="27"/>
    <n v="62248"/>
    <n v="2108"/>
    <n v="2.2231742261903094"/>
    <n v="1927.5786393562548"/>
    <n v="19275.78639356255"/>
    <m/>
  </r>
  <r>
    <d v="2025-12-04T00:00:00"/>
    <x v="0"/>
    <n v="1190"/>
    <s v="Chamki"/>
    <x v="51"/>
    <n v="54197"/>
    <n v="2260"/>
    <n v="0.37091242859318641"/>
    <n v="2066.5691294806147"/>
    <n v="20665.691294806147"/>
    <m/>
  </r>
  <r>
    <d v="2025-12-05T00:00:00"/>
    <x v="2"/>
    <n v="1191"/>
    <s v="Chamki"/>
    <x v="56"/>
    <n v="33679"/>
    <n v="26864"/>
    <n v="2.6128672585551129"/>
    <n v="24564.740307242137"/>
    <n v="245647.40307242138"/>
    <m/>
  </r>
  <r>
    <d v="2025-12-05T00:00:00"/>
    <x v="23"/>
    <n v="1192"/>
    <s v="Chamki"/>
    <x v="57"/>
    <n v="12985"/>
    <n v="13622"/>
    <n v="4.073097679811184"/>
    <n v="12456.108266276518"/>
    <n v="124561.08266276518"/>
    <m/>
  </r>
  <r>
    <d v="2025-12-06T00:00:00"/>
    <x v="6"/>
    <n v="1193"/>
    <s v="Chamki"/>
    <x v="58"/>
    <n v="24195"/>
    <n v="17841"/>
    <n v="2.8974379557221539"/>
    <n v="16314.008778346746"/>
    <n v="163140.08778346746"/>
    <m/>
  </r>
  <r>
    <d v="2025-12-06T00:00:00"/>
    <x v="19"/>
    <n v="1194"/>
    <s v="Black-Chamki"/>
    <x v="59"/>
    <n v="13869"/>
    <n v="5493"/>
    <n v="2.8689551616407698"/>
    <n v="5022.8602779809808"/>
    <n v="60274.323335771769"/>
    <m/>
  </r>
  <r>
    <d v="2025-12-06T00:00:00"/>
    <x v="7"/>
    <n v="1195"/>
    <s v="Chamki"/>
    <x v="60"/>
    <n v="20436"/>
    <n v="16752"/>
    <n v="1.9903055597198147"/>
    <n v="15318.215069495247"/>
    <n v="153182.15069495246"/>
    <m/>
  </r>
  <r>
    <d v="2025-12-06T00:00:00"/>
    <x v="10"/>
    <n v="1196"/>
    <s v="Chamki"/>
    <x v="55"/>
    <n v="44990"/>
    <n v="8911"/>
    <n v="2.8537269031417623"/>
    <n v="8148.3174835406007"/>
    <n v="81483.174835406011"/>
    <m/>
  </r>
  <r>
    <d v="2025-12-06T00:00:00"/>
    <x v="6"/>
    <n v="1197"/>
    <s v="Chamki"/>
    <x v="58"/>
    <n v="24195"/>
    <n v="7852"/>
    <n v="2.8974379557221539"/>
    <n v="7179.9561082662767"/>
    <n v="71799.561082662767"/>
    <m/>
  </r>
  <r>
    <d v="2025-12-06T00:00:00"/>
    <x v="7"/>
    <n v="1198"/>
    <s v="Chamki"/>
    <x v="60"/>
    <n v="20436"/>
    <n v="5152"/>
    <n v="1.9903055597198147"/>
    <n v="4711.0460863204098"/>
    <n v="47110.460863204098"/>
    <m/>
  </r>
  <r>
    <d v="2025-12-06T00:00:00"/>
    <x v="10"/>
    <n v="1199"/>
    <s v="Chamki"/>
    <x v="55"/>
    <n v="44990"/>
    <n v="8192"/>
    <n v="2.8537269031417623"/>
    <n v="7490.8558888076086"/>
    <n v="74908.558888076092"/>
    <m/>
  </r>
  <r>
    <d v="2025-12-06T00:00:00"/>
    <x v="2"/>
    <n v="1200"/>
    <s v="Chamki"/>
    <x v="27"/>
    <n v="62248"/>
    <n v="3208"/>
    <n v="2.2231742261903094"/>
    <n v="2933.4308705193857"/>
    <n v="29334.308705193856"/>
    <m/>
  </r>
  <r>
    <d v="2025-12-08T00:00:00"/>
    <x v="20"/>
    <n v="1201"/>
    <s v="Chamki"/>
    <x v="61"/>
    <n v="21117"/>
    <n v="8637"/>
    <n v="3.5185199234321232"/>
    <n v="7897.7688368690569"/>
    <n v="78977.688368690564"/>
    <m/>
  </r>
  <r>
    <d v="2025-12-08T00:00:00"/>
    <x v="0"/>
    <n v="1202"/>
    <s v="Chamki"/>
    <x v="28"/>
    <n v="34441"/>
    <n v="3196"/>
    <n v="0.96556674097216444"/>
    <n v="2922.4579370885153"/>
    <n v="29224.579370885152"/>
    <m/>
  </r>
  <r>
    <d v="2025-12-08T00:00:00"/>
    <x v="20"/>
    <n v="1203"/>
    <s v="Chamki"/>
    <x v="61"/>
    <n v="21117"/>
    <n v="13644"/>
    <n v="3.5185199234321232"/>
    <n v="12476.225310899781"/>
    <n v="124762.25310899781"/>
    <m/>
  </r>
  <r>
    <d v="2025-12-08T00:00:00"/>
    <x v="20"/>
    <n v="1204"/>
    <s v="Chamki"/>
    <x v="52"/>
    <n v="28367"/>
    <n v="21847"/>
    <n v="2.9822277444124978"/>
    <n v="19977.139722019023"/>
    <n v="199771.39722019024"/>
    <m/>
  </r>
  <r>
    <d v="2025-12-08T00:00:00"/>
    <x v="20"/>
    <n v="1205"/>
    <s v="Chamki"/>
    <x v="54"/>
    <n v="26497"/>
    <n v="6293"/>
    <n v="2.7508573039931434"/>
    <n v="5754.3891733723485"/>
    <n v="57543.891733723489"/>
    <m/>
  </r>
  <r>
    <d v="2025-12-09T00:00:00"/>
    <x v="20"/>
    <n v="1206"/>
    <s v="Chamki"/>
    <x v="54"/>
    <n v="26492"/>
    <n v="10958"/>
    <n v="2.7508573039931434"/>
    <n v="10020.117044623263"/>
    <n v="100201.17044623263"/>
    <m/>
  </r>
  <r>
    <d v="2025-12-09T00:00:00"/>
    <x v="7"/>
    <n v="1207"/>
    <s v="Chamki"/>
    <x v="62"/>
    <n v="21887"/>
    <n v="23315"/>
    <n v="2.5928850684781821"/>
    <n v="21319.495245062182"/>
    <n v="213194.95245062181"/>
    <m/>
  </r>
  <r>
    <d v="2025-12-09T00:00:00"/>
    <x v="2"/>
    <n v="1208"/>
    <s v="Chamki"/>
    <x v="63"/>
    <n v="12032"/>
    <n v="12896"/>
    <n v="1.9926380177123235"/>
    <n v="11792.245793708853"/>
    <n v="117922.45793708853"/>
    <m/>
  </r>
  <r>
    <d v="2025-12-09T00:00:00"/>
    <x v="2"/>
    <n v="1209"/>
    <s v="Chamki"/>
    <x v="64"/>
    <n v="13850"/>
    <n v="14782"/>
    <n v="2.4055944794656909"/>
    <n v="13516.825164594002"/>
    <n v="135168.25164594001"/>
    <m/>
  </r>
  <r>
    <d v="2025-12-09T00:00:00"/>
    <x v="7"/>
    <n v="1210"/>
    <s v="Chamki"/>
    <x v="65"/>
    <n v="34122"/>
    <n v="18749"/>
    <n v="1.1572014476905821"/>
    <n v="17144.294074615947"/>
    <n v="171442.94074615947"/>
    <m/>
  </r>
  <r>
    <d v="2025-12-09T00:00:00"/>
    <x v="7"/>
    <n v="1211"/>
    <s v="Chamki"/>
    <x v="65"/>
    <n v="34122"/>
    <n v="18135"/>
    <n v="1.1572014476905821"/>
    <n v="16582.845647403075"/>
    <n v="165828.45647403074"/>
    <m/>
  </r>
  <r>
    <d v="2025-12-09T00:00:00"/>
    <x v="0"/>
    <n v="1212"/>
    <s v="Chamki"/>
    <x v="51"/>
    <n v="54197"/>
    <n v="10016"/>
    <n v="0.37091242859318641"/>
    <n v="9158.7417702999282"/>
    <n v="91587.417702999286"/>
    <m/>
  </r>
  <r>
    <d v="2025-12-09T00:00:00"/>
    <x v="0"/>
    <n v="1213"/>
    <s v="Chamki"/>
    <x v="53"/>
    <n v="15040"/>
    <n v="2759"/>
    <n v="2.8681380254945452"/>
    <n v="2522.8602779809803"/>
    <n v="25228.602779809804"/>
    <m/>
  </r>
  <r>
    <d v="2025-12-09T00:00:00"/>
    <x v="0"/>
    <n v="1214"/>
    <s v="Chamki"/>
    <x v="66"/>
    <n v="10040"/>
    <n v="5797"/>
    <n v="2.78461865777561"/>
    <n v="5300.8412582297005"/>
    <n v="53008.412582297009"/>
    <m/>
  </r>
  <r>
    <d v="2025-12-09T00:00:00"/>
    <x v="0"/>
    <n v="1215"/>
    <s v="Chamki"/>
    <x v="66"/>
    <n v="10040"/>
    <n v="4877"/>
    <n v="2.78461865777561"/>
    <n v="4459.583028529627"/>
    <n v="44595.830285296266"/>
    <m/>
  </r>
  <r>
    <d v="2025-12-09T00:00:00"/>
    <x v="0"/>
    <n v="1216"/>
    <s v="Chamki"/>
    <x v="28"/>
    <n v="34441"/>
    <n v="8497"/>
    <n v="0.96556674097216444"/>
    <n v="7769.7512801755674"/>
    <n v="77697.512801755671"/>
    <m/>
  </r>
  <r>
    <d v="2025-12-09T00:00:00"/>
    <x v="2"/>
    <n v="1217"/>
    <s v="Chamki"/>
    <x v="67"/>
    <n v="11492"/>
    <n v="12289"/>
    <n v="2.2172098474534323"/>
    <n v="11237.198244330652"/>
    <n v="112371.98244330651"/>
    <m/>
  </r>
  <r>
    <d v="2025-12-10T00:00:00"/>
    <x v="16"/>
    <n v="1218"/>
    <s v="Silky"/>
    <x v="68"/>
    <n v="46746"/>
    <n v="49567"/>
    <n v="3.0406538584479392"/>
    <n v="45324.615947329927"/>
    <n v="589220.007315289"/>
    <m/>
  </r>
  <r>
    <d v="2025-12-11T00:00:00"/>
    <x v="16"/>
    <n v="1219"/>
    <s v="Silky"/>
    <x v="69"/>
    <n v="38879"/>
    <n v="40771"/>
    <n v="4.1090158118731779"/>
    <n v="37281.455742501836"/>
    <n v="484658.92465252389"/>
    <m/>
  </r>
  <r>
    <d v="2025-12-11T00:00:00"/>
    <x v="1"/>
    <n v="1220"/>
    <s v="Silky"/>
    <x v="70"/>
    <n v="17879"/>
    <n v="18944"/>
    <n v="3.1120071431981984"/>
    <n v="17322.604242867594"/>
    <n v="225193.85515727871"/>
    <m/>
  </r>
  <r>
    <d v="2025-12-11T00:00:00"/>
    <x v="1"/>
    <n v="1221"/>
    <s v="Silky"/>
    <x v="71"/>
    <n v="12958"/>
    <n v="13748"/>
    <n v="2.9840710966147554"/>
    <n v="12571.32406730066"/>
    <n v="163427.21287490858"/>
    <m/>
  </r>
  <r>
    <d v="2025-12-11T00:00:00"/>
    <x v="1"/>
    <n v="1222"/>
    <s v="Silky"/>
    <x v="72"/>
    <n v="18112"/>
    <n v="19394"/>
    <n v="2.0865213862343239"/>
    <n v="17734.08924652524"/>
    <n v="230543.16020482813"/>
    <m/>
  </r>
  <r>
    <d v="2025-12-11T00:00:00"/>
    <x v="11"/>
    <n v="1223"/>
    <s v="Silky"/>
    <x v="31"/>
    <n v="12000"/>
    <n v="3560"/>
    <n v="4.3752867744535422"/>
    <n v="3255.3035844915876"/>
    <n v="42318.946598390641"/>
    <m/>
  </r>
  <r>
    <d v="2025-12-11T00:00:00"/>
    <x v="1"/>
    <n v="1224"/>
    <s v="Silky"/>
    <x v="40"/>
    <n v="20458"/>
    <n v="2383"/>
    <n v="3.9550976135880944"/>
    <n v="2179.0416971470377"/>
    <n v="28327.542062911489"/>
    <m/>
  </r>
  <r>
    <d v="2025-12-11T00:00:00"/>
    <x v="0"/>
    <n v="1225"/>
    <s v="Silky"/>
    <x v="47"/>
    <n v="12000"/>
    <n v="793"/>
    <n v="1.2207388441843392"/>
    <n v="725.12801755669352"/>
    <n v="9426.6642282370158"/>
    <m/>
  </r>
  <r>
    <d v="2025-12-11T00:00:00"/>
    <x v="0"/>
    <n v="1226"/>
    <s v="Silky"/>
    <x v="46"/>
    <n v="12087"/>
    <n v="1119"/>
    <n v="0.69859889853668733"/>
    <n v="1023.226042428676"/>
    <n v="13301.938551572788"/>
    <m/>
  </r>
  <r>
    <d v="2025-12-12T00:00:00"/>
    <x v="22"/>
    <n v="1227"/>
    <s v="Silky"/>
    <x v="73"/>
    <n v="36110"/>
    <n v="7398"/>
    <n v="3.3803482288228679"/>
    <n v="6764.813460131676"/>
    <n v="87942.57498171179"/>
    <m/>
  </r>
  <r>
    <d v="2025-12-12T00:00:00"/>
    <x v="18"/>
    <n v="1228"/>
    <s v="Chamki"/>
    <x v="74"/>
    <n v="42406"/>
    <n v="5062"/>
    <n v="2.598806168855532"/>
    <n v="4628.7490855888809"/>
    <n v="46287.490855888813"/>
    <m/>
  </r>
  <r>
    <d v="2025-12-12T00:00:00"/>
    <x v="18"/>
    <n v="1229"/>
    <s v="Chamki"/>
    <x v="74"/>
    <n v="42406"/>
    <n v="40108"/>
    <n v="2.598806168855532"/>
    <n v="36675.201170446235"/>
    <n v="366752.01170446235"/>
    <m/>
  </r>
  <r>
    <d v="2025-12-12T00:00:00"/>
    <x v="19"/>
    <n v="1230"/>
    <s v="Chamki"/>
    <x v="75"/>
    <n v="14691"/>
    <n v="15699"/>
    <n v="2.2847991223445661"/>
    <n v="14355.340160936359"/>
    <n v="143553.40160936359"/>
    <m/>
  </r>
  <r>
    <d v="2025-12-12T00:00:00"/>
    <x v="5"/>
    <n v="1231"/>
    <s v="Chamki"/>
    <x v="76"/>
    <n v="50443"/>
    <n v="11875"/>
    <n v="2.8559414211882199"/>
    <n v="10858.632040965618"/>
    <n v="108586.32040965618"/>
    <m/>
  </r>
  <r>
    <d v="2025-12-12T00:00:00"/>
    <x v="20"/>
    <n v="1232"/>
    <s v="kataan"/>
    <x v="77"/>
    <n v="49995"/>
    <n v="21629"/>
    <n v="4.873442721009468"/>
    <n v="19777.798098024872"/>
    <n v="217555.7790782736"/>
    <m/>
  </r>
  <r>
    <d v="2025-12-13T00:00:00"/>
    <x v="20"/>
    <n v="1233"/>
    <s v="kataan"/>
    <x v="77"/>
    <n v="49995"/>
    <n v="19595"/>
    <n v="4.873442721009468"/>
    <n v="17917.885881492319"/>
    <n v="197096.7446964155"/>
    <m/>
  </r>
  <r>
    <d v="2025-12-13T00:00:00"/>
    <x v="5"/>
    <n v="1234"/>
    <s v="Chamki"/>
    <x v="76"/>
    <n v="50443"/>
    <n v="28261"/>
    <n v="2.8559414211882199"/>
    <n v="25842.172640819314"/>
    <n v="258421.72640819312"/>
    <m/>
  </r>
  <r>
    <d v="2025-12-13T00:00:00"/>
    <x v="0"/>
    <n v="1235"/>
    <s v="Chamki"/>
    <x v="28"/>
    <n v="34441"/>
    <n v="2649"/>
    <n v="0.96556674097216444"/>
    <n v="2422.2750548646673"/>
    <n v="24222.750548646673"/>
    <m/>
  </r>
  <r>
    <d v="2025-12-15T00:00:00"/>
    <x v="19"/>
    <n v="1236"/>
    <s v="Black-Chamki"/>
    <x v="59"/>
    <n v="13869"/>
    <n v="9239"/>
    <n v="2.8689551616407698"/>
    <n v="8448.2443306510613"/>
    <n v="101378.93196781274"/>
    <m/>
  </r>
  <r>
    <d v="2025-12-15T00:00:00"/>
    <x v="5"/>
    <n v="1237"/>
    <s v="Chamki"/>
    <x v="76"/>
    <n v="50443"/>
    <n v="13453"/>
    <n v="2.8559414211882199"/>
    <n v="12301.572787125093"/>
    <n v="123015.72787125093"/>
    <m/>
  </r>
  <r>
    <d v="2025-12-15T00:00:00"/>
    <x v="5"/>
    <n v="1238"/>
    <s v="Chamki"/>
    <x v="78"/>
    <n v="55691"/>
    <n v="50222"/>
    <n v="2.6150762363814835"/>
    <n v="45923.555230431608"/>
    <n v="459235.55230431608"/>
    <m/>
  </r>
  <r>
    <d v="2025-12-15T00:00:00"/>
    <x v="5"/>
    <n v="1239"/>
    <s v="Chamki"/>
    <x v="78"/>
    <n v="55691"/>
    <n v="9089"/>
    <n v="2.6150762363814835"/>
    <n v="8311.0826627651804"/>
    <n v="83110.826627651812"/>
    <m/>
  </r>
  <r>
    <d v="2025-12-15T00:00:00"/>
    <x v="20"/>
    <n v="1240"/>
    <s v="kataan"/>
    <x v="77"/>
    <n v="49995"/>
    <n v="10786"/>
    <n v="4.873442721009468"/>
    <n v="9862.8383321141191"/>
    <n v="108491.22165325531"/>
    <m/>
  </r>
  <r>
    <d v="2025-12-15T00:00:00"/>
    <x v="22"/>
    <n v="1241"/>
    <s v="Silky"/>
    <x v="73"/>
    <n v="36110"/>
    <n v="18014"/>
    <n v="3.3803482288228679"/>
    <n v="16472.201901975128"/>
    <n v="214138.62472567667"/>
    <m/>
  </r>
  <r>
    <d v="2025-12-16T00:00:00"/>
    <x v="22"/>
    <n v="1242"/>
    <s v="Silky"/>
    <x v="73"/>
    <n v="36110"/>
    <n v="12743"/>
    <n v="3.3803482288228679"/>
    <n v="11652.340892465254"/>
    <n v="151480.43160204831"/>
    <m/>
  </r>
  <r>
    <d v="2025-12-16T00:00:00"/>
    <x v="24"/>
    <n v="1243"/>
    <s v="Silky"/>
    <x v="79"/>
    <n v="30151"/>
    <n v="19408"/>
    <n v="1.7412163701662706"/>
    <n v="17746.891002194589"/>
    <n v="230709.58302852965"/>
    <m/>
  </r>
  <r>
    <d v="2025-12-16T00:00:00"/>
    <x v="24"/>
    <n v="1244"/>
    <s v="Silky"/>
    <x v="79"/>
    <n v="30151"/>
    <n v="12991"/>
    <n v="1.7412163701662706"/>
    <n v="11879.114850036578"/>
    <n v="154428.49305047552"/>
    <m/>
  </r>
  <r>
    <d v="2025-12-16T00:00:00"/>
    <x v="0"/>
    <n v="1245"/>
    <s v="Silky"/>
    <x v="80"/>
    <n v="9963"/>
    <n v="7342"/>
    <n v="75.441346888886116"/>
    <n v="6713.6064374542802"/>
    <n v="87276.883686905639"/>
    <m/>
  </r>
  <r>
    <d v="2025-12-16T00:00:00"/>
    <x v="0"/>
    <n v="1246"/>
    <s v="Silky"/>
    <x v="81"/>
    <n v="11318"/>
    <n v="9267"/>
    <n v="-0.94232659281401254"/>
    <n v="8473.8478419897601"/>
    <n v="110160.02194586689"/>
    <m/>
  </r>
  <r>
    <d v="2025-12-16T00:00:00"/>
    <x v="0"/>
    <n v="1247"/>
    <s v="Silky"/>
    <x v="82"/>
    <n v="20534"/>
    <n v="6128"/>
    <n v="2.1507961281622556"/>
    <n v="5603.5113386978792"/>
    <n v="72845.647403072435"/>
    <m/>
  </r>
  <r>
    <d v="2025-12-17T00:00:00"/>
    <x v="0"/>
    <n v="1248"/>
    <s v="Chamki"/>
    <x v="83"/>
    <m/>
    <n v="8765"/>
    <e v="#DIV/0!"/>
    <n v="8014.813460131676"/>
    <n v="80148.134601316764"/>
    <m/>
  </r>
  <r>
    <d v="2025-12-17T00:00:00"/>
    <x v="0"/>
    <n v="1249"/>
    <s v="Silky"/>
    <x v="81"/>
    <n v="11318"/>
    <n v="3227"/>
    <n v="-0.94232659281401254"/>
    <n v="2950.8046817849308"/>
    <n v="38360.460863204098"/>
    <m/>
  </r>
  <r>
    <d v="2025-12-17T00:00:00"/>
    <x v="0"/>
    <n v="1250"/>
    <s v="Silky"/>
    <x v="82"/>
    <n v="20534"/>
    <n v="15845"/>
    <n v="2.1507961281622556"/>
    <n v="14488.844184345284"/>
    <n v="188354.97439648869"/>
    <m/>
  </r>
  <r>
    <d v="2025-12-17T00:00:00"/>
    <x v="0"/>
    <n v="1251"/>
    <s v="Silky"/>
    <x v="84"/>
    <n v="10656"/>
    <n v="11498"/>
    <n v="1.3335299454538614"/>
    <n v="10513.899049012436"/>
    <n v="136680.68763716167"/>
    <m/>
  </r>
  <r>
    <d v="2025-12-17T00:00:00"/>
    <x v="0"/>
    <n v="1252"/>
    <s v="Silky"/>
    <x v="85"/>
    <n v="9179"/>
    <n v="9967"/>
    <n v="0.70883946554955912"/>
    <n v="9113.9356254572067"/>
    <n v="118481.16313094369"/>
    <m/>
  </r>
  <r>
    <d v="2025-12-17T00:00:00"/>
    <x v="0"/>
    <n v="1253"/>
    <s v="Silky"/>
    <x v="80"/>
    <n v="9963"/>
    <n v="3391"/>
    <n v="75.441346888886116"/>
    <n v="3100.7681053401611"/>
    <n v="40309.985369422095"/>
    <m/>
  </r>
  <r>
    <d v="2025-12-17T00:00:00"/>
    <x v="7"/>
    <n v="1254"/>
    <s v="Chamki"/>
    <x v="86"/>
    <n v="50697"/>
    <n v="4350"/>
    <n v="92.15399655070209"/>
    <n v="3977.6883686905635"/>
    <n v="39776.883686905632"/>
    <m/>
  </r>
  <r>
    <d v="2025-12-17T00:00:00"/>
    <x v="25"/>
    <n v="1255"/>
    <s v="Munaar"/>
    <x v="87"/>
    <n v="4213"/>
    <n v="4557"/>
    <n v="1.0925357139074379"/>
    <n v="4166.9714703730797"/>
    <n v="54170.629114850039"/>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
  <r>
    <d v="2025-11-18T00:00:00"/>
    <x v="0"/>
    <s v="September Closing CF"/>
    <m/>
    <m/>
    <n v="0"/>
    <n v="0"/>
    <n v="0"/>
  </r>
  <r>
    <d v="2025-11-18T00:00:00"/>
    <x v="1"/>
    <s v="September Closing CF"/>
    <m/>
    <m/>
    <n v="0"/>
    <n v="0"/>
    <n v="-1000"/>
  </r>
  <r>
    <d v="2025-11-18T00:00:00"/>
    <x v="2"/>
    <s v="September Closing CF"/>
    <m/>
    <m/>
    <n v="0"/>
    <n v="0"/>
    <n v="0"/>
  </r>
  <r>
    <d v="2025-11-18T00:00:00"/>
    <x v="3"/>
    <s v="September Closing CF"/>
    <m/>
    <m/>
    <n v="0"/>
    <n v="0"/>
    <n v="624000"/>
  </r>
  <r>
    <d v="2025-11-19T00:00:00"/>
    <x v="0"/>
    <s v="SM"/>
    <m/>
    <m/>
    <n v="24000"/>
    <n v="24000"/>
    <n v="0"/>
  </r>
  <r>
    <d v="2025-11-20T00:00:00"/>
    <x v="1"/>
    <s v="SM"/>
    <m/>
    <m/>
    <n v="19000"/>
    <n v="0"/>
    <n v="19000"/>
  </r>
  <r>
    <d v="2025-11-22T00:00:00"/>
    <x v="1"/>
    <s v="PVA"/>
    <n v="2"/>
    <n v="125"/>
    <n v="50000"/>
    <n v="0"/>
    <n v="50000"/>
  </r>
  <r>
    <d v="2025-11-25T00:00:00"/>
    <x v="3"/>
    <s v="starch"/>
    <m/>
    <m/>
    <n v="0"/>
    <n v="400000"/>
    <n v="-400000"/>
  </r>
  <r>
    <d v="2025-12-01T00:00:00"/>
    <x v="4"/>
    <s v="BP26 x4"/>
    <m/>
    <m/>
    <n v="52000"/>
    <n v="52000"/>
    <n v="0"/>
  </r>
  <r>
    <d v="2025-12-03T00:00:00"/>
    <x v="1"/>
    <s v="PVA"/>
    <n v="8"/>
    <n v="125"/>
    <n v="200000"/>
    <n v="0"/>
    <n v="200000"/>
  </r>
  <r>
    <m/>
    <x v="5"/>
    <m/>
    <m/>
    <m/>
    <n v="0"/>
    <n v="0"/>
    <n v="0"/>
  </r>
  <r>
    <m/>
    <x v="5"/>
    <m/>
    <m/>
    <m/>
    <n v="0"/>
    <n v="0"/>
    <n v="0"/>
  </r>
  <r>
    <m/>
    <x v="5"/>
    <m/>
    <m/>
    <m/>
    <n v="0"/>
    <n v="0"/>
    <n v="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r>
    <x v="5"/>
    <x v="0"/>
    <x v="2"/>
    <n v="394"/>
    <n v="810"/>
    <n v="67500"/>
    <n v="319140"/>
    <n v="200068"/>
    <n v="119072"/>
  </r>
  <r>
    <x v="6"/>
    <x v="0"/>
    <x v="1"/>
    <m/>
    <m/>
    <m/>
    <n v="0"/>
    <n v="67500"/>
    <n v="-67500"/>
  </r>
  <r>
    <x v="5"/>
    <x v="3"/>
    <x v="3"/>
    <n v="152"/>
    <n v="775"/>
    <m/>
    <n v="117800"/>
    <n v="0"/>
    <n v="117800"/>
  </r>
  <r>
    <x v="5"/>
    <x v="2"/>
    <x v="4"/>
    <n v="30"/>
    <n v="580"/>
    <m/>
    <n v="17400"/>
    <n v="0"/>
    <n v="17400"/>
  </r>
  <r>
    <x v="6"/>
    <x v="2"/>
    <x v="4"/>
    <n v="152"/>
    <n v="580"/>
    <m/>
    <n v="88160"/>
    <n v="40000"/>
    <n v="48160"/>
  </r>
  <r>
    <x v="7"/>
    <x v="0"/>
    <x v="5"/>
    <n v="470"/>
    <n v="810"/>
    <n v="72800"/>
    <n v="380700"/>
    <n v="107800"/>
    <n v="272900"/>
  </r>
  <r>
    <x v="7"/>
    <x v="0"/>
    <x v="6"/>
    <n v="206"/>
    <n v="765"/>
    <n v="35000"/>
    <n v="157590"/>
    <m/>
    <n v="157590"/>
  </r>
  <r>
    <x v="8"/>
    <x v="0"/>
    <x v="7"/>
    <n v="281"/>
    <n v="810"/>
    <n v="45700"/>
    <n v="227610"/>
    <n v="347823"/>
    <n v="-120213"/>
  </r>
  <r>
    <x v="8"/>
    <x v="4"/>
    <x v="8"/>
    <n v="384"/>
    <n v="780"/>
    <n v="100000"/>
    <n v="299520"/>
    <n v="100000"/>
    <n v="199520"/>
  </r>
  <r>
    <x v="9"/>
    <x v="0"/>
    <x v="9"/>
    <n v="496"/>
    <n v="810"/>
    <n v="106000"/>
    <n v="401760"/>
    <n v="106000"/>
    <n v="295760"/>
  </r>
  <r>
    <x v="9"/>
    <x v="3"/>
    <x v="1"/>
    <m/>
    <m/>
    <m/>
    <n v="0"/>
    <n v="175000"/>
    <n v="-175000"/>
  </r>
  <r>
    <x v="10"/>
    <x v="0"/>
    <x v="10"/>
    <n v="287"/>
    <n v="810"/>
    <n v="46100"/>
    <n v="232470"/>
    <n v="46100"/>
    <n v="186370"/>
  </r>
  <r>
    <x v="11"/>
    <x v="0"/>
    <x v="1"/>
    <m/>
    <m/>
    <m/>
    <n v="0"/>
    <n v="400338"/>
    <n v="-400338"/>
  </r>
  <r>
    <x v="12"/>
    <x v="0"/>
    <x v="2"/>
    <n v="433"/>
    <n v="810"/>
    <n v="74400"/>
    <n v="350730"/>
    <n v="300204"/>
    <n v="50526"/>
  </r>
  <r>
    <x v="13"/>
    <x v="0"/>
    <x v="1"/>
    <m/>
    <m/>
    <m/>
    <n v="0"/>
    <n v="274600"/>
    <n v="-274600"/>
  </r>
  <r>
    <x v="14"/>
    <x v="0"/>
    <x v="1"/>
    <m/>
    <m/>
    <m/>
    <n v="0"/>
    <n v="250768"/>
    <n v="-250768"/>
  </r>
  <r>
    <x v="14"/>
    <x v="6"/>
    <x v="11"/>
    <n v="225"/>
    <n v="830"/>
    <n v="50000"/>
    <n v="186750"/>
    <n v="50000"/>
    <n v="136750"/>
  </r>
  <r>
    <x v="15"/>
    <x v="6"/>
    <x v="12"/>
    <n v="195"/>
    <n v="830"/>
    <m/>
    <n v="161850"/>
    <n v="170000"/>
    <n v="-8150"/>
  </r>
  <r>
    <x v="15"/>
    <x v="0"/>
    <x v="13"/>
    <n v="471"/>
    <n v="810"/>
    <n v="118000"/>
    <n v="381510"/>
    <n v="418188"/>
    <n v="-36678"/>
  </r>
  <r>
    <x v="16"/>
    <x v="6"/>
    <x v="14"/>
    <n v="215"/>
    <n v="810"/>
    <n v="40450"/>
    <n v="174150"/>
    <n v="40450"/>
    <n v="133700"/>
  </r>
  <r>
    <x v="17"/>
    <x v="0"/>
    <x v="15"/>
    <n v="61"/>
    <n v="810"/>
    <m/>
    <n v="49410"/>
    <n v="200510"/>
    <n v="-151100"/>
  </r>
  <r>
    <x v="17"/>
    <x v="6"/>
    <x v="12"/>
    <n v="188"/>
    <n v="810"/>
    <m/>
    <n v="152280"/>
    <n v="128500"/>
    <n v="23780"/>
  </r>
  <r>
    <x v="17"/>
    <x v="3"/>
    <x v="16"/>
    <n v="134"/>
    <n v="580"/>
    <m/>
    <n v="77720"/>
    <n v="150000"/>
    <n v="-72280"/>
  </r>
  <r>
    <x v="17"/>
    <x v="2"/>
    <x v="1"/>
    <m/>
    <m/>
    <m/>
    <n v="0"/>
    <n v="50000"/>
    <n v="-50000"/>
  </r>
  <r>
    <x v="17"/>
    <x v="7"/>
    <x v="17"/>
    <n v="182"/>
    <n v="720"/>
    <m/>
    <n v="131040"/>
    <n v="100000"/>
    <n v="31040"/>
  </r>
  <r>
    <x v="16"/>
    <x v="7"/>
    <x v="17"/>
    <n v="227"/>
    <n v="720"/>
    <m/>
    <n v="163440"/>
    <n v="0"/>
    <n v="163440"/>
  </r>
  <r>
    <x v="17"/>
    <x v="7"/>
    <x v="17"/>
    <n v="135"/>
    <n v="720"/>
    <m/>
    <n v="97200"/>
    <m/>
    <n v="97200"/>
  </r>
  <r>
    <x v="16"/>
    <x v="3"/>
    <x v="18"/>
    <n v="139"/>
    <n v="580"/>
    <m/>
    <n v="80620"/>
    <m/>
    <n v="80620"/>
  </r>
  <r>
    <x v="17"/>
    <x v="3"/>
    <x v="19"/>
    <n v="128"/>
    <n v="580"/>
    <m/>
    <n v="74240"/>
    <m/>
    <n v="74240"/>
  </r>
  <r>
    <x v="18"/>
    <x v="3"/>
    <x v="19"/>
    <n v="146"/>
    <n v="580"/>
    <m/>
    <n v="84680"/>
    <m/>
    <n v="84680"/>
  </r>
  <r>
    <x v="18"/>
    <x v="6"/>
    <x v="20"/>
    <n v="191"/>
    <n v="810"/>
    <m/>
    <n v="154710"/>
    <n v="0"/>
    <n v="154710"/>
  </r>
  <r>
    <x v="19"/>
    <x v="7"/>
    <x v="17"/>
    <n v="172"/>
    <n v="580"/>
    <m/>
    <n v="99760"/>
    <n v="120000"/>
    <n v="-20240"/>
  </r>
  <r>
    <x v="20"/>
    <x v="0"/>
    <x v="1"/>
    <m/>
    <m/>
    <m/>
    <n v="0"/>
    <n v="200050"/>
    <n v="-200050"/>
  </r>
  <r>
    <x v="20"/>
    <x v="7"/>
    <x v="1"/>
    <m/>
    <m/>
    <m/>
    <n v="0"/>
    <n v="70000"/>
    <n v="-70000"/>
  </r>
  <r>
    <x v="20"/>
    <x v="4"/>
    <x v="1"/>
    <m/>
    <m/>
    <m/>
    <n v="0"/>
    <n v="100000"/>
    <n v="-100000"/>
  </r>
  <r>
    <x v="20"/>
    <x v="6"/>
    <x v="12"/>
    <n v="170"/>
    <n v="810"/>
    <m/>
    <n v="137700"/>
    <n v="100000"/>
    <n v="37700"/>
  </r>
  <r>
    <x v="21"/>
    <x v="7"/>
    <x v="1"/>
    <m/>
    <m/>
    <m/>
    <n v="0"/>
    <n v="102000"/>
    <n v="-102000"/>
  </r>
  <r>
    <x v="21"/>
    <x v="6"/>
    <x v="1"/>
    <m/>
    <m/>
    <m/>
    <n v="0"/>
    <n v="125000"/>
    <n v="-125000"/>
  </r>
  <r>
    <x v="20"/>
    <x v="3"/>
    <x v="18"/>
    <n v="138"/>
    <n v="580"/>
    <m/>
    <n v="80040"/>
    <n v="0"/>
    <n v="80040"/>
  </r>
  <r>
    <x v="22"/>
    <x v="6"/>
    <x v="12"/>
    <n v="186"/>
    <n v="810"/>
    <m/>
    <n v="150660"/>
    <n v="90000"/>
    <n v="60660"/>
  </r>
  <r>
    <x v="22"/>
    <x v="3"/>
    <x v="1"/>
    <m/>
    <m/>
    <m/>
    <n v="0"/>
    <n v="150500"/>
    <n v="-150500"/>
  </r>
  <r>
    <x v="23"/>
    <x v="6"/>
    <x v="1"/>
    <m/>
    <m/>
    <m/>
    <n v="0"/>
    <n v="190000"/>
    <n v="-190000"/>
  </r>
  <r>
    <x v="23"/>
    <x v="3"/>
    <x v="18"/>
    <n v="137"/>
    <n v="580"/>
    <m/>
    <n v="79460"/>
    <n v="0"/>
    <n v="79460"/>
  </r>
  <r>
    <x v="24"/>
    <x v="7"/>
    <x v="17"/>
    <n v="66"/>
    <n v="720"/>
    <m/>
    <n v="47520"/>
    <n v="40000"/>
    <n v="7520"/>
  </r>
  <r>
    <x v="24"/>
    <x v="6"/>
    <x v="12"/>
    <n v="207"/>
    <n v="810"/>
    <m/>
    <n v="167670"/>
    <n v="0"/>
    <n v="167670"/>
  </r>
  <r>
    <x v="25"/>
    <x v="3"/>
    <x v="18"/>
    <n v="140"/>
    <n v="580"/>
    <m/>
    <n v="81200"/>
    <n v="0"/>
    <n v="81200"/>
  </r>
  <r>
    <x v="26"/>
    <x v="6"/>
    <x v="1"/>
    <m/>
    <m/>
    <m/>
    <n v="0"/>
    <n v="150000"/>
    <n v="-150000"/>
  </r>
  <r>
    <x v="26"/>
    <x v="3"/>
    <x v="1"/>
    <m/>
    <m/>
    <m/>
    <n v="0"/>
    <m/>
    <n v="0"/>
  </r>
  <r>
    <x v="26"/>
    <x v="2"/>
    <x v="4"/>
    <n v="36"/>
    <n v="580"/>
    <m/>
    <n v="20880"/>
    <n v="0"/>
    <n v="20880"/>
  </r>
  <r>
    <x v="26"/>
    <x v="2"/>
    <x v="4"/>
    <n v="40"/>
    <n v="580"/>
    <m/>
    <n v="23200"/>
    <n v="0"/>
    <n v="23200"/>
  </r>
  <r>
    <x v="26"/>
    <x v="6"/>
    <x v="12"/>
    <n v="180"/>
    <n v="810"/>
    <m/>
    <n v="145800"/>
    <m/>
    <n v="145800"/>
  </r>
  <r>
    <x v="26"/>
    <x v="3"/>
    <x v="21"/>
    <n v="378"/>
    <n v="580"/>
    <m/>
    <n v="219240"/>
    <n v="100000"/>
    <n v="119240"/>
  </r>
  <r>
    <x v="27"/>
    <x v="0"/>
    <x v="2"/>
    <n v="363"/>
    <n v="810"/>
    <n v="63500"/>
    <n v="294030"/>
    <n v="211500"/>
    <n v="82530"/>
  </r>
  <r>
    <x v="27"/>
    <x v="4"/>
    <x v="1"/>
    <m/>
    <m/>
    <m/>
    <n v="0"/>
    <n v="1000"/>
    <n v="-1000"/>
  </r>
  <r>
    <x v="27"/>
    <x v="3"/>
    <x v="1"/>
    <m/>
    <m/>
    <m/>
    <n v="0"/>
    <n v="151072"/>
    <n v="-151072"/>
  </r>
  <r>
    <x v="27"/>
    <x v="6"/>
    <x v="22"/>
    <n v="233"/>
    <n v="810"/>
    <n v="46600"/>
    <n v="188730"/>
    <n v="47600"/>
    <n v="141130"/>
  </r>
  <r>
    <x v="28"/>
    <x v="0"/>
    <x v="1"/>
    <m/>
    <m/>
    <m/>
    <n v="0"/>
    <n v="266000"/>
    <n v="-266000"/>
  </r>
  <r>
    <x v="28"/>
    <x v="6"/>
    <x v="1"/>
    <m/>
    <m/>
    <m/>
    <n v="0"/>
    <n v="76000"/>
    <n v="-76000"/>
  </r>
  <r>
    <x v="28"/>
    <x v="3"/>
    <x v="18"/>
    <n v="146"/>
    <n v="580"/>
    <m/>
    <n v="84680"/>
    <n v="0"/>
    <n v="8468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
  <r>
    <x v="0"/>
    <s v="Dyes"/>
    <m/>
    <m/>
    <m/>
    <x v="0"/>
    <n v="0"/>
    <n v="240125"/>
    <s v="closing CF"/>
  </r>
  <r>
    <x v="0"/>
    <s v="Dyes"/>
    <m/>
    <m/>
    <m/>
    <x v="1"/>
    <n v="0"/>
    <n v="0"/>
    <s v="closing CF"/>
  </r>
  <r>
    <x v="1"/>
    <s v="Dyes"/>
    <m/>
    <m/>
    <m/>
    <x v="2"/>
    <n v="0"/>
    <n v="0"/>
    <s v="closing CF"/>
  </r>
  <r>
    <x v="2"/>
    <s v="Dyes"/>
    <m/>
    <m/>
    <n v="141950"/>
    <x v="1"/>
    <n v="141950"/>
    <n v="0"/>
    <m/>
  </r>
  <r>
    <x v="3"/>
    <s v="Rubine B x2"/>
    <m/>
    <m/>
    <n v="60000"/>
    <x v="2"/>
    <n v="60000"/>
    <n v="0"/>
    <m/>
  </r>
  <r>
    <x v="3"/>
    <s v="BP26 x4+Black x2"/>
    <m/>
    <m/>
    <n v="98000"/>
    <x v="1"/>
    <n v="98000"/>
    <n v="0"/>
    <m/>
  </r>
  <r>
    <x v="4"/>
    <s v="Dyes"/>
    <m/>
    <m/>
    <n v="231500"/>
    <x v="1"/>
    <n v="231500"/>
    <n v="0"/>
    <m/>
  </r>
  <r>
    <x v="5"/>
    <s v="Payment"/>
    <m/>
    <m/>
    <m/>
    <x v="0"/>
    <n v="240125"/>
    <n v="-240125"/>
    <m/>
  </r>
  <r>
    <x v="6"/>
    <s v="Rubine B x2, Navy Blue"/>
    <m/>
    <m/>
    <n v="85000"/>
    <x v="3"/>
    <n v="85000"/>
    <n v="0"/>
    <m/>
  </r>
  <r>
    <x v="7"/>
    <s v="black x2"/>
    <m/>
    <m/>
    <n v="46000"/>
    <x v="1"/>
    <n v="46000"/>
    <n v="0"/>
    <m/>
  </r>
  <r>
    <x v="8"/>
    <m/>
    <m/>
    <m/>
    <n v="52000"/>
    <x v="1"/>
    <n v="52000"/>
    <n v="0"/>
    <m/>
  </r>
  <r>
    <x v="9"/>
    <s v="Dyes"/>
    <m/>
    <m/>
    <n v="242450"/>
    <x v="1"/>
    <n v="242450"/>
    <n v="0"/>
    <m/>
  </r>
  <r>
    <x v="10"/>
    <s v="Dyes"/>
    <m/>
    <m/>
    <n v="56000"/>
    <x v="1"/>
    <n v="56000"/>
    <n v="0"/>
    <m/>
  </r>
  <r>
    <x v="11"/>
    <s v="Dyes"/>
    <m/>
    <m/>
    <n v="134750"/>
    <x v="1"/>
    <n v="134750"/>
    <n v="0"/>
    <m/>
  </r>
  <r>
    <x v="12"/>
    <s v="Dyes"/>
    <m/>
    <m/>
    <n v="32000"/>
    <x v="1"/>
    <n v="32000"/>
    <n v="0"/>
    <m/>
  </r>
  <r>
    <x v="13"/>
    <s v="Dyes"/>
    <m/>
    <m/>
    <n v="46000"/>
    <x v="1"/>
    <n v="46000"/>
    <n v="0"/>
    <m/>
  </r>
  <r>
    <x v="14"/>
    <s v="Dyes+antfoam"/>
    <m/>
    <m/>
    <n v="66500"/>
    <x v="1"/>
    <n v="66500"/>
    <n v="0"/>
    <m/>
  </r>
  <r>
    <x v="15"/>
    <s v="Dyes"/>
    <m/>
    <m/>
    <n v="76300"/>
    <x v="1"/>
    <n v="76300"/>
    <n v="0"/>
    <m/>
  </r>
  <r>
    <x v="15"/>
    <s v="Dyes"/>
    <m/>
    <m/>
    <n v="34375"/>
    <x v="2"/>
    <n v="34375"/>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301326.81053401611"/>
    <n v="10"/>
    <n v="3335711.4118507681"/>
  </r>
  <r>
    <x v="1"/>
    <n v="105662.94806144843"/>
    <n v="10"/>
    <n v="1267955.3767373813"/>
  </r>
  <r>
    <x v="2"/>
    <n v="193527.79809802488"/>
    <n v="10"/>
    <n v="2061914.7768836871"/>
  </r>
  <r>
    <x v="3"/>
    <n v="0"/>
    <n v="10.5"/>
    <n v="0"/>
  </r>
  <r>
    <x v="4"/>
    <n v="0"/>
    <n v="10"/>
    <n v="0"/>
  </r>
  <r>
    <x v="5"/>
    <n v="238543.34308705197"/>
    <n v="10"/>
    <n v="2385433.4308705195"/>
  </r>
  <r>
    <x v="6"/>
    <n v="47108.632040965625"/>
    <n v="10"/>
    <n v="471086.32040965627"/>
  </r>
  <r>
    <x v="7"/>
    <n v="143660.38771031456"/>
    <n v="10"/>
    <n v="1436603.8771031457"/>
  </r>
  <r>
    <x v="8"/>
    <n v="0"/>
    <n v="10"/>
    <n v="0"/>
  </r>
  <r>
    <x v="9"/>
    <n v="0"/>
    <n v="12"/>
    <n v="0"/>
  </r>
  <r>
    <x v="10"/>
    <n v="64305.047549378207"/>
    <m/>
    <n v="643050.47549378208"/>
  </r>
  <r>
    <x v="11"/>
    <n v="68178.493050475503"/>
    <m/>
    <n v="789903.07242136076"/>
  </r>
  <r>
    <x v="12"/>
    <n v="0"/>
    <m/>
    <n v="0"/>
  </r>
  <r>
    <x v="13"/>
    <n v="0"/>
    <m/>
    <n v="0"/>
  </r>
  <r>
    <x v="14"/>
    <n v="0"/>
    <m/>
    <n v="0"/>
  </r>
  <r>
    <x v="15"/>
    <n v="0"/>
    <m/>
    <n v="0"/>
  </r>
  <r>
    <x v="16"/>
    <n v="198235.18653986833"/>
    <m/>
    <n v="2378822.2384784198"/>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4">
  <r>
    <d v="2025-10-17T00:00:00"/>
    <x v="0"/>
    <m/>
    <n v="-673115"/>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7"/>
    <m/>
    <n v="13000"/>
    <s v="general dyes"/>
    <s v="Bank"/>
    <m/>
  </r>
  <r>
    <d v="2025-11-22T00:00:00"/>
    <x v="23"/>
    <n v="13000"/>
    <m/>
    <s v="Rubine B"/>
    <s v="Bank"/>
    <m/>
  </r>
  <r>
    <d v="2025-11-23T00:00:00"/>
    <x v="24"/>
    <m/>
    <n v="1000000"/>
    <s v="advance"/>
    <s v="Bank"/>
    <m/>
  </r>
  <r>
    <d v="2025-11-23T00:00:00"/>
    <x v="5"/>
    <n v="200068"/>
    <m/>
    <s v="TID:446711"/>
    <s v="Bank"/>
    <m/>
  </r>
  <r>
    <d v="2025-11-23T00:00:00"/>
    <x v="6"/>
    <n v="20000"/>
    <m/>
    <s v="clips"/>
    <s v="Bank"/>
    <m/>
  </r>
  <r>
    <d v="2025-11-23T00:00:00"/>
    <x v="25"/>
    <n v="1100"/>
    <m/>
    <s v="stationary"/>
    <s v="Bank"/>
    <m/>
  </r>
  <r>
    <d v="2025-11-23T00:00:00"/>
    <x v="10"/>
    <n v="2635"/>
    <m/>
    <d v="2025-11-23T00:00:00"/>
    <s v="Bank"/>
    <m/>
  </r>
  <r>
    <d v="2025-11-23T00:00:00"/>
    <x v="6"/>
    <n v="10000"/>
    <m/>
    <s v="generator"/>
    <s v="Bank"/>
    <m/>
  </r>
  <r>
    <d v="2025-11-24T00:00:00"/>
    <x v="5"/>
    <n v="67500"/>
    <m/>
    <s v="TKL 364"/>
    <s v="Bank"/>
    <m/>
  </r>
  <r>
    <d v="2025-11-24T00:00:00"/>
    <x v="10"/>
    <n v="20000"/>
    <m/>
    <s v="atta"/>
    <s v="Bank"/>
    <m/>
  </r>
  <r>
    <d v="2025-11-24T00:00:00"/>
    <x v="6"/>
    <n v="6000"/>
    <m/>
    <s v="parts"/>
    <s v="Bank"/>
    <m/>
  </r>
  <r>
    <d v="2025-11-24T00:00:00"/>
    <x v="11"/>
    <n v="12700"/>
    <m/>
    <s v="kora karaya"/>
    <s v="Bank"/>
    <m/>
  </r>
  <r>
    <d v="2025-11-24T00:00:00"/>
    <x v="26"/>
    <n v="40000"/>
    <m/>
    <s v="UBL"/>
    <s v="Bank"/>
    <m/>
  </r>
  <r>
    <d v="2025-11-24T00:00:00"/>
    <x v="10"/>
    <n v="2220"/>
    <m/>
    <d v="2025-11-24T00:00:00"/>
    <s v="Bank"/>
    <m/>
  </r>
  <r>
    <d v="2025-11-24T00:00:00"/>
    <x v="2"/>
    <n v="9200"/>
    <m/>
    <s v="Mazdoor"/>
    <s v="Bank"/>
    <m/>
  </r>
  <r>
    <d v="2025-11-24T00:00:00"/>
    <x v="8"/>
    <m/>
    <m/>
    <s v="Ashraf Boiler"/>
    <s v="Bank"/>
    <m/>
  </r>
  <r>
    <d v="2025-11-24T00:00:00"/>
    <x v="8"/>
    <m/>
    <m/>
    <s v="Nauman Ali"/>
    <s v="Bank"/>
    <m/>
  </r>
  <r>
    <d v="2025-11-24T00:00:00"/>
    <x v="25"/>
    <n v="2600"/>
    <m/>
    <s v="channay//akbar sahab"/>
    <s v="Bank"/>
    <m/>
  </r>
  <r>
    <d v="2025-11-22T00:00:00"/>
    <x v="14"/>
    <n v="98000"/>
    <m/>
    <s v="BP26,Black"/>
    <s v="Bank"/>
    <m/>
  </r>
  <r>
    <d v="2025-11-22T00:00:00"/>
    <x v="23"/>
    <n v="47000"/>
    <m/>
    <s v="Rubine B"/>
    <s v="Bank"/>
    <m/>
  </r>
  <r>
    <d v="2025-11-22T00:00:00"/>
    <x v="7"/>
    <m/>
    <n v="145000"/>
    <s v="Dyes (Cash)"/>
    <s v="Bank"/>
    <m/>
  </r>
  <r>
    <d v="2025-11-25T00:00:00"/>
    <x v="22"/>
    <m/>
    <n v="121000"/>
    <m/>
    <s v="Bank"/>
    <m/>
  </r>
  <r>
    <d v="2025-11-25T00:00:00"/>
    <x v="27"/>
    <m/>
    <n v="1353061"/>
    <m/>
    <s v="Bank"/>
    <m/>
  </r>
  <r>
    <d v="2025-11-25T00:00:00"/>
    <x v="22"/>
    <n v="1353061"/>
    <m/>
    <s v="sajad khan"/>
    <s v="Bank"/>
    <m/>
  </r>
  <r>
    <d v="2025-11-25T00:00:00"/>
    <x v="5"/>
    <n v="35000"/>
    <m/>
    <s v="E 3229"/>
    <s v="Bank"/>
    <m/>
  </r>
  <r>
    <d v="2025-11-25T00:00:00"/>
    <x v="5"/>
    <n v="72800"/>
    <m/>
    <s v="C 8947"/>
    <s v="Bank"/>
    <m/>
  </r>
  <r>
    <d v="2025-11-25T00:00:00"/>
    <x v="6"/>
    <n v="440"/>
    <m/>
    <m/>
    <s v="Bank"/>
    <m/>
  </r>
  <r>
    <d v="2025-11-25T00:00:00"/>
    <x v="6"/>
    <n v="580"/>
    <m/>
    <m/>
    <s v="Bank"/>
    <m/>
  </r>
  <r>
    <d v="2025-11-25T00:00:00"/>
    <x v="25"/>
    <n v="1100"/>
    <m/>
    <m/>
    <s v="Bank"/>
    <m/>
  </r>
  <r>
    <d v="2025-11-25T00:00:00"/>
    <x v="28"/>
    <n v="400000"/>
    <m/>
    <s v="starch"/>
    <s v="Bank"/>
    <m/>
  </r>
  <r>
    <d v="2025-11-25T00:00:00"/>
    <x v="6"/>
    <n v="20000"/>
    <m/>
    <s v="clips"/>
    <s v="Bank"/>
    <m/>
  </r>
  <r>
    <d v="2025-11-25T00:00:00"/>
    <x v="14"/>
    <n v="231500"/>
    <m/>
    <s v="Dyes (Cash)"/>
    <s v="Bank"/>
    <m/>
  </r>
  <r>
    <d v="2025-11-25T00:00:00"/>
    <x v="22"/>
    <m/>
    <n v="99000"/>
    <s v="Madina dyes"/>
    <s v="Bank"/>
    <m/>
  </r>
  <r>
    <d v="2025-11-25T00:00:00"/>
    <x v="1"/>
    <m/>
    <n v="1100"/>
    <s v="registers"/>
    <s v="Bank"/>
    <m/>
  </r>
  <r>
    <d v="2025-11-25T00:00:00"/>
    <x v="1"/>
    <m/>
    <n v="580"/>
    <s v="parts"/>
    <s v="Bank"/>
    <m/>
  </r>
  <r>
    <d v="2025-11-25T00:00:00"/>
    <x v="1"/>
    <m/>
    <n v="60000"/>
    <s v="cash"/>
    <s v="Bank"/>
    <m/>
  </r>
  <r>
    <d v="2025-11-25T00:00:00"/>
    <x v="22"/>
    <m/>
    <n v="55000"/>
    <m/>
    <s v="Bank"/>
    <m/>
  </r>
  <r>
    <d v="2025-11-25T00:00:00"/>
    <x v="2"/>
    <n v="14800"/>
    <m/>
    <s v="cement"/>
    <s v="Bank"/>
    <m/>
  </r>
  <r>
    <d v="2025-11-25T00:00:00"/>
    <x v="2"/>
    <n v="10200"/>
    <m/>
    <s v="Mazdoor"/>
    <s v="Bank"/>
    <m/>
  </r>
  <r>
    <d v="2025-11-25T00:00:00"/>
    <x v="8"/>
    <n v="3000"/>
    <m/>
    <s v="waqas chakki"/>
    <s v="Bank"/>
    <m/>
  </r>
  <r>
    <d v="2025-11-25T00:00:00"/>
    <x v="8"/>
    <m/>
    <m/>
    <s v="ali ahmad fitter"/>
    <s v="Bank"/>
    <m/>
  </r>
  <r>
    <d v="2025-11-25T00:00:00"/>
    <x v="11"/>
    <n v="10200"/>
    <m/>
    <s v="petrol"/>
    <s v="Bank"/>
    <m/>
  </r>
  <r>
    <d v="2025-11-25T00:00:00"/>
    <x v="1"/>
    <m/>
    <n v="10200"/>
    <s v="petrol"/>
    <s v="Bank"/>
    <m/>
  </r>
  <r>
    <d v="2025-11-25T00:00:00"/>
    <x v="10"/>
    <n v="2365"/>
    <m/>
    <d v="2025-11-25T00:00:00"/>
    <s v="Bank"/>
    <m/>
  </r>
  <r>
    <d v="2025-11-25T00:00:00"/>
    <x v="9"/>
    <m/>
    <n v="300000"/>
    <s v="cash BSC"/>
    <s v="Bank"/>
    <m/>
  </r>
  <r>
    <d v="2025-11-25T00:00:00"/>
    <x v="9"/>
    <m/>
    <n v="150000"/>
    <s v="cash BSC"/>
    <s v="Bank"/>
    <m/>
  </r>
  <r>
    <d v="2025-11-25T00:00:00"/>
    <x v="22"/>
    <n v="450000"/>
    <m/>
    <s v="arshad silk"/>
    <s v="Bank"/>
    <m/>
  </r>
  <r>
    <d v="2025-11-25T00:00:00"/>
    <x v="1"/>
    <m/>
    <n v="20000"/>
    <s v="malik z"/>
    <s v="Bank"/>
    <m/>
  </r>
  <r>
    <d v="2025-11-24T00:00:00"/>
    <x v="9"/>
    <m/>
    <n v="300000"/>
    <s v="cash bsc"/>
    <s v="Bank"/>
    <m/>
  </r>
  <r>
    <d v="2025-11-24T00:00:00"/>
    <x v="22"/>
    <n v="300000"/>
    <m/>
    <s v="arshad silk cash"/>
    <s v="Bank"/>
    <m/>
  </r>
  <r>
    <d v="2025-11-25T00:00:00"/>
    <x v="1"/>
    <n v="1500"/>
    <m/>
    <m/>
    <s v="Bank"/>
    <m/>
  </r>
  <r>
    <d v="2025-11-26T00:00:00"/>
    <x v="22"/>
    <m/>
    <n v="430000"/>
    <s v="cash BSC"/>
    <s v="Bank"/>
    <m/>
  </r>
  <r>
    <d v="2025-11-26T00:00:00"/>
    <x v="29"/>
    <m/>
    <n v="205980"/>
    <m/>
    <s v="Bank"/>
    <m/>
  </r>
  <r>
    <d v="2025-11-26T00:00:00"/>
    <x v="30"/>
    <m/>
    <n v="100000"/>
    <s v="advance"/>
    <s v="Bank"/>
    <m/>
  </r>
  <r>
    <d v="2025-11-26T00:00:00"/>
    <x v="5"/>
    <n v="302123"/>
    <m/>
    <s v="TID:903176"/>
    <s v="Bank"/>
    <m/>
  </r>
  <r>
    <d v="2025-11-26T00:00:00"/>
    <x v="1"/>
    <m/>
    <n v="2000"/>
    <s v="mtag"/>
    <s v="Bank"/>
    <m/>
  </r>
  <r>
    <d v="2025-11-26T00:00:00"/>
    <x v="11"/>
    <n v="2000"/>
    <m/>
    <s v="mtag"/>
    <s v="Bank"/>
    <m/>
  </r>
  <r>
    <d v="2025-11-26T00:00:00"/>
    <x v="11"/>
    <n v="1500"/>
    <m/>
    <s v="toll"/>
    <s v="Bank"/>
    <m/>
  </r>
  <r>
    <d v="2025-11-26T00:00:00"/>
    <x v="7"/>
    <m/>
    <n v="1500"/>
    <s v="toll"/>
    <s v="Bank"/>
    <m/>
  </r>
  <r>
    <d v="2025-11-26T00:00:00"/>
    <x v="8"/>
    <m/>
    <m/>
    <s v="Akbar sahab"/>
    <s v="Bank"/>
    <m/>
  </r>
  <r>
    <d v="2025-11-26T00:00:00"/>
    <x v="2"/>
    <n v="5800"/>
    <m/>
    <s v="Mazdoor"/>
    <s v="Bank"/>
    <m/>
  </r>
  <r>
    <d v="2025-11-26T00:00:00"/>
    <x v="31"/>
    <n v="100000"/>
    <m/>
    <s v="TAD 290"/>
    <s v="Bank"/>
    <m/>
  </r>
  <r>
    <d v="2025-11-26T00:00:00"/>
    <x v="8"/>
    <m/>
    <m/>
    <s v="Master Tanveer"/>
    <s v="Bank"/>
    <m/>
  </r>
  <r>
    <d v="2025-11-26T00:00:00"/>
    <x v="6"/>
    <n v="1000"/>
    <m/>
    <m/>
    <s v="Bank"/>
    <m/>
  </r>
  <r>
    <d v="2025-11-26T00:00:00"/>
    <x v="8"/>
    <n v="7000"/>
    <m/>
    <s v="chakki"/>
    <s v="Bank"/>
    <m/>
  </r>
  <r>
    <d v="2025-11-26T00:00:00"/>
    <x v="6"/>
    <n v="1950"/>
    <m/>
    <s v="bearings"/>
    <s v="Bank"/>
    <m/>
  </r>
  <r>
    <d v="2025-11-26T00:00:00"/>
    <x v="25"/>
    <n v="420"/>
    <m/>
    <s v="stationary"/>
    <s v="Bank"/>
    <m/>
  </r>
  <r>
    <d v="2025-11-26T00:00:00"/>
    <x v="7"/>
    <m/>
    <n v="50000"/>
    <m/>
    <s v="Bank"/>
    <m/>
  </r>
  <r>
    <d v="2025-11-26T00:00:00"/>
    <x v="7"/>
    <m/>
    <n v="240130"/>
    <s v="Unicolour"/>
    <s v="Bank"/>
    <m/>
  </r>
  <r>
    <d v="2025-11-26T00:00:00"/>
    <x v="32"/>
    <n v="240125"/>
    <m/>
    <s v="Balance Nill"/>
    <s v="Bank"/>
    <m/>
  </r>
  <r>
    <d v="2025-11-26T00:00:00"/>
    <x v="5"/>
    <n v="45700"/>
    <m/>
    <s v="E 9399"/>
    <s v="Bank"/>
    <m/>
  </r>
  <r>
    <d v="2025-11-26T00:00:00"/>
    <x v="1"/>
    <n v="620"/>
    <m/>
    <m/>
    <s v="Bank"/>
    <m/>
  </r>
  <r>
    <d v="2025-11-27T00:00:00"/>
    <x v="33"/>
    <n v="15000"/>
    <m/>
    <s v="imran"/>
    <s v="Bank"/>
    <m/>
  </r>
  <r>
    <d v="2025-11-27T00:00:00"/>
    <x v="33"/>
    <n v="10000"/>
    <m/>
    <s v="adil hussain"/>
    <s v="Bank"/>
    <m/>
  </r>
  <r>
    <d v="2025-11-27T00:00:00"/>
    <x v="25"/>
    <n v="3600"/>
    <m/>
    <s v="lacking"/>
    <s v="Bank"/>
    <m/>
  </r>
  <r>
    <d v="2025-11-27T00:00:00"/>
    <x v="11"/>
    <n v="1500"/>
    <m/>
    <s v="kora karaya"/>
    <s v="Bank"/>
    <m/>
  </r>
  <r>
    <d v="2025-11-27T00:00:00"/>
    <x v="2"/>
    <n v="1300"/>
    <m/>
    <s v="Mazdoor"/>
    <s v="Bank"/>
    <m/>
  </r>
  <r>
    <d v="2025-11-27T00:00:00"/>
    <x v="13"/>
    <n v="5000"/>
    <m/>
    <s v="imran electric"/>
    <s v="Bank"/>
    <m/>
  </r>
  <r>
    <d v="2025-11-27T00:00:00"/>
    <x v="8"/>
    <m/>
    <m/>
    <s v="Naeem"/>
    <s v="Bank"/>
    <m/>
  </r>
  <r>
    <d v="2025-11-27T00:00:00"/>
    <x v="5"/>
    <n v="106000"/>
    <m/>
    <s v="NAD 668"/>
    <s v="Bank"/>
    <m/>
  </r>
  <r>
    <d v="2025-11-27T00:00:00"/>
    <x v="1"/>
    <m/>
    <n v="3600"/>
    <s v="lacking"/>
    <s v="Bank"/>
    <m/>
  </r>
  <r>
    <d v="2025-11-27T00:00:00"/>
    <x v="1"/>
    <m/>
    <n v="1600"/>
    <s v="pump"/>
    <s v="Bank"/>
    <m/>
  </r>
  <r>
    <d v="2025-11-27T00:00:00"/>
    <x v="3"/>
    <n v="175000"/>
    <m/>
    <m/>
    <s v="Bank"/>
    <m/>
  </r>
  <r>
    <d v="2025-11-27T00:00:00"/>
    <x v="6"/>
    <n v="15000"/>
    <m/>
    <s v="battery"/>
    <s v="Bank"/>
    <m/>
  </r>
  <r>
    <d v="2025-11-27T00:00:00"/>
    <x v="17"/>
    <m/>
    <n v="90000"/>
    <s v="credit"/>
    <s v="Bank"/>
    <m/>
  </r>
  <r>
    <d v="2025-11-27T00:00:00"/>
    <x v="34"/>
    <m/>
    <n v="100000"/>
    <s v="advance"/>
    <s v="Bank"/>
    <m/>
  </r>
  <r>
    <d v="2025-11-27T00:00:00"/>
    <x v="7"/>
    <m/>
    <n v="4500"/>
    <s v="oil"/>
    <s v="Bank"/>
    <m/>
  </r>
  <r>
    <d v="2025-11-27T00:00:00"/>
    <x v="11"/>
    <n v="4500"/>
    <m/>
    <s v="oil"/>
    <s v="Bank"/>
    <m/>
  </r>
  <r>
    <d v="2025-11-27T00:00:00"/>
    <x v="11"/>
    <n v="5352"/>
    <m/>
    <s v="petrol"/>
    <s v="Bank"/>
    <m/>
  </r>
  <r>
    <d v="2025-11-27T00:00:00"/>
    <x v="1"/>
    <m/>
    <n v="5352"/>
    <s v="petrol"/>
    <s v="Bank"/>
    <m/>
  </r>
  <r>
    <d v="2025-11-27T00:00:00"/>
    <x v="7"/>
    <m/>
    <n v="85000"/>
    <s v="shafi Dyes"/>
    <s v="Bank"/>
    <m/>
  </r>
  <r>
    <d v="2025-11-27T00:00:00"/>
    <x v="35"/>
    <n v="85000"/>
    <m/>
    <s v="rubine B, Navy"/>
    <s v="Bank"/>
    <m/>
  </r>
  <r>
    <d v="2025-11-28T00:00:00"/>
    <x v="1"/>
    <m/>
    <n v="5350"/>
    <s v="petrol"/>
    <s v="Bank"/>
    <m/>
  </r>
  <r>
    <d v="2025-11-28T00:00:00"/>
    <x v="11"/>
    <n v="5350"/>
    <m/>
    <s v="petrol"/>
    <s v="Bank"/>
    <m/>
  </r>
  <r>
    <d v="2025-11-28T00:00:00"/>
    <x v="8"/>
    <n v="9000"/>
    <m/>
    <s v="Baloch chakki"/>
    <s v="Bank"/>
    <m/>
  </r>
  <r>
    <d v="2025-11-28T00:00:00"/>
    <x v="1"/>
    <m/>
    <n v="5000"/>
    <s v="salary day exp"/>
    <s v="Bank"/>
    <m/>
  </r>
  <r>
    <d v="2025-11-28T00:00:00"/>
    <x v="7"/>
    <m/>
    <n v="50000"/>
    <s v="afzaal chakki baloch"/>
    <s v="Bank"/>
    <m/>
  </r>
  <r>
    <d v="2025-11-28T00:00:00"/>
    <x v="22"/>
    <m/>
    <n v="100000"/>
    <m/>
    <s v="Bank"/>
    <m/>
  </r>
  <r>
    <d v="2025-11-28T00:00:00"/>
    <x v="9"/>
    <m/>
    <n v="300000"/>
    <s v="advance"/>
    <s v="Bank"/>
    <m/>
  </r>
  <r>
    <d v="2025-11-28T00:00:00"/>
    <x v="9"/>
    <m/>
    <n v="200000"/>
    <s v="advance"/>
    <s v="Bank"/>
    <m/>
  </r>
  <r>
    <d v="2025-11-28T00:00:00"/>
    <x v="5"/>
    <n v="46100"/>
    <m/>
    <s v="CAR 6957"/>
    <s v="Bank"/>
    <m/>
  </r>
  <r>
    <d v="2025-11-28T00:00:00"/>
    <x v="22"/>
    <m/>
    <n v="100000"/>
    <m/>
    <s v="Bank"/>
    <m/>
  </r>
  <r>
    <d v="2025-11-28T00:00:00"/>
    <x v="22"/>
    <m/>
    <n v="47500"/>
    <m/>
    <s v="Bank"/>
    <m/>
  </r>
  <r>
    <d v="2025-11-28T00:00:00"/>
    <x v="7"/>
    <m/>
    <n v="25000"/>
    <m/>
    <s v="Bank"/>
    <m/>
  </r>
  <r>
    <d v="2025-11-28T00:00:00"/>
    <x v="6"/>
    <n v="25000"/>
    <m/>
    <s v="clips"/>
    <s v="Bank"/>
    <m/>
  </r>
  <r>
    <d v="2025-11-28T00:00:00"/>
    <x v="1"/>
    <n v="5000"/>
    <m/>
    <s v="account deposit"/>
    <s v="Bank"/>
    <m/>
  </r>
  <r>
    <d v="2025-11-27T00:00:00"/>
    <x v="1"/>
    <n v="1000"/>
    <m/>
    <m/>
    <s v="Bank"/>
    <m/>
  </r>
  <r>
    <d v="2025-11-28T00:00:00"/>
    <x v="25"/>
    <n v="500"/>
    <m/>
    <s v="310+155"/>
    <s v="Bank"/>
    <m/>
  </r>
  <r>
    <d v="2025-11-29T00:00:00"/>
    <x v="1"/>
    <m/>
    <n v="10310"/>
    <s v="Rashan"/>
    <s v="Bank"/>
    <m/>
  </r>
  <r>
    <d v="2025-11-29T00:00:00"/>
    <x v="10"/>
    <n v="10310"/>
    <m/>
    <s v="bill nill"/>
    <s v="Bank"/>
    <m/>
  </r>
  <r>
    <d v="2025-11-29T00:00:00"/>
    <x v="11"/>
    <n v="16100"/>
    <m/>
    <s v="petrol"/>
    <s v="Bank"/>
    <m/>
  </r>
  <r>
    <d v="2025-11-29T00:00:00"/>
    <x v="11"/>
    <n v="3000"/>
    <m/>
    <s v="petrol"/>
    <s v="Bank"/>
    <m/>
  </r>
  <r>
    <d v="2025-11-29T00:00:00"/>
    <x v="7"/>
    <m/>
    <n v="13500"/>
    <s v="petrol"/>
    <s v="Bank"/>
    <m/>
  </r>
  <r>
    <d v="2025-11-29T00:00:00"/>
    <x v="7"/>
    <m/>
    <n v="19000"/>
    <s v="imran electric"/>
    <s v="Bank"/>
    <m/>
  </r>
  <r>
    <d v="2025-11-29T00:00:00"/>
    <x v="13"/>
    <n v="20000"/>
    <m/>
    <s v="imran electric"/>
    <s v="Bank"/>
    <m/>
  </r>
  <r>
    <d v="2025-11-29T00:00:00"/>
    <x v="7"/>
    <m/>
    <n v="46000"/>
    <s v="Madina dyes"/>
    <s v="Bank"/>
    <m/>
  </r>
  <r>
    <d v="2025-11-29T00:00:00"/>
    <x v="14"/>
    <n v="46000"/>
    <m/>
    <s v="black x2"/>
    <s v="Bank"/>
    <m/>
  </r>
  <r>
    <d v="2025-11-29T00:00:00"/>
    <x v="22"/>
    <m/>
    <n v="260000"/>
    <m/>
    <s v="Bank"/>
    <m/>
  </r>
  <r>
    <d v="2025-11-29T00:00:00"/>
    <x v="5"/>
    <n v="200000"/>
    <m/>
    <s v="TID:080137"/>
    <s v="Bank"/>
    <m/>
  </r>
  <r>
    <d v="2025-11-29T00:00:00"/>
    <x v="22"/>
    <n v="50000"/>
    <m/>
    <s v="Badshah Fabrics"/>
    <s v="Bank"/>
    <m/>
  </r>
  <r>
    <d v="2025-11-29T00:00:00"/>
    <x v="18"/>
    <m/>
    <n v="50000"/>
    <m/>
    <s v="Bank"/>
    <m/>
  </r>
  <r>
    <d v="2025-11-29T00:00:00"/>
    <x v="34"/>
    <m/>
    <n v="200000"/>
    <m/>
    <s v="Bank"/>
    <m/>
  </r>
  <r>
    <d v="2025-11-29T00:00:00"/>
    <x v="5"/>
    <n v="200338"/>
    <m/>
    <s v="TID:944970"/>
    <s v="Bank"/>
    <m/>
  </r>
  <r>
    <d v="2025-11-29T00:00:00"/>
    <x v="7"/>
    <m/>
    <n v="10000"/>
    <s v="Advance Khalid Sahab"/>
    <s v="Bank"/>
    <m/>
  </r>
  <r>
    <d v="2025-11-29T00:00:00"/>
    <x v="13"/>
    <n v="10000"/>
    <m/>
    <s v="Khalid sahab"/>
    <s v="Bank"/>
    <m/>
  </r>
  <r>
    <d v="2025-11-29T00:00:00"/>
    <x v="8"/>
    <n v="1000"/>
    <m/>
    <s v="rajanpur chakki"/>
    <s v="Bank"/>
    <m/>
  </r>
  <r>
    <d v="2025-11-29T00:00:00"/>
    <x v="1"/>
    <m/>
    <n v="1000"/>
    <s v="petrol-16100"/>
    <s v="Bank"/>
    <m/>
  </r>
  <r>
    <d v="2025-11-29T00:00:00"/>
    <x v="1"/>
    <m/>
    <n v="1000"/>
    <s v="salary-imran"/>
    <s v="Bank"/>
    <m/>
  </r>
  <r>
    <d v="2025-11-29T00:00:00"/>
    <x v="7"/>
    <m/>
    <n v="11150"/>
    <s v="brush"/>
    <s v="Bank"/>
    <m/>
  </r>
  <r>
    <d v="2025-11-29T00:00:00"/>
    <x v="6"/>
    <n v="11150"/>
    <m/>
    <s v="brush"/>
    <s v="Bank"/>
    <m/>
  </r>
  <r>
    <d v="2025-11-29T00:00:00"/>
    <x v="7"/>
    <m/>
    <n v="52000"/>
    <s v="afzaal chakki"/>
    <s v="Bank"/>
    <m/>
  </r>
  <r>
    <d v="2025-11-29T00:00:00"/>
    <x v="36"/>
    <m/>
    <m/>
    <m/>
    <m/>
    <m/>
  </r>
  <r>
    <d v="2025-11-30T00:00:00"/>
    <x v="7"/>
    <m/>
    <n v="10000"/>
    <s v="Master Tanveer"/>
    <s v="Bank"/>
    <m/>
  </r>
  <r>
    <d v="2025-11-30T00:00:00"/>
    <x v="8"/>
    <m/>
    <m/>
    <s v="Master Tanveer"/>
    <s v="Bank"/>
    <m/>
  </r>
  <r>
    <d v="2025-11-30T00:00:00"/>
    <x v="2"/>
    <n v="3000"/>
    <m/>
    <s v="Qadeer sahab salary"/>
    <s v="Bank"/>
    <m/>
  </r>
  <r>
    <d v="2025-11-30T00:00:00"/>
    <x v="2"/>
    <n v="5000"/>
    <m/>
    <s v="shadi"/>
    <s v="Bank"/>
    <m/>
  </r>
  <r>
    <d v="2025-11-30T00:00:00"/>
    <x v="2"/>
    <n v="3520"/>
    <m/>
    <s v="food"/>
    <s v="Bank"/>
    <m/>
  </r>
  <r>
    <d v="2025-11-30T00:00:00"/>
    <x v="2"/>
    <n v="1000"/>
    <m/>
    <s v="Cash lekr gaye"/>
    <s v="Bank"/>
    <m/>
  </r>
  <r>
    <d v="2025-12-01T00:00:00"/>
    <x v="2"/>
    <n v="3000"/>
    <m/>
    <s v="ghar"/>
    <s v="Bank"/>
    <m/>
  </r>
  <r>
    <d v="2025-12-01T00:00:00"/>
    <x v="2"/>
    <n v="500"/>
    <m/>
    <s v="gari workshop"/>
    <s v="Bank"/>
    <m/>
  </r>
  <r>
    <d v="2025-12-01T00:00:00"/>
    <x v="10"/>
    <n v="20000"/>
    <m/>
    <s v="atta"/>
    <s v="Bank"/>
    <m/>
  </r>
  <r>
    <d v="2025-12-01T00:00:00"/>
    <x v="34"/>
    <m/>
    <n v="30000"/>
    <m/>
    <s v="Bank"/>
    <m/>
  </r>
  <r>
    <d v="2025-12-01T00:00:00"/>
    <x v="7"/>
    <m/>
    <n v="7750"/>
    <s v="parts"/>
    <s v="Bank"/>
    <m/>
  </r>
  <r>
    <d v="2025-12-01T00:00:00"/>
    <x v="14"/>
    <n v="52000"/>
    <m/>
    <s v="BP26 x4"/>
    <s v="Bank"/>
    <m/>
  </r>
  <r>
    <d v="2025-12-01T00:00:00"/>
    <x v="7"/>
    <m/>
    <n v="52000"/>
    <s v="Madina dyes"/>
    <s v="Bank"/>
    <m/>
  </r>
  <r>
    <d v="2025-12-01T00:00:00"/>
    <x v="6"/>
    <n v="7750"/>
    <m/>
    <s v="parts"/>
    <s v="Bank"/>
    <m/>
  </r>
  <r>
    <d v="2025-12-01T00:00:00"/>
    <x v="6"/>
    <n v="1900"/>
    <m/>
    <s v="parts"/>
    <s v="Bank"/>
    <m/>
  </r>
  <r>
    <d v="2025-12-01T00:00:00"/>
    <x v="7"/>
    <m/>
    <n v="1900"/>
    <s v="parts"/>
    <s v="Bank"/>
    <m/>
  </r>
  <r>
    <d v="2025-12-01T00:00:00"/>
    <x v="1"/>
    <n v="900"/>
    <m/>
    <s v="electric"/>
    <s v="Bank"/>
    <m/>
  </r>
  <r>
    <d v="2025-12-01T00:00:00"/>
    <x v="24"/>
    <m/>
    <n v="1000000"/>
    <s v="advance"/>
    <s v="Bank"/>
    <m/>
  </r>
  <r>
    <d v="2025-12-01T00:00:00"/>
    <x v="5"/>
    <n v="300204"/>
    <m/>
    <s v="TID:914464"/>
    <s v="Bank"/>
    <m/>
  </r>
  <r>
    <d v="2025-12-01T00:00:00"/>
    <x v="11"/>
    <n v="3000"/>
    <m/>
    <s v="petrol"/>
    <s v="Bank"/>
    <m/>
  </r>
  <r>
    <d v="2025-12-01T00:00:00"/>
    <x v="8"/>
    <m/>
    <m/>
    <s v="Master Tanveer"/>
    <s v="Bank"/>
    <m/>
  </r>
  <r>
    <d v="2025-12-01T00:00:00"/>
    <x v="34"/>
    <m/>
    <n v="7000"/>
    <s v="bill nill"/>
    <s v="Bank"/>
    <m/>
  </r>
  <r>
    <d v="2025-11-25T00:00:00"/>
    <x v="19"/>
    <m/>
    <n v="1000000"/>
    <s v="cheque meezan"/>
    <s v="Bank"/>
    <m/>
  </r>
  <r>
    <d v="2025-11-25T00:00:00"/>
    <x v="22"/>
    <n v="1000000"/>
    <m/>
    <s v="amjad sohail"/>
    <s v="Bank"/>
    <m/>
  </r>
  <r>
    <d v="2025-11-25T00:00:00"/>
    <x v="37"/>
    <m/>
    <n v="10040"/>
    <s v="bill nill"/>
    <s v="Bank"/>
    <m/>
  </r>
  <r>
    <d v="2025-11-25T00:00:00"/>
    <x v="22"/>
    <n v="10040"/>
    <m/>
    <s v="ubaidullah"/>
    <s v="Bank"/>
    <m/>
  </r>
  <r>
    <d v="2025-11-29T00:00:00"/>
    <x v="17"/>
    <m/>
    <n v="300000"/>
    <s v="cash"/>
    <s v="Bank"/>
    <m/>
  </r>
  <r>
    <d v="2025-11-29T00:00:00"/>
    <x v="17"/>
    <m/>
    <n v="90000"/>
    <s v="cheque meezan"/>
    <s v="Bank"/>
    <m/>
  </r>
  <r>
    <d v="2025-11-29T00:00:00"/>
    <x v="22"/>
    <n v="390000"/>
    <m/>
    <s v="Azam"/>
    <s v="Bank"/>
    <m/>
  </r>
  <r>
    <d v="2025-11-23T00:00:00"/>
    <x v="38"/>
    <m/>
    <n v="200000"/>
    <m/>
    <s v="Bank"/>
    <m/>
  </r>
  <r>
    <d v="2025-11-25T00:00:00"/>
    <x v="38"/>
    <m/>
    <n v="100000"/>
    <m/>
    <s v="Bank"/>
    <m/>
  </r>
  <r>
    <d v="2025-11-24T00:00:00"/>
    <x v="38"/>
    <m/>
    <n v="50000"/>
    <m/>
    <s v="Bank"/>
    <m/>
  </r>
  <r>
    <d v="2025-11-25T00:00:00"/>
    <x v="38"/>
    <m/>
    <n v="48325"/>
    <s v="bill nill"/>
    <s v="Bank"/>
    <m/>
  </r>
  <r>
    <d v="2025-11-25T00:00:00"/>
    <x v="22"/>
    <n v="398325"/>
    <m/>
    <s v="shahid Qasayi"/>
    <s v="Bank"/>
    <m/>
  </r>
  <r>
    <d v="2025-12-02T00:00:00"/>
    <x v="11"/>
    <n v="3000"/>
    <m/>
    <s v="petrol"/>
    <s v="Bank"/>
    <m/>
  </r>
  <r>
    <d v="2025-12-02T00:00:00"/>
    <x v="11"/>
    <n v="1000"/>
    <m/>
    <s v="toll"/>
    <s v="Bank"/>
    <m/>
  </r>
  <r>
    <d v="2025-12-02T00:00:00"/>
    <x v="14"/>
    <n v="242450"/>
    <m/>
    <s v="Dyes"/>
    <s v="Bank"/>
    <m/>
  </r>
  <r>
    <d v="2025-12-02T00:00:00"/>
    <x v="5"/>
    <n v="200200"/>
    <m/>
    <s v="TID:610976"/>
    <s v="Bank"/>
    <m/>
  </r>
  <r>
    <d v="2025-12-02T00:00:00"/>
    <x v="5"/>
    <n v="74400"/>
    <m/>
    <s v="TKL 364"/>
    <s v="Bank"/>
    <m/>
  </r>
  <r>
    <d v="2025-12-02T00:00:00"/>
    <x v="8"/>
    <m/>
    <m/>
    <s v="Ajmal chakki"/>
    <s v="Bank"/>
    <m/>
  </r>
  <r>
    <d v="2025-12-02T00:00:00"/>
    <x v="8"/>
    <m/>
    <m/>
    <s v="nasir"/>
    <s v="Bank"/>
    <m/>
  </r>
  <r>
    <d v="2025-12-02T00:00:00"/>
    <x v="8"/>
    <n v="6000"/>
    <m/>
    <s v="Baloch chakki"/>
    <s v="Bank"/>
    <m/>
  </r>
  <r>
    <d v="2025-12-02T00:00:00"/>
    <x v="8"/>
    <n v="45000"/>
    <m/>
    <s v="master arshad"/>
    <s v="Bank"/>
    <m/>
  </r>
  <r>
    <d v="2025-12-03T00:00:00"/>
    <x v="1"/>
    <n v="800"/>
    <m/>
    <m/>
    <s v="Bank"/>
    <m/>
  </r>
  <r>
    <d v="2025-12-03T00:00:00"/>
    <x v="11"/>
    <n v="2000"/>
    <m/>
    <s v="petrol"/>
    <s v="Bank"/>
    <m/>
  </r>
  <r>
    <d v="2025-12-03T00:00:00"/>
    <x v="11"/>
    <n v="11000"/>
    <m/>
    <s v="petrol"/>
    <s v="Bank"/>
    <m/>
  </r>
  <r>
    <d v="2025-12-03T00:00:00"/>
    <x v="13"/>
    <n v="50000"/>
    <m/>
    <s v="basharat"/>
    <s v="Bank"/>
    <m/>
  </r>
  <r>
    <d v="2025-12-03T00:00:00"/>
    <x v="13"/>
    <n v="45000"/>
    <m/>
    <s v="master arshad"/>
    <s v="Bank"/>
    <m/>
  </r>
  <r>
    <d v="2025-12-03T00:00:00"/>
    <x v="15"/>
    <m/>
    <n v="300000"/>
    <m/>
    <s v="Bank"/>
    <m/>
  </r>
  <r>
    <d v="2025-12-03T00:00:00"/>
    <x v="5"/>
    <n v="250768"/>
    <m/>
    <s v="TID:599001"/>
    <s v="Bank"/>
    <m/>
  </r>
  <r>
    <d v="2025-12-03T00:00:00"/>
    <x v="6"/>
    <n v="5000"/>
    <m/>
    <s v="clips"/>
    <s v="Bank"/>
    <m/>
  </r>
  <r>
    <d v="2025-12-03T00:00:00"/>
    <x v="39"/>
    <n v="50000"/>
    <m/>
    <s v="LES 8294"/>
    <s v="Bank"/>
    <m/>
  </r>
  <r>
    <d v="2025-12-03T00:00:00"/>
    <x v="2"/>
    <n v="1900"/>
    <m/>
    <s v="dhaga"/>
    <s v="Bank"/>
    <m/>
  </r>
  <r>
    <d v="2025-12-03T00:00:00"/>
    <x v="7"/>
    <m/>
    <n v="45000"/>
    <s v="master arshad advance"/>
    <s v="Bank"/>
    <m/>
  </r>
  <r>
    <d v="2025-12-04T00:00:00"/>
    <x v="2"/>
    <n v="2000"/>
    <m/>
    <s v="workshop"/>
    <s v="Bank"/>
    <m/>
  </r>
  <r>
    <d v="2025-12-04T00:00:00"/>
    <x v="11"/>
    <n v="3000"/>
    <m/>
    <s v="petrol"/>
    <s v="Bank"/>
    <m/>
  </r>
  <r>
    <d v="2025-12-04T00:00:00"/>
    <x v="6"/>
    <n v="14100"/>
    <m/>
    <s v="clips"/>
    <s v="Bank"/>
    <m/>
  </r>
  <r>
    <d v="2025-12-04T00:00:00"/>
    <x v="5"/>
    <n v="118000"/>
    <m/>
    <s v="freight"/>
    <s v="Bank"/>
    <m/>
  </r>
  <r>
    <d v="2025-12-04T00:00:00"/>
    <x v="5"/>
    <n v="300188"/>
    <m/>
    <s v="TID:860184"/>
    <s v="Bank"/>
    <m/>
  </r>
  <r>
    <d v="2025-12-04T00:00:00"/>
    <x v="22"/>
    <m/>
    <n v="300000"/>
    <s v="malik zaheer"/>
    <s v="Bank"/>
    <m/>
  </r>
  <r>
    <d v="2025-12-04T00:00:00"/>
    <x v="14"/>
    <n v="56000"/>
    <m/>
    <s v="rubine B, Navy"/>
    <s v="Bank"/>
    <m/>
  </r>
  <r>
    <d v="2025-12-04T00:00:00"/>
    <x v="22"/>
    <m/>
    <n v="110000"/>
    <s v="parts+dyes"/>
    <s v="Bank"/>
    <m/>
  </r>
  <r>
    <d v="2025-12-04T00:00:00"/>
    <x v="22"/>
    <m/>
    <n v="125000"/>
    <s v="malik zaheer freight"/>
    <s v="Bank"/>
    <m/>
  </r>
  <r>
    <d v="2025-12-04T00:00:00"/>
    <x v="13"/>
    <n v="5000"/>
    <m/>
    <s v="sajid operator"/>
    <s v="Bank"/>
    <m/>
  </r>
  <r>
    <d v="2025-12-04T00:00:00"/>
    <x v="13"/>
    <n v="1000"/>
    <m/>
    <s v="imtiaz"/>
    <s v="Bank"/>
    <m/>
  </r>
  <r>
    <d v="2025-12-04T00:00:00"/>
    <x v="6"/>
    <n v="57500"/>
    <m/>
    <s v="stenter"/>
    <s v="Bank"/>
    <m/>
  </r>
  <r>
    <d v="2025-12-04T00:00:00"/>
    <x v="6"/>
    <n v="3000"/>
    <m/>
    <s v="stenter"/>
    <s v="Bank"/>
    <m/>
  </r>
  <r>
    <d v="2025-12-04T00:00:00"/>
    <x v="40"/>
    <m/>
    <n v="424323"/>
    <s v="Balance Nill"/>
    <s v="Bank"/>
    <m/>
  </r>
  <r>
    <d v="2025-12-04T00:00:00"/>
    <x v="28"/>
    <n v="224000"/>
    <m/>
    <s v="Balance Nill"/>
    <s v="Bank"/>
    <m/>
  </r>
  <r>
    <d v="2025-12-04T00:00:00"/>
    <x v="39"/>
    <n v="170000"/>
    <m/>
    <m/>
    <s v="Bank"/>
    <m/>
  </r>
  <r>
    <d v="2025-12-04T00:00:00"/>
    <x v="8"/>
    <n v="2200"/>
    <m/>
    <s v="chakki"/>
    <s v="Bank"/>
    <m/>
  </r>
  <r>
    <d v="2025-12-04T00:00:00"/>
    <x v="1"/>
    <n v="550"/>
    <m/>
    <s v="wire"/>
    <s v="Bank"/>
    <m/>
  </r>
  <r>
    <d v="2025-12-04T00:00:00"/>
    <x v="1"/>
    <n v="800"/>
    <m/>
    <m/>
    <s v="Bank"/>
    <m/>
  </r>
  <r>
    <d v="2025-12-04T00:00:00"/>
    <x v="7"/>
    <m/>
    <n v="2400"/>
    <s v="bearings"/>
    <s v="Bank"/>
    <m/>
  </r>
  <r>
    <d v="2025-12-04T00:00:00"/>
    <x v="6"/>
    <n v="2400"/>
    <m/>
    <s v="bearings"/>
    <s v="Bank"/>
    <m/>
  </r>
  <r>
    <d v="2025-12-04T00:00:00"/>
    <x v="6"/>
    <n v="5500"/>
    <m/>
    <s v="stenter"/>
    <s v="Bank"/>
    <m/>
  </r>
  <r>
    <d v="2025-12-05T00:00:00"/>
    <x v="2"/>
    <n v="7000"/>
    <m/>
    <s v="ghar"/>
    <s v="Bank"/>
    <m/>
  </r>
  <r>
    <d v="2025-12-05T00:00:00"/>
    <x v="25"/>
    <n v="3000"/>
    <m/>
    <s v="jazz device "/>
    <s v="Bank"/>
    <m/>
  </r>
  <r>
    <d v="2025-12-05T00:00:00"/>
    <x v="8"/>
    <n v="2050"/>
    <m/>
    <s v="Baloch chakki"/>
    <s v="Bank"/>
    <m/>
  </r>
  <r>
    <d v="2025-12-05T00:00:00"/>
    <x v="13"/>
    <n v="20000"/>
    <m/>
    <s v="nasir stenter"/>
    <s v="Bank"/>
    <m/>
  </r>
  <r>
    <d v="2025-12-05T00:00:00"/>
    <x v="39"/>
    <n v="40450"/>
    <m/>
    <s v="freight"/>
    <s v="Bank"/>
    <m/>
  </r>
  <r>
    <d v="2025-12-05T00:00:00"/>
    <x v="10"/>
    <n v="9000"/>
    <m/>
    <s v="daig"/>
    <s v="Bank"/>
    <m/>
  </r>
  <r>
    <d v="2025-12-05T00:00:00"/>
    <x v="13"/>
    <n v="10000"/>
    <m/>
    <s v="naeem electric"/>
    <s v="Bank"/>
    <m/>
  </r>
  <r>
    <d v="2025-12-05T00:00:00"/>
    <x v="10"/>
    <n v="670"/>
    <m/>
    <m/>
    <s v="Bank"/>
    <m/>
  </r>
  <r>
    <d v="2025-12-05T00:00:00"/>
    <x v="8"/>
    <m/>
    <m/>
    <s v="bajwa"/>
    <s v="Bank"/>
    <m/>
  </r>
  <r>
    <d v="2025-12-05T00:00:00"/>
    <x v="38"/>
    <m/>
    <n v="155000"/>
    <m/>
    <s v="Bank"/>
    <m/>
  </r>
  <r>
    <d v="2025-12-05T00:00:00"/>
    <x v="7"/>
    <m/>
    <n v="7900"/>
    <s v="dhaga"/>
    <s v="Bank"/>
    <m/>
  </r>
  <r>
    <d v="2025-12-05T00:00:00"/>
    <x v="6"/>
    <n v="7900"/>
    <m/>
    <s v="dhaga"/>
    <s v="Bank"/>
    <m/>
  </r>
  <r>
    <d v="2025-12-06T00:00:00"/>
    <x v="1"/>
    <n v="1500"/>
    <m/>
    <m/>
    <s v="Bank"/>
    <m/>
  </r>
  <r>
    <d v="2025-12-06T00:00:00"/>
    <x v="1"/>
    <n v="200"/>
    <m/>
    <s v="mama package"/>
    <s v="Bank"/>
    <m/>
  </r>
  <r>
    <d v="2025-12-06T00:00:00"/>
    <x v="6"/>
    <n v="3400"/>
    <m/>
    <s v="bulbs"/>
    <s v="Bank"/>
    <m/>
  </r>
  <r>
    <d v="2025-12-06T00:00:00"/>
    <x v="6"/>
    <n v="1000"/>
    <m/>
    <m/>
    <s v="Bank"/>
    <m/>
  </r>
  <r>
    <d v="2025-12-06T00:00:00"/>
    <x v="39"/>
    <n v="128500"/>
    <m/>
    <m/>
    <s v="Bank"/>
    <m/>
  </r>
  <r>
    <d v="2025-12-06T00:00:00"/>
    <x v="5"/>
    <n v="200510"/>
    <m/>
    <s v="TID:314327"/>
    <s v="Bank"/>
    <m/>
  </r>
  <r>
    <d v="2025-12-06T00:00:00"/>
    <x v="8"/>
    <n v="9000"/>
    <m/>
    <s v="haseen old"/>
    <s v="Bank"/>
    <m/>
  </r>
  <r>
    <d v="2025-12-06T00:00:00"/>
    <x v="11"/>
    <n v="12500"/>
    <m/>
    <s v="petrol"/>
    <s v="Bank"/>
    <m/>
  </r>
  <r>
    <d v="2025-12-06T00:00:00"/>
    <x v="3"/>
    <n v="150000"/>
    <m/>
    <m/>
    <s v="Bank"/>
    <m/>
  </r>
  <r>
    <d v="2025-12-06T00:00:00"/>
    <x v="26"/>
    <n v="50000"/>
    <m/>
    <m/>
    <s v="Bank"/>
    <m/>
  </r>
  <r>
    <d v="2025-12-07T00:00:00"/>
    <x v="10"/>
    <n v="17110"/>
    <m/>
    <s v="Balance Nill"/>
    <s v="Bank"/>
    <m/>
  </r>
  <r>
    <d v="2025-12-07T00:00:00"/>
    <x v="13"/>
    <n v="80000"/>
    <m/>
    <s v="Master Tanveer"/>
    <s v="Bank"/>
    <m/>
  </r>
  <r>
    <d v="2025-12-06T00:00:00"/>
    <x v="13"/>
    <n v="20000"/>
    <m/>
    <s v="Master Tanveer"/>
    <s v="Bank"/>
    <m/>
  </r>
  <r>
    <d v="2025-12-07T00:00:00"/>
    <x v="13"/>
    <n v="20000"/>
    <m/>
    <s v="imran electric"/>
    <s v="Bank"/>
    <m/>
  </r>
  <r>
    <d v="2025-12-06T00:00:00"/>
    <x v="22"/>
    <m/>
    <n v="20000"/>
    <s v="Master Tanveer"/>
    <s v="Bank"/>
    <m/>
  </r>
  <r>
    <d v="2025-12-06T00:00:00"/>
    <x v="22"/>
    <m/>
    <n v="80000"/>
    <s v="Master Tanveer"/>
    <s v="Bank"/>
    <m/>
  </r>
  <r>
    <d v="2025-12-06T00:00:00"/>
    <x v="22"/>
    <m/>
    <n v="46000"/>
    <s v="Dyes"/>
    <s v="Bank"/>
    <m/>
  </r>
  <r>
    <d v="2025-12-06T00:00:00"/>
    <x v="14"/>
    <n v="46000"/>
    <m/>
    <s v="H3R, leac0"/>
    <s v="Bank"/>
    <m/>
  </r>
  <r>
    <d v="2025-12-06T00:00:00"/>
    <x v="30"/>
    <m/>
    <n v="24560"/>
    <m/>
    <s v="Bank"/>
    <m/>
  </r>
  <r>
    <d v="2025-12-06T00:00:00"/>
    <x v="29"/>
    <m/>
    <n v="150000"/>
    <m/>
    <s v="Bank"/>
    <m/>
  </r>
  <r>
    <d v="2025-12-06T00:00:00"/>
    <x v="29"/>
    <m/>
    <n v="150000"/>
    <s v="against cash"/>
    <s v="Bank"/>
    <m/>
  </r>
  <r>
    <d v="2025-12-06T00:00:00"/>
    <x v="17"/>
    <m/>
    <n v="200000"/>
    <m/>
    <s v="Bank"/>
    <m/>
  </r>
  <r>
    <d v="2025-12-06T00:00:00"/>
    <x v="22"/>
    <m/>
    <n v="9000"/>
    <m/>
    <s v="Bank"/>
    <m/>
  </r>
  <r>
    <d v="2025-12-06T00:00:00"/>
    <x v="22"/>
    <m/>
    <n v="100000"/>
    <m/>
    <s v="Bank"/>
    <m/>
  </r>
  <r>
    <d v="2025-12-06T00:00:00"/>
    <x v="22"/>
    <m/>
    <n v="30000"/>
    <s v="Parts"/>
    <s v="Bank"/>
    <m/>
  </r>
  <r>
    <d v="2025-12-06T00:00:00"/>
    <x v="6"/>
    <n v="30000"/>
    <m/>
    <s v="chain parts"/>
    <s v="Bank"/>
    <m/>
  </r>
  <r>
    <d v="2025-12-06T00:00:00"/>
    <x v="10"/>
    <n v="2000"/>
    <m/>
    <s v="daig"/>
    <s v="Bank"/>
    <m/>
  </r>
  <r>
    <d v="2025-12-06T00:00:00"/>
    <x v="25"/>
    <n v="500"/>
    <m/>
    <s v="markers"/>
    <s v="Bank"/>
    <m/>
  </r>
  <r>
    <d v="2025-12-06T00:00:00"/>
    <x v="41"/>
    <n v="100000"/>
    <m/>
    <s v="cash"/>
    <s v="Bank"/>
    <m/>
  </r>
  <r>
    <d v="2025-12-06T00:00:00"/>
    <x v="11"/>
    <n v="4000"/>
    <m/>
    <s v="petrol"/>
    <s v="Bank"/>
    <m/>
  </r>
  <r>
    <d v="2025-12-08T00:00:00"/>
    <x v="38"/>
    <m/>
    <n v="150000"/>
    <m/>
    <s v="Bank"/>
    <m/>
  </r>
  <r>
    <d v="2025-12-08T00:00:00"/>
    <x v="22"/>
    <m/>
    <n v="126500"/>
    <s v="cash"/>
    <s v="Bank"/>
    <m/>
  </r>
  <r>
    <d v="2025-12-08T00:00:00"/>
    <x v="41"/>
    <n v="120000"/>
    <m/>
    <s v="cash"/>
    <s v="Bank"/>
    <m/>
  </r>
  <r>
    <d v="2025-12-08T00:00:00"/>
    <x v="2"/>
    <n v="7200"/>
    <m/>
    <s v="mazdoor"/>
    <s v="Bank"/>
    <m/>
  </r>
  <r>
    <d v="2025-12-08T00:00:00"/>
    <x v="8"/>
    <n v="17600"/>
    <m/>
    <s v="dipalpur chakki"/>
    <s v="Bank"/>
    <m/>
  </r>
  <r>
    <d v="2025-12-08T00:00:00"/>
    <x v="13"/>
    <n v="120000"/>
    <m/>
    <s v="Master Akbar"/>
    <s v="Bank"/>
    <m/>
  </r>
  <r>
    <d v="2025-12-08T00:00:00"/>
    <x v="33"/>
    <n v="10000"/>
    <m/>
    <s v="master Abid"/>
    <s v="Bank"/>
    <m/>
  </r>
  <r>
    <d v="2025-12-08T00:00:00"/>
    <x v="8"/>
    <n v="50000"/>
    <m/>
    <s v="Khalid sahab"/>
    <s v="Bank"/>
    <m/>
  </r>
  <r>
    <d v="2025-12-08T00:00:00"/>
    <x v="11"/>
    <n v="5310"/>
    <m/>
    <s v="petrol"/>
    <s v="Bank"/>
    <m/>
  </r>
  <r>
    <d v="2025-12-08T00:00:00"/>
    <x v="11"/>
    <n v="500"/>
    <m/>
    <s v="toll"/>
    <s v="Bank"/>
    <m/>
  </r>
  <r>
    <d v="2025-12-08T00:00:00"/>
    <x v="22"/>
    <m/>
    <n v="50000"/>
    <s v="Khalid sahab"/>
    <s v="Bank"/>
    <m/>
  </r>
  <r>
    <d v="2025-12-08T00:00:00"/>
    <x v="10"/>
    <n v="400"/>
    <m/>
    <s v="daig pakkai"/>
    <s v="Bank"/>
    <m/>
  </r>
  <r>
    <d v="2025-12-08T00:00:00"/>
    <x v="42"/>
    <m/>
    <n v="100000"/>
    <s v="Cash"/>
    <s v="Bank"/>
    <m/>
  </r>
  <r>
    <d v="2025-12-09T00:00:00"/>
    <x v="41"/>
    <n v="70000"/>
    <m/>
    <s v="cash"/>
    <s v="Bank"/>
    <m/>
  </r>
  <r>
    <d v="2025-12-09T00:00:00"/>
    <x v="2"/>
    <n v="13600"/>
    <m/>
    <s v="mazdoor"/>
    <s v="Bank"/>
    <m/>
  </r>
  <r>
    <d v="2025-12-09T00:00:00"/>
    <x v="11"/>
    <n v="10500"/>
    <m/>
    <s v="petrol"/>
    <s v="Bank"/>
    <m/>
  </r>
  <r>
    <d v="2025-12-09T00:00:00"/>
    <x v="10"/>
    <n v="20000"/>
    <m/>
    <s v="atta"/>
    <s v="Bank"/>
    <m/>
  </r>
  <r>
    <d v="2025-12-09T00:00:00"/>
    <x v="38"/>
    <m/>
    <n v="250000"/>
    <m/>
    <s v="Bank"/>
    <m/>
  </r>
  <r>
    <d v="2025-12-09T00:00:00"/>
    <x v="5"/>
    <n v="200050"/>
    <m/>
    <s v="TID:457544"/>
    <s v="Bank"/>
    <m/>
  </r>
  <r>
    <d v="2025-12-09T00:00:00"/>
    <x v="17"/>
    <m/>
    <n v="200000"/>
    <s v="bank deposit"/>
    <s v="Bank"/>
    <m/>
  </r>
  <r>
    <d v="2025-12-09T00:00:00"/>
    <x v="17"/>
    <m/>
    <n v="100000"/>
    <s v="cash"/>
    <s v="Bank"/>
    <m/>
  </r>
  <r>
    <d v="2025-12-09T00:00:00"/>
    <x v="36"/>
    <m/>
    <m/>
    <m/>
    <s v="Bank"/>
    <m/>
  </r>
  <r>
    <d v="2025-12-09T00:00:00"/>
    <x v="17"/>
    <m/>
    <n v="100000"/>
    <s v="arshad atari"/>
    <s v="Bank"/>
    <m/>
  </r>
  <r>
    <d v="2025-12-09T00:00:00"/>
    <x v="6"/>
    <n v="1300"/>
    <m/>
    <s v="silai machine"/>
    <s v="Bank"/>
    <m/>
  </r>
  <r>
    <d v="2025-12-09T00:00:00"/>
    <x v="31"/>
    <n v="100000"/>
    <m/>
    <s v="UBL"/>
    <s v="Bank"/>
    <m/>
  </r>
  <r>
    <d v="2025-12-09T00:00:00"/>
    <x v="39"/>
    <n v="100000"/>
    <m/>
    <s v="meezan"/>
    <s v="Bank"/>
    <m/>
  </r>
  <r>
    <d v="2025-12-09T00:00:00"/>
    <x v="6"/>
    <n v="600"/>
    <m/>
    <s v="gloves etc"/>
    <s v="Bank"/>
    <m/>
  </r>
  <r>
    <d v="2025-12-09T00:00:00"/>
    <x v="13"/>
    <n v="45000"/>
    <m/>
    <s v="Khalid sahab"/>
    <s v="Bank"/>
    <m/>
  </r>
  <r>
    <d v="2025-12-09T00:00:00"/>
    <x v="13"/>
    <n v="5000"/>
    <m/>
    <s v="Khalid sahab"/>
    <s v="Cash"/>
    <m/>
  </r>
  <r>
    <d v="2025-12-09T00:00:00"/>
    <x v="25"/>
    <n v="1800"/>
    <m/>
    <s v="stamps"/>
    <s v="Bank"/>
    <m/>
  </r>
  <r>
    <d v="2025-12-09T00:00:00"/>
    <x v="13"/>
    <n v="5000"/>
    <m/>
    <s v="Ghulam Abbas"/>
    <s v="Bank"/>
    <m/>
  </r>
  <r>
    <d v="2025-12-09T00:00:00"/>
    <x v="43"/>
    <n v="2000"/>
    <m/>
    <s v="Ashraf Boiler"/>
    <s v="Bank"/>
    <m/>
  </r>
  <r>
    <d v="2025-12-09T00:00:00"/>
    <x v="14"/>
    <n v="32000"/>
    <m/>
    <s v="4G"/>
    <s v="Bank"/>
    <m/>
  </r>
  <r>
    <d v="2025-12-09T00:00:00"/>
    <x v="22"/>
    <m/>
    <n v="32000"/>
    <s v="Madina dyes"/>
    <s v="Bank"/>
    <m/>
  </r>
  <r>
    <d v="2025-12-09T00:00:00"/>
    <x v="7"/>
    <m/>
    <n v="6000"/>
    <s v="nasir opt salary"/>
    <s v="Bank"/>
    <m/>
  </r>
  <r>
    <d v="2025-12-09T00:00:00"/>
    <x v="13"/>
    <n v="6000"/>
    <m/>
    <s v="nasir opt salary"/>
    <s v="Bank"/>
    <m/>
  </r>
  <r>
    <d v="2025-12-09T00:00:00"/>
    <x v="33"/>
    <m/>
    <n v="16200"/>
    <s v="arshad atari"/>
    <s v="Bank"/>
    <m/>
  </r>
  <r>
    <d v="2025-12-10T00:00:00"/>
    <x v="41"/>
    <n v="102000"/>
    <m/>
    <m/>
    <s v="Bank"/>
    <m/>
  </r>
  <r>
    <d v="2025-12-10T00:00:00"/>
    <x v="2"/>
    <n v="13600"/>
    <m/>
    <s v="mazdoor"/>
    <s v="Bank"/>
    <m/>
  </r>
  <r>
    <d v="2025-12-10T00:00:00"/>
    <x v="2"/>
    <n v="5000"/>
    <m/>
    <s v="ahmad exp"/>
    <s v="Bank"/>
    <m/>
  </r>
  <r>
    <d v="2025-12-10T00:00:00"/>
    <x v="2"/>
    <n v="250"/>
    <m/>
    <m/>
    <m/>
    <m/>
  </r>
  <r>
    <d v="2025-12-10T00:00:00"/>
    <x v="38"/>
    <m/>
    <n v="150000"/>
    <s v="shahid Qasayi"/>
    <s v="Bank"/>
    <m/>
  </r>
  <r>
    <d v="2025-12-10T00:00:00"/>
    <x v="39"/>
    <n v="125000"/>
    <m/>
    <s v="wood"/>
    <s v="Bank"/>
    <m/>
  </r>
  <r>
    <d v="2025-12-10T00:00:00"/>
    <x v="22"/>
    <m/>
    <n v="24500"/>
    <s v="khubaib"/>
    <s v="Bank"/>
    <m/>
  </r>
  <r>
    <d v="2025-12-10T00:00:00"/>
    <x v="17"/>
    <m/>
    <n v="150000"/>
    <s v="cash"/>
    <s v="Bank"/>
    <m/>
  </r>
  <r>
    <d v="2025-12-10T00:00:00"/>
    <x v="13"/>
    <n v="5000"/>
    <m/>
    <s v="omer pankhaman"/>
    <s v="Bank"/>
    <m/>
  </r>
  <r>
    <d v="2025-12-11T00:00:00"/>
    <x v="13"/>
    <n v="5000"/>
    <m/>
    <s v="naeem electric"/>
    <s v="Bank"/>
    <m/>
  </r>
  <r>
    <d v="2025-12-11T00:00:00"/>
    <x v="13"/>
    <n v="2000"/>
    <m/>
    <s v="Qadeer driver"/>
    <s v="Bank"/>
    <m/>
  </r>
  <r>
    <d v="2025-12-11T00:00:00"/>
    <x v="2"/>
    <n v="12200"/>
    <m/>
    <s v="mazdoor"/>
    <s v="Bank"/>
    <m/>
  </r>
  <r>
    <d v="2025-12-11T00:00:00"/>
    <x v="22"/>
    <m/>
    <n v="20500"/>
    <m/>
    <s v="Bank"/>
    <m/>
  </r>
  <r>
    <d v="2025-12-11T00:00:00"/>
    <x v="22"/>
    <m/>
    <n v="134750"/>
    <s v="Madina dyes"/>
    <s v="Bank"/>
    <m/>
  </r>
  <r>
    <d v="2025-12-11T00:00:00"/>
    <x v="22"/>
    <m/>
    <n v="2560"/>
    <s v="Part"/>
    <s v="Bank"/>
    <m/>
  </r>
  <r>
    <d v="2025-12-11T00:00:00"/>
    <x v="22"/>
    <m/>
    <n v="9000"/>
    <s v="seal"/>
    <s v="Bank"/>
    <m/>
  </r>
  <r>
    <d v="2025-12-11T00:00:00"/>
    <x v="22"/>
    <m/>
    <n v="150000"/>
    <m/>
    <s v="Bank"/>
    <m/>
  </r>
  <r>
    <d v="2025-12-11T00:00:00"/>
    <x v="3"/>
    <n v="150500"/>
    <m/>
    <m/>
    <s v="Bank"/>
    <m/>
  </r>
  <r>
    <d v="2025-12-11T00:00:00"/>
    <x v="14"/>
    <n v="134750"/>
    <m/>
    <s v="DYES"/>
    <s v="Bank"/>
    <m/>
  </r>
  <r>
    <d v="2025-12-11T00:00:00"/>
    <x v="11"/>
    <n v="7180"/>
    <m/>
    <s v="petrol+oil"/>
    <s v="Bank"/>
    <m/>
  </r>
  <r>
    <d v="2025-12-11T00:00:00"/>
    <x v="2"/>
    <n v="4500"/>
    <m/>
    <s v="optix"/>
    <s v="Bank"/>
    <m/>
  </r>
  <r>
    <d v="2025-12-11T00:00:00"/>
    <x v="33"/>
    <n v="25000"/>
    <m/>
    <s v="master abid"/>
    <s v="Bank"/>
    <m/>
  </r>
  <r>
    <d v="2025-12-11T00:00:00"/>
    <x v="33"/>
    <n v="1000"/>
    <m/>
    <s v="master abid"/>
    <s v="Bank"/>
    <m/>
  </r>
  <r>
    <d v="2025-12-11T00:00:00"/>
    <x v="22"/>
    <n v="150000"/>
    <m/>
    <s v="azam (150)"/>
    <s v="Bank"/>
    <m/>
  </r>
  <r>
    <d v="2025-12-11T00:00:00"/>
    <x v="6"/>
    <n v="2560"/>
    <m/>
    <m/>
    <s v="Bank"/>
    <m/>
  </r>
  <r>
    <d v="2025-12-11T00:00:00"/>
    <x v="6"/>
    <n v="9000"/>
    <m/>
    <m/>
    <s v="Bank"/>
    <m/>
  </r>
  <r>
    <d v="2025-12-11T00:00:00"/>
    <x v="11"/>
    <n v="1000"/>
    <m/>
    <s v="petrol"/>
    <s v="Bank"/>
    <m/>
  </r>
  <r>
    <d v="2025-12-11T00:00:00"/>
    <x v="6"/>
    <n v="6594"/>
    <m/>
    <s v="copper"/>
    <s v="Bank"/>
    <m/>
  </r>
  <r>
    <d v="2025-12-11T00:00:00"/>
    <x v="6"/>
    <n v="4790"/>
    <m/>
    <s v="electric"/>
    <s v="Bank"/>
    <m/>
  </r>
  <r>
    <d v="2025-12-11T00:00:00"/>
    <x v="13"/>
    <n v="5000"/>
    <m/>
    <s v="imtiaz"/>
    <s v="Bank"/>
    <m/>
  </r>
  <r>
    <d v="2025-12-11T00:00:00"/>
    <x v="22"/>
    <m/>
    <n v="69000"/>
    <s v="irfan punjabi"/>
    <s v="Bank"/>
    <m/>
  </r>
  <r>
    <d v="2025-12-11T00:00:00"/>
    <x v="39"/>
    <n v="90000"/>
    <m/>
    <s v="wood"/>
    <s v="Bank"/>
    <m/>
  </r>
  <r>
    <d v="2025-12-11T00:00:00"/>
    <x v="1"/>
    <n v="1400"/>
    <m/>
    <m/>
    <m/>
    <m/>
  </r>
  <r>
    <m/>
    <x v="36"/>
    <m/>
    <m/>
    <m/>
    <m/>
    <m/>
  </r>
  <r>
    <d v="2025-12-12T00:00:00"/>
    <x v="1"/>
    <m/>
    <n v="1000"/>
    <m/>
    <s v="Bank"/>
    <m/>
  </r>
  <r>
    <d v="2025-12-12T00:00:00"/>
    <x v="25"/>
    <n v="15000"/>
    <m/>
    <s v="environment"/>
    <s v="Bank"/>
    <m/>
  </r>
  <r>
    <d v="2025-12-12T00:00:00"/>
    <x v="39"/>
    <n v="190000"/>
    <m/>
    <m/>
    <s v="Bank"/>
    <m/>
  </r>
  <r>
    <d v="2025-12-12T00:00:00"/>
    <x v="11"/>
    <m/>
    <n v="12700"/>
    <s v="kora karaya"/>
    <s v="Bank"/>
    <m/>
  </r>
  <r>
    <d v="2025-12-12T00:00:00"/>
    <x v="22"/>
    <m/>
    <n v="120000"/>
    <m/>
    <s v="Bank"/>
    <m/>
  </r>
  <r>
    <d v="2025-12-12T00:00:00"/>
    <x v="14"/>
    <n v="55250"/>
    <m/>
    <s v="dyes"/>
    <s v="Bank"/>
    <m/>
  </r>
  <r>
    <d v="2025-12-12T00:00:00"/>
    <x v="22"/>
    <m/>
    <n v="55250"/>
    <s v="Madina dyes"/>
    <s v="Bank"/>
    <m/>
  </r>
  <r>
    <d v="2025-12-12T00:00:00"/>
    <x v="14"/>
    <n v="11250"/>
    <m/>
    <s v="anti foam"/>
    <s v="Bank"/>
    <m/>
  </r>
  <r>
    <d v="2025-12-12T00:00:00"/>
    <x v="22"/>
    <m/>
    <n v="11250"/>
    <s v="anti foam"/>
    <s v="Bank"/>
    <m/>
  </r>
  <r>
    <d v="2025-12-12T00:00:00"/>
    <x v="34"/>
    <m/>
    <n v="100000"/>
    <m/>
    <s v="Bank"/>
    <m/>
  </r>
  <r>
    <d v="2025-12-12T00:00:00"/>
    <x v="9"/>
    <m/>
    <n v="100000"/>
    <m/>
    <s v="Bank"/>
    <m/>
  </r>
  <r>
    <d v="2025-12-12T00:00:00"/>
    <x v="8"/>
    <n v="80000"/>
    <m/>
    <s v="Master Akbar"/>
    <s v="Bank"/>
    <m/>
  </r>
  <r>
    <d v="2025-12-12T00:00:00"/>
    <x v="8"/>
    <n v="50000"/>
    <m/>
    <s v="waqas"/>
    <s v="Bank"/>
    <m/>
  </r>
  <r>
    <d v="2025-12-13T00:00:00"/>
    <x v="29"/>
    <m/>
    <n v="61500"/>
    <s v="meezan"/>
    <s v="Bank"/>
    <m/>
  </r>
  <r>
    <d v="2025-12-13T00:00:00"/>
    <x v="29"/>
    <m/>
    <n v="38500"/>
    <s v="cash"/>
    <s v="Bank"/>
    <m/>
  </r>
  <r>
    <d v="2025-12-13T00:00:00"/>
    <x v="13"/>
    <n v="20000"/>
    <m/>
    <s v="Ghulam Abbas"/>
    <s v="Bank"/>
    <m/>
  </r>
  <r>
    <d v="2025-12-13T00:00:00"/>
    <x v="22"/>
    <m/>
    <n v="20000"/>
    <s v="Ghulam Abbas"/>
    <s v="Bank"/>
    <m/>
  </r>
  <r>
    <d v="2025-12-13T00:00:00"/>
    <x v="22"/>
    <n v="100000"/>
    <m/>
    <s v="Hafiz qureshi 100k"/>
    <s v="Bank"/>
    <m/>
  </r>
  <r>
    <d v="2025-12-12T00:00:00"/>
    <x v="13"/>
    <n v="1000"/>
    <m/>
    <s v="rajistan"/>
    <s v="Bank"/>
    <m/>
  </r>
  <r>
    <d v="2025-12-12T00:00:00"/>
    <x v="13"/>
    <n v="500"/>
    <m/>
    <s v="sajad helper"/>
    <s v="Bank"/>
    <m/>
  </r>
  <r>
    <d v="2025-12-13T00:00:00"/>
    <x v="42"/>
    <m/>
    <n v="100000"/>
    <s v="credit (100k)"/>
    <s v="Bank"/>
    <m/>
  </r>
  <r>
    <d v="2025-12-14T00:00:00"/>
    <x v="6"/>
    <n v="15000"/>
    <m/>
    <s v="clips"/>
    <s v="Bank"/>
    <m/>
  </r>
  <r>
    <d v="2025-12-14T00:00:00"/>
    <x v="25"/>
    <n v="2970"/>
    <m/>
    <s v="medicine-k"/>
    <s v="Bank"/>
    <m/>
  </r>
  <r>
    <d v="2025-12-14T00:00:00"/>
    <x v="6"/>
    <n v="300"/>
    <m/>
    <s v="wd40"/>
    <s v="Bank"/>
    <m/>
  </r>
  <r>
    <d v="2025-12-14T00:00:00"/>
    <x v="11"/>
    <n v="3000"/>
    <m/>
    <s v="workshop"/>
    <s v="Bank"/>
    <m/>
  </r>
  <r>
    <d v="2025-12-14T00:00:00"/>
    <x v="11"/>
    <n v="6000"/>
    <m/>
    <s v="workshop"/>
    <s v="Bank"/>
    <m/>
  </r>
  <r>
    <d v="2025-12-14T00:00:00"/>
    <x v="11"/>
    <n v="800"/>
    <m/>
    <s v="workshop"/>
    <s v="Bank"/>
    <m/>
  </r>
  <r>
    <d v="2025-12-14T00:00:00"/>
    <x v="11"/>
    <n v="7740"/>
    <m/>
    <s v="workshop"/>
    <s v="Bank"/>
    <m/>
  </r>
  <r>
    <d v="2025-12-14T00:00:00"/>
    <x v="41"/>
    <n v="40000"/>
    <m/>
    <s v="Jazzcash"/>
    <s v="Bank"/>
    <m/>
  </r>
  <r>
    <d v="2025-12-14T00:00:00"/>
    <x v="2"/>
    <n v="4308"/>
    <m/>
    <s v="zoro"/>
    <s v="Bank"/>
    <m/>
  </r>
  <r>
    <d v="2025-12-12T00:00:00"/>
    <x v="25"/>
    <n v="1578"/>
    <m/>
    <s v="medicine-k"/>
    <s v="Bank"/>
    <m/>
  </r>
  <r>
    <d v="2025-12-15T00:00:00"/>
    <x v="33"/>
    <n v="10000"/>
    <m/>
    <s v="baba hamid"/>
    <s v="Bank"/>
    <m/>
  </r>
  <r>
    <d v="2025-12-15T00:00:00"/>
    <x v="13"/>
    <n v="5000"/>
    <m/>
    <s v="imran electric"/>
    <s v="Bank"/>
    <m/>
  </r>
  <r>
    <d v="2025-12-15T00:00:00"/>
    <x v="2"/>
    <n v="8600"/>
    <m/>
    <s v="mazdoor"/>
    <s v="Bank"/>
    <m/>
  </r>
  <r>
    <d v="2025-12-15T00:00:00"/>
    <x v="8"/>
    <n v="24000"/>
    <m/>
    <s v="Master Tanveer"/>
    <s v="Bank"/>
    <m/>
  </r>
  <r>
    <d v="2025-12-15T00:00:00"/>
    <x v="8"/>
    <n v="25000"/>
    <m/>
    <s v="Master Tanveer"/>
    <s v="Bank"/>
    <m/>
  </r>
  <r>
    <d v="2025-12-15T00:00:00"/>
    <x v="22"/>
    <m/>
    <n v="25000"/>
    <s v="Master Tanveer"/>
    <s v="Bank"/>
    <m/>
  </r>
  <r>
    <d v="2025-12-15T00:00:00"/>
    <x v="22"/>
    <m/>
    <n v="5000"/>
    <s v="waqas driver"/>
    <s v="Bank"/>
    <m/>
  </r>
  <r>
    <d v="2025-12-15T00:00:00"/>
    <x v="8"/>
    <n v="5000"/>
    <m/>
    <s v="waqas driver"/>
    <s v="Bank"/>
    <m/>
  </r>
  <r>
    <d v="2025-12-15T00:00:00"/>
    <x v="38"/>
    <m/>
    <n v="215000"/>
    <s v="cash/BSC"/>
    <s v="Bank"/>
    <m/>
  </r>
  <r>
    <d v="2025-12-15T00:00:00"/>
    <x v="8"/>
    <n v="15000"/>
    <m/>
    <s v="haseen"/>
    <s v="Bank"/>
    <m/>
  </r>
  <r>
    <d v="2025-12-15T00:00:00"/>
    <x v="22"/>
    <n v="200000"/>
    <m/>
    <s v="shahid Qasayi"/>
    <s v="Bank"/>
    <m/>
  </r>
  <r>
    <d v="2025-12-15T00:00:00"/>
    <x v="22"/>
    <m/>
    <n v="145232"/>
    <s v="kora sale"/>
    <s v="Bank"/>
    <m/>
  </r>
  <r>
    <d v="2025-12-15T00:00:00"/>
    <x v="6"/>
    <n v="50000"/>
    <m/>
    <s v="generator"/>
    <s v="Bank"/>
    <m/>
  </r>
  <r>
    <d v="2025-12-15T00:00:00"/>
    <x v="22"/>
    <m/>
    <n v="600000"/>
    <s v="salary"/>
    <s v="Bank"/>
    <m/>
  </r>
  <r>
    <d v="2025-12-15T00:00:00"/>
    <x v="25"/>
    <n v="2000"/>
    <m/>
    <s v="cctv"/>
    <s v="Bank"/>
    <m/>
  </r>
  <r>
    <d v="2025-12-15T00:00:00"/>
    <x v="13"/>
    <n v="1000"/>
    <m/>
    <s v="nasir/ shehzad"/>
    <s v="Bank"/>
    <m/>
  </r>
  <r>
    <d v="2025-12-15T00:00:00"/>
    <x v="34"/>
    <m/>
    <n v="150000"/>
    <s v="meezan"/>
    <s v="Bank"/>
    <m/>
  </r>
  <r>
    <d v="2025-12-15T00:00:00"/>
    <x v="9"/>
    <m/>
    <n v="200000"/>
    <s v="cash"/>
    <s v="Bank"/>
    <m/>
  </r>
  <r>
    <d v="2025-12-15T00:00:00"/>
    <x v="39"/>
    <n v="150000"/>
    <m/>
    <m/>
    <s v="Bank"/>
    <m/>
  </r>
  <r>
    <d v="2025-12-15T00:00:00"/>
    <x v="22"/>
    <m/>
    <n v="100000"/>
    <s v="kaleemullah"/>
    <s v="Bank"/>
    <m/>
  </r>
  <r>
    <d v="2025-12-15T00:00:00"/>
    <x v="3"/>
    <n v="100000"/>
    <m/>
    <m/>
    <s v="Bank"/>
    <m/>
  </r>
  <r>
    <d v="2025-12-15T00:00:00"/>
    <x v="22"/>
    <n v="200000"/>
    <m/>
    <s v="arshad silk 200k"/>
    <s v="Bank"/>
    <m/>
  </r>
  <r>
    <d v="2025-12-15T00:00:00"/>
    <x v="8"/>
    <n v="642600"/>
    <m/>
    <s v="general"/>
    <s v="Bank"/>
    <m/>
  </r>
  <r>
    <d v="2025-12-15T00:00:00"/>
    <x v="1"/>
    <n v="3400"/>
    <m/>
    <s v="glasses"/>
    <s v="Bank"/>
    <m/>
  </r>
  <r>
    <d v="2025-12-15T00:00:00"/>
    <x v="11"/>
    <n v="3000"/>
    <m/>
    <s v="petrol"/>
    <s v="Bank"/>
    <m/>
  </r>
  <r>
    <d v="2025-12-15T00:00:00"/>
    <x v="11"/>
    <n v="11000"/>
    <m/>
    <s v="petrol"/>
    <s v="Bank"/>
    <m/>
  </r>
  <r>
    <d v="2025-12-15T00:00:00"/>
    <x v="11"/>
    <n v="2000"/>
    <m/>
    <s v="mtag"/>
    <s v="Bank"/>
    <m/>
  </r>
  <r>
    <d v="2025-12-16T00:00:00"/>
    <x v="27"/>
    <m/>
    <n v="500000"/>
    <s v="cheque (10155993)"/>
    <s v="Bank"/>
    <m/>
  </r>
  <r>
    <d v="2025-12-16T00:00:00"/>
    <x v="33"/>
    <n v="2000"/>
    <m/>
    <s v="master abid"/>
    <s v="Bank"/>
    <m/>
  </r>
  <r>
    <d v="2025-12-16T00:00:00"/>
    <x v="25"/>
    <n v="1000"/>
    <m/>
    <s v="motorway rishwat"/>
    <s v="Bank"/>
    <m/>
  </r>
  <r>
    <d v="2025-12-16T00:00:00"/>
    <x v="25"/>
    <n v="180"/>
    <m/>
    <s v="everyday"/>
    <s v="Bank"/>
    <m/>
  </r>
  <r>
    <d v="2025-12-16T00:00:00"/>
    <x v="2"/>
    <n v="3600"/>
    <m/>
    <s v="mazdoor"/>
    <s v="Bank"/>
    <m/>
  </r>
  <r>
    <d v="2025-12-16T00:00:00"/>
    <x v="14"/>
    <n v="76300"/>
    <m/>
    <s v="black, rubine, BP26"/>
    <s v="Bank"/>
    <m/>
  </r>
  <r>
    <d v="2025-12-16T00:00:00"/>
    <x v="23"/>
    <n v="34375"/>
    <m/>
    <s v="Blue SE2R"/>
    <s v="Bank"/>
    <m/>
  </r>
  <r>
    <d v="2025-12-16T00:00:00"/>
    <x v="5"/>
    <n v="10000"/>
    <m/>
    <s v="unloading"/>
    <s v="Bank"/>
    <m/>
  </r>
  <r>
    <d v="2025-12-16T00:00:00"/>
    <x v="31"/>
    <n v="1000"/>
    <m/>
    <s v="unloading"/>
    <s v="Bank"/>
    <m/>
  </r>
  <r>
    <d v="2025-12-16T00:00:00"/>
    <x v="3"/>
    <n v="1000"/>
    <m/>
    <s v="unloading"/>
    <s v="Bank"/>
    <m/>
  </r>
  <r>
    <d v="2025-12-16T00:00:00"/>
    <x v="39"/>
    <n v="1000"/>
    <m/>
    <s v="unloading"/>
    <s v="Bank"/>
    <m/>
  </r>
  <r>
    <d v="2025-12-16T00:00:00"/>
    <x v="8"/>
    <n v="107400"/>
    <m/>
    <s v="general"/>
    <s v="Bank"/>
    <m/>
  </r>
  <r>
    <d v="2025-12-16T00:00:00"/>
    <x v="22"/>
    <n v="500000"/>
    <m/>
    <s v="sajad khan"/>
    <s v="Bank"/>
    <m/>
  </r>
  <r>
    <d v="2025-12-16T00:00:00"/>
    <x v="2"/>
    <n v="10800"/>
    <m/>
    <s v="oxygen cylinders"/>
    <s v="Bank"/>
    <m/>
  </r>
  <r>
    <d v="2025-12-16T00:00:00"/>
    <x v="8"/>
    <n v="15000"/>
    <m/>
    <s v="general"/>
    <s v="Bank"/>
    <m/>
  </r>
  <r>
    <d v="2025-12-16T00:00:00"/>
    <x v="6"/>
    <n v="9900"/>
    <m/>
    <s v="clips"/>
    <s v="Bank"/>
    <m/>
  </r>
  <r>
    <d v="2025-12-16T00:00:00"/>
    <x v="10"/>
    <n v="18820"/>
    <m/>
    <s v="Bill NILL"/>
    <s v="Bank"/>
    <m/>
  </r>
  <r>
    <d v="2025-12-16T00:00:00"/>
    <x v="39"/>
    <n v="46600"/>
    <m/>
    <s v="freight"/>
    <s v="Bank"/>
    <m/>
  </r>
  <r>
    <d v="2025-12-16T00:00:00"/>
    <x v="10"/>
    <n v="20000"/>
    <m/>
    <s v="atta"/>
    <s v="Bank"/>
    <m/>
  </r>
  <r>
    <d v="2025-12-16T00:00:00"/>
    <x v="5"/>
    <n v="201500"/>
    <m/>
    <s v="TID:0629219"/>
    <s v="Bank"/>
    <m/>
  </r>
  <r>
    <d v="2025-12-16T00:00:00"/>
    <x v="3"/>
    <n v="150072"/>
    <m/>
    <s v="meezan"/>
    <s v="Bank"/>
    <m/>
  </r>
  <r>
    <d v="2025-12-16T00:00:00"/>
    <x v="44"/>
    <m/>
    <n v="250000"/>
    <m/>
    <s v="Bank"/>
    <m/>
  </r>
  <r>
    <d v="2025-12-16T00:00:00"/>
    <x v="34"/>
    <m/>
    <n v="203500"/>
    <m/>
    <s v="Bank"/>
    <m/>
  </r>
  <r>
    <d v="2025-12-16T00:00:00"/>
    <x v="11"/>
    <n v="5000"/>
    <m/>
    <s v="petrol"/>
    <s v="Bank"/>
    <m/>
  </r>
  <r>
    <d v="2025-12-16T00:00:00"/>
    <x v="13"/>
    <n v="5000"/>
    <m/>
    <s v="Ghulam Abbas"/>
    <s v="Bank"/>
    <m/>
  </r>
  <r>
    <d v="2025-12-16T00:00:00"/>
    <x v="22"/>
    <n v="250000"/>
    <m/>
    <s v="ZA"/>
    <s v="Bank"/>
    <m/>
  </r>
  <r>
    <d v="2025-12-16T00:00:00"/>
    <x v="22"/>
    <m/>
    <n v="150000"/>
    <s v="ZA"/>
    <s v="Bank"/>
    <m/>
  </r>
  <r>
    <d v="2025-12-16T00:00:00"/>
    <x v="22"/>
    <m/>
    <n v="62000"/>
    <m/>
    <s v="Bank"/>
    <m/>
  </r>
  <r>
    <d v="2025-12-16T00:00:00"/>
    <x v="15"/>
    <m/>
    <n v="200000"/>
    <m/>
    <s v="Bank"/>
    <m/>
  </r>
  <r>
    <d v="2025-12-16T00:00:00"/>
    <x v="22"/>
    <m/>
    <n v="76300"/>
    <s v="Madina dyes"/>
    <s v="Bank"/>
    <m/>
  </r>
  <r>
    <d v="2025-12-16T00:00:00"/>
    <x v="22"/>
    <m/>
    <n v="34375"/>
    <s v="general Dyes"/>
    <s v="Bank"/>
    <m/>
  </r>
  <r>
    <d v="2025-12-17T00:00:00"/>
    <x v="22"/>
    <m/>
    <n v="80000"/>
    <m/>
    <s v="Bank"/>
    <m/>
  </r>
  <r>
    <d v="2025-12-17T00:00:00"/>
    <x v="5"/>
    <n v="63500"/>
    <m/>
    <s v="TKL 364"/>
    <s v="Bank"/>
    <m/>
  </r>
  <r>
    <d v="2025-12-17T00:00:00"/>
    <x v="25"/>
    <n v="1300"/>
    <m/>
    <s v="package farman"/>
    <s v="Bank"/>
    <m/>
  </r>
  <r>
    <d v="2025-12-17T00:00:00"/>
    <x v="6"/>
    <n v="4500"/>
    <m/>
    <s v="boiler pipe"/>
    <s v="Bank"/>
    <m/>
  </r>
  <r>
    <d v="2025-12-17T00:00:00"/>
    <x v="2"/>
    <n v="3600"/>
    <m/>
    <s v="mazdoor"/>
    <s v="Bank"/>
    <m/>
  </r>
  <r>
    <d v="2025-12-17T00:00:00"/>
    <x v="8"/>
    <n v="8000"/>
    <m/>
    <s v="general"/>
    <s v="Bank"/>
    <m/>
  </r>
  <r>
    <d v="2025-12-17T00:00:00"/>
    <x v="39"/>
    <n v="76000"/>
    <m/>
    <s v="bank deposit"/>
    <s v="Bank"/>
    <m/>
  </r>
  <r>
    <d v="2025-12-17T00:00:00"/>
    <x v="22"/>
    <m/>
    <n v="76000"/>
    <s v="irfan punjabi"/>
    <s v="Bank"/>
    <m/>
  </r>
  <r>
    <d v="2025-12-17T00:00:00"/>
    <x v="38"/>
    <m/>
    <n v="150000"/>
    <s v="cash/BSC"/>
    <s v="Bank"/>
    <m/>
  </r>
  <r>
    <d v="2025-12-17T00:00:00"/>
    <x v="22"/>
    <m/>
    <n v="50000"/>
    <s v="200-150k(shahid qasai)"/>
    <s v="Bank"/>
    <m/>
  </r>
  <r>
    <d v="2025-12-17T00:00:00"/>
    <x v="5"/>
    <n v="202500"/>
    <m/>
    <s v="TID:238885"/>
    <s v="Bank"/>
    <m/>
  </r>
  <r>
    <d v="2025-12-17T00:00:00"/>
    <x v="11"/>
    <n v="1800"/>
    <m/>
    <s v="raksha"/>
    <s v="Bank"/>
    <m/>
  </r>
  <r>
    <m/>
    <x v="36"/>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2">
      <pivotArea field="0" grandRow="1" outline="0" collapsedLevelsAreSubtotals="1" axis="axisRow" fieldPosition="0">
        <references count="1">
          <reference field="4294967294" count="1" selected="0">
            <x v="1"/>
          </reference>
        </references>
      </pivotArea>
    </format>
    <format dxfId="131">
      <pivotArea field="0" grandRow="1" outline="0" collapsedLevelsAreSubtotals="1" axis="axisRow" fieldPosition="0">
        <references count="1">
          <reference field="4294967294" count="1" selected="0">
            <x v="0"/>
          </reference>
        </references>
      </pivotArea>
    </format>
    <format dxfId="130">
      <pivotArea collapsedLevelsAreSubtotals="1" fieldPosition="0">
        <references count="2">
          <reference field="4294967294" count="1" selected="0">
            <x v="1"/>
          </reference>
          <reference field="0" count="0"/>
        </references>
      </pivotArea>
    </format>
    <format dxfId="129">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94" firstHeaderRow="0" firstDataRow="1" firstDataCol="1" rowPageCount="1" colPageCount="1"/>
  <pivotFields count="9">
    <pivotField axis="axisRow" numFmtId="14" showAll="0">
      <items count="136">
        <item m="1" x="119"/>
        <item m="1" x="120"/>
        <item m="1" x="121"/>
        <item m="1" x="122"/>
        <item m="1" x="123"/>
        <item m="1" x="124"/>
        <item m="1" x="125"/>
        <item m="1" x="134"/>
        <item m="1" x="115"/>
        <item m="1" x="126"/>
        <item m="1" x="127"/>
        <item m="1" x="128"/>
        <item m="1" x="129"/>
        <item m="1" x="130"/>
        <item m="1" x="131"/>
        <item m="1" x="132"/>
        <item m="1" x="86"/>
        <item m="1" x="87"/>
        <item m="1" x="133"/>
        <item m="1" x="88"/>
        <item m="1" x="85"/>
        <item m="1" x="89"/>
        <item m="1" x="91"/>
        <item m="1" x="92"/>
        <item m="1" x="93"/>
        <item m="1" x="95"/>
        <item m="1" x="96"/>
        <item m="1" x="97"/>
        <item m="1" x="90"/>
        <item m="1" x="94"/>
        <item m="1" x="98"/>
        <item m="1" x="99"/>
        <item m="1" x="100"/>
        <item m="1" x="101"/>
        <item m="1" x="84"/>
        <item m="1" x="102"/>
        <item m="1" x="116"/>
        <item m="1" x="117"/>
        <item m="1" x="118"/>
        <item m="1" x="103"/>
        <item m="1" x="104"/>
        <item m="1" x="105"/>
        <item m="1" x="106"/>
        <item m="1" x="107"/>
        <item m="1" x="108"/>
        <item m="1" x="109"/>
        <item m="1" x="110"/>
        <item m="1" x="111"/>
        <item m="1" x="112"/>
        <item m="1" x="113"/>
        <item m="1" x="114"/>
        <item m="1" x="55"/>
        <item m="1" x="56"/>
        <item m="1" x="57"/>
        <item m="1" x="58"/>
        <item m="1" x="59"/>
        <item m="1" x="60"/>
        <item m="1" x="61"/>
        <item m="1" x="62"/>
        <item m="1" x="64"/>
        <item m="1" x="65"/>
        <item m="1" x="66"/>
        <item m="1" x="63"/>
        <item m="1" x="67"/>
        <item m="1" x="68"/>
        <item m="1" x="69"/>
        <item m="1" x="70"/>
        <item m="1" x="71"/>
        <item m="1" x="72"/>
        <item m="1" x="73"/>
        <item m="1" x="74"/>
        <item m="1" x="75"/>
        <item m="1" x="76"/>
        <item m="1" x="77"/>
        <item m="1" x="78"/>
        <item m="1" x="79"/>
        <item m="1" x="80"/>
        <item m="1" x="81"/>
        <item m="1" x="82"/>
        <item m="1" x="83"/>
        <item x="0"/>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x="1"/>
        <item x="4"/>
        <item x="2"/>
        <item x="3"/>
        <item x="5"/>
        <item x="6"/>
        <item x="7"/>
        <item x="8"/>
        <item x="9"/>
        <item x="10"/>
        <item x="11"/>
        <item x="12"/>
        <item x="13"/>
        <item x="14"/>
        <item x="15"/>
        <item x="16"/>
        <item x="17"/>
        <item x="18"/>
        <item x="19"/>
        <item x="20"/>
        <item x="21"/>
        <item x="22"/>
        <item x="23"/>
        <item x="24"/>
        <item x="25"/>
        <item x="26"/>
        <item x="27"/>
        <item x="28"/>
        <item t="default"/>
      </items>
    </pivotField>
    <pivotField axis="axisPage" showAll="0">
      <items count="12">
        <item x="1"/>
        <item x="0"/>
        <item m="1" x="8"/>
        <item m="1" x="10"/>
        <item x="2"/>
        <item x="3"/>
        <item x="4"/>
        <item m="1" x="9"/>
        <item x="5"/>
        <item x="6"/>
        <item x="7"/>
        <item t="default"/>
      </items>
    </pivotField>
    <pivotField axis="axisRow" showAll="0">
      <items count="77">
        <item m="1" x="66"/>
        <item m="1" x="50"/>
        <item m="1" x="62"/>
        <item m="1" x="32"/>
        <item m="1" x="67"/>
        <item m="1" x="68"/>
        <item m="1" x="63"/>
        <item m="1" x="64"/>
        <item m="1" x="65"/>
        <item m="1" x="43"/>
        <item m="1" x="69"/>
        <item m="1" x="70"/>
        <item m="1" x="71"/>
        <item m="1" x="72"/>
        <item m="1" x="73"/>
        <item m="1" x="74"/>
        <item m="1" x="39"/>
        <item m="1" x="40"/>
        <item m="1" x="75"/>
        <item m="1" x="41"/>
        <item x="0"/>
        <item m="1" x="42"/>
        <item m="1" x="44"/>
        <item m="1" x="45"/>
        <item m="1" x="46"/>
        <item m="1" x="47"/>
        <item m="1" x="48"/>
        <item m="1" x="49"/>
        <item m="1" x="51"/>
        <item m="1" x="52"/>
        <item m="1" x="34"/>
        <item m="1" x="53"/>
        <item m="1" x="54"/>
        <item m="1" x="55"/>
        <item m="1" x="38"/>
        <item m="1" x="56"/>
        <item m="1" x="57"/>
        <item m="1" x="36"/>
        <item m="1" x="58"/>
        <item m="1" x="59"/>
        <item m="1" x="60"/>
        <item m="1" x="61"/>
        <item m="1" x="24"/>
        <item m="1" x="25"/>
        <item m="1" x="26"/>
        <item m="1" x="27"/>
        <item m="1" x="28"/>
        <item m="1" x="29"/>
        <item m="1" x="30"/>
        <item m="1" x="31"/>
        <item m="1" x="33"/>
        <item m="1" x="35"/>
        <item m="1" x="37"/>
        <item m="1" x="23"/>
        <item x="1"/>
        <item x="2"/>
        <item x="3"/>
        <item x="4"/>
        <item x="5"/>
        <item x="6"/>
        <item x="7"/>
        <item x="8"/>
        <item x="9"/>
        <item x="10"/>
        <item x="11"/>
        <item x="13"/>
        <item x="12"/>
        <item x="14"/>
        <item x="15"/>
        <item x="16"/>
        <item x="17"/>
        <item x="18"/>
        <item x="19"/>
        <item x="20"/>
        <item x="21"/>
        <item x="2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86">
    <i>
      <x v="80"/>
    </i>
    <i r="1">
      <x v="20"/>
    </i>
    <i>
      <x v="107"/>
    </i>
    <i r="1">
      <x v="20"/>
    </i>
    <i>
      <x v="108"/>
    </i>
    <i r="1">
      <x v="54"/>
    </i>
    <i>
      <x v="109"/>
    </i>
    <i r="1">
      <x v="54"/>
    </i>
    <i>
      <x v="110"/>
    </i>
    <i r="1">
      <x v="55"/>
    </i>
    <i>
      <x v="111"/>
    </i>
    <i r="1">
      <x v="55"/>
    </i>
    <i r="1">
      <x v="56"/>
    </i>
    <i r="1">
      <x v="57"/>
    </i>
    <i>
      <x v="112"/>
    </i>
    <i r="1">
      <x v="54"/>
    </i>
    <i r="1">
      <x v="57"/>
    </i>
    <i>
      <x v="113"/>
    </i>
    <i r="1">
      <x v="58"/>
    </i>
    <i r="1">
      <x v="59"/>
    </i>
    <i>
      <x v="114"/>
    </i>
    <i r="1">
      <x v="60"/>
    </i>
    <i r="1">
      <x v="61"/>
    </i>
    <i>
      <x v="115"/>
    </i>
    <i r="1">
      <x v="54"/>
    </i>
    <i r="1">
      <x v="62"/>
    </i>
    <i>
      <x v="116"/>
    </i>
    <i r="1">
      <x v="63"/>
    </i>
    <i>
      <x v="117"/>
    </i>
    <i r="1">
      <x v="54"/>
    </i>
    <i>
      <x v="118"/>
    </i>
    <i r="1">
      <x v="55"/>
    </i>
    <i>
      <x v="119"/>
    </i>
    <i r="1">
      <x v="54"/>
    </i>
    <i>
      <x v="120"/>
    </i>
    <i r="1">
      <x v="54"/>
    </i>
    <i r="1">
      <x v="64"/>
    </i>
    <i>
      <x v="121"/>
    </i>
    <i r="1">
      <x v="65"/>
    </i>
    <i r="1">
      <x v="66"/>
    </i>
    <i>
      <x v="122"/>
    </i>
    <i r="1">
      <x v="67"/>
    </i>
    <i r="1">
      <x v="70"/>
    </i>
    <i r="1">
      <x v="71"/>
    </i>
    <i>
      <x v="123"/>
    </i>
    <i r="1">
      <x v="54"/>
    </i>
    <i r="1">
      <x v="66"/>
    </i>
    <i r="1">
      <x v="68"/>
    </i>
    <i r="1">
      <x v="69"/>
    </i>
    <i r="1">
      <x v="70"/>
    </i>
    <i r="1">
      <x v="72"/>
    </i>
    <i>
      <x v="124"/>
    </i>
    <i r="1">
      <x v="72"/>
    </i>
    <i r="1">
      <x v="73"/>
    </i>
    <i>
      <x v="125"/>
    </i>
    <i r="1">
      <x v="70"/>
    </i>
    <i>
      <x v="126"/>
    </i>
    <i r="1">
      <x v="54"/>
    </i>
    <i r="1">
      <x v="66"/>
    </i>
    <i r="1">
      <x v="71"/>
    </i>
    <i>
      <x v="127"/>
    </i>
    <i r="1">
      <x v="54"/>
    </i>
    <i>
      <x v="128"/>
    </i>
    <i r="1">
      <x v="54"/>
    </i>
    <i r="1">
      <x v="66"/>
    </i>
    <i>
      <x v="129"/>
    </i>
    <i r="1">
      <x v="54"/>
    </i>
    <i r="1">
      <x v="71"/>
    </i>
    <i>
      <x v="130"/>
    </i>
    <i r="1">
      <x v="66"/>
    </i>
    <i r="1">
      <x v="70"/>
    </i>
    <i>
      <x v="131"/>
    </i>
    <i r="1">
      <x v="71"/>
    </i>
    <i>
      <x v="132"/>
    </i>
    <i r="1">
      <x v="54"/>
    </i>
    <i r="1">
      <x v="57"/>
    </i>
    <i r="1">
      <x v="66"/>
    </i>
    <i r="1">
      <x v="74"/>
    </i>
    <i>
      <x v="133"/>
    </i>
    <i r="1">
      <x v="54"/>
    </i>
    <i r="1">
      <x v="55"/>
    </i>
    <i r="1">
      <x v="75"/>
    </i>
    <i>
      <x v="134"/>
    </i>
    <i r="1">
      <x v="54"/>
    </i>
    <i r="1">
      <x v="71"/>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9" firstHeaderRow="0" firstDataRow="1" firstDataCol="1"/>
  <pivotFields count="7">
    <pivotField numFmtId="14" showAll="0"/>
    <pivotField axis="axisRow" showAll="0">
      <items count="75">
        <item x="13"/>
        <item x="9"/>
        <item x="7"/>
        <item m="1" x="60"/>
        <item m="1" x="64"/>
        <item x="12"/>
        <item x="5"/>
        <item x="25"/>
        <item x="6"/>
        <item x="10"/>
        <item x="8"/>
        <item m="1" x="72"/>
        <item m="1" x="59"/>
        <item x="11"/>
        <item m="1" x="56"/>
        <item m="1" x="70"/>
        <item x="2"/>
        <item x="43"/>
        <item x="1"/>
        <item x="15"/>
        <item x="36"/>
        <item x="27"/>
        <item m="1" x="73"/>
        <item m="1" x="55"/>
        <item x="29"/>
        <item m="1" x="71"/>
        <item m="1" x="63"/>
        <item x="32"/>
        <item m="1" x="65"/>
        <item m="1" x="66"/>
        <item m="1" x="67"/>
        <item m="1" x="68"/>
        <item x="37"/>
        <item m="1" x="69"/>
        <item x="42"/>
        <item x="26"/>
        <item m="1" x="49"/>
        <item x="17"/>
        <item m="1" x="58"/>
        <item m="1" x="52"/>
        <item x="18"/>
        <item x="3"/>
        <item x="31"/>
        <item m="1" x="61"/>
        <item x="22"/>
        <item m="1" x="62"/>
        <item m="1" x="46"/>
        <item x="24"/>
        <item x="14"/>
        <item m="1" x="47"/>
        <item m="1" x="48"/>
        <item m="1" x="50"/>
        <item m="1" x="51"/>
        <item m="1" x="53"/>
        <item x="19"/>
        <item x="20"/>
        <item m="1" x="54"/>
        <item m="1" x="57"/>
        <item x="4"/>
        <item x="23"/>
        <item x="0"/>
        <item x="16"/>
        <item x="21"/>
        <item x="28"/>
        <item m="1" x="45"/>
        <item x="33"/>
        <item x="34"/>
        <item x="35"/>
        <item x="38"/>
        <item x="30"/>
        <item x="39"/>
        <item x="40"/>
        <item x="41"/>
        <item x="44"/>
        <item t="default"/>
      </items>
    </pivotField>
    <pivotField dataField="1" showAll="0"/>
    <pivotField dataField="1" showAll="0"/>
    <pivotField showAll="0"/>
    <pivotField showAll="0"/>
    <pivotField showAll="0"/>
  </pivotFields>
  <rowFields count="1">
    <field x="1"/>
  </rowFields>
  <rowItems count="46">
    <i>
      <x/>
    </i>
    <i>
      <x v="1"/>
    </i>
    <i>
      <x v="2"/>
    </i>
    <i>
      <x v="5"/>
    </i>
    <i>
      <x v="6"/>
    </i>
    <i>
      <x v="7"/>
    </i>
    <i>
      <x v="8"/>
    </i>
    <i>
      <x v="9"/>
    </i>
    <i>
      <x v="10"/>
    </i>
    <i>
      <x v="13"/>
    </i>
    <i>
      <x v="16"/>
    </i>
    <i>
      <x v="17"/>
    </i>
    <i>
      <x v="18"/>
    </i>
    <i>
      <x v="19"/>
    </i>
    <i>
      <x v="20"/>
    </i>
    <i>
      <x v="21"/>
    </i>
    <i>
      <x v="24"/>
    </i>
    <i>
      <x v="27"/>
    </i>
    <i>
      <x v="32"/>
    </i>
    <i>
      <x v="34"/>
    </i>
    <i>
      <x v="35"/>
    </i>
    <i>
      <x v="37"/>
    </i>
    <i>
      <x v="40"/>
    </i>
    <i>
      <x v="41"/>
    </i>
    <i>
      <x v="42"/>
    </i>
    <i>
      <x v="44"/>
    </i>
    <i>
      <x v="47"/>
    </i>
    <i>
      <x v="48"/>
    </i>
    <i>
      <x v="54"/>
    </i>
    <i>
      <x v="55"/>
    </i>
    <i>
      <x v="58"/>
    </i>
    <i>
      <x v="59"/>
    </i>
    <i>
      <x v="60"/>
    </i>
    <i>
      <x v="61"/>
    </i>
    <i>
      <x v="62"/>
    </i>
    <i>
      <x v="63"/>
    </i>
    <i>
      <x v="65"/>
    </i>
    <i>
      <x v="66"/>
    </i>
    <i>
      <x v="67"/>
    </i>
    <i>
      <x v="68"/>
    </i>
    <i>
      <x v="69"/>
    </i>
    <i>
      <x v="70"/>
    </i>
    <i>
      <x v="71"/>
    </i>
    <i>
      <x v="72"/>
    </i>
    <i>
      <x v="73"/>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6" firstHeaderRow="0" firstDataRow="1" firstDataCol="1" rowPageCount="1" colPageCount="1"/>
  <pivotFields count="9">
    <pivotField axis="axisRow" showAll="0">
      <items count="51">
        <item m="1" x="45"/>
        <item m="1" x="46"/>
        <item m="1" x="47"/>
        <item m="1" x="48"/>
        <item m="1" x="49"/>
        <item m="1" x="44"/>
        <item m="1" x="32"/>
        <item m="1" x="33"/>
        <item m="1" x="37"/>
        <item m="1" x="38"/>
        <item m="1" x="34"/>
        <item m="1" x="39"/>
        <item m="1" x="40"/>
        <item m="1" x="41"/>
        <item m="1" x="42"/>
        <item m="1" x="43"/>
        <item m="1" x="31"/>
        <item m="1" x="35"/>
        <item m="1" x="36"/>
        <item m="1" x="24"/>
        <item m="1" x="25"/>
        <item m="1" x="26"/>
        <item m="1" x="27"/>
        <item m="1" x="28"/>
        <item m="1" x="29"/>
        <item m="1" x="30"/>
        <item x="0"/>
        <item m="1" x="16"/>
        <item m="1" x="17"/>
        <item m="1" x="18"/>
        <item m="1" x="19"/>
        <item m="1" x="20"/>
        <item m="1" x="21"/>
        <item m="1" x="22"/>
        <item m="1" x="23"/>
        <item x="1"/>
        <item x="2"/>
        <item x="3"/>
        <item x="4"/>
        <item x="5"/>
        <item x="6"/>
        <item x="7"/>
        <item x="9"/>
        <item x="10"/>
        <item x="8"/>
        <item x="11"/>
        <item x="12"/>
        <item x="13"/>
        <item x="14"/>
        <item x="15"/>
        <item t="default"/>
      </items>
    </pivotField>
    <pivotField showAll="0"/>
    <pivotField showAll="0"/>
    <pivotField showAll="0"/>
    <pivotField dataField="1" showAll="0"/>
    <pivotField axis="axisPage" showAll="0">
      <items count="8">
        <item x="0"/>
        <item m="1" x="4"/>
        <item m="1" x="6"/>
        <item m="1" x="5"/>
        <item x="1"/>
        <item x="2"/>
        <item x="3"/>
        <item t="default"/>
      </items>
    </pivotField>
    <pivotField showAll="0"/>
    <pivotField dataField="1" showAll="0"/>
    <pivotField showAll="0"/>
  </pivotFields>
  <rowFields count="1">
    <field x="0"/>
  </rowFields>
  <rowItems count="17">
    <i>
      <x v="26"/>
    </i>
    <i>
      <x v="35"/>
    </i>
    <i>
      <x v="36"/>
    </i>
    <i>
      <x v="37"/>
    </i>
    <i>
      <x v="38"/>
    </i>
    <i>
      <x v="39"/>
    </i>
    <i>
      <x v="40"/>
    </i>
    <i>
      <x v="41"/>
    </i>
    <i>
      <x v="42"/>
    </i>
    <i>
      <x v="43"/>
    </i>
    <i>
      <x v="44"/>
    </i>
    <i>
      <x v="45"/>
    </i>
    <i>
      <x v="46"/>
    </i>
    <i>
      <x v="47"/>
    </i>
    <i>
      <x v="48"/>
    </i>
    <i>
      <x v="49"/>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92"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m="1"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33">
        <item m="1" x="315"/>
        <item m="1" x="316"/>
        <item m="1" x="314"/>
        <item m="1" x="313"/>
        <item m="1" x="317"/>
        <item m="1" x="319"/>
        <item m="1" x="318"/>
        <item m="1" x="320"/>
        <item m="1" x="321"/>
        <item m="1" x="322"/>
        <item m="1" x="323"/>
        <item m="1" x="324"/>
        <item m="1" x="325"/>
        <item m="1" x="326"/>
        <item m="1" x="251"/>
        <item m="1" x="273"/>
        <item m="1" x="327"/>
        <item m="1" x="328"/>
        <item m="1" x="329"/>
        <item m="1" x="281"/>
        <item m="1" x="280"/>
        <item m="1" x="330"/>
        <item m="1" x="331"/>
        <item m="1" x="290"/>
        <item m="1" x="282"/>
        <item m="1" x="283"/>
        <item m="1" x="284"/>
        <item m="1" x="285"/>
        <item m="1" x="286"/>
        <item m="1" x="287"/>
        <item m="1" x="288"/>
        <item m="1" x="289"/>
        <item m="1" x="291"/>
        <item m="1" x="311"/>
        <item m="1" x="292"/>
        <item m="1" x="312"/>
        <item m="1" x="293"/>
        <item m="1" x="294"/>
        <item m="1" x="295"/>
        <item m="1" x="296"/>
        <item m="1" x="297"/>
        <item m="1" x="227"/>
        <item m="1" x="298"/>
        <item m="1" x="299"/>
        <item m="1" x="300"/>
        <item m="1" x="301"/>
        <item m="1" x="302"/>
        <item m="1" x="303"/>
        <item m="1" x="304"/>
        <item m="1" x="305"/>
        <item m="1" x="306"/>
        <item m="1" x="307"/>
        <item m="1" x="308"/>
        <item m="1" x="309"/>
        <item m="1" x="310"/>
        <item x="0"/>
        <item m="1" x="226"/>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4"/>
        <item m="1" x="275"/>
        <item m="1" x="276"/>
        <item m="1" x="277"/>
        <item m="1" x="278"/>
        <item m="1" x="279"/>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25"/>
        <item m="1" x="206"/>
        <item m="1" x="207"/>
        <item m="1" x="208"/>
        <item m="1" x="209"/>
        <item m="1" x="210"/>
        <item m="1" x="211"/>
        <item m="1" x="212"/>
        <item m="1" x="213"/>
        <item m="1" x="214"/>
        <item m="1" x="215"/>
        <item m="1" x="216"/>
        <item m="1" x="217"/>
        <item m="1" x="218"/>
        <item m="1" x="219"/>
        <item m="1" x="220"/>
        <item m="1" x="221"/>
        <item m="1" x="222"/>
        <item m="1" x="223"/>
        <item m="1" x="224"/>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x="11"/>
        <item m="1" x="143"/>
        <item x="1"/>
        <item x="2"/>
        <item x="3"/>
        <item x="4"/>
        <item x="5"/>
        <item x="6"/>
        <item x="7"/>
        <item x="8"/>
        <item x="9"/>
        <item x="10"/>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89">
    <i>
      <x v="55"/>
    </i>
    <i>
      <x v="244"/>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28">
      <pivotArea type="all" dataOnly="0" outline="0" fieldPosition="0"/>
    </format>
    <format dxfId="27">
      <pivotArea outline="0" collapsedLevelsAreSubtotals="1" fieldPosition="0"/>
    </format>
    <format dxfId="26">
      <pivotArea field="4" type="button" dataOnly="0" labelOnly="1" outline="0" axis="axisRow" fieldPosition="0"/>
    </format>
    <format dxfId="25">
      <pivotArea dataOnly="0" labelOnly="1" fieldPosition="0">
        <references count="1">
          <reference field="4" count="0"/>
        </references>
      </pivotArea>
    </format>
    <format dxfId="24">
      <pivotArea dataOnly="0" labelOnly="1" grandRow="1" outline="0" fieldPosition="0"/>
    </format>
    <format dxfId="23">
      <pivotArea dataOnly="0" labelOnly="1" outline="0" fieldPosition="0">
        <references count="1">
          <reference field="4294967294" count="2">
            <x v="0"/>
            <x v="1"/>
          </reference>
        </references>
      </pivotArea>
    </format>
    <format dxfId="22">
      <pivotArea grandRow="1" outline="0" collapsedLevelsAreSubtotals="1" fieldPosition="0"/>
    </format>
    <format dxfId="21">
      <pivotArea field="4" type="button" dataOnly="0" labelOnly="1" outline="0" axis="axisRow" fieldPosition="0"/>
    </format>
    <format dxfId="2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32">
        <i x="50" s="1"/>
        <i x="29" s="1"/>
        <i x="62" s="1"/>
        <i x="22" s="1"/>
        <i x="2" s="1"/>
        <i x="46" s="1"/>
        <i x="11" s="1"/>
        <i x="8" s="1"/>
        <i x="21" s="1"/>
        <i x="4" s="1"/>
        <i x="1" s="1"/>
        <i x="19" s="1"/>
        <i x="12" s="1"/>
        <i x="25" s="1"/>
        <i x="43" s="1"/>
        <i x="17" s="1"/>
        <i x="31" s="1"/>
        <i x="23" s="1"/>
        <i x="20" s="1"/>
        <i x="81" s="1"/>
        <i x="33" s="1"/>
        <i x="34" s="1"/>
        <i x="5" s="1"/>
        <i x="7" s="1"/>
        <i x="41" s="1"/>
        <i x="14" s="1"/>
        <i x="77" s="1"/>
        <i x="67" s="1"/>
        <i x="55" s="1"/>
        <i x="27" s="1"/>
        <i x="10" s="1"/>
        <i x="44" s="1"/>
        <i x="64" s="1"/>
        <i x="56" s="1"/>
        <i x="52" s="1"/>
        <i x="16" s="1"/>
        <i x="39" s="1"/>
        <i x="38" s="1"/>
        <i x="54" s="1"/>
        <i x="40" s="1"/>
        <i x="13" s="1"/>
        <i x="9" s="1"/>
        <i x="42" s="1"/>
        <i x="6" s="1"/>
        <i x="47" s="1"/>
        <i x="48" s="1"/>
        <i x="53" s="1"/>
        <i x="83" s="1"/>
        <i x="32" s="1"/>
        <i x="26" s="1"/>
        <i x="61" s="1"/>
        <i x="60" s="1"/>
        <i x="65" s="1"/>
        <i x="15" s="1"/>
        <i x="63" s="1"/>
        <i x="49" s="1"/>
        <i x="28" s="1"/>
        <i x="30" s="1"/>
        <i x="35" s="1"/>
        <i x="36" s="1"/>
        <i x="45" s="1"/>
        <i x="37" s="1"/>
        <i x="57" s="1"/>
        <i x="68" s="1"/>
        <i x="58" s="1"/>
        <i x="75" s="1"/>
        <i x="72" s="1"/>
        <i x="69" s="1"/>
        <i x="84" s="1"/>
        <i x="76" s="1"/>
        <i x="85" s="1"/>
        <i x="51" s="1"/>
        <i x="78" s="1"/>
        <i x="79" s="1"/>
        <i x="59" s="1"/>
        <i x="73" s="1"/>
        <i x="80" s="1"/>
        <i x="70" s="1"/>
        <i x="74" s="1"/>
        <i x="86" s="1"/>
        <i x="87" s="1"/>
        <i x="66" s="1"/>
        <i x="18" s="1"/>
        <i x="24" s="1"/>
        <i x="3" s="1"/>
        <i x="71" s="1"/>
        <i x="82" s="1"/>
        <i x="286" s="1" nd="1"/>
        <i x="315" s="1" nd="1"/>
        <i x="316" s="1" nd="1"/>
        <i x="324" s="1" nd="1"/>
        <i x="314" s="1" nd="1"/>
        <i x="313" s="1" nd="1"/>
        <i x="317" s="1" nd="1"/>
        <i x="328" s="1" nd="1"/>
        <i x="320" s="1" nd="1"/>
        <i x="321" s="1" nd="1"/>
        <i x="318" s="1" nd="1"/>
        <i x="319" s="1" nd="1"/>
        <i x="329" s="1" nd="1"/>
        <i x="322" s="1" nd="1"/>
        <i x="323" s="1" nd="1"/>
        <i x="326" s="1" nd="1"/>
        <i x="327" s="1" nd="1"/>
        <i x="325" s="1" nd="1"/>
        <i x="281" s="1" nd="1"/>
        <i x="331" s="1" nd="1"/>
        <i x="280" s="1" nd="1"/>
        <i x="330" s="1" nd="1"/>
        <i x="283" s="1" nd="1"/>
        <i x="244" s="1" nd="1"/>
        <i x="282" s="1" nd="1"/>
        <i x="284" s="1" nd="1"/>
        <i x="290" s="1" nd="1"/>
        <i x="285" s="1" nd="1"/>
        <i x="287" s="1" nd="1"/>
        <i x="303" s="1" nd="1"/>
        <i x="226" s="1" nd="1"/>
        <i x="291" s="1" nd="1"/>
        <i x="231" s="1" nd="1"/>
        <i x="297" s="1" nd="1"/>
        <i x="292" s="1" nd="1"/>
        <i x="295" s="1" nd="1"/>
        <i x="300" s="1" nd="1"/>
        <i x="311" s="1" nd="1"/>
        <i x="293" s="1" nd="1"/>
        <i x="305" s="1" nd="1"/>
        <i x="308" s="1" nd="1"/>
        <i x="299" s="1" nd="1"/>
        <i x="288" s="1" nd="1"/>
        <i x="296" s="1" nd="1"/>
        <i x="289" s="1" nd="1"/>
        <i x="294" s="1" nd="1"/>
        <i x="227" s="1" nd="1"/>
        <i x="298" s="1" nd="1"/>
        <i x="304" s="1" nd="1"/>
        <i x="241" s="1" nd="1"/>
        <i x="301" s="1" nd="1"/>
        <i x="306" s="1" nd="1"/>
        <i x="302" s="1" nd="1"/>
        <i x="268" s="1" nd="1"/>
        <i x="307" s="1" nd="1"/>
        <i x="309" s="1" nd="1"/>
        <i x="229" s="1" nd="1"/>
        <i x="236" s="1" nd="1"/>
        <i x="310" s="1" nd="1"/>
        <i x="233" s="1" nd="1"/>
        <i x="234" s="1" nd="1"/>
        <i x="228" s="1" nd="1"/>
        <i x="232" s="1" nd="1"/>
        <i x="119" s="1" nd="1"/>
        <i x="230" s="1" nd="1"/>
        <i x="239" s="1" nd="1"/>
        <i x="235" s="1" nd="1"/>
        <i x="237" s="1" nd="1"/>
        <i x="240" s="1" nd="1"/>
        <i x="248" s="1" nd="1"/>
        <i x="238" s="1" nd="1"/>
        <i x="247" s="1" nd="1"/>
        <i x="252" s="1" nd="1"/>
        <i x="246" s="1" nd="1"/>
        <i x="249" s="1" nd="1"/>
        <i x="259" s="1" nd="1"/>
        <i x="245" s="1" nd="1"/>
        <i x="242" s="1" nd="1"/>
        <i x="243" s="1" nd="1"/>
        <i x="258" s="1" nd="1"/>
        <i x="115" s="1" nd="1"/>
        <i x="251" s="1" nd="1"/>
        <i x="262" s="1" nd="1"/>
        <i x="257" s="1" nd="1"/>
        <i x="250" s="1" nd="1"/>
        <i x="274" s="1" nd="1"/>
        <i x="255" s="1" nd="1"/>
        <i x="265" s="1" nd="1"/>
        <i x="263" s="1" nd="1"/>
        <i x="253" s="1" nd="1"/>
        <i x="261" s="1" nd="1"/>
        <i x="260" s="1" nd="1"/>
        <i x="256" s="1" nd="1"/>
        <i x="266" s="1" nd="1"/>
        <i x="264" s="1" nd="1"/>
        <i x="267" s="1" nd="1"/>
        <i x="254" s="1" nd="1"/>
        <i x="195" s="1" nd="1"/>
        <i x="269" s="1" nd="1"/>
        <i x="270" s="1" nd="1"/>
        <i x="153" s="1" nd="1"/>
        <i x="155" s="1" nd="1"/>
        <i x="277" s="1" nd="1"/>
        <i x="149" s="1" nd="1"/>
        <i x="196" s="1" nd="1"/>
        <i x="271" s="1" nd="1"/>
        <i x="272" s="1" nd="1"/>
        <i x="152" s="1" nd="1"/>
        <i x="279" s="1" nd="1"/>
        <i x="151" s="1" nd="1"/>
        <i x="166" s="1" nd="1"/>
        <i x="278" s="1" nd="1"/>
        <i x="273" s="1" nd="1"/>
        <i x="170" s="1" nd="1"/>
        <i x="276" s="1" nd="1"/>
        <i x="275" s="1" nd="1"/>
        <i x="191" s="1" nd="1"/>
        <i x="144" s="1" nd="1"/>
        <i x="156" s="1" nd="1"/>
        <i x="192" s="1" nd="1"/>
        <i x="190" s="1" nd="1"/>
        <i x="148" s="1" nd="1"/>
        <i x="150" s="1" nd="1"/>
        <i x="154" s="1" nd="1"/>
        <i x="145" s="1" nd="1"/>
        <i x="180" s="1" nd="1"/>
        <i x="185" s="1" nd="1"/>
        <i x="146" s="1" nd="1"/>
        <i x="147" s="1" nd="1"/>
        <i x="157" s="1" nd="1"/>
        <i x="160" s="1" nd="1"/>
        <i x="167" s="1" nd="1"/>
        <i x="159" s="1" nd="1"/>
        <i x="162" s="1" nd="1"/>
        <i x="161" s="1" nd="1"/>
        <i x="204" s="1" nd="1"/>
        <i x="158" s="1" nd="1"/>
        <i x="183" s="1" nd="1"/>
        <i x="199" s="1" nd="1"/>
        <i x="163" s="1" nd="1"/>
        <i x="188" s="1" nd="1"/>
        <i x="201" s="1" nd="1"/>
        <i x="172" s="1" nd="1"/>
        <i x="213" s="1" nd="1"/>
        <i x="171" s="1" nd="1"/>
        <i x="168" s="1" nd="1"/>
        <i x="164" s="1" nd="1"/>
        <i x="165" s="1" nd="1"/>
        <i x="184" s="1" nd="1"/>
        <i x="173" s="1" nd="1"/>
        <i x="96" s="1" nd="1"/>
        <i x="174" s="1" nd="1"/>
        <i x="169" s="1" nd="1"/>
        <i x="176" s="1" nd="1"/>
        <i x="177" s="1" nd="1"/>
        <i x="206" s="1" nd="1"/>
        <i x="175" s="1" nd="1"/>
        <i x="193" s="1" nd="1"/>
        <i x="181" s="1" nd="1"/>
        <i x="178" s="1" nd="1"/>
        <i x="182" s="1" nd="1"/>
        <i x="179" s="1" nd="1"/>
        <i x="186" s="1" nd="1"/>
        <i x="205" s="1" nd="1"/>
        <i x="200" s="1" nd="1"/>
        <i x="219" s="1" nd="1"/>
        <i x="187" s="1" nd="1"/>
        <i x="89" s="1" nd="1"/>
        <i x="198" s="1" nd="1"/>
        <i x="189" s="1" nd="1"/>
        <i x="214" s="1" nd="1"/>
        <i x="197" s="1" nd="1"/>
        <i x="212" s="1" nd="1"/>
        <i x="97" s="1" nd="1"/>
        <i x="203" s="1" nd="1"/>
        <i x="202" s="1" nd="1"/>
        <i x="218" s="1" nd="1"/>
        <i x="215" s="1" nd="1"/>
        <i x="108" s="1" nd="1"/>
        <i x="223" s="1" nd="1"/>
        <i x="207" s="1" nd="1"/>
        <i x="216" s="1" nd="1"/>
        <i x="221" s="1" nd="1"/>
        <i x="99" s="1" nd="1"/>
        <i x="125" s="1" nd="1"/>
        <i x="225" s="1" nd="1"/>
        <i x="222" s="1" nd="1"/>
        <i x="90" s="1" nd="1"/>
        <i x="110" s="1" nd="1"/>
        <i x="217" s="1" nd="1"/>
        <i x="92" s="1" nd="1"/>
        <i x="208" s="1" nd="1"/>
        <i x="211" s="1" nd="1"/>
        <i x="107" s="1" nd="1"/>
        <i x="220" s="1" nd="1"/>
        <i x="209" s="1" nd="1"/>
        <i x="210" s="1" nd="1"/>
        <i x="94" s="1" nd="1"/>
        <i x="112" s="1" nd="1"/>
        <i x="113" s="1" nd="1"/>
        <i x="126" s="1" nd="1"/>
        <i x="224" s="1" nd="1"/>
        <i x="88" s="1" nd="1"/>
        <i x="111" s="1" nd="1"/>
        <i x="104" s="1" nd="1"/>
        <i x="91" s="1" nd="1"/>
        <i x="95" s="1" nd="1"/>
        <i x="101" s="1" nd="1"/>
        <i x="93" s="1" nd="1"/>
        <i x="117" s="1" nd="1"/>
        <i x="121" s="1" nd="1"/>
        <i x="122" s="1" nd="1"/>
        <i x="114" s="1" nd="1"/>
        <i x="98" s="1" nd="1"/>
        <i x="100" s="1" nd="1"/>
        <i x="102" s="1" nd="1"/>
        <i x="105" s="1" nd="1"/>
        <i x="118" s="1" nd="1"/>
        <i x="103" s="1" nd="1"/>
        <i x="124" s="1" nd="1"/>
        <i x="139" s="1" nd="1"/>
        <i x="106" s="1" nd="1"/>
        <i x="127" s="1" nd="1"/>
        <i x="123" s="1" nd="1"/>
        <i x="109" s="1" nd="1"/>
        <i x="131" s="1" nd="1"/>
        <i x="116" s="1" nd="1"/>
        <i x="140" s="1" nd="1"/>
        <i x="120" s="1" nd="1"/>
        <i x="143" s="1" nd="1"/>
        <i x="130" s="1" nd="1"/>
        <i x="135" s="1" nd="1"/>
        <i x="132" s="1" nd="1"/>
        <i x="134" s="1" nd="1"/>
        <i x="129" s="1" nd="1"/>
        <i x="128" s="1" nd="1"/>
        <i x="133" s="1" nd="1"/>
        <i x="141" s="1" nd="1"/>
        <i x="137" s="1" nd="1"/>
        <i x="136" s="1" nd="1"/>
        <i x="142" s="1" nd="1"/>
        <i x="138" s="1" nd="1"/>
        <i x="194" s="1" nd="1"/>
        <i x="312"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3"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8">
      <calculatedColumnFormula>B49</calculatedColumnFormula>
    </tableColumn>
    <tableColumn id="2" xr3:uid="{7EDCC2ED-0339-42B3-9633-FFEA7A3DD9F3}" name="Tiyaar" dataDxfId="127">
      <calculatedColumnFormula>SUMIFS(ledger!G:G, ledger!B:B, B2, ledger!E:E, "&lt;&gt;*RD*") / 1.0936</calculatedColumnFormula>
    </tableColumn>
    <tableColumn id="3" xr3:uid="{CC1535DD-3FE7-4F55-8040-E7643388A78E}" name="Rate"/>
    <tableColumn id="4" xr3:uid="{059CB70B-ADAD-4985-84AA-0D530BAC5567}" name="Total" dataDxfId="126">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5" dataDxfId="124">
  <autoFilter ref="B7:E20" xr:uid="{449E5D32-DF9C-4018-96AB-CA98E118D910}"/>
  <tableColumns count="4">
    <tableColumn id="1" xr3:uid="{F663704C-91DD-4BB9-B7EB-EEB0C5EDED6C}" name="Description" dataDxfId="123"/>
    <tableColumn id="2" xr3:uid="{6D94D495-CD0B-4FD3-9771-81D731982A97}" name="Rate" dataDxfId="122" dataCellStyle="Comma"/>
    <tableColumn id="3" xr3:uid="{2D14CEAD-3602-40E7-A488-3584EBC9141E}" name="gazana" dataDxfId="121" dataCellStyle="Comma"/>
    <tableColumn id="4" xr3:uid="{06FEE63C-6480-4079-8426-51BC26B38B34}" name="sum" dataDxfId="120"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19" totalsRowDxfId="118"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7" dataDxfId="116" headerRowCellStyle="Comma" dataCellStyle="Comma">
  <autoFilter ref="B2:C5" xr:uid="{136E8F7F-D03F-4198-8335-91A003EA9E45}"/>
  <tableColumns count="2">
    <tableColumn id="1" xr3:uid="{279FA697-9952-479A-AC05-0D4992B41374}" name="Column1" dataDxfId="115" dataCellStyle="Comma"/>
    <tableColumn id="2" xr3:uid="{8A64998B-65EF-41CD-BCB0-3DDB7B359C54}" name="Column2" dataDxfId="11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3"/>
    <tableColumn id="2" xr3:uid="{51D27FA2-8DDF-4369-BAF7-7D1FE90E16A0}" name="Column2" dataDxfId="11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1" totalsRowDxfId="11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0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60" totalsRowCount="1" headerRowDxfId="108" dataDxfId="107" headerRowCellStyle="Comma" dataCellStyle="Comma">
  <autoFilter ref="A1:K59" xr:uid="{11DACEC6-751B-4B1D-817F-5C5BCD38EF6D}"/>
  <tableColumns count="11">
    <tableColumn id="1" xr3:uid="{2FCE3FA8-A48C-4685-8919-AE44C6C71FD9}" name="Date" dataDxfId="106" dataCellStyle="Comma"/>
    <tableColumn id="2" xr3:uid="{5780FD5F-0890-44E6-B59C-8E37A559FE36}" name="Party Name" dataDxfId="105" dataCellStyle="Comma"/>
    <tableColumn id="3" xr3:uid="{5B3ECD85-9174-40AC-BFBD-49CAC97A83D3}" name="Bill Number" dataDxfId="104" dataCellStyle="Comma"/>
    <tableColumn id="4" xr3:uid="{11B50761-04B6-4262-AD4D-7182450037D1}" name="Quality" dataDxfId="103" dataCellStyle="Comma"/>
    <tableColumn id="5" xr3:uid="{2C556969-B713-4967-BD24-466AACCBE5F5}" name="Shipment Number" dataDxfId="102" totalsRowDxfId="101" dataCellStyle="Comma"/>
    <tableColumn id="6" xr3:uid="{F4E1FD2B-9017-4DEB-B772-BF447ECE56F7}" name="Kora/metre" dataDxfId="100" totalsRowDxfId="99" dataCellStyle="Comma"/>
    <tableColumn id="7" xr3:uid="{52ACC1DA-7A76-4A90-B809-3A1AE728E7EA}" name="Tiyaar/gaz" dataDxfId="98" totalsRowDxfId="97" dataCellStyle="Comma"/>
    <tableColumn id="8" xr3:uid="{31A0FF5E-56F0-44D1-9865-73256B964660}" name="shortage %" dataDxfId="96" totalsRowDxfId="95" dataCellStyle="Comma">
      <calculatedColumnFormula>_xlfn.XLOOKUP(Table1[[#This Row],[Shipment Number]], 'pivot '!A:A,'pivot '!G:G, "NF")</calculatedColumnFormula>
    </tableColumn>
    <tableColumn id="9" xr3:uid="{F99075E0-AC8E-094D-BB85-272AD2C6C568}" name="tiyar/meters" totalsRowFunction="custom" dataDxfId="94" totalsRowDxfId="93"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2" totalsRowDxfId="91"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0" totalsRowDxfId="89"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3" totalsRowCount="1" headerRowDxfId="86" headerRowBorderDxfId="85" tableBorderDxfId="84">
  <autoFilter ref="A1:I12" xr:uid="{F8E8C957-ABE7-4E4F-8D4E-7D44E26B334F}"/>
  <tableColumns count="9">
    <tableColumn id="1" xr3:uid="{C2E817D6-AB98-4DDD-8890-736B27F261CD}" name="Date" dataDxfId="83" totalsRowDxfId="6"/>
    <tableColumn id="2" xr3:uid="{CFB51890-CCDC-463C-81C9-3F8BD7469CB9}" name="Party Name"/>
    <tableColumn id="3" xr3:uid="{A113D971-1C9D-4733-99C4-BD0CC4333209}" name="Vehicle Number"/>
    <tableColumn id="4" xr3:uid="{49780304-3DD1-4AE9-98EE-2BC7EB8F3B57}" name="Weight" dataDxfId="82" totalsRowDxfId="5" dataCellStyle="Comma"/>
    <tableColumn id="5" xr3:uid="{FCAF1BC6-1D8C-42AD-8BBC-F924BF2DC7FE}" name="Rate" dataDxfId="81" totalsRowDxfId="4" dataCellStyle="Comma"/>
    <tableColumn id="6" xr3:uid="{8C70A624-4134-410C-9C45-9FDEB51D51BF}" name="Rent" dataDxfId="80" totalsRowDxfId="3" dataCellStyle="Comma"/>
    <tableColumn id="7" xr3:uid="{EBCE10AE-9634-4982-9C95-37ABC8A7078C}" name="Total" totalsRowFunction="sum" dataDxfId="79" totalsRowDxfId="2" dataCellStyle="Comma">
      <calculatedColumnFormula>D2*E2</calculatedColumnFormula>
    </tableColumn>
    <tableColumn id="9" xr3:uid="{D4788559-C94A-44D9-B9AE-E72B214355AC}" name="Paid" totalsRowFunction="sum" dataDxfId="78" totalsRowDxfId="1" dataCellStyle="Comma"/>
    <tableColumn id="8" xr3:uid="{E26F5BF0-1875-4FC6-994D-49F202ED562B}" name="balance" totalsRowFunction="sum" dataDxfId="77" totalsRowDxfId="0"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 totalsRowCount="1">
  <autoFilter ref="A1:G5" xr:uid="{CB032221-B416-47A8-9A76-693DE76CFD04}"/>
  <tableColumns count="7">
    <tableColumn id="1" xr3:uid="{554B1EED-65B6-4E9A-B646-82727FAC40DE}" name="Date" dataDxfId="75" totalsRowDxfId="74"/>
    <tableColumn id="2" xr3:uid="{32259059-42CF-4947-83DE-115AA430BE2B}" name="Party"/>
    <tableColumn id="3" xr3:uid="{A1320223-D55D-483C-91C3-AB19B95CC9D8}" name="Debit" totalsRowFunction="sum" dataDxfId="73" totalsRowDxfId="72" dataCellStyle="Comma"/>
    <tableColumn id="4" xr3:uid="{E9745767-9FF0-4B1C-9052-FF335D1D7588}" name="Credit" totalsRowFunction="sum" dataDxfId="71" totalsRowDxfId="70" dataCellStyle="Comma"/>
    <tableColumn id="5" xr3:uid="{5C88A48E-2467-4E6D-B626-2442B7FD0BE4}" name="Description"/>
    <tableColumn id="6" xr3:uid="{63CA4666-144E-4BE6-8B7C-7CB992BD3041}" name="Mode" totalsRowFunction="custom" dataDxfId="69" totalsRowDxfId="6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67" tableBorderDxfId="66" totalsRowBorderDxfId="65">
  <autoFilter ref="J3:K6" xr:uid="{DCE01694-23ED-48BF-8B92-4186B9ED10A8}"/>
  <tableColumns count="2">
    <tableColumn id="1" xr3:uid="{C8484DAF-2989-4C2F-9AEC-A6917E1C57F6}" name="Type" dataDxfId="64"/>
    <tableColumn id="2" xr3:uid="{B07B7A2A-4D4E-4654-BED6-FE2F0A7BEC34}" name="Amount" dataDxfId="6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2" headerRowBorderDxfId="61" tableBorderDxfId="60" totalsRowBorderDxfId="59">
  <autoFilter ref="M3:O6" xr:uid="{D166BDD1-ACD7-45D7-8AE9-7350373F8CEB}"/>
  <tableColumns count="3">
    <tableColumn id="1" xr3:uid="{64F0205E-DEA7-4571-BA86-E4374A5FEE28}" name="Type" totalsRowLabel="Total" dataDxfId="58" totalsRowDxfId="57"/>
    <tableColumn id="2" xr3:uid="{15FA05F9-789C-4459-9BE0-5C1EC84D3365}" name="amount" totalsRowFunction="custom" dataDxfId="56" totalsRowDxfId="55">
      <totalsRowFormula>SUM(N5:N6)</totalsRowFormula>
    </tableColumn>
    <tableColumn id="3" xr3:uid="{3681D409-90C6-44D0-BDE2-4B5943A516F0}" name="Actual" totalsRowFunction="custom" totalsRowDxfId="5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3" totalsRowDxfId="52"/>
    <tableColumn id="2" xr3:uid="{5B9D0FEE-4304-4C5C-A05C-5B27CF7841D3}" name="Type"/>
    <tableColumn id="3" xr3:uid="{6A91CA0D-C802-4C6F-9F39-CA53687E8EDE}" name="Description"/>
    <tableColumn id="4" xr3:uid="{A251D40C-AB87-4BB4-85F8-444B20E32FDF}" name="Total" totalsRowFunction="custom" dataDxfId="51" totalsRowDxfId="5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0" totalsRowCount="1" headerRowDxfId="49" headerRowBorderDxfId="48">
  <autoFilter ref="A1:I9"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47"/>
    <tableColumn id="4" xr3:uid="{1889A312-9B41-4EC4-BD8F-05252F27084A}" name="Price" totalsRowFunction="sum"/>
    <tableColumn id="6" xr3:uid="{8B974B20-F003-4E67-8660-024FA4F324A9}" name="Party"/>
    <tableColumn id="7" xr3:uid="{0A5A5C21-FD61-47DA-9F54-66A6479FA557}" name="Paid" dataDxfId="46">
      <calculatedColumnFormula>SUMIFS(Table14[Debit], Table14[Date], Table8[[#This Row],[Date]], Table14[Party], Table8[[#This Row],[Party]])</calculatedColumnFormula>
    </tableColumn>
    <tableColumn id="8" xr3:uid="{8DCB3B43-2161-4081-82EC-CDB0F4DE4E6F}" name="Balance" totalsRowFunction="sum" dataDxfId="4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44" headerRowBorderDxfId="43">
  <autoFilter ref="A4:H13" xr:uid="{A4C80688-A8BA-4BA7-90B4-791CD99446B4}"/>
  <sortState xmlns:xlrd2="http://schemas.microsoft.com/office/spreadsheetml/2017/richdata2" ref="A5:H6">
    <sortCondition ref="A4:A6"/>
  </sortState>
  <tableColumns count="8">
    <tableColumn id="1" xr3:uid="{4A818912-918E-4111-ACFC-BC93FEF7C1AD}" name="Date" dataDxfId="42" totalsRowDxfId="41"/>
    <tableColumn id="8" xr3:uid="{477ACFD5-62AF-4F69-974B-E9B974C11D7D}" name="Party Name" dataDxfId="4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39">
      <calculatedColumnFormula>Table2[[#This Row],[Quantity]]*200*Table2[[#This Row],[Boxes]]</calculatedColumnFormula>
    </tableColumn>
    <tableColumn id="6" xr3:uid="{30432929-CBD4-4BA8-B63F-CD0F6CF6405F}" name="Paid" totalsRowFunction="sum" dataDxfId="38">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3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36" totalsRowDxfId="3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4" totalsRowDxfId="33"/>
    <tableColumn id="2" xr3:uid="{053BFC14-4828-417C-9F9F-95B6E232A945}" name="Amount" totalsRowFunction="custom" dataDxfId="32" totalsRowDxfId="3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0" totalsRowDxfId="2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19" totalsRowDxfId="1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17" totalsRowDxfId="1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15">
      <calculatedColumnFormula>Billing!Q5</calculatedColumnFormula>
    </tableColumn>
    <tableColumn id="2" xr3:uid="{7093A59E-B58F-487D-888A-9AA8156B5F9A}" name="Amount Paid" dataDxfId="1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13"/>
    <tableColumn id="2" xr3:uid="{F72CFEEB-BA11-4A49-BD19-88592EB6A27C}" name="Credit" dataDxfId="1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Y7" zoomScale="109" zoomScaleNormal="80" workbookViewId="0">
      <selection activeCell="Q27" sqref="Q27"/>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3.44140625"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0</v>
      </c>
      <c r="D2">
        <v>10</v>
      </c>
      <c r="E2" s="14">
        <f>(SUMIFS(ledger!G:G, ledger!B:B, B2, ledger!E:E, "&lt;&gt;*RD*",ledger!D:D, "Silky") / 1.0936)*12 + (SUMIFS(ledger!G:G, ledger!B:B, B2, ledger!E:E, "&lt;&gt;*RD*",ledger!D:D, "Chamki") / 1.0936)*10</f>
        <v>0</v>
      </c>
      <c r="I2" t="s">
        <v>21</v>
      </c>
      <c r="Q2" t="s">
        <v>1</v>
      </c>
    </row>
    <row r="3" spans="2:33" x14ac:dyDescent="0.3">
      <c r="B3" t="str">
        <f t="shared" si="0"/>
        <v>Ejaz Sahab</v>
      </c>
      <c r="C3" s="18">
        <f>SUMIFS(ledger!G:G, ledger!B:B, B3, ledger!E:E, "&lt;&gt;*RD*") / 1.0936</f>
        <v>0</v>
      </c>
      <c r="D3">
        <v>10</v>
      </c>
      <c r="E3" s="14">
        <f>(SUMIFS(ledger!G:G, ledger!B:B, B3, ledger!E:E, "&lt;&gt;*RD*",ledger!D:D, "Silky") / 1.0936)*12 + (SUMIFS(ledger!G:G, ledger!B:B, B3, ledger!E:E, "&lt;&gt;*RD*",ledger!D:D, "Chamki") / 1.0936)*10</f>
        <v>0</v>
      </c>
      <c r="I3" t="s">
        <v>22</v>
      </c>
    </row>
    <row r="4" spans="2:33" x14ac:dyDescent="0.3">
      <c r="B4" t="str">
        <f t="shared" si="0"/>
        <v>Arshad</v>
      </c>
      <c r="C4" s="18">
        <f>SUMIFS(ledger!G:G, ledger!B:B, B4, ledger!E:E, "&lt;&gt;*RD*") / 1.0936</f>
        <v>0</v>
      </c>
      <c r="D4">
        <v>10</v>
      </c>
      <c r="E4" s="14">
        <f>(SUMIFS(ledger!G:G, ledger!B:B, B4, ledger!E:E, "&lt;&gt;*RD*",ledger!D:D, "Silky") / 1.0936)*12 + (SUMIFS(ledger!G:G, ledger!B:B, B4, ledger!E:E, "&lt;&gt;*RD*",ledger!D:D, "Chamki") / 1.0936)*10</f>
        <v>0</v>
      </c>
      <c r="I4" t="s">
        <v>9</v>
      </c>
      <c r="Q4" s="21"/>
      <c r="R4" s="23" t="s">
        <v>10</v>
      </c>
      <c r="S4" s="23" t="s">
        <v>11</v>
      </c>
      <c r="T4" s="23" t="s">
        <v>12</v>
      </c>
      <c r="U4" s="23" t="s">
        <v>13</v>
      </c>
      <c r="V4" s="23" t="s">
        <v>14</v>
      </c>
      <c r="W4" s="23" t="s">
        <v>15</v>
      </c>
      <c r="X4" s="23" t="s">
        <v>182</v>
      </c>
      <c r="Y4" s="23" t="s">
        <v>183</v>
      </c>
      <c r="Z4" s="23" t="s">
        <v>235</v>
      </c>
      <c r="AA4" s="23" t="s">
        <v>238</v>
      </c>
      <c r="AB4" s="23" t="s">
        <v>246</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0">_xlfn.UNIQUE(Table1[Party Name])</f>
        <v>BSC</v>
      </c>
      <c r="R5" s="22" cm="1">
        <f t="array" ref="R5">_xlfn.BYROW(B49,_xlfn.LAMBDA(_xlpm.party,SUMIFS(ledger!G:G,ledger!B:B,_xlpm.party,ledger!E:E,"&lt;&gt;*RD*")))+_xlfn.IFNA(C84,0)</f>
        <v>2534939</v>
      </c>
      <c r="S5" s="22" cm="1">
        <f t="array" ref="S5">_xlfn.BYROW(B49, _xlfn.LAMBDA(_xlpm.party, SUMIFS(ledger!G:G, ledger!B:B, _xlpm.party, ledger!E:E, "&lt;&gt;*RD*") / 1.0936 ))+_xlfn.IFNA(D84,0)</f>
        <v>2317976.408193124</v>
      </c>
      <c r="T5" s="22" cm="1">
        <f t="array" ref="T5">(_xlfn.BYROW(B49,_xlfn.LAMBDA(_xlpm.party,SUMIFS(ledger!G:G,ledger!B:B,_xlpm.party,ledger!E:E,"&lt;&gt;*RD*",ledger!D:D,"Chamki")+SUMIFS(ledger!G:G, ledger!B:B, _xlpm.party, ledger!E:E, "&lt;&gt;*RD*", ledger!D:D, "Crinkle")))/1.0936)+_xlfn.IFNA(E84,0)</f>
        <v>2035507.4981711779</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20355074.981711783</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23938814.923189472</v>
      </c>
      <c r="AD5" s="22">
        <f>(SUMIF(Table14[Party],Q5,Table14[Credit]))+_xlfn.IFNA(O84,0)</f>
        <v>19750734</v>
      </c>
      <c r="AE5" s="33">
        <f>AC5-AD5</f>
        <v>4188080.9231894724</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393394</v>
      </c>
      <c r="S6" s="22" cm="1">
        <f t="array" ref="S6">_xlfn.BYROW(B50, _xlfn.LAMBDA(_xlpm.party, SUMIFS(ledger!G:G, ledger!B:B, _xlpm.party, ledger!E:E, "&lt;&gt;*RD*") / 1.0936 ))+_xlfn.IFNA(D85,0)</f>
        <v>359723.84784198983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211578.27359180688</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2691373.4455010975</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4172829.1880029263</v>
      </c>
      <c r="AD6" s="22">
        <f>(SUMIF(Table14[Party],Q6,Table14[Credit]))+_xlfn.IFNA(O85,0)</f>
        <v>3963904</v>
      </c>
      <c r="AE6" s="33">
        <f t="shared" ref="AE6:AE31" si="2">AC6-AD6</f>
        <v>208925.1880029263</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657148</v>
      </c>
      <c r="S7" s="22" cm="1">
        <f t="array" ref="S7">_xlfn.BYROW(B51, _xlfn.LAMBDA(_xlpm.party, SUMIFS(ledger!G:G, ledger!B:B, _xlpm.party, ledger!E:E, "&lt;&gt;*RD*") / 1.0936 ))+_xlfn.IFNA(D86,0)</f>
        <v>600903.43818580837</v>
      </c>
      <c r="T7" s="22" cm="1">
        <f t="array" ref="T7">(_xlfn.BYROW(B51,_xlfn.LAMBDA(_xlpm.party,SUMIFS(ledger!G:G,ledger!B:B,_xlpm.party,ledger!E:E,"&lt;&gt;*RD*",ledger!D:D,"Chamki")+SUMIFS(ledger!G:G, ledger!B:B, _xlpm.party, ledger!E:E, "&lt;&gt;*RD*", ledger!D:D, "Crinkle")))/1.0936)+_xlfn.IFNA(E86,0)</f>
        <v>522790.78273591812</v>
      </c>
      <c r="U7" s="70" cm="1">
        <f t="array" ref="U7">(_xlfn.BYROW(B51,_xlfn.LAMBDA(_xlpm.party,SUMIFS(ledger!G:G,ledger!B:B,_xlpm.party,ledger!E:E,"&lt;&gt;*RD*",ledger!D:D,"Silky")))/1.0936)+_xlfn.IFNA(F86,0)</f>
        <v>78112.65544989027</v>
      </c>
      <c r="V7" s="22" cm="1">
        <f t="array" ref="V7">(_xlfn.BYROW(B51,_xlfn.LAMBDA(_xlpm.party,
(SUMIFS(ledger!J:J,ledger!B:B,_xlpm.party,ledger!E:E,"&lt;&gt;*RD*",ledger!D:D,"Chamki",ledger!C:C,"&lt;&gt;November Closing CF")+
SUMIFS(ledger!J:J,ledger!B:B,_xlpm.party,ledger!E:E,"&lt;&gt;*RD*",ledger!D:D,"Crinkle",ledger!C:C,"&lt;&gt;November Closing CF")
)+_xlfn.IFNA(G86,0))))</f>
        <v>5227907.8273591809</v>
      </c>
      <c r="W7" s="70" cm="1">
        <f t="array" ref="W7">_xlfn.BYROW(B51, _xlfn.LAMBDA(_xlpm.party,
   SUMIFS(ledger!J:J, ledger!B:B, _xlpm.party, ledger!E:E, "&lt;&gt;*RD*", ledger!D:D, "Silky", ledger!C:C, "&lt;&gt;November Closing CF")
)) + _xlfn.IFNA(H86, 0)</f>
        <v>1000670.2633504025</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6228578.0907095838</v>
      </c>
      <c r="AD7" s="22">
        <f>(SUMIF(Table14[Party],Q7,Table14[Credit]))+_xlfn.IFNA(O86,0)</f>
        <v>6002935</v>
      </c>
      <c r="AE7" s="33">
        <f t="shared" si="2"/>
        <v>225643.09070958383</v>
      </c>
      <c r="AF7" s="21">
        <v>10</v>
      </c>
      <c r="AG7" s="21">
        <v>13</v>
      </c>
    </row>
    <row r="8" spans="2:33"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7397871</v>
      </c>
      <c r="AE10" s="33">
        <f t="shared" si="2"/>
        <v>533291.21653255355</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152434</v>
      </c>
      <c r="S11" s="22" cm="1">
        <f t="array" ref="S11">_xlfn.BYROW(B55, _xlfn.LAMBDA(_xlpm.party, SUMIFS(ledger!G:G, ledger!B:B, _xlpm.party, ledger!E:E, "&lt;&gt;*RD*") / 1.0936 ))+_xlfn.IFNA(D90,0)</f>
        <v>139387.34455010976</v>
      </c>
      <c r="T11" s="22" cm="1">
        <f t="array" ref="T11">(_xlfn.BYROW(B55,_xlfn.LAMBDA(_xlpm.party,SUMIFS(ledger!G:G,ledger!B:B,_xlpm.party,ledger!E:E,"&lt;&gt;*RD*",ledger!D:D,"Chamki")+SUMIFS(ledger!G:G, ledger!B:B, _xlpm.party, ledger!E:E, "&lt;&gt;*RD*", ledger!D:D, "Crinkle")))/1.0936)+_xlfn.IFNA(E90,0)</f>
        <v>139387.34455010976</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1393873.4455010975</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1393873.4455010975</v>
      </c>
      <c r="AD11" s="22">
        <f>(SUMIF(Table14[Party],Q11,Table14[Credit]))+_xlfn.IFNA(O90,0)</f>
        <v>1100000</v>
      </c>
      <c r="AE11" s="33">
        <f t="shared" si="2"/>
        <v>293873.44550109748</v>
      </c>
      <c r="AF11" s="21">
        <v>10</v>
      </c>
      <c r="AG11" s="21">
        <v>13</v>
      </c>
    </row>
    <row r="12" spans="2:33"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I12" t="s">
        <v>27</v>
      </c>
      <c r="O12" s="28"/>
      <c r="P12" s="28"/>
      <c r="Q12" s="24" t="str">
        <v>Azam</v>
      </c>
      <c r="R12" s="22" cm="1">
        <f t="array" ref="R12">_xlfn.BYROW(B56,_xlfn.LAMBDA(_xlpm.party,SUMIFS(ledger!G:G,ledger!B:B,_xlpm.party,ledger!E:E,"&lt;&gt;*RD*")))+_xlfn.IFNA(C91,0)</f>
        <v>361607</v>
      </c>
      <c r="S12" s="22" cm="1">
        <f t="array" ref="S12">_xlfn.BYROW(B56, _xlfn.LAMBDA(_xlpm.party, SUMIFS(ledger!G:G, ledger!B:B, _xlpm.party, ledger!E:E, "&lt;&gt;*RD*") / 1.0936 ))+_xlfn.IFNA(D91,0)</f>
        <v>330657.46159473306</v>
      </c>
      <c r="T12" s="22" cm="1">
        <f t="array" ref="T12">(_xlfn.BYROW(B56,_xlfn.LAMBDA(_xlpm.party,SUMIFS(ledger!G:G,ledger!B:B,_xlpm.party,ledger!E:E,"&lt;&gt;*RD*",ledger!D:D,"Chamki")+SUMIFS(ledger!G:G, ledger!B:B, _xlpm.party, ledger!E:E, "&lt;&gt;*RD*", ledger!D:D, "Crinkle")))/1.0936)+_xlfn.IFNA(E91,0)</f>
        <v>305469.09290416975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3054690.9290416976</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3382139.7220190205</v>
      </c>
      <c r="AD12" s="22">
        <f>(SUMIF(Table14[Party],Q12,Table14[Credit]))+_xlfn.IFNA(O91,0)</f>
        <v>3322620</v>
      </c>
      <c r="AE12" s="33">
        <f t="shared" si="2"/>
        <v>59519.722019020468</v>
      </c>
      <c r="AF12" s="21">
        <v>10</v>
      </c>
      <c r="AG12" s="21">
        <v>13</v>
      </c>
    </row>
    <row r="13" spans="2:33"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202815</v>
      </c>
      <c r="S15" s="22" cm="1">
        <f t="array" ref="S15">_xlfn.BYROW(B59, _xlfn.LAMBDA(_xlpm.party, SUMIFS(ledger!G:G, ledger!B:B, _xlpm.party, ledger!E:E, "&lt;&gt;*RD*") / 1.0936 ))+_xlfn.IFNA(D94,0)</f>
        <v>185456.29114850037</v>
      </c>
      <c r="T15" s="22" cm="1">
        <f t="array" ref="T15">(_xlfn.BYROW(B59,_xlfn.LAMBDA(_xlpm.party,SUMIFS(ledger!G:G,ledger!B:B,_xlpm.party,ledger!E:E,"&lt;&gt;*RD*",ledger!D:D,"Chamki")+SUMIFS(ledger!G:G, ledger!B:B, _xlpm.party, ledger!E:E, "&lt;&gt;*RD*", ledger!D:D, "Crinkle")))/1.0936)+_xlfn.IFNA(E94,0)</f>
        <v>185456.29114850037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1854562.9114850038</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1854562.9114850038</v>
      </c>
      <c r="AD15" s="22">
        <f>(SUMIF(Table14[Party],Q15,Table14[Credit]))+_xlfn.IFNA(O94,0)</f>
        <v>1805980</v>
      </c>
      <c r="AE15" s="33">
        <f t="shared" si="2"/>
        <v>48582.911485003773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517408</v>
      </c>
      <c r="S16" s="22" cm="1">
        <f t="array" ref="S16">_xlfn.BYROW(B60, _xlfn.LAMBDA(_xlpm.party, SUMIFS(ledger!G:G, ledger!B:B, _xlpm.party, ledger!E:E, "&lt;&gt;*RD*") / 1.0936 ))+_xlfn.IFNA(D95,0)</f>
        <v>473123.62838332116</v>
      </c>
      <c r="T16" s="22" cm="1">
        <f t="array" ref="T16">(_xlfn.BYROW(B60,_xlfn.LAMBDA(_xlpm.party,SUMIFS(ledger!G:G,ledger!B:B,_xlpm.party,ledger!E:E,"&lt;&gt;*RD*",ledger!D:D,"Chamki")+SUMIFS(ledger!G:G, ledger!B:B, _xlpm.party, ledger!E:E, "&lt;&gt;*RD*", ledger!D:D, "Crinkle")))/1.0936)+_xlfn.IFNA(E95,0)</f>
        <v>355909.83906364307</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3559098.3906364306</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5019722.933430871</v>
      </c>
      <c r="AD16" s="22">
        <f>(SUMIF(Table14[Party],Q16,Table14[Credit]))+_xlfn.IFNA(O95,0)</f>
        <v>4925761</v>
      </c>
      <c r="AE16" s="33">
        <f t="shared" si="2"/>
        <v>93961.933430870995</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177</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180</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181</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0</v>
      </c>
      <c r="D21" t="s">
        <v>30</v>
      </c>
      <c r="I21" t="s">
        <v>186</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202</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0</v>
      </c>
      <c r="D23" t="s">
        <v>32</v>
      </c>
      <c r="I23" t="s">
        <v>216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215</v>
      </c>
      <c r="Q24" t="str">
        <v>Salman Zaffar</v>
      </c>
      <c r="R24" s="22" cm="1">
        <f t="array" ref="R24">_xlfn.BYROW(B68,_xlfn.LAMBDA(_xlpm.party,SUMIFS(ledger!G:G,ledger!B:B,_xlpm.party,ledger!E:E,"&lt;&gt;*RD*")))+_xlfn.IFNA(C103,0)</f>
        <v>64780</v>
      </c>
      <c r="S24" s="22" cm="1">
        <f t="array" ref="S24">_xlfn.BYROW(B68, _xlfn.LAMBDA(_xlpm.party, SUMIFS(ledger!G:G, ledger!B:B, _xlpm.party, ledger!E:E, "&lt;&gt;*RD*") / 1.0936 ))+_xlfn.IFNA(D103,0)</f>
        <v>59235.552304316028</v>
      </c>
      <c r="T24" s="22" cm="1">
        <f t="array" ref="T24">(_xlfn.BYROW(B68,_xlfn.LAMBDA(_xlpm.party,SUMIFS(ledger!G:G,ledger!B:B,_xlpm.party,ledger!E:E,"&lt;&gt;*RD*",ledger!D:D,"Chamki")+SUMIFS(ledger!G:G, ledger!B:B, _xlpm.party, ledger!E:E, "&lt;&gt;*RD*", ledger!D:D, "Crinkle")))/1.0936)+_xlfn.IFNA(E103,0)</f>
        <v>14355.340160936359</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143553.40160936359</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713525.05486466724</v>
      </c>
      <c r="AD24" s="22">
        <f>(SUMIF(Table14[Party],Q24,Table14[Credit]))+_xlfn.IFNA(O103,0)</f>
        <v>0</v>
      </c>
      <c r="AE24" s="33">
        <f t="shared" si="2"/>
        <v>713525.05486466724</v>
      </c>
      <c r="AF24" s="21">
        <v>10</v>
      </c>
      <c r="AG24" s="21">
        <v>13</v>
      </c>
    </row>
    <row r="25" spans="2:33" x14ac:dyDescent="0.3">
      <c r="I25" t="s">
        <v>225</v>
      </c>
      <c r="Q25" t="str">
        <v>Shahid Qasayi</v>
      </c>
      <c r="R25" s="22" cm="1">
        <f t="array" ref="R25">_xlfn.BYROW(B69,_xlfn.LAMBDA(_xlpm.party,SUMIFS(ledger!G:G,ledger!B:B,_xlpm.party,ledger!E:E,"&lt;&gt;*RD*")))+_xlfn.IFNA(C104,0)</f>
        <v>176129</v>
      </c>
      <c r="S25" s="22" cm="1">
        <f t="array" ref="S25">_xlfn.BYROW(B69, _xlfn.LAMBDA(_xlpm.party, SUMIFS(ledger!G:G, ledger!B:B, _xlpm.party, ledger!E:E, "&lt;&gt;*RD*") / 1.0936 ))+_xlfn.IFNA(D104,0)</f>
        <v>161054.31602048283</v>
      </c>
      <c r="T25" s="22" cm="1">
        <f t="array" ref="T25">(_xlfn.BYROW(B69,_xlfn.LAMBDA(_xlpm.party,SUMIFS(ledger!G:G,ledger!B:B,_xlpm.party,ledger!E:E,"&lt;&gt;*RD*",ledger!D:D,"Chamki")+SUMIFS(ledger!G:G, ledger!B:B, _xlpm.party, ledger!E:E, "&lt;&gt;*RD*", ledger!D:D, "Crinkle")))/1.0936)+_xlfn.IFNA(E104,0)</f>
        <v>113495.7937088515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1134957.9370885149</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0</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1658101.6825164594</v>
      </c>
      <c r="AD25" s="22">
        <f>(SUMIF(Table14[Party],Q25,Table14[Credit]))+_xlfn.IFNA(O104,0)</f>
        <v>1468325</v>
      </c>
      <c r="AE25" s="33">
        <f t="shared" si="2"/>
        <v>189776.68251645938</v>
      </c>
      <c r="AF25" s="21">
        <v>10</v>
      </c>
      <c r="AG25" s="21">
        <v>13</v>
      </c>
    </row>
    <row r="26" spans="2:33" x14ac:dyDescent="0.3">
      <c r="I26" t="s">
        <v>240</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244</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4557</v>
      </c>
      <c r="S30" s="22" cm="1">
        <f t="array" ref="S30">_xlfn.BYROW(B74, _xlfn.LAMBDA(_xlpm.party, SUMIFS(ledger!G:G, ledger!B:B, _xlpm.party, ledger!E:E, "&lt;&gt;*RD*") / 1.0936 ))+_xlfn.IFNA(D109,0)</f>
        <v>4166.9714703730797</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54170.629114850039</v>
      </c>
      <c r="AC30" s="39">
        <f t="shared" si="1"/>
        <v>54170.629114850039</v>
      </c>
      <c r="AD30" s="22">
        <f>(SUMIF(Table14[Party],Q30,Table14[Credit]))+_xlfn.IFNA(O109,0)</f>
        <v>0</v>
      </c>
      <c r="AE30" s="33">
        <f t="shared" si="2"/>
        <v>54170.629114850039</v>
      </c>
      <c r="AF30" s="21">
        <v>10</v>
      </c>
      <c r="AG30" s="21">
        <v>13</v>
      </c>
    </row>
    <row r="31" spans="2:33"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182</v>
      </c>
      <c r="J48" s="23" t="s">
        <v>183</v>
      </c>
      <c r="K48" s="23" t="s">
        <v>235</v>
      </c>
      <c r="L48" s="23" t="s">
        <v>238</v>
      </c>
      <c r="M48" s="23" t="s">
        <v>246</v>
      </c>
      <c r="N48" s="23" t="s">
        <v>16</v>
      </c>
      <c r="O48" s="23" t="s">
        <v>17</v>
      </c>
      <c r="P48" s="23" t="s">
        <v>18</v>
      </c>
      <c r="Q48" s="23" t="s">
        <v>19</v>
      </c>
      <c r="R48" s="23" t="s">
        <v>20</v>
      </c>
    </row>
    <row r="49" spans="1:23" x14ac:dyDescent="0.3">
      <c r="A49" t="s">
        <v>33</v>
      </c>
      <c r="B49" s="24" t="str" cm="1">
        <f t="array" ref="B49:B74">_xlfn.UNIQUE(Table1[Party Name])</f>
        <v>BSC</v>
      </c>
      <c r="C49" s="22" cm="1">
        <f t="array" ref="C49:C74">_xlfn.BYROW(_xlfn.ANCHORARRAY(B49),_xlfn.LAMBDA(_xlpm.party,SUMIFS(ledger!G:G,ledger!B:B,_xlpm.party,ledger!E:E,"&lt;&gt;*RD*")))</f>
        <v>0</v>
      </c>
      <c r="D49" s="22" cm="1">
        <f t="array" ref="D49:D74">_xlfn.BYROW(_xlfn.ANCHORARRAY(B49), _xlfn.LAMBDA(_xlpm.party, SUMIFS(ledger!G:G, ledger!B:B, _xlpm.party, ledger!E:E, "&lt;&gt;*RD*") / 1.0936 ))</f>
        <v>0</v>
      </c>
      <c r="E49" s="63" cm="1">
        <f t="array" ref="E49:E74">(_xlfn.BYROW(_xlfn.ANCHORARRAY(B49),_xlfn.LAMBDA(_xlpm.party,SUMIFS(ledger!G:G,ledger!B:B,_xlpm.party,ledger!E:E,"&lt;&gt;*RD*",ledger!D:D,"Chamki")+SUMIFS(ledger!G:G, ledger!B:B, _xlpm.party, ledger!E:E, "&lt;&gt;*RD*", ledger!D:D, "Crinkle")))/1.0936)</f>
        <v>0</v>
      </c>
      <c r="F49" s="63" cm="1">
        <f t="array" ref="F49:F74">(_xlfn.BYROW(_xlfn.ANCHORARRAY(B49),_xlfn.LAMBDA(_xlpm.party,SUMIFS(ledger!G:G,ledger!B:B,_xlpm.party,ledger!E:E,"&lt;&gt;*RD*",ledger!D:D,"Silky")))/1.0936)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0</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0</v>
      </c>
      <c r="O49" s="22">
        <f>(SUMIF(Table14[Party],B49,Table14[Credit]))</f>
        <v>0</v>
      </c>
      <c r="P49" s="37">
        <f>N49-O49</f>
        <v>0</v>
      </c>
      <c r="Q49" s="21">
        <v>10</v>
      </c>
      <c r="R49" s="21">
        <v>12</v>
      </c>
    </row>
    <row r="50" spans="1:23" x14ac:dyDescent="0.3">
      <c r="B50" s="24" t="str">
        <v>Ejaz Sahab</v>
      </c>
      <c r="C50" s="22">
        <v>0</v>
      </c>
      <c r="D50" s="22">
        <v>0</v>
      </c>
      <c r="E50" s="63">
        <v>0</v>
      </c>
      <c r="F50" s="63">
        <v>0</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0</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0</v>
      </c>
      <c r="O50" s="22">
        <f>(SUMIF(Table14[Party],B50,Table14[Credit]))</f>
        <v>0</v>
      </c>
      <c r="P50" s="37">
        <f>N50-O50</f>
        <v>0</v>
      </c>
      <c r="Q50" s="21">
        <v>10</v>
      </c>
      <c r="R50" s="21">
        <v>12</v>
      </c>
    </row>
    <row r="51" spans="1:23" x14ac:dyDescent="0.3">
      <c r="B51" s="24" t="str">
        <v>Arshad</v>
      </c>
      <c r="C51" s="22">
        <v>0</v>
      </c>
      <c r="D51" s="22">
        <v>0</v>
      </c>
      <c r="E51" s="63">
        <v>0</v>
      </c>
      <c r="F51" s="63">
        <v>0</v>
      </c>
      <c r="G51" s="22" cm="1">
        <f t="array" ref="G51">(_xlfn.BYROW(B51,_xlfn.LAMBDA(_xlpm.party,
(SUMIFS(ledger!J:J,ledger!B:B,_xlpm.party,ledger!E:E,"&lt;&gt;*RD*",ledger!D:D,"Chamki",ledger!C:C,"&lt;&gt;November Closing CF")+
SUMIFS(ledger!J:J,ledger!B:B,_xlpm.party,ledger!E:E,"&lt;&gt;*RD*",ledger!D:D,"Crinkle",ledger!C:C,"&lt;&gt;November Closing CF")
))))</f>
        <v>0</v>
      </c>
      <c r="H51" s="22" cm="1">
        <f t="array" ref="H51">_xlfn.BYROW(B51, _xlfn.LAMBDA(_xlpm.party,
   SUMIFS(ledger!J:J, ledger!B:B, _xlpm.party, ledger!E:E, "&lt;&gt;*RD*", ledger!D:D, "Silky", ledger!C:C, "&lt;&gt;November Closing CF")
))</f>
        <v>0</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0</v>
      </c>
      <c r="O51" s="22">
        <f>(SUMIF(Table14[Party],B51,Table14[Credit]))</f>
        <v>0</v>
      </c>
      <c r="P51" s="37">
        <f>N51-O51</f>
        <v>0</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0</v>
      </c>
      <c r="P54" s="37">
        <f t="shared" si="5"/>
        <v>0</v>
      </c>
      <c r="Q54" s="21">
        <v>10</v>
      </c>
      <c r="R54" s="21">
        <v>12</v>
      </c>
    </row>
    <row r="55" spans="1:23" x14ac:dyDescent="0.3">
      <c r="B55" s="24" t="str">
        <v>Raaz Fabrics</v>
      </c>
      <c r="C55" s="22">
        <v>0</v>
      </c>
      <c r="D55" s="22">
        <v>0</v>
      </c>
      <c r="E55" s="63">
        <v>0</v>
      </c>
      <c r="F55" s="63">
        <v>0</v>
      </c>
      <c r="G55" s="22" cm="1">
        <f t="array" ref="G55">(_xlfn.BYROW(B55,_xlfn.LAMBDA(_xlpm.party,
(SUMIFS(ledger!J:J,ledger!B:B,_xlpm.party,ledger!E:E,"&lt;&gt;*RD*",ledger!D:D,"Chamki",ledger!C:C,"&lt;&gt;November Closing CF")+
SUMIFS(ledger!J:J,ledger!B:B,_xlpm.party,ledger!E:E,"&lt;&gt;*RD*",ledger!D:D,"Crinkle",ledger!C:C,"&lt;&gt;November Closing CF")
))))</f>
        <v>0</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0</v>
      </c>
      <c r="O55" s="22">
        <f>(SUMIF(Table14[Party],B55,Table14[Credit]))</f>
        <v>0</v>
      </c>
      <c r="P55" s="37">
        <f t="shared" si="5"/>
        <v>0</v>
      </c>
      <c r="Q55" s="21">
        <v>10</v>
      </c>
      <c r="R55" s="21">
        <v>12</v>
      </c>
    </row>
    <row r="56" spans="1:23" x14ac:dyDescent="0.3">
      <c r="B56" s="24" t="str">
        <v>Azam</v>
      </c>
      <c r="C56" s="22">
        <v>0</v>
      </c>
      <c r="D56" s="22">
        <v>0</v>
      </c>
      <c r="E56" s="63">
        <v>0</v>
      </c>
      <c r="F56" s="63">
        <v>0</v>
      </c>
      <c r="G56" s="22" cm="1">
        <f t="array" ref="G56">(_xlfn.BYROW(B56,_xlfn.LAMBDA(_xlpm.party,
(SUMIFS(ledger!J:J,ledger!B:B,_xlpm.party,ledger!E:E,"&lt;&gt;*RD*",ledger!D:D,"Chamki",ledger!C:C,"&lt;&gt;November Closing CF")+
SUMIFS(ledger!J:J,ledger!B:B,_xlpm.party,ledger!E:E,"&lt;&gt;*RD*",ledger!D:D,"Crinkle",ledger!C:C,"&lt;&gt;November Closing CF")
))))</f>
        <v>0</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0</v>
      </c>
      <c r="O56" s="22">
        <f>(SUMIF(Table14[Party],B56,Table14[Credit]))</f>
        <v>0</v>
      </c>
      <c r="P56" s="37">
        <f t="shared" ref="P56:P78" si="6">N56-O56</f>
        <v>0</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301326.81053401611</v>
      </c>
      <c r="W58" s="18">
        <v>3335711.4118507681</v>
      </c>
    </row>
    <row r="59" spans="1:23" x14ac:dyDescent="0.3">
      <c r="B59" s="24" t="str">
        <v>Hafiz Qureshi</v>
      </c>
      <c r="C59" s="22">
        <v>0</v>
      </c>
      <c r="D59" s="22">
        <v>0</v>
      </c>
      <c r="E59" s="63">
        <v>0</v>
      </c>
      <c r="F59" s="63">
        <v>0</v>
      </c>
      <c r="G59" s="22" cm="1">
        <f t="array" ref="G59">(_xlfn.BYROW(B59,_xlfn.LAMBDA(_xlpm.party,
(SUMIFS(ledger!J:J,ledger!B:B,_xlpm.party,ledger!E:E,"&lt;&gt;*RD*",ledger!D:D,"Chamki",ledger!C:C,"&lt;&gt;November Closing CF")+
SUMIFS(ledger!J:J,ledger!B:B,_xlpm.party,ledger!E:E,"&lt;&gt;*RD*",ledger!D:D,"Crinkle",ledger!C:C,"&lt;&gt;November Closing CF")
))))</f>
        <v>0</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0</v>
      </c>
      <c r="O59" s="22">
        <f>SUMIF(Table14[Party], B59, Table14[Credit])</f>
        <v>0</v>
      </c>
      <c r="P59" s="37">
        <f t="shared" si="6"/>
        <v>0</v>
      </c>
      <c r="Q59" s="21">
        <v>10</v>
      </c>
      <c r="R59" s="21">
        <v>12</v>
      </c>
      <c r="U59" s="4" t="s">
        <v>22</v>
      </c>
      <c r="V59" s="5">
        <v>105662.94806144843</v>
      </c>
      <c r="W59" s="18">
        <v>1267955.3767373813</v>
      </c>
    </row>
    <row r="60" spans="1:23" x14ac:dyDescent="0.3">
      <c r="B60" s="24" t="str">
        <v>Badshah Fabrics</v>
      </c>
      <c r="C60" s="22">
        <v>0</v>
      </c>
      <c r="D60" s="22">
        <v>0</v>
      </c>
      <c r="E60" s="63">
        <v>0</v>
      </c>
      <c r="F60" s="63">
        <v>0</v>
      </c>
      <c r="G60" s="22" cm="1">
        <f t="array" ref="G60">(_xlfn.BYROW(B60,_xlfn.LAMBDA(_xlpm.party,
(SUMIFS(ledger!J:J,ledger!B:B,_xlpm.party,ledger!E:E,"&lt;&gt;*RD*",ledger!D:D,"Chamki",ledger!C:C,"&lt;&gt;November Closing CF")+
SUMIFS(ledger!J:J,ledger!B:B,_xlpm.party,ledger!E:E,"&lt;&gt;*RD*",ledger!D:D,"Crinkle",ledger!C:C,"&lt;&gt;November Closing CF")
))))</f>
        <v>0</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0</v>
      </c>
      <c r="O60" s="22">
        <f>SUMIF(Table14[Party], B60, Table14[Credit])</f>
        <v>0</v>
      </c>
      <c r="P60" s="37">
        <f t="shared" si="6"/>
        <v>0</v>
      </c>
      <c r="Q60" s="21">
        <v>10</v>
      </c>
      <c r="R60" s="21">
        <v>12</v>
      </c>
      <c r="U60" s="4" t="s">
        <v>9</v>
      </c>
      <c r="V60" s="5">
        <v>193527.79809802488</v>
      </c>
      <c r="W60" s="18">
        <v>2061914.7768836871</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238543.34308705197</v>
      </c>
      <c r="W63" s="18">
        <v>2385433.4308705195</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47108.632040965625</v>
      </c>
      <c r="W64" s="18">
        <v>471086.32040965627</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143660.38771031456</v>
      </c>
      <c r="W65" s="18">
        <v>1436603.8771031457</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0</v>
      </c>
      <c r="D68" s="22">
        <v>0</v>
      </c>
      <c r="E68" s="63">
        <v>0</v>
      </c>
      <c r="F68" s="63">
        <v>0</v>
      </c>
      <c r="G68" s="22" cm="1">
        <f t="array" ref="G68">(_xlfn.BYROW(B68,_xlfn.LAMBDA(_xlpm.party,
(SUMIFS(ledger!J:J,ledger!B:B,_xlpm.party,ledger!E:E,"&lt;&gt;*RD*",ledger!D:D,"Chamki",ledger!C:C,"&lt;&gt;November Closing CF")+
SUMIFS(ledger!J:J,ledger!B:B,_xlpm.party,ledger!E:E,"&lt;&gt;*RD*",ledger!D:D,"Crinkle",ledger!C:C,"&lt;&gt;November Closing CF")
))))</f>
        <v>0</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0</v>
      </c>
      <c r="O68" s="22">
        <f>SUMIF(Table14[Party], B68, Table14[Credit])</f>
        <v>0</v>
      </c>
      <c r="P68" s="37">
        <f t="shared" si="6"/>
        <v>0</v>
      </c>
      <c r="Q68" s="21">
        <v>10</v>
      </c>
      <c r="R68" s="21">
        <v>12</v>
      </c>
      <c r="U68" s="4" t="s">
        <v>27</v>
      </c>
      <c r="V68" s="5">
        <v>64305.047549378207</v>
      </c>
      <c r="W68" s="18">
        <v>643050.47549378208</v>
      </c>
    </row>
    <row r="69" spans="2:23" x14ac:dyDescent="0.3">
      <c r="B69" s="81" t="str">
        <v>Shahid Qasayi</v>
      </c>
      <c r="C69" s="22">
        <v>0</v>
      </c>
      <c r="D69" s="22">
        <v>0</v>
      </c>
      <c r="E69" s="63">
        <v>0</v>
      </c>
      <c r="F69" s="21">
        <v>0</v>
      </c>
      <c r="G69" s="22" cm="1">
        <f t="array" ref="G69">(_xlfn.BYROW(B69,_xlfn.LAMBDA(_xlpm.party,
(SUMIFS(ledger!J:J,ledger!B:B,_xlpm.party,ledger!E:E,"&lt;&gt;*RD*",ledger!D:D,"Chamki",ledger!C:C,"&lt;&gt;November Closing CF")+
SUMIFS(ledger!J:J,ledger!B:B,_xlpm.party,ledger!E:E,"&lt;&gt;*RD*",ledger!D:D,"Crinkle",ledger!C:C,"&lt;&gt;November Closing CF")
))))</f>
        <v>0</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0</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0</v>
      </c>
      <c r="O69" s="22">
        <f>SUMIF(Table14[Party], B69, Table14[Credit])</f>
        <v>0</v>
      </c>
      <c r="P69" s="37">
        <f t="shared" si="6"/>
        <v>0</v>
      </c>
      <c r="Q69" s="21">
        <v>10</v>
      </c>
      <c r="R69" s="21">
        <v>12</v>
      </c>
      <c r="U69" s="4" t="s">
        <v>166</v>
      </c>
      <c r="V69" s="5">
        <v>68178.493050475503</v>
      </c>
      <c r="W69" s="18">
        <v>789903.07242136076</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0</v>
      </c>
      <c r="D74">
        <v>0</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0</v>
      </c>
      <c r="N74" s="39">
        <f t="shared" si="4"/>
        <v>0</v>
      </c>
      <c r="O74" s="22">
        <f>SUMIF(Table14[Party], B74, Table14[Credit])</f>
        <v>0</v>
      </c>
      <c r="P74" s="37">
        <f t="shared" si="6"/>
        <v>0</v>
      </c>
      <c r="U74" s="4" t="s">
        <v>177</v>
      </c>
      <c r="V74" s="5">
        <v>198235.18653986833</v>
      </c>
      <c r="W74" s="18">
        <v>2378822.2384784198</v>
      </c>
    </row>
    <row r="75" spans="2:23" x14ac:dyDescent="0.3">
      <c r="B75" s="81"/>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1360548.6466715438</v>
      </c>
      <c r="W75" s="14">
        <v>14770480.980248719</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249</v>
      </c>
      <c r="J83" s="23" t="s">
        <v>183</v>
      </c>
      <c r="K83" s="116" t="s">
        <v>250</v>
      </c>
      <c r="L83" s="116" t="s">
        <v>251</v>
      </c>
      <c r="M83" s="116" t="s">
        <v>246</v>
      </c>
      <c r="N83" s="23" t="s">
        <v>16</v>
      </c>
      <c r="O83" s="23" t="s">
        <v>17</v>
      </c>
      <c r="P83" s="23" t="s">
        <v>18</v>
      </c>
      <c r="Q83" s="23" t="s">
        <v>19</v>
      </c>
      <c r="R83" s="23" t="s">
        <v>20</v>
      </c>
    </row>
    <row r="84" spans="2:18" x14ac:dyDescent="0.3">
      <c r="B84" s="24" t="str" cm="1">
        <f t="array" ref="B84:B109">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c r="C110" s="22">
        <f>_xlfn.XLOOKUP($B75,[1]Billing!$Q$5:$Q$40,[1]Billing!$R$5:$R$40)</f>
        <v>0</v>
      </c>
      <c r="D110" s="22">
        <f>_xlfn.XLOOKUP($B75,[1]Billing!$Q$5:$Q$40,[1]Billing!$S$5:$S$40)</f>
        <v>0</v>
      </c>
      <c r="E110" s="22">
        <f>_xlfn.XLOOKUP($B75,[1]Billing!$Q$5:$Q$40,[1]Billing!$T$5:$T$40)</f>
        <v>0</v>
      </c>
      <c r="F110" s="22">
        <f>_xlfn.XLOOKUP($B75,[1]Billing!$Q$5:$Q$40,[1]Billing!$U$5:$U$40)</f>
        <v>0</v>
      </c>
      <c r="G110" s="22">
        <f>_xlfn.XLOOKUP($B75,[1]Billing!$Q$5:$Q$40,[1]Billing!$V$5:$V$40)</f>
        <v>0</v>
      </c>
      <c r="H110" s="22">
        <f>_xlfn.XLOOKUP($B75,[1]Billing!$Q$5:$Q$40,[1]Billing!$W$5:$W$40)</f>
        <v>0</v>
      </c>
      <c r="I110" s="22">
        <f>_xlfn.XLOOKUP($B75,[1]Billing!$Q$5:$Q$40,[1]Billing!$X$5:$X$40)</f>
        <v>0</v>
      </c>
      <c r="J110" s="22">
        <f>_xlfn.XLOOKUP($B75,[1]Billing!$Q$5:$Q$40,[1]Billing!$Y$5:$Y$40)</f>
        <v>0</v>
      </c>
      <c r="K110">
        <f>_xlfn.XLOOKUP($B75,[1]Billing!$Q$5:$Q$40,[1]Billing!$Z$5:$Z$40)</f>
        <v>0</v>
      </c>
      <c r="L110">
        <f>_xlfn.XLOOKUP($B75,[1]Billing!$Q$5:$Q$40,[1]Billing!$AA$5:$AA$40)</f>
        <v>0</v>
      </c>
      <c r="M110">
        <f>_xlfn.XLOOKUP($B75,[1]Billing!$Q$5:$Q$40,[1]Billing!$AB$5:$AB$40)</f>
        <v>0</v>
      </c>
      <c r="N110" s="39">
        <f t="shared" ref="N110:N115" si="9">G110+H110+I110+J110+K110+L110+M110</f>
        <v>0</v>
      </c>
      <c r="O110" s="22">
        <f>_xlfn.XLOOKUP($B75,[1]Billing!$Q$5:$Q$40,[1]Billing!$AD$5:$AD$40)</f>
        <v>0</v>
      </c>
      <c r="P110" s="37">
        <f t="shared" ref="P110:P115" si="10">N110-O110</f>
        <v>0</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9"/>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9">_xlfn.UNIQUE(Table1[Party Name])</f>
        <v>BSC</v>
      </c>
    </row>
    <row r="5" spans="2:10" x14ac:dyDescent="0.3">
      <c r="J5" t="str">
        <v>Ejaz Sahab</v>
      </c>
    </row>
    <row r="6" spans="2:10" ht="21" x14ac:dyDescent="0.4">
      <c r="B6" s="64" t="s">
        <v>220</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176129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161054.31602048283</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113495.7937088515</v>
      </c>
      <c r="E12" s="92">
        <f ca="1">Table21[[#This Row],[gazana]]*Table21[[#This Row],[Rate]]</f>
        <v>1134957.9370885151</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1134957.9370885151</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1468325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189776.68251645938</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sheetData>
  <conditionalFormatting sqref="E20">
    <cfRule type="cellIs" dxfId="11" priority="1" operator="lessThan">
      <formula>20000</formula>
    </cfRule>
    <cfRule type="cellIs" dxfId="10"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C6" sqref="C6"/>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Wood!K6+((363*810)+(830*233)+(146*580))</f>
        <v>572100</v>
      </c>
      <c r="D4" t="s">
        <v>196</v>
      </c>
    </row>
    <row r="5" spans="1:4" x14ac:dyDescent="0.3">
      <c r="B5" t="s">
        <v>48</v>
      </c>
      <c r="C5" s="11">
        <f>SUM(Table8[Price])+Dyes!P56</f>
        <v>208660</v>
      </c>
    </row>
    <row r="6" spans="1:4" x14ac:dyDescent="0.3">
      <c r="B6" t="s">
        <v>49</v>
      </c>
      <c r="C6" s="11">
        <f>SUM(Table2[Price])+Finish!K30</f>
        <v>106600</v>
      </c>
      <c r="D6" t="s">
        <v>195</v>
      </c>
    </row>
    <row r="7" spans="1:4" x14ac:dyDescent="0.3">
      <c r="B7" t="s">
        <v>50</v>
      </c>
      <c r="C7" s="11">
        <f>SUMIFS(Table14[Debit], Table14[Party],Table12[[#This Row],[Type]])</f>
        <v>0</v>
      </c>
    </row>
    <row r="8" spans="1:4" x14ac:dyDescent="0.3">
      <c r="B8" t="s">
        <v>51</v>
      </c>
      <c r="C8" s="11">
        <f>Electricity!E3</f>
        <v>0</v>
      </c>
    </row>
    <row r="9" spans="1:4" x14ac:dyDescent="0.3">
      <c r="B9" t="s">
        <v>52</v>
      </c>
      <c r="C9" s="11">
        <f>SUMIFS(Table14[Debit], Table14[Party],Table12[[#This Row],[Type]])+SUMIFS(Table14[Debit], Table14[Party],"Advance Salary")</f>
        <v>0</v>
      </c>
    </row>
    <row r="10" spans="1:4" x14ac:dyDescent="0.3">
      <c r="B10" t="s">
        <v>53</v>
      </c>
      <c r="C10" s="11">
        <f>Table5[[#Totals],[Amount]]</f>
        <v>0</v>
      </c>
    </row>
    <row r="11" spans="1:4" x14ac:dyDescent="0.3">
      <c r="B11" t="s">
        <v>54</v>
      </c>
      <c r="C11" s="11">
        <f>Table13[[#Totals],[Debit]]</f>
        <v>0</v>
      </c>
    </row>
    <row r="12" spans="1:4" x14ac:dyDescent="0.3">
      <c r="B12" t="s">
        <v>55</v>
      </c>
      <c r="C12" s="11">
        <f>Table15[[#Totals],[Amount]]</f>
        <v>0</v>
      </c>
    </row>
    <row r="13" spans="1:4" x14ac:dyDescent="0.3">
      <c r="C13" s="11"/>
    </row>
    <row r="14" spans="1:4" x14ac:dyDescent="0.3">
      <c r="C14" s="14">
        <f>SUM(Table12[Amount])</f>
        <v>887360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0</v>
      </c>
    </row>
    <row r="4" spans="1:3" x14ac:dyDescent="0.3">
      <c r="B4" s="11" t="s">
        <v>44</v>
      </c>
      <c r="C4" s="11">
        <f>Table12[[#Totals],[Amount]]</f>
        <v>887360</v>
      </c>
    </row>
    <row r="5" spans="1:3" x14ac:dyDescent="0.3">
      <c r="A5" s="6"/>
      <c r="B5" s="15" t="s">
        <v>68</v>
      </c>
      <c r="C5" s="15">
        <f>C3-C4</f>
        <v>-887360</v>
      </c>
    </row>
    <row r="10" spans="1:3" ht="15" thickBot="1" x14ac:dyDescent="0.35">
      <c r="B10" t="s">
        <v>66</v>
      </c>
      <c r="C10" s="14" t="s">
        <v>67</v>
      </c>
    </row>
    <row r="11" spans="1:3" x14ac:dyDescent="0.3">
      <c r="B11" s="56" t="s">
        <v>0</v>
      </c>
      <c r="C11" s="57">
        <f>C3</f>
        <v>0</v>
      </c>
    </row>
    <row r="12" spans="1:3" x14ac:dyDescent="0.3">
      <c r="B12" s="58" t="s">
        <v>69</v>
      </c>
      <c r="C12" s="59">
        <f>SUM(Table14[Credit])</f>
        <v>116581</v>
      </c>
    </row>
    <row r="13" spans="1:3" ht="15" thickBot="1" x14ac:dyDescent="0.35">
      <c r="B13" s="74" t="s">
        <v>93</v>
      </c>
      <c r="C13" s="73">
        <f>(C11-C12)</f>
        <v>-116581</v>
      </c>
    </row>
    <row r="14" spans="1:3" ht="15" thickBot="1" x14ac:dyDescent="0.35">
      <c r="B14" s="58"/>
      <c r="C14" s="59"/>
    </row>
    <row r="15" spans="1:3" x14ac:dyDescent="0.3">
      <c r="B15" s="56" t="s">
        <v>44</v>
      </c>
      <c r="C15" s="57">
        <f>C4</f>
        <v>887360</v>
      </c>
    </row>
    <row r="16" spans="1:3" x14ac:dyDescent="0.3">
      <c r="B16" s="58" t="s">
        <v>70</v>
      </c>
      <c r="C16" s="59">
        <f>SUM(Table14[Debit])</f>
        <v>0</v>
      </c>
    </row>
    <row r="17" spans="2:6" ht="15" thickBot="1" x14ac:dyDescent="0.35">
      <c r="B17" s="74" t="s">
        <v>71</v>
      </c>
      <c r="C17" s="73">
        <f>C15-C16</f>
        <v>887360</v>
      </c>
    </row>
    <row r="18" spans="2:6" ht="15" thickBot="1" x14ac:dyDescent="0.35">
      <c r="B18" s="58"/>
      <c r="C18" s="59"/>
    </row>
    <row r="19" spans="2:6" ht="15" thickBot="1" x14ac:dyDescent="0.35">
      <c r="B19" s="75" t="s">
        <v>72</v>
      </c>
      <c r="C19" s="76">
        <f>Table18[[#Totals],[amount]]</f>
        <v>116581</v>
      </c>
    </row>
    <row r="20" spans="2:6" ht="15" thickBot="1" x14ac:dyDescent="0.35">
      <c r="B20" s="71"/>
      <c r="C20" s="72"/>
    </row>
    <row r="21" spans="2:6" ht="15" thickBot="1" x14ac:dyDescent="0.35">
      <c r="B21" s="60" t="s">
        <v>73</v>
      </c>
      <c r="C21" s="61">
        <f>(C13-C17)+C19</f>
        <v>-887360</v>
      </c>
      <c r="E21" s="79" t="s">
        <v>74</v>
      </c>
      <c r="F21" s="80">
        <f>C5*0.05</f>
        <v>-44368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6" workbookViewId="0">
      <selection activeCell="H12" sqref="H12"/>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0</v>
      </c>
      <c r="E7">
        <f>SUMIFS(Table14[Credit], Table14[Date], Table13[[#This Row],[Date]], Table14[Party], "Transport")</f>
        <v>0</v>
      </c>
    </row>
    <row r="8" spans="2:6" x14ac:dyDescent="0.3">
      <c r="B8" s="1">
        <v>45981</v>
      </c>
      <c r="D8">
        <f>SUMIFS(Table14[Debit], Table14[Date], Table13[[#This Row],[Date]], Table14[Party], "Transport")</f>
        <v>0</v>
      </c>
      <c r="E8">
        <f>SUMIFS(Table14[Credit], Table14[Date], Table13[[#This Row],[Date]], Table14[Party], "Transport")</f>
        <v>0</v>
      </c>
    </row>
    <row r="9" spans="2:6" x14ac:dyDescent="0.3">
      <c r="B9" s="1">
        <v>45982</v>
      </c>
      <c r="D9">
        <f>SUMIFS(Table14[Debit], Table14[Date], Table13[[#This Row],[Date]], Table14[Party], "Transport")</f>
        <v>0</v>
      </c>
      <c r="E9">
        <f>SUMIFS(Table14[Credit], Table14[Date], Table13[[#This Row],[Date]], Table14[Party], "Transport")</f>
        <v>0</v>
      </c>
    </row>
    <row r="10" spans="2:6" x14ac:dyDescent="0.3">
      <c r="B10" s="1">
        <v>45983</v>
      </c>
      <c r="D10">
        <f>SUMIFS(Table14[Debit], Table14[Date], Table13[[#This Row],[Date]], Table14[Party], "Transport")</f>
        <v>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0</v>
      </c>
      <c r="E38">
        <f>SUBTOTAL(109,Table13[Credit])</f>
        <v>0</v>
      </c>
      <c r="F38">
        <f>Table13[[#Totals],[Debit]]-Table13[[#Totals],[Credit]]</f>
        <v>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zoomScale="91" zoomScaleNormal="82" workbookViewId="0">
      <selection activeCell="B2" sqref="B2:B27"/>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247</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247</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247</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247</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247</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247</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247</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247</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247</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247</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247</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247</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247</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247</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247</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247</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177</v>
      </c>
      <c r="C18" s="108" t="s">
        <v>247</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180</v>
      </c>
      <c r="C19" s="108" t="s">
        <v>247</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181</v>
      </c>
      <c r="C20" s="108" t="s">
        <v>247</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186</v>
      </c>
      <c r="C21" s="108" t="s">
        <v>247</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202</v>
      </c>
      <c r="C22" s="108" t="s">
        <v>247</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216</v>
      </c>
      <c r="C23" s="108" t="s">
        <v>247</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215</v>
      </c>
      <c r="C24" s="108" t="s">
        <v>247</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225</v>
      </c>
      <c r="C25" s="108" t="s">
        <v>247</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240</v>
      </c>
      <c r="C26" s="108" t="s">
        <v>247</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9" t="s">
        <v>244</v>
      </c>
      <c r="C27" s="108" t="s">
        <v>247</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3">
        <v>45979</v>
      </c>
      <c r="B28" s="81" t="s">
        <v>21</v>
      </c>
      <c r="C28" s="114" t="s">
        <v>247</v>
      </c>
      <c r="D28" s="114" t="s">
        <v>86</v>
      </c>
      <c r="E28" s="13"/>
      <c r="F28" s="13"/>
      <c r="G28" s="13"/>
      <c r="H28" s="115" t="e">
        <f>_xlfn.XLOOKUP(Table1[[#This Row],[Shipment Number]], 'pivot '!A:A,'pivot '!G:G, "NF")</f>
        <v>#DIV/0!</v>
      </c>
      <c r="I28" s="115">
        <f>_xlfn.XLOOKUP(Table1[[#This Row],[Party Name]],
[1]Billing!$Q$5:$Q$40,
[1]Billing!$U$5:$U$40)</f>
        <v>282468.91002194589</v>
      </c>
      <c r="J28" s="115">
        <f>_xlfn.XLOOKUP(Table1[[#This Row],[Party Name]],
[1]Billing!$Q$5:$Q$40,
[1]Billing!$W$5:$W$40)</f>
        <v>3583739.941477689</v>
      </c>
      <c r="K28" s="114"/>
      <c r="P28"/>
      <c r="Q28"/>
      <c r="R28"/>
      <c r="S28"/>
      <c r="T28"/>
      <c r="U28"/>
      <c r="V28"/>
      <c r="W28"/>
      <c r="X28"/>
      <c r="Y28"/>
    </row>
    <row r="29" spans="1:25" x14ac:dyDescent="0.3">
      <c r="A29" s="107">
        <v>45979</v>
      </c>
      <c r="B29" s="81" t="s">
        <v>22</v>
      </c>
      <c r="C29" s="108" t="s">
        <v>247</v>
      </c>
      <c r="D29" s="108" t="s">
        <v>86</v>
      </c>
      <c r="E29" s="37"/>
      <c r="F29" s="37"/>
      <c r="G29" s="37"/>
      <c r="H29" s="110" t="e">
        <f>_xlfn.XLOOKUP(Table1[[#This Row],[Shipment Number]], 'pivot '!A:A,'pivot '!G:G, "NF")</f>
        <v>#DIV/0!</v>
      </c>
      <c r="I29" s="115">
        <f>_xlfn.XLOOKUP(Table1[[#This Row],[Party Name]],
[1]Billing!$Q$5:$Q$40,
[1]Billing!$U$5:$U$40)</f>
        <v>211578.27359180688</v>
      </c>
      <c r="J29" s="115">
        <f>_xlfn.XLOOKUP(Table1[[#This Row],[Party Name]],
[1]Billing!$Q$5:$Q$40,
[1]Billing!$W$5:$W$40)</f>
        <v>2691373.4455010975</v>
      </c>
      <c r="K29" s="108"/>
      <c r="P29"/>
      <c r="Q29"/>
      <c r="R29"/>
      <c r="S29"/>
      <c r="T29"/>
      <c r="U29"/>
      <c r="V29"/>
      <c r="W29"/>
      <c r="X29"/>
      <c r="Y29"/>
    </row>
    <row r="30" spans="1:25" x14ac:dyDescent="0.3">
      <c r="A30" s="107">
        <v>45979</v>
      </c>
      <c r="B30" s="81" t="s">
        <v>9</v>
      </c>
      <c r="C30" s="108" t="s">
        <v>247</v>
      </c>
      <c r="D30" s="114" t="s">
        <v>86</v>
      </c>
      <c r="E30" s="37"/>
      <c r="F30" s="37"/>
      <c r="G30" s="37"/>
      <c r="H30" s="110" t="e">
        <f>_xlfn.XLOOKUP(Table1[[#This Row],[Shipment Number]], 'pivot '!A:A,'pivot '!G:G, "NF")</f>
        <v>#DIV/0!</v>
      </c>
      <c r="I30" s="115">
        <f>_xlfn.XLOOKUP(Table1[[#This Row],[Party Name]],
[1]Billing!$Q$5:$Q$40,
[1]Billing!$U$5:$U$40)</f>
        <v>78112.65544989027</v>
      </c>
      <c r="J30" s="115">
        <f>_xlfn.XLOOKUP(Table1[[#This Row],[Party Name]],
[1]Billing!$Q$5:$Q$40,
[1]Billing!$W$5:$W$40)</f>
        <v>1000670.2633504025</v>
      </c>
      <c r="K30" s="108"/>
      <c r="P30"/>
      <c r="Q30"/>
      <c r="R30"/>
      <c r="S30"/>
      <c r="T30"/>
      <c r="U30"/>
      <c r="V30"/>
      <c r="W30"/>
      <c r="X30"/>
      <c r="Y30"/>
    </row>
    <row r="31" spans="1:25" x14ac:dyDescent="0.3">
      <c r="A31" s="107">
        <v>45979</v>
      </c>
      <c r="B31" s="81" t="s">
        <v>23</v>
      </c>
      <c r="C31" s="108" t="s">
        <v>247</v>
      </c>
      <c r="D31" s="108" t="s">
        <v>86</v>
      </c>
      <c r="E31" s="37"/>
      <c r="F31" s="37"/>
      <c r="G31" s="37"/>
      <c r="H31" s="110" t="e">
        <f>_xlfn.XLOOKUP(Table1[[#This Row],[Shipment Number]], 'pivot '!A:A,'pivot '!G:G, "NF")</f>
        <v>#DIV/0!</v>
      </c>
      <c r="I31" s="115">
        <f>_xlfn.XLOOKUP(Table1[[#This Row],[Party Name]],
[1]Billing!$Q$5:$Q$40,
[1]Billing!$U$5:$U$40)</f>
        <v>0</v>
      </c>
      <c r="J31" s="115">
        <f>_xlfn.XLOOKUP(Table1[[#This Row],[Party Name]],
[1]Billing!$Q$5:$Q$40,
[1]Billing!$W$5:$W$40)</f>
        <v>0</v>
      </c>
      <c r="K31" s="108"/>
      <c r="P31"/>
      <c r="Q31"/>
      <c r="R31"/>
      <c r="S31"/>
      <c r="T31"/>
      <c r="U31"/>
      <c r="V31"/>
      <c r="W31"/>
      <c r="X31"/>
      <c r="Y31"/>
    </row>
    <row r="32" spans="1:25" x14ac:dyDescent="0.3">
      <c r="A32" s="107">
        <v>45979</v>
      </c>
      <c r="B32" s="81" t="s">
        <v>24</v>
      </c>
      <c r="C32" s="108" t="s">
        <v>247</v>
      </c>
      <c r="D32" s="114" t="s">
        <v>86</v>
      </c>
      <c r="E32" s="37"/>
      <c r="F32" s="37"/>
      <c r="G32" s="37"/>
      <c r="H32" s="110" t="e">
        <f>_xlfn.XLOOKUP(Table1[[#This Row],[Shipment Number]], 'pivot '!A:A,'pivot '!G:G, "NF")</f>
        <v>#DIV/0!</v>
      </c>
      <c r="I32" s="115">
        <f>_xlfn.XLOOKUP(Table1[[#This Row],[Party Name]],
[1]Billing!$Q$5:$Q$40,
[1]Billing!$U$5:$U$40)</f>
        <v>485823.88441843458</v>
      </c>
      <c r="J32" s="115">
        <f>_xlfn.XLOOKUP(Table1[[#This Row],[Party Name]],
[1]Billing!$Q$5:$Q$40,
[1]Billing!$W$5:$W$40)</f>
        <v>5829886.6130212145</v>
      </c>
      <c r="K32" s="108"/>
      <c r="P32"/>
      <c r="Q32"/>
      <c r="R32"/>
      <c r="S32"/>
      <c r="T32"/>
      <c r="U32"/>
      <c r="V32"/>
      <c r="W32"/>
      <c r="X32"/>
      <c r="Y32"/>
    </row>
    <row r="33" spans="1:25" x14ac:dyDescent="0.3">
      <c r="A33" s="107">
        <v>45979</v>
      </c>
      <c r="B33" s="81" t="s">
        <v>25</v>
      </c>
      <c r="C33" s="108" t="s">
        <v>247</v>
      </c>
      <c r="D33" s="108" t="s">
        <v>86</v>
      </c>
      <c r="E33" s="37"/>
      <c r="F33" s="37"/>
      <c r="G33" s="37"/>
      <c r="H33" s="110" t="e">
        <f>_xlfn.XLOOKUP(Table1[[#This Row],[Shipment Number]], 'pivot '!A:A,'pivot '!G:G, "NF")</f>
        <v>#DIV/0!</v>
      </c>
      <c r="I33" s="115">
        <f>_xlfn.XLOOKUP(Table1[[#This Row],[Party Name]],
[1]Billing!$Q$5:$Q$40,
[1]Billing!$U$5:$U$40)</f>
        <v>0</v>
      </c>
      <c r="J33" s="115">
        <f>_xlfn.XLOOKUP(Table1[[#This Row],[Party Name]],
[1]Billing!$Q$5:$Q$40,
[1]Billing!$W$5:$W$40)</f>
        <v>0</v>
      </c>
      <c r="K33" s="108"/>
      <c r="P33"/>
      <c r="Q33"/>
      <c r="R33"/>
      <c r="S33"/>
      <c r="T33"/>
      <c r="U33"/>
      <c r="V33"/>
      <c r="W33"/>
      <c r="X33"/>
      <c r="Y33"/>
    </row>
    <row r="34" spans="1:25" x14ac:dyDescent="0.3">
      <c r="A34" s="107">
        <v>45979</v>
      </c>
      <c r="B34" s="81" t="s">
        <v>26</v>
      </c>
      <c r="C34" s="108" t="s">
        <v>247</v>
      </c>
      <c r="D34" s="114" t="s">
        <v>86</v>
      </c>
      <c r="E34" s="37"/>
      <c r="F34" s="37"/>
      <c r="G34" s="37"/>
      <c r="H34" s="110" t="e">
        <f>_xlfn.XLOOKUP(Table1[[#This Row],[Shipment Number]], 'pivot '!A:A,'pivot '!G:G, "NF")</f>
        <v>#DIV/0!</v>
      </c>
      <c r="I34" s="115">
        <f>_xlfn.XLOOKUP(Table1[[#This Row],[Party Name]],
[1]Billing!$Q$5:$Q$40,
[1]Billing!$U$5:$U$40)</f>
        <v>0</v>
      </c>
      <c r="J34" s="115">
        <f>_xlfn.XLOOKUP(Table1[[#This Row],[Party Name]],
[1]Billing!$Q$5:$Q$40,
[1]Billing!$W$5:$W$40)</f>
        <v>0</v>
      </c>
      <c r="K34" s="108"/>
      <c r="P34"/>
      <c r="Q34"/>
      <c r="R34"/>
      <c r="S34"/>
      <c r="T34"/>
      <c r="U34"/>
      <c r="V34"/>
      <c r="W34"/>
      <c r="X34"/>
      <c r="Y34"/>
    </row>
    <row r="35" spans="1:25" x14ac:dyDescent="0.3">
      <c r="A35" s="107">
        <v>45979</v>
      </c>
      <c r="B35" s="81" t="s">
        <v>152</v>
      </c>
      <c r="C35" s="108" t="s">
        <v>247</v>
      </c>
      <c r="D35" s="108" t="s">
        <v>86</v>
      </c>
      <c r="E35" s="37"/>
      <c r="F35" s="37"/>
      <c r="G35" s="37"/>
      <c r="H35" s="110" t="e">
        <f>_xlfn.XLOOKUP(Table1[[#This Row],[Shipment Number]], 'pivot '!A:A,'pivot '!G:G, "NF")</f>
        <v>#DIV/0!</v>
      </c>
      <c r="I35" s="115">
        <f>_xlfn.XLOOKUP(Table1[[#This Row],[Party Name]],
[1]Billing!$Q$5:$Q$40,
[1]Billing!$U$5:$U$40)</f>
        <v>25188.368690563279</v>
      </c>
      <c r="J35" s="115">
        <f>_xlfn.XLOOKUP(Table1[[#This Row],[Party Name]],
[1]Billing!$Q$5:$Q$40,
[1]Billing!$W$5:$W$40)</f>
        <v>327448.79297732259</v>
      </c>
      <c r="K35" s="108"/>
      <c r="P35"/>
      <c r="Q35"/>
      <c r="R35"/>
      <c r="S35"/>
      <c r="T35"/>
      <c r="U35"/>
      <c r="V35"/>
      <c r="W35"/>
      <c r="X35"/>
      <c r="Y35"/>
    </row>
    <row r="36" spans="1:25" x14ac:dyDescent="0.3">
      <c r="A36" s="107">
        <v>45979</v>
      </c>
      <c r="B36" s="81" t="s">
        <v>35</v>
      </c>
      <c r="C36" s="108" t="s">
        <v>247</v>
      </c>
      <c r="D36" s="114" t="s">
        <v>86</v>
      </c>
      <c r="E36" s="37"/>
      <c r="F36" s="37"/>
      <c r="G36" s="37"/>
      <c r="H36" s="110" t="e">
        <f>_xlfn.XLOOKUP(Table1[[#This Row],[Shipment Number]], 'pivot '!A:A,'pivot '!G:G, "NF")</f>
        <v>#DIV/0!</v>
      </c>
      <c r="I36" s="115">
        <f>_xlfn.XLOOKUP(Table1[[#This Row],[Party Name]],
[1]Billing!$Q$5:$Q$40,
[1]Billing!$U$5:$U$40)</f>
        <v>14995.427944403806</v>
      </c>
      <c r="J36" s="115">
        <f>_xlfn.XLOOKUP(Table1[[#This Row],[Party Name]],
[1]Billing!$Q$5:$Q$40,
[1]Billing!$W$5:$W$40)</f>
        <v>179945.13533284568</v>
      </c>
      <c r="K36" s="108"/>
      <c r="P36"/>
      <c r="Q36"/>
      <c r="R36"/>
      <c r="S36"/>
      <c r="T36"/>
      <c r="U36"/>
      <c r="V36"/>
      <c r="W36"/>
      <c r="X36"/>
      <c r="Y36"/>
    </row>
    <row r="37" spans="1:25" x14ac:dyDescent="0.3">
      <c r="A37" s="107">
        <v>45979</v>
      </c>
      <c r="B37" s="81" t="s">
        <v>148</v>
      </c>
      <c r="C37" s="108" t="s">
        <v>247</v>
      </c>
      <c r="D37" s="108" t="s">
        <v>86</v>
      </c>
      <c r="E37" s="37"/>
      <c r="F37" s="37"/>
      <c r="G37" s="37"/>
      <c r="H37" s="110" t="e">
        <f>_xlfn.XLOOKUP(Table1[[#This Row],[Shipment Number]], 'pivot '!A:A,'pivot '!G:G, "NF")</f>
        <v>#DIV/0!</v>
      </c>
      <c r="I37" s="115">
        <f>_xlfn.XLOOKUP(Table1[[#This Row],[Party Name]],
[1]Billing!$Q$5:$Q$40,
[1]Billing!$U$5:$U$40)</f>
        <v>0</v>
      </c>
      <c r="J37" s="115">
        <f>_xlfn.XLOOKUP(Table1[[#This Row],[Party Name]],
[1]Billing!$Q$5:$Q$40,
[1]Billing!$W$5:$W$40)</f>
        <v>0</v>
      </c>
      <c r="K37" s="108"/>
      <c r="P37"/>
      <c r="Q37"/>
      <c r="R37"/>
      <c r="S37"/>
      <c r="T37"/>
      <c r="U37"/>
      <c r="V37"/>
      <c r="W37"/>
      <c r="X37"/>
      <c r="Y37"/>
    </row>
    <row r="38" spans="1:25" x14ac:dyDescent="0.3">
      <c r="A38" s="107">
        <v>45979</v>
      </c>
      <c r="B38" s="81" t="s">
        <v>27</v>
      </c>
      <c r="C38" s="108" t="s">
        <v>247</v>
      </c>
      <c r="D38" s="114" t="s">
        <v>86</v>
      </c>
      <c r="E38" s="37"/>
      <c r="F38" s="37"/>
      <c r="G38" s="37"/>
      <c r="H38" s="110" t="e">
        <f>_xlfn.XLOOKUP(Table1[[#This Row],[Shipment Number]], 'pivot '!A:A,'pivot '!G:G, "NF")</f>
        <v>#DIV/0!</v>
      </c>
      <c r="I38" s="115">
        <f>_xlfn.XLOOKUP(Table1[[#This Row],[Party Name]],
[1]Billing!$Q$5:$Q$40,
[1]Billing!$U$5:$U$40)</f>
        <v>0</v>
      </c>
      <c r="J38" s="115">
        <f>_xlfn.XLOOKUP(Table1[[#This Row],[Party Name]],
[1]Billing!$Q$5:$Q$40,
[1]Billing!$W$5:$W$40)</f>
        <v>0</v>
      </c>
      <c r="K38" s="108"/>
      <c r="P38"/>
      <c r="Q38"/>
      <c r="R38"/>
      <c r="S38"/>
      <c r="T38"/>
      <c r="U38"/>
      <c r="V38"/>
      <c r="W38"/>
      <c r="X38"/>
      <c r="Y38"/>
    </row>
    <row r="39" spans="1:25" x14ac:dyDescent="0.3">
      <c r="A39" s="107">
        <v>45979</v>
      </c>
      <c r="B39" s="81" t="s">
        <v>166</v>
      </c>
      <c r="C39" s="108" t="s">
        <v>247</v>
      </c>
      <c r="D39" s="108" t="s">
        <v>86</v>
      </c>
      <c r="E39" s="37"/>
      <c r="F39" s="37"/>
      <c r="G39" s="37"/>
      <c r="H39" s="110" t="e">
        <f>_xlfn.XLOOKUP(Table1[[#This Row],[Shipment Number]], 'pivot '!A:A,'pivot '!G:G, "NF")</f>
        <v>#DIV/0!</v>
      </c>
      <c r="I39" s="115">
        <f>_xlfn.XLOOKUP(Table1[[#This Row],[Party Name]],
[1]Billing!$Q$5:$Q$40,
[1]Billing!$U$5:$U$40)</f>
        <v>117213.78931967814</v>
      </c>
      <c r="J39" s="115">
        <f>_xlfn.XLOOKUP(Table1[[#This Row],[Party Name]],
[1]Billing!$Q$5:$Q$40,
[1]Billing!$W$5:$W$40)</f>
        <v>1460624.5427944404</v>
      </c>
      <c r="K39" s="108"/>
      <c r="P39"/>
      <c r="Q39"/>
      <c r="R39"/>
      <c r="S39"/>
      <c r="T39"/>
      <c r="U39"/>
      <c r="V39"/>
      <c r="W39"/>
      <c r="X39"/>
      <c r="Y39"/>
    </row>
    <row r="40" spans="1:25" x14ac:dyDescent="0.3">
      <c r="A40" s="107">
        <v>45979</v>
      </c>
      <c r="B40" s="81" t="s">
        <v>168</v>
      </c>
      <c r="C40" s="108" t="s">
        <v>247</v>
      </c>
      <c r="D40" s="114" t="s">
        <v>86</v>
      </c>
      <c r="E40" s="37"/>
      <c r="F40" s="37"/>
      <c r="G40" s="37"/>
      <c r="H40" s="110" t="e">
        <f>_xlfn.XLOOKUP(Table1[[#This Row],[Shipment Number]], 'pivot '!A:A,'pivot '!G:G, "NF")</f>
        <v>#DIV/0!</v>
      </c>
      <c r="I40" s="115">
        <f>_xlfn.XLOOKUP(Table1[[#This Row],[Party Name]],
[1]Billing!$Q$5:$Q$40,
[1]Billing!$U$5:$U$40)</f>
        <v>0</v>
      </c>
      <c r="J40" s="115">
        <f>_xlfn.XLOOKUP(Table1[[#This Row],[Party Name]],
[1]Billing!$Q$5:$Q$40,
[1]Billing!$W$5:$W$40)</f>
        <v>0</v>
      </c>
      <c r="K40" s="108"/>
      <c r="P40"/>
      <c r="Q40"/>
      <c r="R40"/>
      <c r="S40"/>
      <c r="T40"/>
      <c r="U40"/>
      <c r="V40"/>
      <c r="W40"/>
      <c r="X40"/>
      <c r="Y40"/>
    </row>
    <row r="41" spans="1:25" x14ac:dyDescent="0.3">
      <c r="A41" s="107">
        <v>45979</v>
      </c>
      <c r="B41" s="81" t="s">
        <v>170</v>
      </c>
      <c r="C41" s="108" t="s">
        <v>247</v>
      </c>
      <c r="D41" s="108" t="s">
        <v>86</v>
      </c>
      <c r="E41" s="37"/>
      <c r="F41" s="37"/>
      <c r="G41" s="37"/>
      <c r="H41" s="110" t="e">
        <f>_xlfn.XLOOKUP(Table1[[#This Row],[Shipment Number]], 'pivot '!A:A,'pivot '!G:G, "NF")</f>
        <v>#DIV/0!</v>
      </c>
      <c r="I41" s="115">
        <f>_xlfn.XLOOKUP(Table1[[#This Row],[Party Name]],
[1]Billing!$Q$5:$Q$40,
[1]Billing!$U$5:$U$40)</f>
        <v>0</v>
      </c>
      <c r="J41" s="115">
        <f>_xlfn.XLOOKUP(Table1[[#This Row],[Party Name]],
[1]Billing!$Q$5:$Q$40,
[1]Billing!$W$5:$W$40)</f>
        <v>0</v>
      </c>
      <c r="K41" s="108"/>
      <c r="P41"/>
      <c r="Q41"/>
      <c r="R41"/>
      <c r="S41"/>
      <c r="T41"/>
      <c r="U41"/>
      <c r="V41"/>
      <c r="W41"/>
      <c r="X41"/>
      <c r="Y41"/>
    </row>
    <row r="42" spans="1:25" x14ac:dyDescent="0.3">
      <c r="A42" s="107">
        <v>45979</v>
      </c>
      <c r="B42" s="81" t="s">
        <v>171</v>
      </c>
      <c r="C42" s="108" t="s">
        <v>247</v>
      </c>
      <c r="D42" s="114" t="s">
        <v>86</v>
      </c>
      <c r="E42" s="37"/>
      <c r="F42" s="37"/>
      <c r="G42" s="37"/>
      <c r="H42" s="110" t="e">
        <f>_xlfn.XLOOKUP(Table1[[#This Row],[Shipment Number]], 'pivot '!A:A,'pivot '!G:G, "NF")</f>
        <v>#DIV/0!</v>
      </c>
      <c r="I42" s="115">
        <f>_xlfn.XLOOKUP(Table1[[#This Row],[Party Name]],
[1]Billing!$Q$5:$Q$40,
[1]Billing!$U$5:$U$40)</f>
        <v>0</v>
      </c>
      <c r="J42" s="115">
        <f>_xlfn.XLOOKUP(Table1[[#This Row],[Party Name]],
[1]Billing!$Q$5:$Q$40,
[1]Billing!$W$5:$W$40)</f>
        <v>0</v>
      </c>
      <c r="K42" s="108"/>
      <c r="P42"/>
      <c r="Q42"/>
      <c r="R42"/>
      <c r="S42"/>
      <c r="T42"/>
      <c r="U42"/>
      <c r="V42"/>
      <c r="W42"/>
      <c r="X42"/>
      <c r="Y42"/>
    </row>
    <row r="43" spans="1:25" x14ac:dyDescent="0.3">
      <c r="A43" s="107">
        <v>45979</v>
      </c>
      <c r="B43" s="81" t="s">
        <v>173</v>
      </c>
      <c r="C43" s="108" t="s">
        <v>247</v>
      </c>
      <c r="D43" s="108" t="s">
        <v>86</v>
      </c>
      <c r="E43" s="37"/>
      <c r="F43" s="37"/>
      <c r="G43" s="37"/>
      <c r="H43" s="110" t="e">
        <f>_xlfn.XLOOKUP(Table1[[#This Row],[Shipment Number]], 'pivot '!A:A,'pivot '!G:G, "NF")</f>
        <v>#DIV/0!</v>
      </c>
      <c r="I43" s="115">
        <f>_xlfn.XLOOKUP(Table1[[#This Row],[Party Name]],
[1]Billing!$Q$5:$Q$40,
[1]Billing!$U$5:$U$40)</f>
        <v>9232.809070958303</v>
      </c>
      <c r="J43" s="115">
        <f>_xlfn.XLOOKUP(Table1[[#This Row],[Party Name]],
[1]Billing!$Q$5:$Q$40,
[1]Billing!$W$5:$W$40)</f>
        <v>120026.51792245793</v>
      </c>
      <c r="K43" s="108"/>
      <c r="P43"/>
      <c r="Q43"/>
      <c r="R43"/>
      <c r="S43"/>
      <c r="T43"/>
      <c r="U43"/>
      <c r="V43"/>
      <c r="W43"/>
      <c r="X43"/>
      <c r="Y43"/>
    </row>
    <row r="44" spans="1:25" x14ac:dyDescent="0.3">
      <c r="A44" s="107">
        <v>45979</v>
      </c>
      <c r="B44" s="81" t="s">
        <v>177</v>
      </c>
      <c r="C44" s="108" t="s">
        <v>247</v>
      </c>
      <c r="D44" s="114" t="s">
        <v>86</v>
      </c>
      <c r="E44" s="37"/>
      <c r="F44" s="37"/>
      <c r="G44" s="37"/>
      <c r="H44" s="110" t="e">
        <f>_xlfn.XLOOKUP(Table1[[#This Row],[Shipment Number]], 'pivot '!A:A,'pivot '!G:G, "NF")</f>
        <v>#DIV/0!</v>
      </c>
      <c r="I44" s="115">
        <f>_xlfn.XLOOKUP(Table1[[#This Row],[Party Name]],
[1]Billing!$Q$5:$Q$40,
[1]Billing!$U$5:$U$40)</f>
        <v>398433.61375274323</v>
      </c>
      <c r="J44" s="115">
        <f>_xlfn.XLOOKUP(Table1[[#This Row],[Party Name]],
[1]Billing!$Q$5:$Q$40,
[1]Billing!$W$5:$W$40)</f>
        <v>5179636.9787856629</v>
      </c>
      <c r="K44" s="108"/>
      <c r="P44"/>
      <c r="Q44"/>
      <c r="R44"/>
      <c r="S44"/>
      <c r="T44"/>
      <c r="U44"/>
      <c r="V44"/>
      <c r="W44"/>
      <c r="X44"/>
      <c r="Y44"/>
    </row>
    <row r="45" spans="1:25" x14ac:dyDescent="0.3">
      <c r="A45" s="107">
        <v>45979</v>
      </c>
      <c r="B45" s="81" t="s">
        <v>180</v>
      </c>
      <c r="C45" s="108" t="s">
        <v>247</v>
      </c>
      <c r="D45" s="108" t="s">
        <v>86</v>
      </c>
      <c r="E45" s="37"/>
      <c r="F45" s="37"/>
      <c r="G45" s="37"/>
      <c r="H45" s="110" t="e">
        <f>_xlfn.XLOOKUP(Table1[[#This Row],[Shipment Number]], 'pivot '!A:A,'pivot '!G:G, "NF")</f>
        <v>#DIV/0!</v>
      </c>
      <c r="I45" s="115">
        <f>_xlfn.XLOOKUP(Table1[[#This Row],[Party Name]],
[1]Billing!$Q$5:$Q$40,
[1]Billing!$U$5:$U$40)</f>
        <v>7565.8376005852242</v>
      </c>
      <c r="J45" s="115">
        <f>_xlfn.XLOOKUP(Table1[[#This Row],[Party Name]],
[1]Billing!$Q$5:$Q$40,
[1]Billing!$W$5:$W$40)</f>
        <v>98355.888807607917</v>
      </c>
      <c r="K45" s="108"/>
      <c r="P45"/>
      <c r="Q45"/>
      <c r="R45"/>
      <c r="S45"/>
      <c r="T45"/>
      <c r="U45"/>
      <c r="V45"/>
      <c r="W45"/>
      <c r="X45"/>
      <c r="Y45"/>
    </row>
    <row r="46" spans="1:25" x14ac:dyDescent="0.3">
      <c r="A46" s="107">
        <v>45979</v>
      </c>
      <c r="B46" s="81" t="s">
        <v>181</v>
      </c>
      <c r="C46" s="108" t="s">
        <v>247</v>
      </c>
      <c r="D46" s="114" t="s">
        <v>86</v>
      </c>
      <c r="E46" s="37"/>
      <c r="F46" s="37"/>
      <c r="G46" s="37"/>
      <c r="H46" s="110" t="e">
        <f>_xlfn.XLOOKUP(Table1[[#This Row],[Shipment Number]], 'pivot '!A:A,'pivot '!G:G, "NF")</f>
        <v>#DIV/0!</v>
      </c>
      <c r="I46" s="115">
        <f>_xlfn.XLOOKUP(Table1[[#This Row],[Party Name]],
[1]Billing!$Q$5:$Q$40,
[1]Billing!$U$5:$U$40)</f>
        <v>43834.125822970011</v>
      </c>
      <c r="J46" s="115">
        <f>_xlfn.XLOOKUP(Table1[[#This Row],[Party Name]],
[1]Billing!$Q$5:$Q$40,
[1]Billing!$W$5:$W$40)</f>
        <v>569843.63569861022</v>
      </c>
      <c r="K46" s="108"/>
      <c r="P46"/>
      <c r="Q46"/>
      <c r="R46"/>
      <c r="S46"/>
      <c r="T46"/>
      <c r="U46"/>
      <c r="V46"/>
      <c r="W46"/>
      <c r="X46"/>
      <c r="Y46"/>
    </row>
    <row r="47" spans="1:25" x14ac:dyDescent="0.3">
      <c r="A47" s="107">
        <v>45979</v>
      </c>
      <c r="B47" s="81" t="s">
        <v>186</v>
      </c>
      <c r="C47" s="108" t="s">
        <v>247</v>
      </c>
      <c r="D47" s="108" t="s">
        <v>86</v>
      </c>
      <c r="E47" s="37"/>
      <c r="F47" s="37"/>
      <c r="G47" s="37"/>
      <c r="H47" s="110" t="e">
        <f>_xlfn.XLOOKUP(Table1[[#This Row],[Shipment Number]], 'pivot '!A:A,'pivot '!G:G, "NF")</f>
        <v>#DIV/0!</v>
      </c>
      <c r="I47" s="115">
        <f>_xlfn.XLOOKUP(Table1[[#This Row],[Party Name]],
[1]Billing!$Q$5:$Q$40,
[1]Billing!$U$5:$U$40)</f>
        <v>31409.107534747625</v>
      </c>
      <c r="J47" s="115">
        <f>_xlfn.XLOOKUP(Table1[[#This Row],[Party Name]],
[1]Billing!$Q$5:$Q$40,
[1]Billing!$W$5:$W$40)</f>
        <v>408318.39795171918</v>
      </c>
      <c r="K47" s="108"/>
      <c r="P47"/>
      <c r="Q47"/>
      <c r="R47"/>
      <c r="S47"/>
      <c r="T47"/>
      <c r="U47"/>
      <c r="V47"/>
      <c r="W47"/>
      <c r="X47"/>
      <c r="Y47"/>
    </row>
    <row r="48" spans="1:25" x14ac:dyDescent="0.3">
      <c r="A48" s="107">
        <v>45979</v>
      </c>
      <c r="B48" s="81" t="s">
        <v>202</v>
      </c>
      <c r="C48" s="108" t="s">
        <v>247</v>
      </c>
      <c r="D48" s="114" t="s">
        <v>86</v>
      </c>
      <c r="E48" s="37"/>
      <c r="F48" s="37"/>
      <c r="G48" s="37"/>
      <c r="H48" s="110" t="e">
        <f>_xlfn.XLOOKUP(Table1[[#This Row],[Shipment Number]], 'pivot '!A:A,'pivot '!G:G, "NF")</f>
        <v>#DIV/0!</v>
      </c>
      <c r="I48" s="115">
        <f>_xlfn.XLOOKUP(Table1[[#This Row],[Party Name]],
[1]Billing!$Q$5:$Q$40,
[1]Billing!$U$5:$U$40)</f>
        <v>0</v>
      </c>
      <c r="J48" s="115">
        <f>_xlfn.XLOOKUP(Table1[[#This Row],[Party Name]],
[1]Billing!$Q$5:$Q$40,
[1]Billing!$W$5:$W$40)</f>
        <v>0</v>
      </c>
      <c r="K48" s="108"/>
      <c r="P48"/>
      <c r="Q48"/>
      <c r="R48"/>
      <c r="S48"/>
      <c r="T48"/>
      <c r="U48"/>
      <c r="V48"/>
      <c r="W48"/>
      <c r="X48"/>
      <c r="Y48"/>
    </row>
    <row r="49" spans="1:25" x14ac:dyDescent="0.3">
      <c r="A49" s="107">
        <v>45979</v>
      </c>
      <c r="B49" s="81" t="s">
        <v>216</v>
      </c>
      <c r="C49" s="108" t="s">
        <v>247</v>
      </c>
      <c r="D49" s="108" t="s">
        <v>86</v>
      </c>
      <c r="E49" s="37"/>
      <c r="F49" s="37"/>
      <c r="G49" s="37"/>
      <c r="H49" s="110" t="e">
        <f>_xlfn.XLOOKUP(Table1[[#This Row],[Shipment Number]], 'pivot '!A:A,'pivot '!G:G, "NF")</f>
        <v>#DIV/0!</v>
      </c>
      <c r="I49" s="115">
        <f>_xlfn.XLOOKUP(Table1[[#This Row],[Party Name]],
[1]Billing!$Q$5:$Q$40,
[1]Billing!$U$5:$U$40)</f>
        <v>0</v>
      </c>
      <c r="J49" s="115">
        <f>_xlfn.XLOOKUP(Table1[[#This Row],[Party Name]],
[1]Billing!$Q$5:$Q$40,
[1]Billing!$W$5:$W$40)</f>
        <v>0</v>
      </c>
      <c r="K49" s="108"/>
      <c r="P49"/>
      <c r="Q49"/>
      <c r="R49"/>
      <c r="S49"/>
      <c r="T49"/>
      <c r="U49"/>
      <c r="V49"/>
      <c r="W49"/>
      <c r="X49"/>
      <c r="Y49"/>
    </row>
    <row r="50" spans="1:25" x14ac:dyDescent="0.3">
      <c r="A50" s="107">
        <v>45979</v>
      </c>
      <c r="B50" s="81" t="s">
        <v>215</v>
      </c>
      <c r="C50" s="108" t="s">
        <v>247</v>
      </c>
      <c r="D50" s="114" t="s">
        <v>86</v>
      </c>
      <c r="E50" s="37"/>
      <c r="F50" s="37"/>
      <c r="G50" s="37"/>
      <c r="H50" s="110" t="e">
        <f>_xlfn.XLOOKUP(Table1[[#This Row],[Shipment Number]], 'pivot '!A:A,'pivot '!G:G, "NF")</f>
        <v>#DIV/0!</v>
      </c>
      <c r="I50" s="115">
        <f>_xlfn.XLOOKUP(Table1[[#This Row],[Party Name]],
[1]Billing!$Q$5:$Q$40,
[1]Billing!$U$5:$U$40)</f>
        <v>60995.793708851503</v>
      </c>
      <c r="J50" s="115">
        <f>_xlfn.XLOOKUP(Table1[[#This Row],[Party Name]],
[1]Billing!$Q$5:$Q$40,
[1]Billing!$W$5:$W$40)</f>
        <v>792945.31821506959</v>
      </c>
      <c r="K50" s="108"/>
      <c r="P50"/>
      <c r="Q50"/>
      <c r="R50"/>
      <c r="S50"/>
      <c r="T50"/>
      <c r="U50"/>
      <c r="V50"/>
      <c r="W50"/>
      <c r="X50"/>
      <c r="Y50"/>
    </row>
    <row r="51" spans="1:25" x14ac:dyDescent="0.3">
      <c r="A51" s="107">
        <v>45979</v>
      </c>
      <c r="B51" s="81" t="s">
        <v>225</v>
      </c>
      <c r="C51" s="108" t="s">
        <v>247</v>
      </c>
      <c r="D51" s="108" t="s">
        <v>86</v>
      </c>
      <c r="E51" s="37"/>
      <c r="F51" s="37"/>
      <c r="G51" s="37"/>
      <c r="H51" s="110" t="e">
        <f>_xlfn.XLOOKUP(Table1[[#This Row],[Shipment Number]], 'pivot '!A:A,'pivot '!G:G, "NF")</f>
        <v>#DIV/0!</v>
      </c>
      <c r="I51" s="115">
        <f>_xlfn.XLOOKUP(Table1[[#This Row],[Party Name]],
[1]Billing!$Q$5:$Q$40,
[1]Billing!$U$5:$U$40)</f>
        <v>0</v>
      </c>
      <c r="J51" s="115">
        <f>_xlfn.XLOOKUP(Table1[[#This Row],[Party Name]],
[1]Billing!$Q$5:$Q$40,
[1]Billing!$W$5:$W$40)</f>
        <v>0</v>
      </c>
      <c r="K51" s="108"/>
      <c r="P51"/>
      <c r="Q51"/>
      <c r="R51"/>
      <c r="S51"/>
      <c r="T51"/>
      <c r="U51"/>
      <c r="V51"/>
      <c r="W51"/>
      <c r="X51"/>
      <c r="Y51"/>
    </row>
    <row r="52" spans="1:25" x14ac:dyDescent="0.3">
      <c r="A52" s="107">
        <v>45979</v>
      </c>
      <c r="B52" s="81" t="s">
        <v>240</v>
      </c>
      <c r="C52" s="108" t="s">
        <v>247</v>
      </c>
      <c r="D52" s="114" t="s">
        <v>86</v>
      </c>
      <c r="E52" s="37"/>
      <c r="F52" s="37"/>
      <c r="G52" s="37"/>
      <c r="H52" s="110" t="e">
        <f>_xlfn.XLOOKUP(Table1[[#This Row],[Shipment Number]], 'pivot '!A:A,'pivot '!G:G, "NF")</f>
        <v>#DIV/0!</v>
      </c>
      <c r="I52" s="115">
        <f>_xlfn.XLOOKUP(Table1[[#This Row],[Party Name]],
[1]Billing!$Q$5:$Q$40,
[1]Billing!$U$5:$U$40)</f>
        <v>29626.005852231167</v>
      </c>
      <c r="J52" s="115">
        <f>_xlfn.XLOOKUP(Table1[[#This Row],[Party Name]],
[1]Billing!$Q$5:$Q$40,
[1]Billing!$W$5:$W$40)</f>
        <v>385138.07607900514</v>
      </c>
      <c r="K52" s="108"/>
      <c r="P52"/>
      <c r="Q52"/>
      <c r="R52"/>
      <c r="S52"/>
      <c r="T52"/>
      <c r="U52"/>
      <c r="V52"/>
      <c r="W52"/>
      <c r="X52"/>
      <c r="Y52"/>
    </row>
    <row r="53" spans="1:25" x14ac:dyDescent="0.3">
      <c r="A53" s="107">
        <v>45979</v>
      </c>
      <c r="B53" s="81" t="s">
        <v>244</v>
      </c>
      <c r="C53" s="108" t="s">
        <v>247</v>
      </c>
      <c r="D53" s="108" t="s">
        <v>86</v>
      </c>
      <c r="E53" s="37"/>
      <c r="F53" s="37"/>
      <c r="G53" s="37"/>
      <c r="H53" s="110" t="e">
        <f>_xlfn.XLOOKUP(Table1[[#This Row],[Shipment Number]], 'pivot '!A:A,'pivot '!G:G, "NF")</f>
        <v>#DIV/0!</v>
      </c>
      <c r="I53" s="115">
        <f>_xlfn.XLOOKUP(Table1[[#This Row],[Party Name]],
[1]Billing!$Q$5:$Q$40,
[1]Billing!$U$5:$U$40)</f>
        <v>0</v>
      </c>
      <c r="J53" s="115">
        <f>_xlfn.XLOOKUP(Table1[[#This Row],[Party Name]],
[1]Billing!$Q$5:$Q$40,
[1]Billing!$W$5:$W$40)</f>
        <v>0</v>
      </c>
      <c r="K53" s="108"/>
      <c r="P53"/>
      <c r="Q53"/>
      <c r="R53"/>
      <c r="S53"/>
      <c r="T53"/>
      <c r="U53"/>
      <c r="V53"/>
      <c r="W53"/>
      <c r="X53"/>
      <c r="Y53"/>
    </row>
    <row r="54" spans="1:25" x14ac:dyDescent="0.3">
      <c r="A54" s="107">
        <v>45979</v>
      </c>
      <c r="B54" s="24" t="s">
        <v>25</v>
      </c>
      <c r="C54" s="108" t="s">
        <v>247</v>
      </c>
      <c r="D54" s="108" t="s">
        <v>188</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177</v>
      </c>
      <c r="C55" s="108" t="s">
        <v>247</v>
      </c>
      <c r="D55" s="108" t="s">
        <v>188</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180</v>
      </c>
      <c r="C56" s="108" t="s">
        <v>247</v>
      </c>
      <c r="D56" s="108" t="s">
        <v>189</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186</v>
      </c>
      <c r="C57" s="108" t="s">
        <v>247</v>
      </c>
      <c r="D57" s="108" t="s">
        <v>233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202</v>
      </c>
      <c r="C58" s="108" t="s">
        <v>247</v>
      </c>
      <c r="D58" s="108" t="s">
        <v>248</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244</v>
      </c>
      <c r="C59" s="108" t="s">
        <v>247</v>
      </c>
      <c r="D59" s="108" t="s">
        <v>245</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c r="B60"/>
      <c r="C60"/>
      <c r="D60"/>
      <c r="E60" s="14"/>
      <c r="F60" s="14"/>
      <c r="G60" s="14"/>
      <c r="H60" s="43"/>
      <c r="I60" s="94" cm="1">
        <f t="array" aca="1" ref="I60" ca="1">SUMPRODUCT( SUBTOTAL(109, OFFSET(Table1[tiyar/meters], ROW(Table1[tiyar/meters])-MIN(ROW(Table1[tiyar/meters])), 0, 1)), --(Table1[Bill Number]&lt;&gt;"November Closing CF") )</f>
        <v>0</v>
      </c>
      <c r="J60" s="43" cm="1">
        <f t="array" aca="1" ref="J60" ca="1">SUMPRODUCT( SUBTOTAL(109, OFFSET(Table1[billing], ROW(Table1[billing])-MIN(ROW(Table1[billing])), 0, 1)), --(Table1[Bill Number]&lt;&gt;"November Closing CF") )</f>
        <v>0</v>
      </c>
      <c r="K60" s="14">
        <f>SUMIFS(Table1[billing], Table1[Bill Number], "&lt;&gt;November Closing CF")</f>
        <v>0</v>
      </c>
      <c r="M60"/>
      <c r="P60"/>
      <c r="Q60"/>
      <c r="R60"/>
      <c r="S60"/>
      <c r="T60"/>
      <c r="U60"/>
    </row>
    <row r="61" spans="1:25" x14ac:dyDescent="0.3">
      <c r="M61"/>
      <c r="P61"/>
      <c r="Q61"/>
      <c r="R61"/>
      <c r="S61"/>
    </row>
    <row r="62" spans="1:25" x14ac:dyDescent="0.3">
      <c r="M62"/>
      <c r="P62"/>
      <c r="Q62"/>
      <c r="R62"/>
      <c r="S62"/>
    </row>
    <row r="63" spans="1:25" x14ac:dyDescent="0.3">
      <c r="S63"/>
    </row>
    <row r="64" spans="1:25" x14ac:dyDescent="0.3">
      <c r="S64"/>
    </row>
    <row r="65" spans="19:19" x14ac:dyDescent="0.3">
      <c r="S65"/>
    </row>
    <row r="66" spans="19:19" x14ac:dyDescent="0.3">
      <c r="S66"/>
    </row>
    <row r="67" spans="19:19" x14ac:dyDescent="0.3">
      <c r="S67"/>
    </row>
    <row r="68" spans="19:19" x14ac:dyDescent="0.3">
      <c r="S68"/>
    </row>
    <row r="69" spans="19:19" x14ac:dyDescent="0.3">
      <c r="S69"/>
    </row>
    <row r="70" spans="19:19" x14ac:dyDescent="0.3">
      <c r="S70"/>
    </row>
    <row r="71" spans="19:19" x14ac:dyDescent="0.3">
      <c r="S71"/>
    </row>
    <row r="72" spans="19:19" x14ac:dyDescent="0.3">
      <c r="S72"/>
    </row>
    <row r="96" spans="15:17" x14ac:dyDescent="0.3">
      <c r="O96"/>
      <c r="P96"/>
      <c r="Q96"/>
    </row>
    <row r="97" spans="12:18" x14ac:dyDescent="0.3">
      <c r="O97"/>
      <c r="P97"/>
      <c r="Q97"/>
    </row>
    <row r="98" spans="12:18" x14ac:dyDescent="0.3">
      <c r="L98"/>
      <c r="M98"/>
      <c r="O98"/>
      <c r="P98"/>
      <c r="Q98"/>
    </row>
    <row r="99" spans="12:18" x14ac:dyDescent="0.3">
      <c r="M99"/>
      <c r="P99"/>
      <c r="Q99"/>
      <c r="R99"/>
    </row>
    <row r="100" spans="12:18" x14ac:dyDescent="0.3">
      <c r="M100"/>
      <c r="P100"/>
      <c r="Q100"/>
      <c r="R100"/>
    </row>
    <row r="101" spans="12:18" x14ac:dyDescent="0.3">
      <c r="M101"/>
      <c r="P101"/>
      <c r="Q101"/>
      <c r="R101"/>
    </row>
    <row r="102" spans="12:18" x14ac:dyDescent="0.3">
      <c r="M102"/>
      <c r="P102"/>
      <c r="Q102"/>
      <c r="R102"/>
    </row>
    <row r="103" spans="12:18" x14ac:dyDescent="0.3">
      <c r="M103"/>
      <c r="P103"/>
      <c r="Q103"/>
      <c r="R103"/>
    </row>
    <row r="104" spans="12:18" x14ac:dyDescent="0.3">
      <c r="M104"/>
      <c r="P104"/>
      <c r="Q104"/>
      <c r="R104"/>
    </row>
    <row r="105" spans="12:18" x14ac:dyDescent="0.3">
      <c r="M105"/>
      <c r="P105"/>
      <c r="Q105"/>
      <c r="R105"/>
    </row>
    <row r="106" spans="12:18" x14ac:dyDescent="0.3">
      <c r="P106"/>
      <c r="Q106"/>
      <c r="R106"/>
    </row>
    <row r="107" spans="12:18" x14ac:dyDescent="0.3">
      <c r="L107"/>
      <c r="P107"/>
      <c r="Q107"/>
      <c r="R107"/>
    </row>
    <row r="108" spans="12:18" x14ac:dyDescent="0.3">
      <c r="L108"/>
      <c r="P108"/>
      <c r="Q108"/>
      <c r="R108"/>
    </row>
    <row r="109" spans="12:18" x14ac:dyDescent="0.3">
      <c r="L109"/>
      <c r="O109"/>
      <c r="P109"/>
      <c r="Q109"/>
    </row>
    <row r="110" spans="12:18" x14ac:dyDescent="0.3">
      <c r="L110"/>
      <c r="O110"/>
      <c r="P110"/>
      <c r="Q110"/>
    </row>
    <row r="111" spans="12:18" x14ac:dyDescent="0.3">
      <c r="L111"/>
      <c r="O111"/>
      <c r="P111"/>
      <c r="Q111"/>
    </row>
    <row r="112" spans="12: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59">
    <cfRule type="cellIs" dxfId="9"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4"/>
  <sheetViews>
    <sheetView tabSelected="1" zoomScale="145" zoomScaleNormal="90" workbookViewId="0">
      <selection activeCell="I9" sqref="I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x14ac:dyDescent="0.3">
      <c r="A5" s="85">
        <v>46008</v>
      </c>
      <c r="B5" s="82" t="s">
        <v>169</v>
      </c>
      <c r="C5" s="82" t="s">
        <v>95</v>
      </c>
      <c r="D5" s="11"/>
      <c r="E5" s="11"/>
      <c r="F5" s="11"/>
      <c r="G5" s="11">
        <f t="shared" ref="G5:G6" si="0">D5*E5</f>
        <v>0</v>
      </c>
      <c r="H5" s="11"/>
      <c r="I5" s="87">
        <v>601883</v>
      </c>
    </row>
    <row r="6" spans="1:16" ht="15" thickTop="1" x14ac:dyDescent="0.3">
      <c r="A6" s="85">
        <v>46008</v>
      </c>
      <c r="B6" s="82" t="s">
        <v>172</v>
      </c>
      <c r="C6" s="82" t="s">
        <v>95</v>
      </c>
      <c r="D6" s="11"/>
      <c r="E6" s="11"/>
      <c r="F6" s="11"/>
      <c r="G6" s="11">
        <f t="shared" si="0"/>
        <v>0</v>
      </c>
      <c r="H6" s="11"/>
      <c r="I6" s="11">
        <v>97520</v>
      </c>
      <c r="K6" s="17">
        <f>SUM(Table3[Total])</f>
        <v>0</v>
      </c>
      <c r="L6" s="3" t="s">
        <v>2</v>
      </c>
      <c r="M6" t="s">
        <v>87</v>
      </c>
    </row>
    <row r="7" spans="1:16" x14ac:dyDescent="0.3">
      <c r="A7" s="85">
        <v>46008</v>
      </c>
      <c r="B7" s="82" t="s">
        <v>184</v>
      </c>
      <c r="C7" s="82" t="s">
        <v>95</v>
      </c>
      <c r="D7" s="11"/>
      <c r="E7" s="11"/>
      <c r="F7" s="11"/>
      <c r="G7" s="11">
        <f>D7*E7</f>
        <v>0</v>
      </c>
      <c r="H7" s="11"/>
      <c r="I7" s="11">
        <v>326400</v>
      </c>
    </row>
    <row r="8" spans="1:16" x14ac:dyDescent="0.3">
      <c r="A8" s="85">
        <v>46008</v>
      </c>
      <c r="B8" s="82" t="s">
        <v>223</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226</v>
      </c>
      <c r="C9" s="82" t="s">
        <v>95</v>
      </c>
      <c r="D9" s="11"/>
      <c r="E9" s="11"/>
      <c r="F9" s="11"/>
      <c r="G9" s="11">
        <f t="shared" si="1"/>
        <v>0</v>
      </c>
      <c r="H9" s="11"/>
      <c r="I9" s="11">
        <v>106960</v>
      </c>
      <c r="K9" s="11"/>
      <c r="L9" s="26">
        <v>45947</v>
      </c>
      <c r="M9" s="14"/>
      <c r="N9" s="14">
        <v>0</v>
      </c>
      <c r="O9" s="14">
        <v>0</v>
      </c>
      <c r="P9" s="14">
        <v>2994053</v>
      </c>
    </row>
    <row r="10" spans="1:16" x14ac:dyDescent="0.3">
      <c r="A10" s="1"/>
      <c r="D10" s="11"/>
      <c r="E10" s="11"/>
      <c r="F10" s="11"/>
      <c r="G10" s="11">
        <f t="shared" si="1"/>
        <v>0</v>
      </c>
      <c r="H10" s="11"/>
      <c r="I10" s="11">
        <f>(D10*E10)-Table3[[#This Row],[Paid]]</f>
        <v>0</v>
      </c>
      <c r="K10" s="11"/>
      <c r="L10" s="42" t="s">
        <v>95</v>
      </c>
      <c r="M10" s="14"/>
      <c r="N10" s="14">
        <v>0</v>
      </c>
      <c r="O10" s="14">
        <v>0</v>
      </c>
      <c r="P10" s="14">
        <v>2994053</v>
      </c>
    </row>
    <row r="11" spans="1:16" x14ac:dyDescent="0.3">
      <c r="A11" s="1"/>
      <c r="D11" s="11"/>
      <c r="E11" s="11"/>
      <c r="F11" s="11"/>
      <c r="G11" s="11">
        <f t="shared" si="1"/>
        <v>0</v>
      </c>
      <c r="H11" s="11"/>
      <c r="I11" s="11">
        <f>(D11*E11)-Table3[[#This Row],[Paid]]</f>
        <v>0</v>
      </c>
      <c r="K11" s="11"/>
      <c r="L11" s="26">
        <v>45979</v>
      </c>
      <c r="M11" s="14"/>
      <c r="N11" s="14">
        <v>0</v>
      </c>
      <c r="O11" s="14"/>
      <c r="P11" s="14">
        <v>330400</v>
      </c>
    </row>
    <row r="12" spans="1:16" x14ac:dyDescent="0.3">
      <c r="A12" s="1"/>
      <c r="D12" s="11"/>
      <c r="E12" s="11"/>
      <c r="F12" s="11"/>
      <c r="G12" s="11">
        <f t="shared" si="1"/>
        <v>0</v>
      </c>
      <c r="H12" s="11"/>
      <c r="I12" s="11">
        <f>(D12*E12)-Table3[[#This Row],[Paid]]</f>
        <v>0</v>
      </c>
      <c r="K12" s="11"/>
      <c r="L12" s="42" t="s">
        <v>95</v>
      </c>
      <c r="M12" s="14"/>
      <c r="N12" s="14">
        <v>0</v>
      </c>
      <c r="O12" s="14"/>
      <c r="P12" s="14">
        <v>330400</v>
      </c>
    </row>
    <row r="13" spans="1:16" x14ac:dyDescent="0.3">
      <c r="A13" s="1"/>
      <c r="D13" s="14"/>
      <c r="E13" s="14"/>
      <c r="F13" s="14"/>
      <c r="G13" s="14">
        <f>SUBTOTAL(109,Table3[Total])</f>
        <v>0</v>
      </c>
      <c r="H13" s="14">
        <f>SUBTOTAL(109,Table3[Paid])</f>
        <v>0</v>
      </c>
      <c r="I13" s="14">
        <f>SUBTOTAL(109,Table3[balance])</f>
        <v>3272488</v>
      </c>
      <c r="K13" s="11"/>
      <c r="L13" s="26">
        <v>45982</v>
      </c>
      <c r="M13" s="14"/>
      <c r="N13" s="14">
        <v>0</v>
      </c>
      <c r="O13" s="14">
        <v>300152</v>
      </c>
      <c r="P13" s="14">
        <v>-300152</v>
      </c>
    </row>
    <row r="14" spans="1:16" x14ac:dyDescent="0.3">
      <c r="K14" s="11"/>
      <c r="L14" s="42" t="s">
        <v>103</v>
      </c>
      <c r="M14" s="14"/>
      <c r="N14" s="14">
        <v>0</v>
      </c>
      <c r="O14" s="14">
        <v>300152</v>
      </c>
      <c r="P14" s="14">
        <v>-300152</v>
      </c>
    </row>
    <row r="15" spans="1:16" x14ac:dyDescent="0.3">
      <c r="K15" s="11"/>
      <c r="L15" s="26">
        <v>45980</v>
      </c>
      <c r="M15" s="14"/>
      <c r="N15" s="14">
        <v>0</v>
      </c>
      <c r="O15" s="14">
        <v>414012</v>
      </c>
      <c r="P15" s="14">
        <v>-414012</v>
      </c>
    </row>
    <row r="16" spans="1:16" x14ac:dyDescent="0.3">
      <c r="K16" s="11"/>
      <c r="L16" s="42" t="s">
        <v>103</v>
      </c>
      <c r="M16" s="14"/>
      <c r="N16" s="14">
        <v>0</v>
      </c>
      <c r="O16" s="14">
        <v>414012</v>
      </c>
      <c r="P16" s="14">
        <v>-414012</v>
      </c>
    </row>
    <row r="17" spans="11:16" x14ac:dyDescent="0.3">
      <c r="K17" s="11"/>
      <c r="L17" s="26">
        <v>45981</v>
      </c>
      <c r="M17" s="14">
        <v>456</v>
      </c>
      <c r="N17" s="14">
        <v>369360</v>
      </c>
      <c r="O17" s="14">
        <v>80300</v>
      </c>
      <c r="P17" s="14">
        <v>289060</v>
      </c>
    </row>
    <row r="18" spans="11:16" x14ac:dyDescent="0.3">
      <c r="L18" s="42" t="s">
        <v>198</v>
      </c>
      <c r="M18" s="14">
        <v>456</v>
      </c>
      <c r="N18" s="14">
        <v>369360</v>
      </c>
      <c r="O18" s="14">
        <v>80300</v>
      </c>
      <c r="P18" s="14">
        <v>289060</v>
      </c>
    </row>
    <row r="19" spans="11:16" x14ac:dyDescent="0.3">
      <c r="L19" s="26">
        <v>45984</v>
      </c>
      <c r="M19" s="14">
        <v>576</v>
      </c>
      <c r="N19" s="14">
        <v>454340</v>
      </c>
      <c r="O19" s="14">
        <v>200068</v>
      </c>
      <c r="P19" s="14">
        <v>254272</v>
      </c>
    </row>
    <row r="20" spans="11:16" x14ac:dyDescent="0.3">
      <c r="L20" s="42" t="s">
        <v>198</v>
      </c>
      <c r="M20" s="14">
        <v>394</v>
      </c>
      <c r="N20" s="14">
        <v>319140</v>
      </c>
      <c r="O20" s="14">
        <v>200068</v>
      </c>
      <c r="P20" s="14">
        <v>119072</v>
      </c>
    </row>
    <row r="21" spans="11:16" x14ac:dyDescent="0.3">
      <c r="L21" s="42">
        <v>9662</v>
      </c>
      <c r="M21" s="14">
        <v>152</v>
      </c>
      <c r="N21" s="14">
        <v>117800</v>
      </c>
      <c r="O21" s="14">
        <v>0</v>
      </c>
      <c r="P21" s="14">
        <v>117800</v>
      </c>
    </row>
    <row r="22" spans="11:16" x14ac:dyDescent="0.3">
      <c r="L22" s="42" t="s">
        <v>206</v>
      </c>
      <c r="M22" s="14">
        <v>30</v>
      </c>
      <c r="N22" s="14">
        <v>17400</v>
      </c>
      <c r="O22" s="14">
        <v>0</v>
      </c>
      <c r="P22" s="14">
        <v>17400</v>
      </c>
    </row>
    <row r="23" spans="11:16" x14ac:dyDescent="0.3">
      <c r="L23" s="26">
        <v>45985</v>
      </c>
      <c r="M23" s="14">
        <v>152</v>
      </c>
      <c r="N23" s="14">
        <v>88160</v>
      </c>
      <c r="O23" s="14">
        <v>107500</v>
      </c>
      <c r="P23" s="14">
        <v>-19340</v>
      </c>
    </row>
    <row r="24" spans="11:16" x14ac:dyDescent="0.3">
      <c r="L24" s="42" t="s">
        <v>103</v>
      </c>
      <c r="M24" s="14"/>
      <c r="N24" s="14">
        <v>0</v>
      </c>
      <c r="O24" s="14">
        <v>67500</v>
      </c>
      <c r="P24" s="14">
        <v>-67500</v>
      </c>
    </row>
    <row r="25" spans="11:16" x14ac:dyDescent="0.3">
      <c r="L25" s="42" t="s">
        <v>206</v>
      </c>
      <c r="M25" s="14">
        <v>152</v>
      </c>
      <c r="N25" s="14">
        <v>88160</v>
      </c>
      <c r="O25" s="14">
        <v>40000</v>
      </c>
      <c r="P25" s="14">
        <v>48160</v>
      </c>
    </row>
    <row r="26" spans="11:16" x14ac:dyDescent="0.3">
      <c r="L26" s="26">
        <v>45986</v>
      </c>
      <c r="M26" s="14">
        <v>676</v>
      </c>
      <c r="N26" s="14">
        <v>538290</v>
      </c>
      <c r="O26" s="14">
        <v>107800</v>
      </c>
      <c r="P26" s="14">
        <v>430490</v>
      </c>
    </row>
    <row r="27" spans="11:16" x14ac:dyDescent="0.3">
      <c r="L27" s="42" t="s">
        <v>207</v>
      </c>
      <c r="M27" s="14">
        <v>470</v>
      </c>
      <c r="N27" s="14">
        <v>380700</v>
      </c>
      <c r="O27" s="14">
        <v>107800</v>
      </c>
      <c r="P27" s="14">
        <v>272900</v>
      </c>
    </row>
    <row r="28" spans="11:16" x14ac:dyDescent="0.3">
      <c r="L28" s="42" t="s">
        <v>208</v>
      </c>
      <c r="M28" s="14">
        <v>206</v>
      </c>
      <c r="N28" s="14">
        <v>157590</v>
      </c>
      <c r="O28" s="14"/>
      <c r="P28" s="14">
        <v>157590</v>
      </c>
    </row>
    <row r="29" spans="11:16" x14ac:dyDescent="0.3">
      <c r="K29" s="14"/>
      <c r="L29" s="26">
        <v>45987</v>
      </c>
      <c r="M29" s="14">
        <v>665</v>
      </c>
      <c r="N29" s="14">
        <v>527130</v>
      </c>
      <c r="O29" s="14">
        <v>447823</v>
      </c>
      <c r="P29" s="14">
        <v>79307</v>
      </c>
    </row>
    <row r="30" spans="11:16" x14ac:dyDescent="0.3">
      <c r="L30" s="42" t="s">
        <v>212</v>
      </c>
      <c r="M30" s="14">
        <v>281</v>
      </c>
      <c r="N30" s="14">
        <v>227610</v>
      </c>
      <c r="O30" s="14">
        <v>347823</v>
      </c>
      <c r="P30" s="14">
        <v>-120213</v>
      </c>
    </row>
    <row r="31" spans="11:16" x14ac:dyDescent="0.3">
      <c r="L31" s="42" t="s">
        <v>211</v>
      </c>
      <c r="M31" s="14">
        <v>384</v>
      </c>
      <c r="N31" s="14">
        <v>299520</v>
      </c>
      <c r="O31" s="14">
        <v>100000</v>
      </c>
      <c r="P31" s="14">
        <v>199520</v>
      </c>
    </row>
    <row r="32" spans="11:16" x14ac:dyDescent="0.3">
      <c r="L32" s="26">
        <v>45988</v>
      </c>
      <c r="M32" s="14">
        <v>496</v>
      </c>
      <c r="N32" s="14">
        <v>401760</v>
      </c>
      <c r="O32" s="14">
        <v>281000</v>
      </c>
      <c r="P32" s="14">
        <v>120760</v>
      </c>
    </row>
    <row r="33" spans="12:16" x14ac:dyDescent="0.3">
      <c r="L33" s="42" t="s">
        <v>103</v>
      </c>
      <c r="M33" s="14"/>
      <c r="N33" s="14">
        <v>0</v>
      </c>
      <c r="O33" s="14">
        <v>175000</v>
      </c>
      <c r="P33" s="14">
        <v>-175000</v>
      </c>
    </row>
    <row r="34" spans="12:16" x14ac:dyDescent="0.3">
      <c r="L34" s="42" t="s">
        <v>214</v>
      </c>
      <c r="M34" s="14">
        <v>496</v>
      </c>
      <c r="N34" s="14">
        <v>401760</v>
      </c>
      <c r="O34" s="14">
        <v>106000</v>
      </c>
      <c r="P34" s="14">
        <v>295760</v>
      </c>
    </row>
    <row r="35" spans="12:16" x14ac:dyDescent="0.3">
      <c r="L35" s="26">
        <v>45989</v>
      </c>
      <c r="M35" s="14">
        <v>287</v>
      </c>
      <c r="N35" s="14">
        <v>232470</v>
      </c>
      <c r="O35" s="14">
        <v>46100</v>
      </c>
      <c r="P35" s="14">
        <v>186370</v>
      </c>
    </row>
    <row r="36" spans="12:16" x14ac:dyDescent="0.3">
      <c r="L36" s="42" t="s">
        <v>218</v>
      </c>
      <c r="M36" s="14">
        <v>287</v>
      </c>
      <c r="N36" s="14">
        <v>232470</v>
      </c>
      <c r="O36" s="14">
        <v>46100</v>
      </c>
      <c r="P36" s="14">
        <v>186370</v>
      </c>
    </row>
    <row r="37" spans="12:16" x14ac:dyDescent="0.3">
      <c r="L37" s="26">
        <v>45990</v>
      </c>
      <c r="M37" s="14"/>
      <c r="N37" s="14">
        <v>0</v>
      </c>
      <c r="O37" s="14">
        <v>400338</v>
      </c>
      <c r="P37" s="14">
        <v>-400338</v>
      </c>
    </row>
    <row r="38" spans="12:16" x14ac:dyDescent="0.3">
      <c r="L38" s="42" t="s">
        <v>103</v>
      </c>
      <c r="M38" s="14"/>
      <c r="N38" s="14">
        <v>0</v>
      </c>
      <c r="O38" s="14">
        <v>400338</v>
      </c>
      <c r="P38" s="14">
        <v>-400338</v>
      </c>
    </row>
    <row r="39" spans="12:16" x14ac:dyDescent="0.3">
      <c r="L39" s="26">
        <v>45992</v>
      </c>
      <c r="M39" s="14">
        <v>433</v>
      </c>
      <c r="N39" s="14">
        <v>350730</v>
      </c>
      <c r="O39" s="14">
        <v>300204</v>
      </c>
      <c r="P39" s="14">
        <v>50526</v>
      </c>
    </row>
    <row r="40" spans="12:16" x14ac:dyDescent="0.3">
      <c r="L40" s="42" t="s">
        <v>198</v>
      </c>
      <c r="M40" s="14">
        <v>433</v>
      </c>
      <c r="N40" s="14">
        <v>350730</v>
      </c>
      <c r="O40" s="14">
        <v>300204</v>
      </c>
      <c r="P40" s="14">
        <v>50526</v>
      </c>
    </row>
    <row r="41" spans="12:16" x14ac:dyDescent="0.3">
      <c r="L41" s="26">
        <v>45993</v>
      </c>
      <c r="M41" s="14"/>
      <c r="N41" s="14">
        <v>0</v>
      </c>
      <c r="O41" s="14">
        <v>274600</v>
      </c>
      <c r="P41" s="14">
        <v>-274600</v>
      </c>
    </row>
    <row r="42" spans="12:16" x14ac:dyDescent="0.3">
      <c r="L42" s="42" t="s">
        <v>103</v>
      </c>
      <c r="M42" s="14"/>
      <c r="N42" s="14">
        <v>0</v>
      </c>
      <c r="O42" s="14">
        <v>274600</v>
      </c>
      <c r="P42" s="14">
        <v>-274600</v>
      </c>
    </row>
    <row r="43" spans="12:16" x14ac:dyDescent="0.3">
      <c r="L43" s="26">
        <v>45994</v>
      </c>
      <c r="M43" s="14">
        <v>225</v>
      </c>
      <c r="N43" s="14">
        <v>186750</v>
      </c>
      <c r="O43" s="14">
        <v>300768</v>
      </c>
      <c r="P43" s="14">
        <v>-114018</v>
      </c>
    </row>
    <row r="44" spans="12:16" x14ac:dyDescent="0.3">
      <c r="L44" s="42" t="s">
        <v>103</v>
      </c>
      <c r="M44" s="14"/>
      <c r="N44" s="14">
        <v>0</v>
      </c>
      <c r="O44" s="14">
        <v>250768</v>
      </c>
      <c r="P44" s="14">
        <v>-250768</v>
      </c>
    </row>
    <row r="45" spans="12:16" x14ac:dyDescent="0.3">
      <c r="L45" s="42" t="s">
        <v>222</v>
      </c>
      <c r="M45" s="14">
        <v>225</v>
      </c>
      <c r="N45" s="14">
        <v>186750</v>
      </c>
      <c r="O45" s="14">
        <v>50000</v>
      </c>
      <c r="P45" s="14">
        <v>136750</v>
      </c>
    </row>
    <row r="46" spans="12:16" x14ac:dyDescent="0.3">
      <c r="L46" s="26">
        <v>45995</v>
      </c>
      <c r="M46" s="14">
        <v>666</v>
      </c>
      <c r="N46" s="14">
        <v>543360</v>
      </c>
      <c r="O46" s="14">
        <v>588188</v>
      </c>
      <c r="P46" s="14">
        <v>-44828</v>
      </c>
    </row>
    <row r="47" spans="12:16" x14ac:dyDescent="0.3">
      <c r="L47" s="42" t="s">
        <v>224</v>
      </c>
      <c r="M47" s="14">
        <v>471</v>
      </c>
      <c r="N47" s="14">
        <v>381510</v>
      </c>
      <c r="O47" s="14">
        <v>418188</v>
      </c>
      <c r="P47" s="14">
        <v>-36678</v>
      </c>
    </row>
    <row r="48" spans="12:16" x14ac:dyDescent="0.3">
      <c r="L48" s="42" t="s">
        <v>229</v>
      </c>
      <c r="M48" s="14">
        <v>195</v>
      </c>
      <c r="N48" s="14">
        <v>161850</v>
      </c>
      <c r="O48" s="14">
        <v>170000</v>
      </c>
      <c r="P48" s="14">
        <v>-8150</v>
      </c>
    </row>
    <row r="49" spans="12:16" x14ac:dyDescent="0.3">
      <c r="L49" s="26">
        <v>45996</v>
      </c>
      <c r="M49" s="14">
        <v>581</v>
      </c>
      <c r="N49" s="14">
        <v>418210</v>
      </c>
      <c r="O49" s="14">
        <v>40450</v>
      </c>
      <c r="P49" s="14">
        <v>377760</v>
      </c>
    </row>
    <row r="50" spans="12:16" x14ac:dyDescent="0.3">
      <c r="L50" s="42" t="s">
        <v>230</v>
      </c>
      <c r="M50" s="14">
        <v>215</v>
      </c>
      <c r="N50" s="14">
        <v>174150</v>
      </c>
      <c r="O50" s="14">
        <v>40450</v>
      </c>
      <c r="P50" s="14">
        <v>133700</v>
      </c>
    </row>
    <row r="51" spans="12:16" x14ac:dyDescent="0.3">
      <c r="L51" s="42">
        <v>8618</v>
      </c>
      <c r="M51" s="14">
        <v>227</v>
      </c>
      <c r="N51" s="14">
        <v>163440</v>
      </c>
      <c r="O51" s="14">
        <v>0</v>
      </c>
      <c r="P51" s="14">
        <v>163440</v>
      </c>
    </row>
    <row r="52" spans="12:16" x14ac:dyDescent="0.3">
      <c r="L52" s="42" t="s">
        <v>231</v>
      </c>
      <c r="M52" s="14">
        <v>139</v>
      </c>
      <c r="N52" s="14">
        <v>80620</v>
      </c>
      <c r="O52" s="14"/>
      <c r="P52" s="14">
        <v>80620</v>
      </c>
    </row>
    <row r="53" spans="12:16" x14ac:dyDescent="0.3">
      <c r="L53" s="26">
        <v>45997</v>
      </c>
      <c r="M53" s="14">
        <v>828</v>
      </c>
      <c r="N53" s="14">
        <v>581890</v>
      </c>
      <c r="O53" s="14">
        <v>629010</v>
      </c>
      <c r="P53" s="14">
        <v>-47120</v>
      </c>
    </row>
    <row r="54" spans="12:16" x14ac:dyDescent="0.3">
      <c r="L54" s="42" t="s">
        <v>103</v>
      </c>
      <c r="M54" s="14"/>
      <c r="N54" s="14">
        <v>0</v>
      </c>
      <c r="O54" s="14">
        <v>50000</v>
      </c>
      <c r="P54" s="14">
        <v>-50000</v>
      </c>
    </row>
    <row r="55" spans="12:16" x14ac:dyDescent="0.3">
      <c r="L55" s="42" t="s">
        <v>229</v>
      </c>
      <c r="M55" s="14">
        <v>188</v>
      </c>
      <c r="N55" s="14">
        <v>152280</v>
      </c>
      <c r="O55" s="14">
        <v>128500</v>
      </c>
      <c r="P55" s="14">
        <v>23780</v>
      </c>
    </row>
    <row r="56" spans="12:16" x14ac:dyDescent="0.3">
      <c r="L56" s="42" t="s">
        <v>227</v>
      </c>
      <c r="M56" s="14">
        <v>61</v>
      </c>
      <c r="N56" s="14">
        <v>49410</v>
      </c>
      <c r="O56" s="14">
        <v>200510</v>
      </c>
      <c r="P56" s="14">
        <v>-151100</v>
      </c>
    </row>
    <row r="57" spans="12:16" x14ac:dyDescent="0.3">
      <c r="L57" s="42" t="s">
        <v>228</v>
      </c>
      <c r="M57" s="14">
        <v>134</v>
      </c>
      <c r="N57" s="14">
        <v>77720</v>
      </c>
      <c r="O57" s="14">
        <v>150000</v>
      </c>
      <c r="P57" s="14">
        <v>-72280</v>
      </c>
    </row>
    <row r="58" spans="12:16" x14ac:dyDescent="0.3">
      <c r="L58" s="42">
        <v>8618</v>
      </c>
      <c r="M58" s="14">
        <v>317</v>
      </c>
      <c r="N58" s="14">
        <v>228240</v>
      </c>
      <c r="O58" s="14">
        <v>100000</v>
      </c>
      <c r="P58" s="14">
        <v>128240</v>
      </c>
    </row>
    <row r="59" spans="12:16" x14ac:dyDescent="0.3">
      <c r="L59" s="42" t="s">
        <v>97</v>
      </c>
      <c r="M59" s="14">
        <v>128</v>
      </c>
      <c r="N59" s="14">
        <v>74240</v>
      </c>
      <c r="O59" s="14"/>
      <c r="P59" s="14">
        <v>74240</v>
      </c>
    </row>
    <row r="60" spans="12:16" x14ac:dyDescent="0.3">
      <c r="L60" s="26">
        <v>45998</v>
      </c>
      <c r="M60" s="14">
        <v>337</v>
      </c>
      <c r="N60" s="14">
        <v>239390</v>
      </c>
      <c r="O60" s="14">
        <v>0</v>
      </c>
      <c r="P60" s="14">
        <v>239390</v>
      </c>
    </row>
    <row r="61" spans="12:16" x14ac:dyDescent="0.3">
      <c r="L61" s="42" t="s">
        <v>97</v>
      </c>
      <c r="M61" s="14">
        <v>146</v>
      </c>
      <c r="N61" s="14">
        <v>84680</v>
      </c>
      <c r="O61" s="14"/>
      <c r="P61" s="14">
        <v>84680</v>
      </c>
    </row>
    <row r="62" spans="12:16" x14ac:dyDescent="0.3">
      <c r="L62" s="42" t="s">
        <v>232</v>
      </c>
      <c r="M62" s="14">
        <v>191</v>
      </c>
      <c r="N62" s="14">
        <v>154710</v>
      </c>
      <c r="O62" s="14">
        <v>0</v>
      </c>
      <c r="P62" s="14">
        <v>154710</v>
      </c>
    </row>
    <row r="63" spans="12:16" x14ac:dyDescent="0.3">
      <c r="L63" s="26">
        <v>45999</v>
      </c>
      <c r="M63" s="14">
        <v>172</v>
      </c>
      <c r="N63" s="14">
        <v>99760</v>
      </c>
      <c r="O63" s="14">
        <v>120000</v>
      </c>
      <c r="P63" s="14">
        <v>-20240</v>
      </c>
    </row>
    <row r="64" spans="12:16" x14ac:dyDescent="0.3">
      <c r="L64" s="42">
        <v>8618</v>
      </c>
      <c r="M64" s="14">
        <v>172</v>
      </c>
      <c r="N64" s="14">
        <v>99760</v>
      </c>
      <c r="O64" s="14">
        <v>120000</v>
      </c>
      <c r="P64" s="14">
        <v>-20240</v>
      </c>
    </row>
    <row r="65" spans="12:16" x14ac:dyDescent="0.3">
      <c r="L65" s="26">
        <v>46000</v>
      </c>
      <c r="M65" s="14">
        <v>308</v>
      </c>
      <c r="N65" s="14">
        <v>217740</v>
      </c>
      <c r="O65" s="14">
        <v>470050</v>
      </c>
      <c r="P65" s="14">
        <v>-252310</v>
      </c>
    </row>
    <row r="66" spans="12:16" x14ac:dyDescent="0.3">
      <c r="L66" s="42" t="s">
        <v>103</v>
      </c>
      <c r="M66" s="14"/>
      <c r="N66" s="14">
        <v>0</v>
      </c>
      <c r="O66" s="14">
        <v>370050</v>
      </c>
      <c r="P66" s="14">
        <v>-370050</v>
      </c>
    </row>
    <row r="67" spans="12:16" x14ac:dyDescent="0.3">
      <c r="L67" s="42" t="s">
        <v>229</v>
      </c>
      <c r="M67" s="14">
        <v>170</v>
      </c>
      <c r="N67" s="14">
        <v>137700</v>
      </c>
      <c r="O67" s="14">
        <v>100000</v>
      </c>
      <c r="P67" s="14">
        <v>37700</v>
      </c>
    </row>
    <row r="68" spans="12:16" x14ac:dyDescent="0.3">
      <c r="L68" s="42" t="s">
        <v>231</v>
      </c>
      <c r="M68" s="14">
        <v>138</v>
      </c>
      <c r="N68" s="14">
        <v>80040</v>
      </c>
      <c r="O68" s="14">
        <v>0</v>
      </c>
      <c r="P68" s="14">
        <v>80040</v>
      </c>
    </row>
    <row r="69" spans="12:16" x14ac:dyDescent="0.3">
      <c r="L69" s="26">
        <v>46001</v>
      </c>
      <c r="M69" s="14"/>
      <c r="N69" s="14">
        <v>0</v>
      </c>
      <c r="O69" s="14">
        <v>227000</v>
      </c>
      <c r="P69" s="14">
        <v>-227000</v>
      </c>
    </row>
    <row r="70" spans="12:16" x14ac:dyDescent="0.3">
      <c r="L70" s="42" t="s">
        <v>103</v>
      </c>
      <c r="M70" s="14"/>
      <c r="N70" s="14">
        <v>0</v>
      </c>
      <c r="O70" s="14">
        <v>227000</v>
      </c>
      <c r="P70" s="14">
        <v>-227000</v>
      </c>
    </row>
    <row r="71" spans="12:16" x14ac:dyDescent="0.3">
      <c r="L71" s="26">
        <v>46002</v>
      </c>
      <c r="M71" s="14">
        <v>186</v>
      </c>
      <c r="N71" s="14">
        <v>150660</v>
      </c>
      <c r="O71" s="14">
        <v>240500</v>
      </c>
      <c r="P71" s="14">
        <v>-89840</v>
      </c>
    </row>
    <row r="72" spans="12:16" x14ac:dyDescent="0.3">
      <c r="L72" s="42" t="s">
        <v>103</v>
      </c>
      <c r="M72" s="14"/>
      <c r="N72" s="14">
        <v>0</v>
      </c>
      <c r="O72" s="14">
        <v>150500</v>
      </c>
      <c r="P72" s="14">
        <v>-150500</v>
      </c>
    </row>
    <row r="73" spans="12:16" x14ac:dyDescent="0.3">
      <c r="L73" s="42" t="s">
        <v>229</v>
      </c>
      <c r="M73" s="14">
        <v>186</v>
      </c>
      <c r="N73" s="14">
        <v>150660</v>
      </c>
      <c r="O73" s="14">
        <v>90000</v>
      </c>
      <c r="P73" s="14">
        <v>60660</v>
      </c>
    </row>
    <row r="74" spans="12:16" x14ac:dyDescent="0.3">
      <c r="L74" s="26">
        <v>46003</v>
      </c>
      <c r="M74" s="14">
        <v>137</v>
      </c>
      <c r="N74" s="14">
        <v>79460</v>
      </c>
      <c r="O74" s="14">
        <v>190000</v>
      </c>
      <c r="P74" s="14">
        <v>-110540</v>
      </c>
    </row>
    <row r="75" spans="12:16" x14ac:dyDescent="0.3">
      <c r="L75" s="42" t="s">
        <v>103</v>
      </c>
      <c r="M75" s="14"/>
      <c r="N75" s="14">
        <v>0</v>
      </c>
      <c r="O75" s="14">
        <v>190000</v>
      </c>
      <c r="P75" s="14">
        <v>-190000</v>
      </c>
    </row>
    <row r="76" spans="12:16" x14ac:dyDescent="0.3">
      <c r="L76" s="42" t="s">
        <v>231</v>
      </c>
      <c r="M76" s="14">
        <v>137</v>
      </c>
      <c r="N76" s="14">
        <v>79460</v>
      </c>
      <c r="O76" s="14">
        <v>0</v>
      </c>
      <c r="P76" s="14">
        <v>79460</v>
      </c>
    </row>
    <row r="77" spans="12:16" x14ac:dyDescent="0.3">
      <c r="L77" s="26">
        <v>46005</v>
      </c>
      <c r="M77" s="14">
        <v>273</v>
      </c>
      <c r="N77" s="14">
        <v>215190</v>
      </c>
      <c r="O77" s="14">
        <v>40000</v>
      </c>
      <c r="P77" s="14">
        <v>175190</v>
      </c>
    </row>
    <row r="78" spans="12:16" x14ac:dyDescent="0.3">
      <c r="L78" s="42" t="s">
        <v>229</v>
      </c>
      <c r="M78" s="14">
        <v>207</v>
      </c>
      <c r="N78" s="14">
        <v>167670</v>
      </c>
      <c r="O78" s="14">
        <v>0</v>
      </c>
      <c r="P78" s="14">
        <v>167670</v>
      </c>
    </row>
    <row r="79" spans="12:16" x14ac:dyDescent="0.3">
      <c r="L79" s="42">
        <v>8618</v>
      </c>
      <c r="M79" s="14">
        <v>66</v>
      </c>
      <c r="N79" s="14">
        <v>47520</v>
      </c>
      <c r="O79" s="14">
        <v>40000</v>
      </c>
      <c r="P79" s="14">
        <v>7520</v>
      </c>
    </row>
    <row r="80" spans="12:16" x14ac:dyDescent="0.3">
      <c r="L80" s="26">
        <v>46004</v>
      </c>
      <c r="M80" s="14">
        <v>140</v>
      </c>
      <c r="N80" s="14">
        <v>81200</v>
      </c>
      <c r="O80" s="14">
        <v>0</v>
      </c>
      <c r="P80" s="14">
        <v>81200</v>
      </c>
    </row>
    <row r="81" spans="12:16" x14ac:dyDescent="0.3">
      <c r="L81" s="42" t="s">
        <v>231</v>
      </c>
      <c r="M81" s="14">
        <v>140</v>
      </c>
      <c r="N81" s="14">
        <v>81200</v>
      </c>
      <c r="O81" s="14">
        <v>0</v>
      </c>
      <c r="P81" s="14">
        <v>81200</v>
      </c>
    </row>
    <row r="82" spans="12:16" x14ac:dyDescent="0.3">
      <c r="L82" s="26">
        <v>46006</v>
      </c>
      <c r="M82" s="14">
        <v>634</v>
      </c>
      <c r="N82" s="14">
        <v>409120</v>
      </c>
      <c r="O82" s="14">
        <v>250000</v>
      </c>
      <c r="P82" s="14">
        <v>159120</v>
      </c>
    </row>
    <row r="83" spans="12:16" x14ac:dyDescent="0.3">
      <c r="L83" s="42" t="s">
        <v>103</v>
      </c>
      <c r="M83" s="14"/>
      <c r="N83" s="14">
        <v>0</v>
      </c>
      <c r="O83" s="14">
        <v>150000</v>
      </c>
      <c r="P83" s="14">
        <v>-150000</v>
      </c>
    </row>
    <row r="84" spans="12:16" x14ac:dyDescent="0.3">
      <c r="L84" s="42" t="s">
        <v>206</v>
      </c>
      <c r="M84" s="14">
        <v>76</v>
      </c>
      <c r="N84" s="14">
        <v>44080</v>
      </c>
      <c r="O84" s="14">
        <v>0</v>
      </c>
      <c r="P84" s="14">
        <v>44080</v>
      </c>
    </row>
    <row r="85" spans="12:16" x14ac:dyDescent="0.3">
      <c r="L85" s="42" t="s">
        <v>229</v>
      </c>
      <c r="M85" s="14">
        <v>180</v>
      </c>
      <c r="N85" s="14">
        <v>145800</v>
      </c>
      <c r="O85" s="14"/>
      <c r="P85" s="14">
        <v>145800</v>
      </c>
    </row>
    <row r="86" spans="12:16" x14ac:dyDescent="0.3">
      <c r="L86" s="42" t="s">
        <v>239</v>
      </c>
      <c r="M86" s="14">
        <v>378</v>
      </c>
      <c r="N86" s="14">
        <v>219240</v>
      </c>
      <c r="O86" s="14">
        <v>100000</v>
      </c>
      <c r="P86" s="14">
        <v>119240</v>
      </c>
    </row>
    <row r="87" spans="12:16" x14ac:dyDescent="0.3">
      <c r="L87" s="26">
        <v>46007</v>
      </c>
      <c r="M87" s="14">
        <v>596</v>
      </c>
      <c r="N87" s="14">
        <v>482760</v>
      </c>
      <c r="O87" s="14">
        <v>411172</v>
      </c>
      <c r="P87" s="14">
        <v>71588</v>
      </c>
    </row>
    <row r="88" spans="12:16" x14ac:dyDescent="0.3">
      <c r="L88" s="42" t="s">
        <v>103</v>
      </c>
      <c r="M88" s="14"/>
      <c r="N88" s="14">
        <v>0</v>
      </c>
      <c r="O88" s="14">
        <v>152072</v>
      </c>
      <c r="P88" s="14">
        <v>-152072</v>
      </c>
    </row>
    <row r="89" spans="12:16" x14ac:dyDescent="0.3">
      <c r="L89" s="42" t="s">
        <v>198</v>
      </c>
      <c r="M89" s="14">
        <v>363</v>
      </c>
      <c r="N89" s="14">
        <v>294030</v>
      </c>
      <c r="O89" s="14">
        <v>211500</v>
      </c>
      <c r="P89" s="14">
        <v>82530</v>
      </c>
    </row>
    <row r="90" spans="12:16" x14ac:dyDescent="0.3">
      <c r="L90" s="42" t="s">
        <v>242</v>
      </c>
      <c r="M90" s="14">
        <v>233</v>
      </c>
      <c r="N90" s="14">
        <v>188730</v>
      </c>
      <c r="O90" s="14">
        <v>47600</v>
      </c>
      <c r="P90" s="14">
        <v>141130</v>
      </c>
    </row>
    <row r="91" spans="12:16" x14ac:dyDescent="0.3">
      <c r="L91" s="26">
        <v>46008</v>
      </c>
      <c r="M91" s="14">
        <v>146</v>
      </c>
      <c r="N91" s="14">
        <v>84680</v>
      </c>
      <c r="O91" s="14">
        <v>342000</v>
      </c>
      <c r="P91" s="14">
        <v>-257320</v>
      </c>
    </row>
    <row r="92" spans="12:16" x14ac:dyDescent="0.3">
      <c r="L92" s="42" t="s">
        <v>103</v>
      </c>
      <c r="M92" s="14"/>
      <c r="N92" s="14">
        <v>0</v>
      </c>
      <c r="O92" s="14">
        <v>342000</v>
      </c>
      <c r="P92" s="14">
        <v>-342000</v>
      </c>
    </row>
    <row r="93" spans="12:16" x14ac:dyDescent="0.3">
      <c r="L93" s="42" t="s">
        <v>231</v>
      </c>
      <c r="M93" s="14">
        <v>146</v>
      </c>
      <c r="N93" s="14">
        <v>84680</v>
      </c>
      <c r="O93" s="14">
        <v>0</v>
      </c>
      <c r="P93" s="14">
        <v>84680</v>
      </c>
    </row>
    <row r="94" spans="12:16" x14ac:dyDescent="0.3">
      <c r="L94" s="26" t="s">
        <v>28</v>
      </c>
      <c r="M94" s="14">
        <v>8970</v>
      </c>
      <c r="N94" s="14">
        <v>6752410</v>
      </c>
      <c r="O94" s="14">
        <v>6809035</v>
      </c>
      <c r="P94" s="14">
        <v>3267828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zoomScale="160" workbookViewId="0">
      <selection activeCell="D4" sqref="D4"/>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77734375" bestFit="1" customWidth="1"/>
    <col min="11" max="11" width="12.21875" bestFit="1" customWidth="1"/>
    <col min="12" max="12" width="11.554687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252</v>
      </c>
      <c r="C2" s="11"/>
      <c r="D2" s="87">
        <f>[1]Cashbook!$N$5</f>
        <v>727497</v>
      </c>
      <c r="E2" s="81"/>
      <c r="F2" s="88" t="s">
        <v>108</v>
      </c>
    </row>
    <row r="3" spans="1:16" x14ac:dyDescent="0.3">
      <c r="A3" s="86">
        <v>46008</v>
      </c>
      <c r="B3" s="81" t="s">
        <v>252</v>
      </c>
      <c r="C3" s="11"/>
      <c r="D3" s="87">
        <f>[1]Cashbook!$N$6</f>
        <v>-610916</v>
      </c>
      <c r="E3" s="81"/>
      <c r="F3" s="88" t="s">
        <v>109</v>
      </c>
      <c r="J3" s="47" t="s">
        <v>45</v>
      </c>
      <c r="K3" s="35" t="s">
        <v>46</v>
      </c>
      <c r="M3" s="47" t="s">
        <v>45</v>
      </c>
      <c r="N3" s="50" t="s">
        <v>104</v>
      </c>
      <c r="O3" s="89" t="s">
        <v>105</v>
      </c>
      <c r="P3" t="s">
        <v>106</v>
      </c>
    </row>
    <row r="4" spans="1:16" x14ac:dyDescent="0.3">
      <c r="A4" s="117"/>
      <c r="C4" s="11"/>
      <c r="D4" s="11"/>
      <c r="F4" s="111"/>
      <c r="J4" s="45" t="s">
        <v>70</v>
      </c>
      <c r="K4" s="46">
        <f>Table14[[#Totals],[Debit]]</f>
        <v>0</v>
      </c>
      <c r="M4" s="45" t="s">
        <v>107</v>
      </c>
      <c r="N4" s="51">
        <f>SUMIFS(Table14[Withdrawal],Table14[Party],"Cash",Table14[Mode],"Transfer")</f>
        <v>0</v>
      </c>
    </row>
    <row r="5" spans="1:16" x14ac:dyDescent="0.3">
      <c r="A5" s="38"/>
      <c r="C5" s="96"/>
      <c r="D5" s="96"/>
      <c r="F5" s="111"/>
      <c r="J5" s="45" t="s">
        <v>69</v>
      </c>
      <c r="K5" s="46">
        <f>Table14[[#Totals],[Credit]]</f>
        <v>116581</v>
      </c>
      <c r="M5" s="45" t="s">
        <v>108</v>
      </c>
      <c r="N5" s="46">
        <f>(SUMIFS(Table14[Credit],Table14[Mode],"Bank")-SUMIFS(Table14[Debit],Table14[Mode],"Bank")-SUMIFS(Table14[Withdrawal],Table14[Mode],"Transfer"))</f>
        <v>727497</v>
      </c>
      <c r="O5">
        <v>360000</v>
      </c>
    </row>
    <row r="6" spans="1:16" x14ac:dyDescent="0.3">
      <c r="A6" s="38"/>
      <c r="C6" s="14">
        <f>SUBTOTAL(109,Table14[Debit])</f>
        <v>0</v>
      </c>
      <c r="D6" s="14">
        <f>SUBTOTAL(109,Table14[Credit])</f>
        <v>116581</v>
      </c>
      <c r="F6" s="54">
        <f>(Table14[[#Totals],[Credit]]-Table14[[#Totals],[Debit]])</f>
        <v>116581</v>
      </c>
      <c r="J6" s="52" t="s">
        <v>43</v>
      </c>
      <c r="K6" s="53">
        <f>(K5-K4)</f>
        <v>116581</v>
      </c>
      <c r="M6" s="45" t="s">
        <v>109</v>
      </c>
      <c r="N6" s="46">
        <f>((SUMIFS(Table14[Credit],Table14[Mode],"Cash")-SUMIFS(Table14[Debit],Table14[Mode],"Cash"))+SUMIFS(Table14[Withdrawal],Table14[Party],"Cash",Table14[Mode],"Transfer"))</f>
        <v>-610916</v>
      </c>
      <c r="O6">
        <v>50000</v>
      </c>
    </row>
    <row r="7" spans="1:16" x14ac:dyDescent="0.3">
      <c r="M7" s="48" t="s">
        <v>5</v>
      </c>
      <c r="N7" s="49">
        <f>SUM(N5:N6)</f>
        <v>116581</v>
      </c>
      <c r="O7" s="90">
        <f>SUM(O5,O6)</f>
        <v>410000</v>
      </c>
      <c r="P7" s="14">
        <f>Table18[[#Totals],[amount]]-Table18[[#Totals],[Actual]]</f>
        <v>-293419</v>
      </c>
    </row>
    <row r="163" spans="10:12" x14ac:dyDescent="0.3">
      <c r="J163" s="3" t="s">
        <v>6</v>
      </c>
      <c r="K163" t="s">
        <v>118</v>
      </c>
      <c r="L163" t="s">
        <v>119</v>
      </c>
    </row>
    <row r="164" spans="10:12" x14ac:dyDescent="0.3">
      <c r="J164" s="4" t="s">
        <v>197</v>
      </c>
      <c r="K164" s="14"/>
      <c r="L164" s="14">
        <v>541500</v>
      </c>
    </row>
    <row r="165" spans="10:12" x14ac:dyDescent="0.3">
      <c r="J165" s="4" t="s">
        <v>9</v>
      </c>
      <c r="K165" s="14">
        <v>1900000</v>
      </c>
      <c r="L165" s="14"/>
    </row>
    <row r="166" spans="10:12" x14ac:dyDescent="0.3">
      <c r="J166" s="4" t="s">
        <v>21</v>
      </c>
      <c r="K166" s="14">
        <v>1339058</v>
      </c>
      <c r="L166" s="14"/>
    </row>
    <row r="167" spans="10:12" x14ac:dyDescent="0.3">
      <c r="J167" s="4" t="s">
        <v>117</v>
      </c>
      <c r="K167" s="14"/>
      <c r="L167" s="14">
        <v>24000</v>
      </c>
    </row>
    <row r="168" spans="10:12" x14ac:dyDescent="0.3">
      <c r="J168" s="4" t="s">
        <v>94</v>
      </c>
      <c r="K168" s="14"/>
      <c r="L168" s="14">
        <v>4185913</v>
      </c>
    </row>
    <row r="169" spans="10:12" x14ac:dyDescent="0.3">
      <c r="J169" s="4" t="s">
        <v>204</v>
      </c>
      <c r="K169" s="14"/>
      <c r="L169" s="14">
        <v>38648</v>
      </c>
    </row>
    <row r="170" spans="10:12" x14ac:dyDescent="0.3">
      <c r="J170" s="4" t="s">
        <v>55</v>
      </c>
      <c r="K170" s="14"/>
      <c r="L170" s="14">
        <v>405764</v>
      </c>
    </row>
    <row r="171" spans="10:12" x14ac:dyDescent="0.3">
      <c r="J171" s="4" t="s">
        <v>113</v>
      </c>
      <c r="K171" s="14"/>
      <c r="L171" s="14">
        <v>163990</v>
      </c>
    </row>
    <row r="172" spans="10:12" x14ac:dyDescent="0.3">
      <c r="J172" s="4" t="s">
        <v>194</v>
      </c>
      <c r="K172" s="14"/>
      <c r="L172" s="14">
        <v>1123850</v>
      </c>
    </row>
    <row r="173" spans="10:12" x14ac:dyDescent="0.3">
      <c r="J173" s="4" t="s">
        <v>54</v>
      </c>
      <c r="K173" s="14">
        <v>12700</v>
      </c>
      <c r="L173" s="14">
        <v>201080</v>
      </c>
    </row>
    <row r="174" spans="10:12" x14ac:dyDescent="0.3">
      <c r="J174" s="4" t="s">
        <v>179</v>
      </c>
      <c r="K174" s="14"/>
      <c r="L174" s="14">
        <v>177878</v>
      </c>
    </row>
    <row r="175" spans="10:12" x14ac:dyDescent="0.3">
      <c r="J175" s="4" t="s">
        <v>236</v>
      </c>
      <c r="K175" s="14"/>
      <c r="L175" s="14">
        <v>2000</v>
      </c>
    </row>
    <row r="176" spans="10:12" x14ac:dyDescent="0.3">
      <c r="J176" s="4" t="s">
        <v>176</v>
      </c>
      <c r="K176" s="14">
        <v>128092</v>
      </c>
      <c r="L176" s="14">
        <v>19470</v>
      </c>
    </row>
    <row r="177" spans="10:12" x14ac:dyDescent="0.3">
      <c r="J177" s="4" t="s">
        <v>199</v>
      </c>
      <c r="K177" s="14">
        <v>700000</v>
      </c>
      <c r="L177" s="14"/>
    </row>
    <row r="178" spans="10:12" x14ac:dyDescent="0.3">
      <c r="J178" s="4" t="s">
        <v>103</v>
      </c>
      <c r="K178" s="14"/>
      <c r="L178" s="14"/>
    </row>
    <row r="179" spans="10:12" x14ac:dyDescent="0.3">
      <c r="J179" s="4" t="s">
        <v>25</v>
      </c>
      <c r="K179" s="14">
        <v>1853061</v>
      </c>
      <c r="L179" s="14"/>
    </row>
    <row r="180" spans="10:12" x14ac:dyDescent="0.3">
      <c r="J180" s="4" t="s">
        <v>27</v>
      </c>
      <c r="K180" s="14">
        <v>605980</v>
      </c>
      <c r="L180" s="14"/>
    </row>
    <row r="181" spans="10:12" x14ac:dyDescent="0.3">
      <c r="J181" s="4" t="s">
        <v>115</v>
      </c>
      <c r="K181" s="14"/>
      <c r="L181" s="14">
        <v>240125</v>
      </c>
    </row>
    <row r="182" spans="10:12" x14ac:dyDescent="0.3">
      <c r="J182" s="4" t="s">
        <v>35</v>
      </c>
      <c r="K182" s="14">
        <v>10040</v>
      </c>
      <c r="L182" s="14"/>
    </row>
    <row r="183" spans="10:12" x14ac:dyDescent="0.3">
      <c r="J183" s="4" t="s">
        <v>234</v>
      </c>
      <c r="K183" s="14">
        <v>200000</v>
      </c>
      <c r="L183" s="14"/>
    </row>
    <row r="184" spans="10:12" x14ac:dyDescent="0.3">
      <c r="J184" s="4" t="s">
        <v>149</v>
      </c>
      <c r="K184" s="14"/>
      <c r="L184" s="14">
        <v>90000</v>
      </c>
    </row>
    <row r="185" spans="10:12" x14ac:dyDescent="0.3">
      <c r="J185" s="4" t="s">
        <v>152</v>
      </c>
      <c r="K185" s="14">
        <v>1705000</v>
      </c>
      <c r="L185" s="14"/>
    </row>
    <row r="186" spans="10:12" x14ac:dyDescent="0.3">
      <c r="J186" s="4" t="s">
        <v>166</v>
      </c>
      <c r="K186" s="14">
        <v>925217</v>
      </c>
      <c r="L186" s="14"/>
    </row>
    <row r="187" spans="10:12" x14ac:dyDescent="0.3">
      <c r="J187" s="4" t="s">
        <v>193</v>
      </c>
      <c r="K187" s="14"/>
      <c r="L187" s="14">
        <v>728572</v>
      </c>
    </row>
    <row r="188" spans="10:12" x14ac:dyDescent="0.3">
      <c r="J188" s="4" t="s">
        <v>172</v>
      </c>
      <c r="K188" s="14"/>
      <c r="L188" s="14">
        <v>201000</v>
      </c>
    </row>
    <row r="189" spans="10:12" x14ac:dyDescent="0.3">
      <c r="J189" s="4" t="s">
        <v>201</v>
      </c>
      <c r="K189" s="14">
        <v>4261717</v>
      </c>
      <c r="L189" s="14">
        <v>5526426</v>
      </c>
    </row>
    <row r="190" spans="10:12" x14ac:dyDescent="0.3">
      <c r="J190" s="4" t="s">
        <v>177</v>
      </c>
      <c r="K190" s="14">
        <v>2000000</v>
      </c>
      <c r="L190" s="14"/>
    </row>
    <row r="191" spans="10:12" x14ac:dyDescent="0.3">
      <c r="J191" s="4" t="s">
        <v>178</v>
      </c>
      <c r="K191" s="14"/>
      <c r="L191" s="14">
        <v>1223450</v>
      </c>
    </row>
    <row r="192" spans="10:12" x14ac:dyDescent="0.3">
      <c r="J192" s="4" t="s">
        <v>200</v>
      </c>
      <c r="K192" s="14">
        <v>1500000</v>
      </c>
      <c r="L192" s="14"/>
    </row>
    <row r="193" spans="10:12" x14ac:dyDescent="0.3">
      <c r="J193" s="4" t="s">
        <v>173</v>
      </c>
      <c r="K193" s="14">
        <v>120205</v>
      </c>
      <c r="L193" s="14"/>
    </row>
    <row r="194" spans="10:12" x14ac:dyDescent="0.3">
      <c r="J194" s="4" t="s">
        <v>184</v>
      </c>
      <c r="K194" s="14"/>
      <c r="L194" s="14">
        <v>4000</v>
      </c>
    </row>
    <row r="195" spans="10:12" x14ac:dyDescent="0.3">
      <c r="J195" s="4" t="s">
        <v>185</v>
      </c>
      <c r="K195" s="14"/>
      <c r="L195" s="14">
        <v>94375</v>
      </c>
    </row>
    <row r="196" spans="10:12" x14ac:dyDescent="0.3">
      <c r="J196" s="4" t="s">
        <v>192</v>
      </c>
      <c r="K196" s="14">
        <v>-1257831</v>
      </c>
      <c r="L196" s="14"/>
    </row>
    <row r="197" spans="10:12" x14ac:dyDescent="0.3">
      <c r="J197" s="4" t="s">
        <v>51</v>
      </c>
      <c r="K197" s="14"/>
      <c r="L197" s="14">
        <v>1803475</v>
      </c>
    </row>
    <row r="198" spans="10:12" x14ac:dyDescent="0.3">
      <c r="J198" s="4" t="s">
        <v>148</v>
      </c>
      <c r="K198" s="14">
        <v>130000</v>
      </c>
      <c r="L198" s="14"/>
    </row>
    <row r="199" spans="10:12" x14ac:dyDescent="0.3">
      <c r="J199" s="4" t="s">
        <v>210</v>
      </c>
      <c r="K199" s="14"/>
      <c r="L199" s="14">
        <v>624000</v>
      </c>
    </row>
    <row r="200" spans="10:12" x14ac:dyDescent="0.3">
      <c r="J200" s="4" t="s">
        <v>213</v>
      </c>
      <c r="K200" s="14">
        <v>16200</v>
      </c>
      <c r="L200" s="14">
        <v>73000</v>
      </c>
    </row>
    <row r="201" spans="10:12" x14ac:dyDescent="0.3">
      <c r="J201" s="4" t="s">
        <v>215</v>
      </c>
      <c r="K201" s="14">
        <v>790500</v>
      </c>
      <c r="L201" s="14"/>
    </row>
    <row r="202" spans="10:12" x14ac:dyDescent="0.3">
      <c r="J202" s="4" t="s">
        <v>217</v>
      </c>
      <c r="K202" s="14"/>
      <c r="L202" s="14">
        <v>85000</v>
      </c>
    </row>
    <row r="203" spans="10:12" x14ac:dyDescent="0.3">
      <c r="J203" s="4" t="s">
        <v>220</v>
      </c>
      <c r="K203" s="14">
        <v>1468325</v>
      </c>
      <c r="L203" s="14"/>
    </row>
    <row r="204" spans="10:12" x14ac:dyDescent="0.3">
      <c r="J204" s="4" t="s">
        <v>225</v>
      </c>
      <c r="K204" s="14">
        <v>124560</v>
      </c>
      <c r="L204" s="14"/>
    </row>
    <row r="205" spans="10:12" x14ac:dyDescent="0.3">
      <c r="J205" s="4" t="s">
        <v>221</v>
      </c>
      <c r="K205" s="14"/>
      <c r="L205" s="14">
        <v>1167550</v>
      </c>
    </row>
    <row r="206" spans="10:12" x14ac:dyDescent="0.3">
      <c r="J206" s="4" t="s">
        <v>216</v>
      </c>
      <c r="K206" s="14">
        <v>424323</v>
      </c>
      <c r="L206" s="14"/>
    </row>
    <row r="207" spans="10:12" x14ac:dyDescent="0.3">
      <c r="J207" s="4" t="s">
        <v>226</v>
      </c>
      <c r="K207" s="14"/>
      <c r="L207" s="14">
        <v>432000</v>
      </c>
    </row>
    <row r="208" spans="10:12" x14ac:dyDescent="0.3">
      <c r="J208" s="4" t="s">
        <v>240</v>
      </c>
      <c r="K208" s="14">
        <v>250000</v>
      </c>
      <c r="L208" s="14"/>
    </row>
    <row r="209" spans="10:12" x14ac:dyDescent="0.3">
      <c r="J209" s="4" t="s">
        <v>28</v>
      </c>
      <c r="K209" s="14">
        <v>19207147</v>
      </c>
      <c r="L209" s="14">
        <v>19177066</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topLeftCell="A11" zoomScale="93" zoomScaleNormal="210" workbookViewId="0">
      <selection activeCell="I12" sqref="I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190</v>
      </c>
      <c r="K2" t="s">
        <v>75</v>
      </c>
      <c r="L2" t="s">
        <v>45</v>
      </c>
      <c r="M2" t="s">
        <v>36</v>
      </c>
      <c r="N2" t="s">
        <v>5</v>
      </c>
    </row>
    <row r="3" spans="1:14" x14ac:dyDescent="0.3">
      <c r="A3" s="95">
        <v>46008</v>
      </c>
      <c r="B3" s="82" t="s">
        <v>64</v>
      </c>
      <c r="C3" s="81"/>
      <c r="D3" s="81"/>
      <c r="E3" s="81"/>
      <c r="F3" s="81" t="s">
        <v>178</v>
      </c>
      <c r="G3" s="82">
        <f>SUMIFS(Table14[Debit], Table14[Date], Table8[[#This Row],[Date]], Table14[Party], Table8[[#This Row],[Party]])</f>
        <v>0</v>
      </c>
      <c r="H3" s="82">
        <v>0</v>
      </c>
      <c r="I3" s="82" t="s">
        <v>190</v>
      </c>
      <c r="K3" s="1"/>
      <c r="L3" t="s">
        <v>124</v>
      </c>
      <c r="N3" s="11">
        <f t="shared" ref="N3" si="0">47000+28750</f>
        <v>75750</v>
      </c>
    </row>
    <row r="4" spans="1:14" x14ac:dyDescent="0.3">
      <c r="A4" s="85">
        <v>46008</v>
      </c>
      <c r="B4" s="82" t="s">
        <v>64</v>
      </c>
      <c r="F4" s="81" t="s">
        <v>185</v>
      </c>
      <c r="G4" s="82">
        <f>SUMIFS(Table14[Debit], Table14[Date], Table8[[#This Row],[Date]], Table14[Party], Table8[[#This Row],[Party]])</f>
        <v>0</v>
      </c>
      <c r="H4" s="82">
        <v>0</v>
      </c>
      <c r="I4" s="82" t="s">
        <v>190</v>
      </c>
      <c r="K4" s="1"/>
      <c r="N4" s="11"/>
    </row>
    <row r="5" spans="1:14" x14ac:dyDescent="0.3">
      <c r="A5" s="95">
        <v>46008</v>
      </c>
      <c r="B5" s="82" t="s">
        <v>64</v>
      </c>
      <c r="F5" t="s">
        <v>217</v>
      </c>
      <c r="G5" s="82">
        <f>SUMIFS(Table14[Debit], Table14[Date], Table8[[#This Row],[Date]], Table14[Party], Table8[[#This Row],[Party]])</f>
        <v>0</v>
      </c>
      <c r="H5" s="82">
        <v>0</v>
      </c>
      <c r="I5" s="82" t="s">
        <v>190</v>
      </c>
      <c r="K5" s="1"/>
      <c r="N5" s="14">
        <f>SUM(Table7[Total])</f>
        <v>75750</v>
      </c>
    </row>
    <row r="6" spans="1:14" x14ac:dyDescent="0.3">
      <c r="G6">
        <f>SUMIFS(Table14[Debit], Table14[Date], Table8[[#This Row],[Date]], Table14[Party], Table8[[#This Row],[Party]])</f>
        <v>0</v>
      </c>
      <c r="H6">
        <f>Table8[[#This Row],[Price]]-Table8[[#This Row],[Paid]]</f>
        <v>0</v>
      </c>
    </row>
    <row r="7" spans="1:14" x14ac:dyDescent="0.3">
      <c r="G7">
        <f>SUMIFS(Table14[Debit], Table14[Date], Table8[[#This Row],[Date]], Table14[Party], Table8[[#This Row],[Party]])</f>
        <v>0</v>
      </c>
      <c r="H7">
        <f>Table8[[#This Row],[Price]]-Table8[[#This Row],[Paid]]</f>
        <v>0</v>
      </c>
      <c r="K7" s="3" t="s">
        <v>110</v>
      </c>
      <c r="L7" t="s">
        <v>87</v>
      </c>
    </row>
    <row r="8" spans="1:14" x14ac:dyDescent="0.3">
      <c r="G8">
        <f>SUMIFS(Table14[Debit], Table14[Date], Table8[[#This Row],[Date]], Table14[Party], Table8[[#This Row],[Party]])</f>
        <v>0</v>
      </c>
      <c r="H8">
        <f>Table8[[#This Row],[Price]]-Table8[[#This Row],[Paid]]</f>
        <v>0</v>
      </c>
    </row>
    <row r="9" spans="1:14" x14ac:dyDescent="0.3">
      <c r="G9">
        <f>SUMIFS(Table14[Debit], Table14[Date], Table8[[#This Row],[Date]], Table14[Party], Table8[[#This Row],[Party]])</f>
        <v>0</v>
      </c>
      <c r="H9">
        <f>Table8[[#This Row],[Price]]-Table8[[#This Row],[Paid]]</f>
        <v>0</v>
      </c>
      <c r="K9" s="3" t="s">
        <v>6</v>
      </c>
      <c r="L9" t="s">
        <v>127</v>
      </c>
      <c r="M9" t="s">
        <v>128</v>
      </c>
    </row>
    <row r="10" spans="1:14" x14ac:dyDescent="0.3">
      <c r="E10">
        <f>SUBTOTAL(109,Table8[Price])</f>
        <v>0</v>
      </c>
      <c r="H10">
        <f>SUBTOTAL(109,Table8[Balance])</f>
        <v>0</v>
      </c>
      <c r="K10" s="26">
        <v>45947</v>
      </c>
      <c r="M10">
        <v>240125</v>
      </c>
    </row>
    <row r="11" spans="1:14" x14ac:dyDescent="0.3">
      <c r="K11" s="26">
        <v>45979</v>
      </c>
      <c r="M11">
        <v>0</v>
      </c>
    </row>
    <row r="12" spans="1:14" x14ac:dyDescent="0.3">
      <c r="K12" s="26">
        <v>45981</v>
      </c>
      <c r="L12">
        <v>141950</v>
      </c>
      <c r="M12">
        <v>0</v>
      </c>
    </row>
    <row r="13" spans="1:14" x14ac:dyDescent="0.3">
      <c r="K13" s="26">
        <v>45983</v>
      </c>
      <c r="L13">
        <v>158000</v>
      </c>
      <c r="M13">
        <v>0</v>
      </c>
    </row>
    <row r="14" spans="1:14" x14ac:dyDescent="0.3">
      <c r="A14" t="s">
        <v>57</v>
      </c>
      <c r="B14" t="s">
        <v>156</v>
      </c>
      <c r="C14" t="s">
        <v>157</v>
      </c>
      <c r="D14" t="s">
        <v>4</v>
      </c>
      <c r="E14" t="s">
        <v>158</v>
      </c>
      <c r="K14" s="26">
        <v>45986</v>
      </c>
      <c r="L14">
        <v>231500</v>
      </c>
      <c r="M14">
        <v>0</v>
      </c>
    </row>
    <row r="15" spans="1:14" x14ac:dyDescent="0.3">
      <c r="A15" t="s">
        <v>131</v>
      </c>
      <c r="B15">
        <v>1</v>
      </c>
      <c r="C15">
        <v>25</v>
      </c>
      <c r="D15">
        <v>1400</v>
      </c>
      <c r="E15">
        <f>Table2325[[#This Row],[boxes]]*Table2325[[#This Row],[kgs]]*Table2325[[#This Row],[Rate]]</f>
        <v>35000</v>
      </c>
      <c r="K15" s="26">
        <v>45987</v>
      </c>
      <c r="M15">
        <v>-240125</v>
      </c>
    </row>
    <row r="16" spans="1:14" x14ac:dyDescent="0.3">
      <c r="A16" t="s">
        <v>129</v>
      </c>
      <c r="B16">
        <v>1</v>
      </c>
      <c r="C16">
        <v>3</v>
      </c>
      <c r="D16">
        <v>1340</v>
      </c>
      <c r="E16">
        <f>Table2325[[#This Row],[boxes]]*Table2325[[#This Row],[kgs]]*Table2325[[#This Row],[Rate]]</f>
        <v>4020</v>
      </c>
      <c r="K16" s="26">
        <v>45988</v>
      </c>
      <c r="L16">
        <v>85000</v>
      </c>
      <c r="M16">
        <v>0</v>
      </c>
    </row>
    <row r="17" spans="1:13" x14ac:dyDescent="0.3">
      <c r="A17" t="s">
        <v>147</v>
      </c>
      <c r="B17">
        <v>1</v>
      </c>
      <c r="D17">
        <v>1120</v>
      </c>
      <c r="E17">
        <f>Table2325[[#This Row],[boxes]]*Table2325[[#This Row],[kgs]]*Table2325[[#This Row],[Rate]]</f>
        <v>0</v>
      </c>
      <c r="K17" s="26">
        <v>45990</v>
      </c>
      <c r="L17">
        <v>46000</v>
      </c>
      <c r="M17">
        <v>0</v>
      </c>
    </row>
    <row r="18" spans="1:13" x14ac:dyDescent="0.3">
      <c r="A18" t="s">
        <v>126</v>
      </c>
      <c r="B18">
        <v>1</v>
      </c>
      <c r="C18">
        <v>25</v>
      </c>
      <c r="D18">
        <v>1120</v>
      </c>
      <c r="E18">
        <f>Table2325[[#This Row],[boxes]]*Table2325[[#This Row],[kgs]]*Table2325[[#This Row],[Rate]]</f>
        <v>28000</v>
      </c>
      <c r="K18" s="26">
        <v>45993</v>
      </c>
      <c r="L18">
        <v>242450</v>
      </c>
      <c r="M18">
        <v>0</v>
      </c>
    </row>
    <row r="19" spans="1:13" x14ac:dyDescent="0.3">
      <c r="A19" t="s">
        <v>125</v>
      </c>
      <c r="B19">
        <v>1</v>
      </c>
      <c r="C19">
        <v>25</v>
      </c>
      <c r="D19">
        <v>1120</v>
      </c>
      <c r="E19">
        <f>Table2325[[#This Row],[boxes]]*Table2325[[#This Row],[kgs]]*Table2325[[#This Row],[Rate]]</f>
        <v>28000</v>
      </c>
      <c r="K19" s="26">
        <v>45995</v>
      </c>
      <c r="L19">
        <v>56000</v>
      </c>
      <c r="M19">
        <v>0</v>
      </c>
    </row>
    <row r="20" spans="1:13" x14ac:dyDescent="0.3">
      <c r="A20" t="s">
        <v>146</v>
      </c>
      <c r="B20">
        <v>1</v>
      </c>
      <c r="D20">
        <v>1300</v>
      </c>
      <c r="E20">
        <f>Table2325[[#This Row],[boxes]]*Table2325[[#This Row],[kgs]]*Table2325[[#This Row],[Rate]]</f>
        <v>0</v>
      </c>
      <c r="K20" s="26">
        <v>45992</v>
      </c>
      <c r="L20">
        <v>52000</v>
      </c>
      <c r="M20">
        <v>0</v>
      </c>
    </row>
    <row r="21" spans="1:13" x14ac:dyDescent="0.3">
      <c r="A21" t="s">
        <v>132</v>
      </c>
      <c r="B21">
        <v>1</v>
      </c>
      <c r="C21">
        <v>25</v>
      </c>
      <c r="D21">
        <v>1450</v>
      </c>
      <c r="E21">
        <f>Table2325[[#This Row],[boxes]]*Table2325[[#This Row],[kgs]]*Table2325[[#This Row],[Rate]]</f>
        <v>36250</v>
      </c>
      <c r="K21" s="26">
        <v>46002</v>
      </c>
      <c r="L21">
        <v>134750</v>
      </c>
      <c r="M21">
        <v>0</v>
      </c>
    </row>
    <row r="22" spans="1:13" x14ac:dyDescent="0.3">
      <c r="A22" t="s">
        <v>159</v>
      </c>
      <c r="B22">
        <v>1</v>
      </c>
      <c r="C22">
        <v>25</v>
      </c>
      <c r="D22">
        <v>940</v>
      </c>
      <c r="E22">
        <f>Table2325[[#This Row],[boxes]]*Table2325[[#This Row],[kgs]]*Table2325[[#This Row],[Rate]]</f>
        <v>23500</v>
      </c>
      <c r="K22" s="26">
        <v>46000</v>
      </c>
      <c r="L22">
        <v>32000</v>
      </c>
      <c r="M22">
        <v>0</v>
      </c>
    </row>
    <row r="23" spans="1:13" x14ac:dyDescent="0.3">
      <c r="A23" t="s">
        <v>125</v>
      </c>
      <c r="D23">
        <v>1130</v>
      </c>
      <c r="E23">
        <f>Table2325[[#This Row],[boxes]]*Table2325[[#This Row],[kgs]]*Table2325[[#This Row],[Rate]]</f>
        <v>0</v>
      </c>
      <c r="K23" s="26">
        <v>45997</v>
      </c>
      <c r="L23">
        <v>46000</v>
      </c>
      <c r="M23">
        <v>0</v>
      </c>
    </row>
    <row r="24" spans="1:13" x14ac:dyDescent="0.3">
      <c r="A24" t="s">
        <v>146</v>
      </c>
      <c r="B24">
        <v>1</v>
      </c>
      <c r="C24">
        <v>12</v>
      </c>
      <c r="D24">
        <v>1300</v>
      </c>
      <c r="E24">
        <f>Table2325[[#This Row],[boxes]]*Table2325[[#This Row],[kgs]]*Table2325[[#This Row],[Rate]]</f>
        <v>15600</v>
      </c>
      <c r="K24" s="26">
        <v>46003</v>
      </c>
      <c r="L24">
        <v>66500</v>
      </c>
      <c r="M24">
        <v>0</v>
      </c>
    </row>
    <row r="25" spans="1:13" x14ac:dyDescent="0.3">
      <c r="A25" t="s">
        <v>133</v>
      </c>
      <c r="B25">
        <v>1</v>
      </c>
      <c r="C25">
        <v>8</v>
      </c>
      <c r="D25">
        <v>1650</v>
      </c>
      <c r="E25">
        <f>Table2325[[#This Row],[boxes]]*Table2325[[#This Row],[kgs]]*Table2325[[#This Row],[Rate]]</f>
        <v>13200</v>
      </c>
      <c r="K25" s="26">
        <v>46007</v>
      </c>
      <c r="L25">
        <v>110675</v>
      </c>
      <c r="M25">
        <v>0</v>
      </c>
    </row>
    <row r="26" spans="1:13" x14ac:dyDescent="0.3">
      <c r="A26" t="s">
        <v>129</v>
      </c>
      <c r="D26">
        <v>1340</v>
      </c>
      <c r="E26">
        <f>Table2325[[#This Row],[boxes]]*Table2325[[#This Row],[kgs]]*Table2325[[#This Row],[Rate]]</f>
        <v>0</v>
      </c>
      <c r="K26" s="4" t="s">
        <v>28</v>
      </c>
      <c r="L26">
        <v>1402825</v>
      </c>
      <c r="M26">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191</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5</v>
      </c>
      <c r="O40">
        <v>1450</v>
      </c>
      <c r="P40">
        <f>Table23[[#This Row],[boxes]]*Table23[[#This Row],[kgs]]*Table23[[#This Row],[Rate]]</f>
        <v>7250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208660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1" sqref="D2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252</v>
      </c>
      <c r="D5" s="82"/>
      <c r="E5" s="82"/>
      <c r="F5" s="82">
        <f>Table2[[#This Row],[Quantity]]*200*Table2[[#This Row],[Boxes]]</f>
        <v>0</v>
      </c>
      <c r="G5" s="82">
        <f>SUMIFS(Table14[Debit], Table14[Date], Table2[[#This Row],[Date]], Table14[Party], Table2[[#This Row],[Party Name]],Table14[Description],Table2[[#This Row],[Item]])</f>
        <v>0</v>
      </c>
      <c r="H5" s="82">
        <v>0</v>
      </c>
      <c r="J5" s="4" t="s">
        <v>103</v>
      </c>
      <c r="K5">
        <v>0</v>
      </c>
      <c r="L5">
        <v>0</v>
      </c>
      <c r="M5">
        <v>0</v>
      </c>
    </row>
    <row r="6" spans="1:13" x14ac:dyDescent="0.3">
      <c r="A6" s="85">
        <v>46008</v>
      </c>
      <c r="B6" s="85" t="s">
        <v>116</v>
      </c>
      <c r="C6" s="82" t="s">
        <v>252</v>
      </c>
      <c r="D6" s="82"/>
      <c r="E6" s="82"/>
      <c r="F6" s="82">
        <f>Table2[[#This Row],[Quantity]]*200*Table2[[#This Row],[Boxes]]</f>
        <v>0</v>
      </c>
      <c r="G6" s="82">
        <f>SUMIFS(Table14[Debit], Table14[Date], Table2[[#This Row],[Date]], Table14[Party], Table2[[#This Row],[Party Name]],Table14[Description],Table2[[#This Row],[Item]])</f>
        <v>0</v>
      </c>
      <c r="H6" s="82">
        <v>268000</v>
      </c>
      <c r="J6" s="4" t="s">
        <v>116</v>
      </c>
      <c r="K6">
        <v>269000</v>
      </c>
      <c r="L6">
        <v>0</v>
      </c>
      <c r="M6">
        <v>268000</v>
      </c>
    </row>
    <row r="7" spans="1:13" x14ac:dyDescent="0.3">
      <c r="A7" s="85">
        <v>46008</v>
      </c>
      <c r="B7" s="85" t="s">
        <v>165</v>
      </c>
      <c r="C7" s="82" t="s">
        <v>252</v>
      </c>
      <c r="F7" s="82">
        <f>Table2[[#This Row],[Quantity]]*200*Table2[[#This Row],[Boxes]]</f>
        <v>0</v>
      </c>
      <c r="G7" s="82">
        <f>SUMIFS(Table14[Debit], Table14[Date], Table2[[#This Row],[Date]], Table14[Party], Table2[[#This Row],[Party Name]],Table14[Description],Table2[[#This Row],[Item]])</f>
        <v>0</v>
      </c>
      <c r="H7" s="81">
        <v>0</v>
      </c>
      <c r="J7" s="4" t="s">
        <v>117</v>
      </c>
      <c r="K7">
        <v>24000</v>
      </c>
      <c r="L7">
        <v>24000</v>
      </c>
      <c r="M7">
        <v>0</v>
      </c>
    </row>
    <row r="8" spans="1:13" x14ac:dyDescent="0.3">
      <c r="A8" s="85">
        <v>46008</v>
      </c>
      <c r="B8" s="95" t="s">
        <v>209</v>
      </c>
      <c r="C8" s="82" t="s">
        <v>252</v>
      </c>
      <c r="F8" s="82">
        <f>Table2[[#This Row],[Quantity]]*200*Table2[[#This Row],[Boxes]]</f>
        <v>0</v>
      </c>
      <c r="G8" s="82">
        <f>SUMIFS(Table14[Debit], Table14[Date], Table2[[#This Row],[Date]], Table14[Party], Table2[[#This Row],[Party Name]],Table14[Description],Table2[[#This Row],[Item]])</f>
        <v>0</v>
      </c>
      <c r="H8" s="81">
        <v>224000</v>
      </c>
      <c r="J8" s="4" t="s">
        <v>165</v>
      </c>
      <c r="K8">
        <v>0</v>
      </c>
      <c r="L8">
        <v>0</v>
      </c>
      <c r="M8">
        <v>0</v>
      </c>
    </row>
    <row r="9" spans="1:13" x14ac:dyDescent="0.3">
      <c r="A9" s="118">
        <v>46008</v>
      </c>
      <c r="B9" s="118" t="s">
        <v>219</v>
      </c>
      <c r="C9" s="88" t="s">
        <v>252</v>
      </c>
      <c r="F9" s="82">
        <f>Table2[[#This Row],[Quantity]]*200*Table2[[#This Row],[Boxes]]</f>
        <v>0</v>
      </c>
      <c r="G9" s="82">
        <f>SUMIFS(Table14[Debit], Table14[Date], Table2[[#This Row],[Date]], Table14[Party], Table2[[#This Row],[Party Name]],Table14[Description],Table2[[#This Row],[Item]])</f>
        <v>0</v>
      </c>
      <c r="H9" s="81">
        <f>Table2[[#This Row],[Price]]-Table2[[#This Row],[Paid]]</f>
        <v>0</v>
      </c>
      <c r="J9" s="4" t="s">
        <v>209</v>
      </c>
      <c r="K9">
        <v>0</v>
      </c>
      <c r="L9">
        <v>400000</v>
      </c>
      <c r="M9">
        <v>224000</v>
      </c>
    </row>
    <row r="10" spans="1:13" x14ac:dyDescent="0.3">
      <c r="A10" s="1"/>
      <c r="B10" s="1"/>
      <c r="F10">
        <f>Table2[[#This Row],[Quantity]]*200*Table2[[#This Row],[Boxes]]</f>
        <v>0</v>
      </c>
      <c r="G10">
        <f>SUMIFS(Table14[Debit], Table14[Date], Table2[[#This Row],[Date]], Table14[Party], Table2[[#This Row],[Party Name]],Table14[Description],Table2[[#This Row],[Item]])</f>
        <v>0</v>
      </c>
      <c r="H10">
        <f>Table2[[#This Row],[Price]]-Table2[[#This Row],[Paid]]</f>
        <v>0</v>
      </c>
      <c r="J10" s="4" t="s">
        <v>219</v>
      </c>
      <c r="K10">
        <v>52000</v>
      </c>
      <c r="L10">
        <v>52000</v>
      </c>
      <c r="M10">
        <v>0</v>
      </c>
    </row>
    <row r="11" spans="1:13" x14ac:dyDescent="0.3">
      <c r="A11" s="1"/>
      <c r="B11" s="1"/>
      <c r="F11">
        <f>Table2[[#This Row],[Quantity]]*200*Table2[[#This Row],[Boxes]]</f>
        <v>0</v>
      </c>
      <c r="G11">
        <f>SUMIFS(Table14[Debit], Table14[Date], Table2[[#This Row],[Date]], Table14[Party], Table2[[#This Row],[Party Name]],Table14[Description],Table2[[#This Row],[Item]])</f>
        <v>0</v>
      </c>
      <c r="H11">
        <f>Table2[[#This Row],[Price]]-Table2[[#This Row],[Paid]]</f>
        <v>0</v>
      </c>
      <c r="J11" s="4" t="s">
        <v>28</v>
      </c>
      <c r="K11">
        <v>345000</v>
      </c>
      <c r="L11">
        <v>476000</v>
      </c>
      <c r="M11">
        <v>492000</v>
      </c>
    </row>
    <row r="12" spans="1:13"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0</v>
      </c>
      <c r="H14">
        <f>SUBTOTAL(109,Table2[Balance])</f>
        <v>492000</v>
      </c>
    </row>
    <row r="24" spans="9:11" x14ac:dyDescent="0.3">
      <c r="I24" t="s">
        <v>57</v>
      </c>
      <c r="J24" t="s">
        <v>174</v>
      </c>
      <c r="K24" t="s">
        <v>243</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175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23" sqref="F123"/>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2074376</v>
      </c>
      <c r="C2" s="32">
        <f>GETPIVOTDATA("Sum of Tiyaar/gaz",$A$3)</f>
        <v>2066052</v>
      </c>
      <c r="D2" s="31">
        <f>((B2*48)+((C2/1.0936)*10))/C2</f>
        <v>57.337500322965774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187</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26272</v>
      </c>
      <c r="D14" s="28">
        <f t="shared" si="1"/>
        <v>53.935828610175292</v>
      </c>
      <c r="E14" s="11">
        <f t="shared" si="2"/>
        <v>26810.697599999996</v>
      </c>
      <c r="F14" s="11">
        <f t="shared" si="0"/>
        <v>26272</v>
      </c>
      <c r="G14" s="78">
        <f t="shared" si="4"/>
        <v>2.0092636455680974</v>
      </c>
      <c r="H14" s="28">
        <f t="shared" si="3"/>
        <v>24023.408924652525</v>
      </c>
      <c r="I14" s="28">
        <f t="shared" si="5"/>
        <v>53.935828610175292</v>
      </c>
    </row>
    <row r="15" spans="1:12" x14ac:dyDescent="0.3">
      <c r="A15" s="16">
        <v>1906</v>
      </c>
      <c r="B15" s="14">
        <v>36489</v>
      </c>
      <c r="C15" s="14">
        <v>39116</v>
      </c>
      <c r="D15" s="28">
        <f t="shared" si="1"/>
        <v>53.920468693159052</v>
      </c>
      <c r="E15" s="11">
        <f>B15 * 1.0936</f>
        <v>39904.3704</v>
      </c>
      <c r="F15" s="11">
        <f t="shared" si="0"/>
        <v>39116</v>
      </c>
      <c r="G15" s="78">
        <f t="shared" si="4"/>
        <v>1.9756492637207401</v>
      </c>
      <c r="H15" s="28">
        <f t="shared" si="3"/>
        <v>35768.105340160939</v>
      </c>
      <c r="I15" s="28">
        <f>((B15*48)+(H15*10))/C15</f>
        <v>53.920468693159052</v>
      </c>
    </row>
    <row r="16" spans="1:12" x14ac:dyDescent="0.3">
      <c r="A16" s="16">
        <v>1883</v>
      </c>
      <c r="B16" s="14">
        <v>8030</v>
      </c>
      <c r="C16" s="14">
        <v>8555</v>
      </c>
      <c r="D16" s="28">
        <f t="shared" si="1"/>
        <v>54.198465371234882</v>
      </c>
      <c r="E16" s="11">
        <f t="shared" si="2"/>
        <v>8781.6079999999984</v>
      </c>
      <c r="F16" s="11">
        <f t="shared" si="0"/>
        <v>8555</v>
      </c>
      <c r="G16" s="78">
        <f t="shared" si="4"/>
        <v>2.5804841209035771</v>
      </c>
      <c r="H16" s="28">
        <f t="shared" si="3"/>
        <v>7822.7871250914413</v>
      </c>
      <c r="I16" s="28">
        <f>((B16*48)+(H16*10))/C16</f>
        <v>54.198465371234882</v>
      </c>
    </row>
    <row r="17" spans="1:9" x14ac:dyDescent="0.3">
      <c r="A17" s="16">
        <v>1917</v>
      </c>
      <c r="B17" s="14">
        <v>10009</v>
      </c>
      <c r="C17" s="14">
        <v>10964</v>
      </c>
      <c r="D17" s="28">
        <f t="shared" si="1"/>
        <v>52.963155336864922</v>
      </c>
      <c r="E17" s="11">
        <f t="shared" si="2"/>
        <v>10945.8424</v>
      </c>
      <c r="F17" s="11">
        <f t="shared" si="0"/>
        <v>10964</v>
      </c>
      <c r="G17" s="78">
        <f t="shared" si="4"/>
        <v>-0.16588581615243925</v>
      </c>
      <c r="H17" s="28">
        <f t="shared" si="3"/>
        <v>10025.603511338699</v>
      </c>
      <c r="I17" s="28">
        <f>((B17*48)+(H17*10))/C17</f>
        <v>52.963155336864922</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57605</v>
      </c>
      <c r="D21" s="28">
        <f t="shared" si="1"/>
        <v>54.065211791298445</v>
      </c>
      <c r="E21" s="11">
        <f t="shared" si="2"/>
        <v>58955.975999999995</v>
      </c>
      <c r="F21" s="11">
        <f t="shared" si="0"/>
        <v>57605</v>
      </c>
      <c r="G21" s="78">
        <f t="shared" si="6"/>
        <v>2.2914996776577681</v>
      </c>
      <c r="H21" s="28">
        <f t="shared" si="3"/>
        <v>52674.65252377469</v>
      </c>
      <c r="I21" s="28">
        <f t="shared" si="5"/>
        <v>54.065211791298445</v>
      </c>
    </row>
    <row r="22" spans="1:9" x14ac:dyDescent="0.3">
      <c r="A22" s="16" t="s">
        <v>203</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27599</v>
      </c>
      <c r="D23" s="28">
        <f t="shared" si="1"/>
        <v>54.39618554291205</v>
      </c>
      <c r="E23" s="11">
        <f t="shared" si="2"/>
        <v>28454.378399999998</v>
      </c>
      <c r="F23" s="11">
        <f t="shared" si="0"/>
        <v>27599</v>
      </c>
      <c r="G23" s="78">
        <f t="shared" si="6"/>
        <v>3.0061398213499473</v>
      </c>
      <c r="H23" s="28">
        <f t="shared" si="3"/>
        <v>25236.832479882956</v>
      </c>
      <c r="I23" s="28">
        <f t="shared" si="5"/>
        <v>54.39618554291205</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v>1853</v>
      </c>
      <c r="B26" s="14">
        <v>40243</v>
      </c>
      <c r="C26" s="14">
        <v>43055</v>
      </c>
      <c r="D26" s="28">
        <f t="shared" si="1"/>
        <v>54.009144289593358</v>
      </c>
      <c r="E26" s="11">
        <f t="shared" si="2"/>
        <v>44009.744799999993</v>
      </c>
      <c r="F26" s="11">
        <f t="shared" si="0"/>
        <v>43055</v>
      </c>
      <c r="G26" s="78">
        <f t="shared" si="6"/>
        <v>2.1693940838302552</v>
      </c>
      <c r="H26" s="28">
        <f t="shared" si="3"/>
        <v>39369.970738844189</v>
      </c>
      <c r="I26" s="28">
        <f t="shared" si="5"/>
        <v>54.009144289593358</v>
      </c>
    </row>
    <row r="27" spans="1:9" x14ac:dyDescent="0.3">
      <c r="A27" s="16">
        <v>1889</v>
      </c>
      <c r="B27" s="14">
        <v>35271</v>
      </c>
      <c r="C27" s="14">
        <v>37496</v>
      </c>
      <c r="D27" s="28">
        <f t="shared" si="1"/>
        <v>54.295807373318063</v>
      </c>
      <c r="E27" s="11">
        <f t="shared" si="2"/>
        <v>38572.365599999997</v>
      </c>
      <c r="F27" s="11">
        <f t="shared" si="0"/>
        <v>37496</v>
      </c>
      <c r="G27" s="78">
        <f t="shared" si="6"/>
        <v>2.7905096906993947</v>
      </c>
      <c r="H27" s="28">
        <f t="shared" si="3"/>
        <v>34286.759326993422</v>
      </c>
      <c r="I27" s="28">
        <f t="shared" si="5"/>
        <v>54.295807373318063</v>
      </c>
    </row>
    <row r="28" spans="1:9" x14ac:dyDescent="0.3">
      <c r="A28" s="16" t="s">
        <v>205</v>
      </c>
      <c r="B28" s="14">
        <v>69241</v>
      </c>
      <c r="C28" s="14">
        <v>15441</v>
      </c>
      <c r="D28" s="28">
        <f t="shared" si="1"/>
        <v>224.3871653987259</v>
      </c>
      <c r="E28" s="11">
        <f t="shared" si="2"/>
        <v>75721.957599999994</v>
      </c>
      <c r="F28" s="11">
        <f t="shared" si="0"/>
        <v>15441</v>
      </c>
      <c r="G28" s="78">
        <f t="shared" si="6"/>
        <v>79.608292641393618</v>
      </c>
      <c r="H28" s="28">
        <f t="shared" si="3"/>
        <v>14119.422092172643</v>
      </c>
      <c r="I28" s="28">
        <f t="shared" si="5"/>
        <v>224.3871653987259</v>
      </c>
    </row>
    <row r="29" spans="1:9" x14ac:dyDescent="0.3">
      <c r="A29" s="16">
        <v>1884</v>
      </c>
      <c r="B29" s="14">
        <v>34783</v>
      </c>
      <c r="C29" s="14">
        <v>37340</v>
      </c>
      <c r="D29" s="28">
        <f t="shared" si="1"/>
        <v>53.857126725332641</v>
      </c>
      <c r="E29" s="11">
        <f t="shared" si="2"/>
        <v>38038.688799999996</v>
      </c>
      <c r="F29" s="11">
        <f t="shared" si="0"/>
        <v>37340</v>
      </c>
      <c r="G29" s="78">
        <f t="shared" si="6"/>
        <v>1.8367846580453033</v>
      </c>
      <c r="H29" s="28">
        <f t="shared" si="3"/>
        <v>34144.111192392105</v>
      </c>
      <c r="I29" s="28">
        <f t="shared" si="5"/>
        <v>53.857126725332641</v>
      </c>
    </row>
    <row r="30" spans="1:9" x14ac:dyDescent="0.3">
      <c r="A30" s="16">
        <v>1926</v>
      </c>
      <c r="B30" s="14">
        <v>79388</v>
      </c>
      <c r="C30" s="14">
        <v>84345</v>
      </c>
      <c r="D30" s="28">
        <f t="shared" si="1"/>
        <v>54.323125953195948</v>
      </c>
      <c r="E30" s="11">
        <f t="shared" si="2"/>
        <v>86818.716799999995</v>
      </c>
      <c r="F30" s="11">
        <f t="shared" si="0"/>
        <v>84345</v>
      </c>
      <c r="G30" s="78">
        <f t="shared" si="6"/>
        <v>2.8492897513085467</v>
      </c>
      <c r="H30" s="28">
        <f t="shared" si="3"/>
        <v>77126.005852231174</v>
      </c>
      <c r="I30" s="28">
        <f t="shared" si="5"/>
        <v>54.323125953195948</v>
      </c>
    </row>
    <row r="31" spans="1:9" x14ac:dyDescent="0.3">
      <c r="A31" s="16">
        <v>1905</v>
      </c>
      <c r="B31" s="14">
        <v>62248</v>
      </c>
      <c r="C31" s="14">
        <v>66561</v>
      </c>
      <c r="D31" s="28">
        <f t="shared" si="1"/>
        <v>54.033821383044284</v>
      </c>
      <c r="E31" s="11">
        <f t="shared" si="2"/>
        <v>68074.412799999991</v>
      </c>
      <c r="F31" s="11">
        <f t="shared" si="0"/>
        <v>66561</v>
      </c>
      <c r="G31" s="78">
        <f t="shared" si="6"/>
        <v>2.2231742261903094</v>
      </c>
      <c r="H31" s="28">
        <f t="shared" si="3"/>
        <v>60864.118507681058</v>
      </c>
      <c r="I31" s="28">
        <f t="shared" si="5"/>
        <v>54.033821383044284</v>
      </c>
    </row>
    <row r="32" spans="1:9" x14ac:dyDescent="0.3">
      <c r="A32" s="16">
        <v>1934</v>
      </c>
      <c r="B32" s="14">
        <v>34441</v>
      </c>
      <c r="C32" s="14">
        <v>37301</v>
      </c>
      <c r="D32" s="28">
        <f t="shared" si="1"/>
        <v>53.463780906340787</v>
      </c>
      <c r="E32" s="11">
        <f t="shared" si="2"/>
        <v>37664.677599999995</v>
      </c>
      <c r="F32" s="11">
        <f t="shared" si="0"/>
        <v>37301</v>
      </c>
      <c r="G32" s="78">
        <f t="shared" si="6"/>
        <v>0.96556674097216444</v>
      </c>
      <c r="H32" s="28">
        <f t="shared" si="3"/>
        <v>34108.449158741772</v>
      </c>
      <c r="I32" s="28">
        <f t="shared" si="5"/>
        <v>53.463780906340787</v>
      </c>
    </row>
    <row r="33" spans="1:9" x14ac:dyDescent="0.3">
      <c r="A33" s="16">
        <v>1843</v>
      </c>
      <c r="B33" s="14">
        <v>21089</v>
      </c>
      <c r="C33" s="14">
        <v>22527</v>
      </c>
      <c r="D33" s="28">
        <f t="shared" ref="D33:D37" si="7">I33</f>
        <v>54.080054726817451</v>
      </c>
      <c r="E33" s="11">
        <f t="shared" ref="E33:E37" si="8">B33 * 1.0936</f>
        <v>23062.930399999997</v>
      </c>
      <c r="F33" s="11">
        <f t="shared" ref="F33:F37" si="9">C33</f>
        <v>22527</v>
      </c>
      <c r="G33" s="78">
        <f t="shared" ref="G33:G37" si="10">100- (F33/E33 *100)</f>
        <v>2.3237740855342395</v>
      </c>
      <c r="H33" s="28">
        <f t="shared" ref="H33:H37" si="11">F33/1.0936</f>
        <v>20598.939283101685</v>
      </c>
      <c r="I33" s="28">
        <f t="shared" ref="I33:I37" si="12">((B33*48)+(H33*10))/C33</f>
        <v>54.080054726817451</v>
      </c>
    </row>
    <row r="34" spans="1:9" x14ac:dyDescent="0.3">
      <c r="A34" s="16">
        <v>1935</v>
      </c>
      <c r="B34" s="14">
        <v>9377</v>
      </c>
      <c r="C34" s="14">
        <v>10015</v>
      </c>
      <c r="D34" s="28">
        <f t="shared" si="7"/>
        <v>54.086297912312219</v>
      </c>
      <c r="E34" s="11">
        <f t="shared" si="8"/>
        <v>10254.687199999998</v>
      </c>
      <c r="F34" s="11">
        <f t="shared" si="9"/>
        <v>10015</v>
      </c>
      <c r="G34" s="78">
        <f t="shared" si="10"/>
        <v>2.3373428689272799</v>
      </c>
      <c r="H34" s="28">
        <f t="shared" si="11"/>
        <v>9157.8273591806883</v>
      </c>
      <c r="I34" s="28">
        <f t="shared" si="12"/>
        <v>54.086297912312219</v>
      </c>
    </row>
    <row r="35" spans="1:9" x14ac:dyDescent="0.3">
      <c r="A35" s="16">
        <v>1888</v>
      </c>
      <c r="B35" s="14">
        <v>28436</v>
      </c>
      <c r="C35" s="14">
        <v>29737</v>
      </c>
      <c r="D35" s="28">
        <f t="shared" si="7"/>
        <v>55.044101103950091</v>
      </c>
      <c r="E35" s="11">
        <f t="shared" si="8"/>
        <v>31097.609599999996</v>
      </c>
      <c r="F35" s="11">
        <f t="shared" si="9"/>
        <v>29737</v>
      </c>
      <c r="G35" s="78">
        <f t="shared" si="10"/>
        <v>4.3752867744535422</v>
      </c>
      <c r="H35" s="28">
        <f t="shared" si="11"/>
        <v>27191.843452816389</v>
      </c>
      <c r="I35" s="28">
        <f t="shared" si="12"/>
        <v>55.044101103950091</v>
      </c>
    </row>
    <row r="36" spans="1:9" x14ac:dyDescent="0.3">
      <c r="A36" s="16">
        <v>1925</v>
      </c>
      <c r="B36" s="14">
        <v>10000</v>
      </c>
      <c r="C36" s="14">
        <v>10647</v>
      </c>
      <c r="D36" s="28">
        <f t="shared" si="7"/>
        <v>54.22723319859103</v>
      </c>
      <c r="E36" s="11">
        <f t="shared" si="8"/>
        <v>10935.999999999998</v>
      </c>
      <c r="F36" s="11">
        <f t="shared" si="9"/>
        <v>10647</v>
      </c>
      <c r="G36" s="78">
        <f t="shared" si="10"/>
        <v>2.642648134601302</v>
      </c>
      <c r="H36" s="28">
        <f t="shared" si="11"/>
        <v>9735.7351865398687</v>
      </c>
      <c r="I36" s="28">
        <f t="shared" si="12"/>
        <v>54.22723319859103</v>
      </c>
    </row>
    <row r="37" spans="1:9" x14ac:dyDescent="0.3">
      <c r="A37" s="16">
        <v>1893</v>
      </c>
      <c r="B37" s="14">
        <v>10212</v>
      </c>
      <c r="C37" s="14">
        <v>10280</v>
      </c>
      <c r="D37" s="28">
        <f t="shared" si="7"/>
        <v>56.826601464765638</v>
      </c>
      <c r="E37" s="11">
        <f t="shared" si="8"/>
        <v>11167.843199999999</v>
      </c>
      <c r="F37" s="11">
        <f t="shared" si="9"/>
        <v>10280</v>
      </c>
      <c r="G37" s="78">
        <f t="shared" si="10"/>
        <v>7.9499970056886156</v>
      </c>
      <c r="H37" s="28">
        <f t="shared" si="11"/>
        <v>9400.1463057790788</v>
      </c>
      <c r="I37" s="28">
        <f t="shared" si="12"/>
        <v>56.826601464765638</v>
      </c>
    </row>
    <row r="38" spans="1:9" x14ac:dyDescent="0.3">
      <c r="A38" s="16">
        <v>1894</v>
      </c>
      <c r="B38" s="14">
        <v>8049</v>
      </c>
      <c r="C38" s="14">
        <v>8455</v>
      </c>
      <c r="D38" s="28">
        <f t="shared" si="1"/>
        <v>54.839202854130718</v>
      </c>
      <c r="E38" s="11">
        <f t="shared" si="2"/>
        <v>8802.3863999999994</v>
      </c>
      <c r="F38" s="11">
        <f t="shared" si="0"/>
        <v>8455</v>
      </c>
      <c r="G38" s="78">
        <f t="shared" si="6"/>
        <v>3.9465025075472653</v>
      </c>
      <c r="H38" s="28">
        <f t="shared" si="3"/>
        <v>7731.3460131675211</v>
      </c>
      <c r="I38" s="28">
        <f t="shared" si="5"/>
        <v>54.839202854130718</v>
      </c>
    </row>
    <row r="39" spans="1:9" x14ac:dyDescent="0.3">
      <c r="A39" s="16">
        <v>1936</v>
      </c>
      <c r="B39" s="14">
        <v>35101</v>
      </c>
      <c r="C39" s="14">
        <v>37458</v>
      </c>
      <c r="D39" s="28">
        <f t="shared" ref="D39:D44" si="13">I39</f>
        <v>54.123768408474113</v>
      </c>
      <c r="E39" s="11">
        <f t="shared" ref="E39:E44" si="14">B39 * 1.0936</f>
        <v>38386.453599999993</v>
      </c>
      <c r="F39" s="11">
        <f t="shared" ref="F39:F44" si="15">C39</f>
        <v>37458</v>
      </c>
      <c r="G39" s="78">
        <f t="shared" ref="G39:G44" si="16">100- (F39/E39 *100)</f>
        <v>2.418701163891825</v>
      </c>
      <c r="H39" s="28">
        <f t="shared" ref="H39:H44" si="17">F39/1.0936</f>
        <v>34252.011704462326</v>
      </c>
      <c r="I39" s="28">
        <f t="shared" ref="I39:I44" si="18">((B39*48)+(H39*10))/C39</f>
        <v>54.123768408474113</v>
      </c>
    </row>
    <row r="40" spans="1:9" x14ac:dyDescent="0.3">
      <c r="A40" s="16">
        <v>1937</v>
      </c>
      <c r="B40" s="14">
        <v>11699</v>
      </c>
      <c r="C40" s="14">
        <v>12441</v>
      </c>
      <c r="D40" s="28">
        <f t="shared" si="13"/>
        <v>54.281318812358343</v>
      </c>
      <c r="E40" s="11">
        <f t="shared" si="14"/>
        <v>12794.026399999999</v>
      </c>
      <c r="F40" s="11">
        <f t="shared" si="15"/>
        <v>12441</v>
      </c>
      <c r="G40" s="78">
        <f t="shared" si="16"/>
        <v>2.7593064838446679</v>
      </c>
      <c r="H40" s="28">
        <f t="shared" si="17"/>
        <v>11376.188734455012</v>
      </c>
      <c r="I40" s="28">
        <f t="shared" si="18"/>
        <v>54.281318812358343</v>
      </c>
    </row>
    <row r="41" spans="1:9" x14ac:dyDescent="0.3">
      <c r="A41" s="16">
        <v>1939</v>
      </c>
      <c r="B41" s="14">
        <v>26689</v>
      </c>
      <c r="C41" s="14">
        <v>28047</v>
      </c>
      <c r="D41" s="28">
        <f t="shared" si="13"/>
        <v>54.820012358292196</v>
      </c>
      <c r="E41" s="11">
        <f t="shared" si="14"/>
        <v>29187.090399999997</v>
      </c>
      <c r="F41" s="11">
        <f t="shared" si="15"/>
        <v>28047</v>
      </c>
      <c r="G41" s="78">
        <f t="shared" si="16"/>
        <v>3.9061461227392442</v>
      </c>
      <c r="H41" s="28">
        <f t="shared" si="17"/>
        <v>25646.488661302123</v>
      </c>
      <c r="I41" s="28">
        <f t="shared" si="18"/>
        <v>54.820012358292196</v>
      </c>
    </row>
    <row r="42" spans="1:9" x14ac:dyDescent="0.3">
      <c r="A42" s="16">
        <v>1913</v>
      </c>
      <c r="B42" s="14">
        <v>10441</v>
      </c>
      <c r="C42" s="14">
        <v>10780</v>
      </c>
      <c r="D42" s="28">
        <f t="shared" si="13"/>
        <v>55.634649225787278</v>
      </c>
      <c r="E42" s="11">
        <f t="shared" si="14"/>
        <v>11418.277599999999</v>
      </c>
      <c r="F42" s="11">
        <f t="shared" si="15"/>
        <v>10780</v>
      </c>
      <c r="G42" s="78">
        <f t="shared" si="16"/>
        <v>5.5899639364171634</v>
      </c>
      <c r="H42" s="28">
        <f t="shared" si="17"/>
        <v>9857.3518653986848</v>
      </c>
      <c r="I42" s="28">
        <f t="shared" si="18"/>
        <v>55.634649225787278</v>
      </c>
    </row>
    <row r="43" spans="1:9" x14ac:dyDescent="0.3">
      <c r="A43" s="16">
        <v>1912</v>
      </c>
      <c r="B43" s="14">
        <v>16530</v>
      </c>
      <c r="C43" s="14">
        <v>17770</v>
      </c>
      <c r="D43" s="28">
        <f t="shared" si="13"/>
        <v>53.794645801283494</v>
      </c>
      <c r="E43" s="11">
        <f t="shared" si="14"/>
        <v>18077.207999999999</v>
      </c>
      <c r="F43" s="11">
        <f t="shared" si="15"/>
        <v>17770</v>
      </c>
      <c r="G43" s="78">
        <f t="shared" si="16"/>
        <v>1.6994217248592776</v>
      </c>
      <c r="H43" s="28">
        <f t="shared" si="17"/>
        <v>16249.085588880762</v>
      </c>
      <c r="I43" s="28">
        <f t="shared" si="18"/>
        <v>53.794645801283494</v>
      </c>
    </row>
    <row r="44" spans="1:9" x14ac:dyDescent="0.3">
      <c r="A44" s="16">
        <v>1915</v>
      </c>
      <c r="B44" s="14">
        <v>20458</v>
      </c>
      <c r="C44" s="14">
        <v>21488</v>
      </c>
      <c r="D44" s="28">
        <f t="shared" si="13"/>
        <v>54.843292130590157</v>
      </c>
      <c r="E44" s="11">
        <f t="shared" si="14"/>
        <v>22372.868799999997</v>
      </c>
      <c r="F44" s="11">
        <f t="shared" si="15"/>
        <v>21488</v>
      </c>
      <c r="G44" s="78">
        <f t="shared" si="16"/>
        <v>3.9550976135880944</v>
      </c>
      <c r="H44" s="28">
        <f t="shared" si="17"/>
        <v>19648.866130212144</v>
      </c>
      <c r="I44" s="28">
        <f t="shared" si="18"/>
        <v>54.843292130590157</v>
      </c>
    </row>
    <row r="45" spans="1:9" x14ac:dyDescent="0.3">
      <c r="A45" s="16">
        <v>1899</v>
      </c>
      <c r="B45" s="14">
        <v>12051</v>
      </c>
      <c r="C45" s="14">
        <v>12865</v>
      </c>
      <c r="D45" s="28">
        <f t="shared" ref="D45:D58" si="19">I45</f>
        <v>54.107033850767536</v>
      </c>
      <c r="E45" s="11">
        <f t="shared" ref="E45:E58" si="20">B45 * 1.0936</f>
        <v>13178.973599999999</v>
      </c>
      <c r="F45" s="11">
        <f t="shared" ref="F45:F58" si="21">C45</f>
        <v>12865</v>
      </c>
      <c r="G45" s="78">
        <f t="shared" ref="G45:G58" si="22">100- (F45/E45 *100)</f>
        <v>2.3823827980048407</v>
      </c>
      <c r="H45" s="28">
        <f t="shared" ref="H45:H58" si="23">F45/1.0936</f>
        <v>11763.899049012438</v>
      </c>
      <c r="I45" s="28">
        <f t="shared" ref="I45:I58" si="24">((B45*48)+(H45*10))/C45</f>
        <v>54.107033850767536</v>
      </c>
    </row>
    <row r="46" spans="1:9" x14ac:dyDescent="0.3">
      <c r="A46" s="16">
        <v>1919</v>
      </c>
      <c r="B46" s="14">
        <v>20185</v>
      </c>
      <c r="C46" s="14">
        <v>21517</v>
      </c>
      <c r="D46" s="28">
        <f t="shared" si="19"/>
        <v>54.172693243793312</v>
      </c>
      <c r="E46" s="11">
        <f t="shared" si="20"/>
        <v>22074.315999999999</v>
      </c>
      <c r="F46" s="11">
        <f t="shared" si="21"/>
        <v>21517</v>
      </c>
      <c r="G46" s="78">
        <f t="shared" si="22"/>
        <v>2.5247260209557538</v>
      </c>
      <c r="H46" s="28">
        <f t="shared" si="23"/>
        <v>19675.384052670081</v>
      </c>
      <c r="I46" s="28">
        <f t="shared" si="24"/>
        <v>54.172693243793312</v>
      </c>
    </row>
    <row r="47" spans="1:9" x14ac:dyDescent="0.3">
      <c r="A47" s="16">
        <v>1886</v>
      </c>
      <c r="B47" s="14">
        <v>16886</v>
      </c>
      <c r="C47" s="14">
        <v>18025</v>
      </c>
      <c r="D47" s="28">
        <f t="shared" si="19"/>
        <v>54.11099052665007</v>
      </c>
      <c r="E47" s="11">
        <f t="shared" si="20"/>
        <v>18466.529599999998</v>
      </c>
      <c r="F47" s="11">
        <f t="shared" si="21"/>
        <v>18025</v>
      </c>
      <c r="G47" s="78">
        <f t="shared" si="22"/>
        <v>2.3909722593464409</v>
      </c>
      <c r="H47" s="28">
        <f t="shared" si="23"/>
        <v>16482.26042428676</v>
      </c>
      <c r="I47" s="28">
        <f t="shared" si="24"/>
        <v>54.11099052665007</v>
      </c>
    </row>
    <row r="48" spans="1:9" x14ac:dyDescent="0.3">
      <c r="A48" s="16">
        <v>1907</v>
      </c>
      <c r="B48" s="14">
        <v>3042</v>
      </c>
      <c r="C48" s="14">
        <v>3074</v>
      </c>
      <c r="D48" s="28">
        <f t="shared" si="19"/>
        <v>56.644436501435692</v>
      </c>
      <c r="E48" s="11">
        <f t="shared" si="20"/>
        <v>3326.7311999999997</v>
      </c>
      <c r="F48" s="11">
        <f t="shared" si="21"/>
        <v>3074</v>
      </c>
      <c r="G48" s="78">
        <f t="shared" si="22"/>
        <v>7.5969828881876538</v>
      </c>
      <c r="H48" s="28">
        <f t="shared" si="23"/>
        <v>2810.8997805413314</v>
      </c>
      <c r="I48" s="28">
        <f t="shared" si="24"/>
        <v>56.644436501435692</v>
      </c>
    </row>
    <row r="49" spans="1:9" x14ac:dyDescent="0.3">
      <c r="A49" s="16">
        <v>1938</v>
      </c>
      <c r="B49" s="14">
        <v>12099</v>
      </c>
      <c r="C49" s="14">
        <v>12826</v>
      </c>
      <c r="D49" s="28">
        <f t="shared" si="19"/>
        <v>54.423387662063078</v>
      </c>
      <c r="E49" s="11">
        <f t="shared" si="20"/>
        <v>13231.466399999999</v>
      </c>
      <c r="F49" s="11">
        <f t="shared" si="21"/>
        <v>12826</v>
      </c>
      <c r="G49" s="78">
        <f t="shared" si="22"/>
        <v>3.0644101548714104</v>
      </c>
      <c r="H49" s="28">
        <f t="shared" si="23"/>
        <v>11728.237015362109</v>
      </c>
      <c r="I49" s="28">
        <f t="shared" si="24"/>
        <v>54.423387662063078</v>
      </c>
    </row>
    <row r="50" spans="1:9" x14ac:dyDescent="0.3">
      <c r="A50" s="16">
        <v>1870</v>
      </c>
      <c r="B50" s="14">
        <v>12087</v>
      </c>
      <c r="C50" s="14">
        <v>13126</v>
      </c>
      <c r="D50" s="28">
        <f t="shared" si="19"/>
        <v>53.344629248159279</v>
      </c>
      <c r="E50" s="11">
        <f t="shared" si="20"/>
        <v>13218.343199999999</v>
      </c>
      <c r="F50" s="11">
        <f t="shared" si="21"/>
        <v>13126</v>
      </c>
      <c r="G50" s="78">
        <f t="shared" si="22"/>
        <v>0.69859889853668733</v>
      </c>
      <c r="H50" s="28">
        <f t="shared" si="23"/>
        <v>12002.56035113387</v>
      </c>
      <c r="I50" s="28">
        <f t="shared" si="24"/>
        <v>53.344629248159279</v>
      </c>
    </row>
    <row r="51" spans="1:9" x14ac:dyDescent="0.3">
      <c r="A51" s="16">
        <v>1921</v>
      </c>
      <c r="B51" s="14">
        <v>12000</v>
      </c>
      <c r="C51" s="14">
        <v>12963</v>
      </c>
      <c r="D51" s="28">
        <f t="shared" si="19"/>
        <v>53.578269951938495</v>
      </c>
      <c r="E51" s="11">
        <f t="shared" si="20"/>
        <v>13123.199999999999</v>
      </c>
      <c r="F51" s="11">
        <f t="shared" si="21"/>
        <v>12963</v>
      </c>
      <c r="G51" s="78">
        <f t="shared" si="22"/>
        <v>1.2207388441843392</v>
      </c>
      <c r="H51" s="28">
        <f t="shared" si="23"/>
        <v>11853.511338697879</v>
      </c>
      <c r="I51" s="28">
        <f t="shared" si="24"/>
        <v>53.578269951938495</v>
      </c>
    </row>
    <row r="52" spans="1:9" x14ac:dyDescent="0.3">
      <c r="A52" s="16">
        <v>1922</v>
      </c>
      <c r="B52" s="14">
        <v>4048</v>
      </c>
      <c r="C52" s="14">
        <v>4300</v>
      </c>
      <c r="D52" s="28">
        <f t="shared" si="19"/>
        <v>54.331087936578143</v>
      </c>
      <c r="E52" s="11">
        <f t="shared" si="20"/>
        <v>4426.8927999999996</v>
      </c>
      <c r="F52" s="11">
        <f t="shared" si="21"/>
        <v>4300</v>
      </c>
      <c r="G52" s="78">
        <f t="shared" si="22"/>
        <v>2.8664077883250201</v>
      </c>
      <c r="H52" s="28">
        <f t="shared" si="23"/>
        <v>3931.9678127286029</v>
      </c>
      <c r="I52" s="28">
        <f t="shared" si="24"/>
        <v>54.331087936578143</v>
      </c>
    </row>
    <row r="53" spans="1:9" x14ac:dyDescent="0.3">
      <c r="A53" s="16">
        <v>1933</v>
      </c>
      <c r="B53" s="14">
        <v>34339</v>
      </c>
      <c r="C53" s="14">
        <v>36389</v>
      </c>
      <c r="D53" s="28">
        <f t="shared" si="19"/>
        <v>54.439997311823795</v>
      </c>
      <c r="E53" s="11">
        <f t="shared" si="20"/>
        <v>37553.130399999995</v>
      </c>
      <c r="F53" s="11">
        <f t="shared" si="21"/>
        <v>36389</v>
      </c>
      <c r="G53" s="78">
        <f t="shared" si="22"/>
        <v>3.0999556830553843</v>
      </c>
      <c r="H53" s="28">
        <f t="shared" si="23"/>
        <v>33274.506217995615</v>
      </c>
      <c r="I53" s="28">
        <f t="shared" si="24"/>
        <v>54.439997311823795</v>
      </c>
    </row>
    <row r="54" spans="1:9" x14ac:dyDescent="0.3">
      <c r="A54" s="16">
        <v>1842</v>
      </c>
      <c r="B54" s="14">
        <v>6327</v>
      </c>
      <c r="C54" s="14">
        <v>6705</v>
      </c>
      <c r="D54" s="28">
        <f t="shared" si="19"/>
        <v>54.438070923935726</v>
      </c>
      <c r="E54" s="11">
        <f t="shared" si="20"/>
        <v>6919.2071999999998</v>
      </c>
      <c r="F54" s="11">
        <f t="shared" si="21"/>
        <v>6705</v>
      </c>
      <c r="G54" s="78">
        <f t="shared" si="22"/>
        <v>3.0958344476228348</v>
      </c>
      <c r="H54" s="28">
        <f t="shared" si="23"/>
        <v>6131.1265544989028</v>
      </c>
      <c r="I54" s="28">
        <f t="shared" si="24"/>
        <v>54.438070923935726</v>
      </c>
    </row>
    <row r="55" spans="1:9" x14ac:dyDescent="0.3">
      <c r="A55" s="16">
        <v>1958</v>
      </c>
      <c r="B55" s="14">
        <v>54197</v>
      </c>
      <c r="C55" s="14">
        <v>59050</v>
      </c>
      <c r="D55" s="28">
        <f t="shared" si="19"/>
        <v>53.199250904500481</v>
      </c>
      <c r="E55" s="11">
        <f t="shared" si="20"/>
        <v>59269.839199999995</v>
      </c>
      <c r="F55" s="11">
        <f t="shared" si="21"/>
        <v>59050</v>
      </c>
      <c r="G55" s="78">
        <f t="shared" si="22"/>
        <v>0.37091242859318641</v>
      </c>
      <c r="H55" s="28">
        <f t="shared" si="23"/>
        <v>53995.976591075349</v>
      </c>
      <c r="I55" s="28">
        <f t="shared" si="24"/>
        <v>53.199250904500481</v>
      </c>
    </row>
    <row r="56" spans="1:9" x14ac:dyDescent="0.3">
      <c r="A56" s="16">
        <v>1910</v>
      </c>
      <c r="B56" s="14">
        <v>28367</v>
      </c>
      <c r="C56" s="14">
        <v>30097</v>
      </c>
      <c r="D56" s="28">
        <f t="shared" si="19"/>
        <v>54.385032214420875</v>
      </c>
      <c r="E56" s="11">
        <f t="shared" si="20"/>
        <v>31022.151199999997</v>
      </c>
      <c r="F56" s="11">
        <f t="shared" si="21"/>
        <v>30097</v>
      </c>
      <c r="G56" s="78">
        <f t="shared" si="22"/>
        <v>2.9822277444124978</v>
      </c>
      <c r="H56" s="28">
        <f t="shared" si="23"/>
        <v>27521.031455742504</v>
      </c>
      <c r="I56" s="28">
        <f t="shared" si="24"/>
        <v>54.385032214420875</v>
      </c>
    </row>
    <row r="57" spans="1:9" x14ac:dyDescent="0.3">
      <c r="A57" s="16">
        <v>1923</v>
      </c>
      <c r="B57" s="14">
        <v>15040</v>
      </c>
      <c r="C57" s="14">
        <v>15976</v>
      </c>
      <c r="D57" s="28">
        <f t="shared" si="19"/>
        <v>54.331892864900865</v>
      </c>
      <c r="E57" s="11">
        <f t="shared" si="20"/>
        <v>16447.743999999999</v>
      </c>
      <c r="F57" s="11">
        <f t="shared" si="21"/>
        <v>15976</v>
      </c>
      <c r="G57" s="78">
        <f t="shared" si="22"/>
        <v>2.8681380254945452</v>
      </c>
      <c r="H57" s="28">
        <f t="shared" si="23"/>
        <v>14608.63204096562</v>
      </c>
      <c r="I57" s="28">
        <f t="shared" si="24"/>
        <v>54.331892864900865</v>
      </c>
    </row>
    <row r="58" spans="1:9" x14ac:dyDescent="0.3">
      <c r="A58" s="16">
        <v>1914</v>
      </c>
      <c r="B58" s="14">
        <v>26497</v>
      </c>
      <c r="C58" s="14">
        <v>28180</v>
      </c>
      <c r="D58" s="28">
        <f t="shared" si="19"/>
        <v>54.277397210844903</v>
      </c>
      <c r="E58" s="11">
        <f t="shared" si="20"/>
        <v>28977.119199999997</v>
      </c>
      <c r="F58" s="11">
        <f t="shared" si="21"/>
        <v>28180</v>
      </c>
      <c r="G58" s="78">
        <f t="shared" si="22"/>
        <v>2.7508573039931434</v>
      </c>
      <c r="H58" s="28">
        <f t="shared" si="23"/>
        <v>25768.105340160939</v>
      </c>
      <c r="I58" s="28">
        <f t="shared" si="24"/>
        <v>54.277397210844903</v>
      </c>
    </row>
    <row r="59" spans="1:9" x14ac:dyDescent="0.3">
      <c r="A59" s="16">
        <v>1904</v>
      </c>
      <c r="B59" s="14">
        <v>44990</v>
      </c>
      <c r="C59" s="14">
        <v>47797</v>
      </c>
      <c r="D59" s="28">
        <f t="shared" ref="D59:D73" si="25">I59</f>
        <v>54.325189502746298</v>
      </c>
      <c r="E59" s="11">
        <f t="shared" ref="E59:E73" si="26">B59 * 1.0936</f>
        <v>49201.063999999998</v>
      </c>
      <c r="F59" s="11">
        <f t="shared" ref="F59:F73" si="27">C59</f>
        <v>47797</v>
      </c>
      <c r="G59" s="78">
        <f t="shared" ref="G59:G73" si="28">100- (F59/E59 *100)</f>
        <v>2.8537269031417623</v>
      </c>
      <c r="H59" s="28">
        <f t="shared" ref="H59:H73" si="29">F59/1.0936</f>
        <v>43706.108266276518</v>
      </c>
      <c r="I59" s="28">
        <f t="shared" ref="I59:I73" si="30">((B59*48)+(H59*10))/C59</f>
        <v>54.325189502746298</v>
      </c>
    </row>
    <row r="60" spans="1:9" x14ac:dyDescent="0.3">
      <c r="A60" s="16">
        <v>1909</v>
      </c>
      <c r="B60" s="14">
        <v>33679</v>
      </c>
      <c r="C60" s="14">
        <v>35869</v>
      </c>
      <c r="D60" s="28">
        <f t="shared" si="25"/>
        <v>54.213446830408216</v>
      </c>
      <c r="E60" s="11">
        <f t="shared" si="26"/>
        <v>36831.354399999997</v>
      </c>
      <c r="F60" s="11">
        <f t="shared" si="27"/>
        <v>35869</v>
      </c>
      <c r="G60" s="78">
        <f t="shared" si="28"/>
        <v>2.6128672585551129</v>
      </c>
      <c r="H60" s="28">
        <f t="shared" si="29"/>
        <v>32799.012435991222</v>
      </c>
      <c r="I60" s="28">
        <f t="shared" si="30"/>
        <v>54.213446830408216</v>
      </c>
    </row>
    <row r="61" spans="1:9" x14ac:dyDescent="0.3">
      <c r="A61" s="16">
        <v>1940</v>
      </c>
      <c r="B61" s="14">
        <v>12985</v>
      </c>
      <c r="C61" s="14">
        <v>13622</v>
      </c>
      <c r="D61" s="28">
        <f t="shared" si="25"/>
        <v>54.899506875845333</v>
      </c>
      <c r="E61" s="11">
        <f t="shared" si="26"/>
        <v>14200.395999999999</v>
      </c>
      <c r="F61" s="11">
        <f t="shared" si="27"/>
        <v>13622</v>
      </c>
      <c r="G61" s="78">
        <f t="shared" si="28"/>
        <v>4.073097679811184</v>
      </c>
      <c r="H61" s="28">
        <f t="shared" si="29"/>
        <v>12456.108266276518</v>
      </c>
      <c r="I61" s="28">
        <f t="shared" si="30"/>
        <v>54.899506875845333</v>
      </c>
    </row>
    <row r="62" spans="1:9" x14ac:dyDescent="0.3">
      <c r="A62" s="16">
        <v>1943</v>
      </c>
      <c r="B62" s="14">
        <v>24195</v>
      </c>
      <c r="C62" s="14">
        <v>25693</v>
      </c>
      <c r="D62" s="28">
        <f t="shared" si="25"/>
        <v>54.345527920683857</v>
      </c>
      <c r="E62" s="11">
        <f t="shared" si="26"/>
        <v>26459.651999999998</v>
      </c>
      <c r="F62" s="11">
        <f t="shared" si="27"/>
        <v>25693</v>
      </c>
      <c r="G62" s="78">
        <f t="shared" si="28"/>
        <v>2.8974379557221539</v>
      </c>
      <c r="H62" s="28">
        <f t="shared" si="29"/>
        <v>23493.964886613023</v>
      </c>
      <c r="I62" s="28">
        <f t="shared" si="30"/>
        <v>54.345527920683857</v>
      </c>
    </row>
    <row r="63" spans="1:9" x14ac:dyDescent="0.3">
      <c r="A63" s="16">
        <v>1961</v>
      </c>
      <c r="B63" s="14">
        <v>13869</v>
      </c>
      <c r="C63" s="14">
        <v>14732</v>
      </c>
      <c r="D63" s="28">
        <f t="shared" si="25"/>
        <v>54.332273016991614</v>
      </c>
      <c r="E63" s="11">
        <f t="shared" si="26"/>
        <v>15167.138399999998</v>
      </c>
      <c r="F63" s="11">
        <f t="shared" si="27"/>
        <v>14732</v>
      </c>
      <c r="G63" s="78">
        <f t="shared" si="28"/>
        <v>2.8689551616407698</v>
      </c>
      <c r="H63" s="28">
        <f t="shared" si="29"/>
        <v>13471.104608632042</v>
      </c>
      <c r="I63" s="28">
        <f t="shared" si="30"/>
        <v>54.332273016991614</v>
      </c>
    </row>
    <row r="64" spans="1:9" x14ac:dyDescent="0.3">
      <c r="A64" s="16">
        <v>1928</v>
      </c>
      <c r="B64" s="14">
        <v>20436</v>
      </c>
      <c r="C64" s="14">
        <v>21904</v>
      </c>
      <c r="D64" s="28">
        <f t="shared" si="25"/>
        <v>53.927164515985964</v>
      </c>
      <c r="E64" s="11">
        <f t="shared" si="26"/>
        <v>22348.809599999997</v>
      </c>
      <c r="F64" s="11">
        <f t="shared" si="27"/>
        <v>21904</v>
      </c>
      <c r="G64" s="78">
        <f t="shared" si="28"/>
        <v>1.9903055597198147</v>
      </c>
      <c r="H64" s="28">
        <f t="shared" si="29"/>
        <v>20029.261155815657</v>
      </c>
      <c r="I64" s="28">
        <f t="shared" si="30"/>
        <v>53.927164515985964</v>
      </c>
    </row>
    <row r="65" spans="1:9" x14ac:dyDescent="0.3">
      <c r="A65" s="16">
        <v>1927</v>
      </c>
      <c r="B65" s="14">
        <v>21117</v>
      </c>
      <c r="C65" s="14">
        <v>22281</v>
      </c>
      <c r="D65" s="28">
        <f t="shared" si="25"/>
        <v>54.636503813908192</v>
      </c>
      <c r="E65" s="11">
        <f t="shared" si="26"/>
        <v>23093.551199999998</v>
      </c>
      <c r="F65" s="11">
        <f t="shared" si="27"/>
        <v>22281</v>
      </c>
      <c r="G65" s="78">
        <f t="shared" si="28"/>
        <v>3.5185199234321232</v>
      </c>
      <c r="H65" s="28">
        <f t="shared" si="29"/>
        <v>20373.994147768837</v>
      </c>
      <c r="I65" s="28">
        <f t="shared" si="30"/>
        <v>54.636503813908192</v>
      </c>
    </row>
    <row r="66" spans="1:9" x14ac:dyDescent="0.3">
      <c r="A66" s="16">
        <v>1852</v>
      </c>
      <c r="B66" s="14">
        <v>21887</v>
      </c>
      <c r="C66" s="14">
        <v>23315</v>
      </c>
      <c r="D66" s="28">
        <f t="shared" si="25"/>
        <v>54.204201263161991</v>
      </c>
      <c r="E66" s="11">
        <f t="shared" si="26"/>
        <v>23935.623199999998</v>
      </c>
      <c r="F66" s="11">
        <f t="shared" si="27"/>
        <v>23315</v>
      </c>
      <c r="G66" s="78">
        <f t="shared" si="28"/>
        <v>2.5928850684781821</v>
      </c>
      <c r="H66" s="28">
        <f t="shared" si="29"/>
        <v>21319.495245062182</v>
      </c>
      <c r="I66" s="28">
        <f t="shared" si="30"/>
        <v>54.204201263161991</v>
      </c>
    </row>
    <row r="67" spans="1:9" x14ac:dyDescent="0.3">
      <c r="A67" s="16">
        <v>1931</v>
      </c>
      <c r="B67" s="14">
        <v>12032</v>
      </c>
      <c r="C67" s="14">
        <v>12896</v>
      </c>
      <c r="D67" s="28">
        <f t="shared" si="25"/>
        <v>53.928230299091858</v>
      </c>
      <c r="E67" s="11">
        <f t="shared" si="26"/>
        <v>13158.195199999998</v>
      </c>
      <c r="F67" s="11">
        <f t="shared" si="27"/>
        <v>12896</v>
      </c>
      <c r="G67" s="78">
        <f t="shared" si="28"/>
        <v>1.9926380177123235</v>
      </c>
      <c r="H67" s="28">
        <f t="shared" si="29"/>
        <v>11792.245793708853</v>
      </c>
      <c r="I67" s="28">
        <f t="shared" si="30"/>
        <v>53.928230299091858</v>
      </c>
    </row>
    <row r="68" spans="1:9" x14ac:dyDescent="0.3">
      <c r="A68" s="16">
        <v>1908</v>
      </c>
      <c r="B68" s="14">
        <v>13850</v>
      </c>
      <c r="C68" s="14">
        <v>14782</v>
      </c>
      <c r="D68" s="28">
        <f t="shared" si="25"/>
        <v>54.117727753074007</v>
      </c>
      <c r="E68" s="11">
        <f t="shared" si="26"/>
        <v>15146.359999999999</v>
      </c>
      <c r="F68" s="11">
        <f t="shared" si="27"/>
        <v>14782</v>
      </c>
      <c r="G68" s="78">
        <f t="shared" si="28"/>
        <v>2.4055944794656909</v>
      </c>
      <c r="H68" s="28">
        <f t="shared" si="29"/>
        <v>13516.825164594002</v>
      </c>
      <c r="I68" s="28">
        <f t="shared" si="30"/>
        <v>54.117727753074007</v>
      </c>
    </row>
    <row r="69" spans="1:9" x14ac:dyDescent="0.3">
      <c r="A69" s="16">
        <v>1929</v>
      </c>
      <c r="B69" s="14">
        <v>34122</v>
      </c>
      <c r="C69" s="14">
        <v>36884</v>
      </c>
      <c r="D69" s="28">
        <f t="shared" si="25"/>
        <v>53.549707114743256</v>
      </c>
      <c r="E69" s="11">
        <f t="shared" si="26"/>
        <v>37315.819199999998</v>
      </c>
      <c r="F69" s="11">
        <f t="shared" si="27"/>
        <v>36884</v>
      </c>
      <c r="G69" s="78">
        <f t="shared" si="28"/>
        <v>1.1572014476905821</v>
      </c>
      <c r="H69" s="28">
        <f t="shared" si="29"/>
        <v>33727.139722019019</v>
      </c>
      <c r="I69" s="28">
        <f t="shared" si="30"/>
        <v>53.549707114743256</v>
      </c>
    </row>
    <row r="70" spans="1:9" x14ac:dyDescent="0.3">
      <c r="A70" s="16">
        <v>1975</v>
      </c>
      <c r="B70" s="14">
        <v>10040</v>
      </c>
      <c r="C70" s="14">
        <v>10674</v>
      </c>
      <c r="D70" s="28">
        <f t="shared" si="25"/>
        <v>54.293071282330267</v>
      </c>
      <c r="E70" s="11">
        <f t="shared" si="26"/>
        <v>10979.743999999999</v>
      </c>
      <c r="F70" s="11">
        <f t="shared" si="27"/>
        <v>10674</v>
      </c>
      <c r="G70" s="78">
        <f t="shared" si="28"/>
        <v>2.78461865777561</v>
      </c>
      <c r="H70" s="28">
        <f t="shared" si="29"/>
        <v>9760.4242867593275</v>
      </c>
      <c r="I70" s="28">
        <f t="shared" si="30"/>
        <v>54.293071282330267</v>
      </c>
    </row>
    <row r="71" spans="1:9" x14ac:dyDescent="0.3">
      <c r="A71" s="16">
        <v>1903</v>
      </c>
      <c r="B71" s="14">
        <v>11492</v>
      </c>
      <c r="C71" s="14">
        <v>12289</v>
      </c>
      <c r="D71" s="28">
        <f t="shared" si="25"/>
        <v>54.031083281252052</v>
      </c>
      <c r="E71" s="11">
        <f t="shared" si="26"/>
        <v>12567.651199999998</v>
      </c>
      <c r="F71" s="11">
        <f t="shared" si="27"/>
        <v>12289</v>
      </c>
      <c r="G71" s="78">
        <f t="shared" si="28"/>
        <v>2.2172098474534323</v>
      </c>
      <c r="H71" s="28">
        <f t="shared" si="29"/>
        <v>11237.198244330652</v>
      </c>
      <c r="I71" s="28">
        <f t="shared" si="30"/>
        <v>54.031083281252052</v>
      </c>
    </row>
    <row r="72" spans="1:9" x14ac:dyDescent="0.3">
      <c r="A72" s="16">
        <v>1942</v>
      </c>
      <c r="B72" s="14">
        <v>46746</v>
      </c>
      <c r="C72" s="14">
        <v>49567</v>
      </c>
      <c r="D72" s="28">
        <f t="shared" si="25"/>
        <v>54.412293652496601</v>
      </c>
      <c r="E72" s="11">
        <f t="shared" si="26"/>
        <v>51121.425599999995</v>
      </c>
      <c r="F72" s="11">
        <f t="shared" si="27"/>
        <v>49567</v>
      </c>
      <c r="G72" s="78">
        <f t="shared" si="28"/>
        <v>3.0406538584479392</v>
      </c>
      <c r="H72" s="28">
        <f t="shared" si="29"/>
        <v>45324.615947329927</v>
      </c>
      <c r="I72" s="28">
        <f t="shared" si="30"/>
        <v>54.412293652496601</v>
      </c>
    </row>
    <row r="73" spans="1:9" x14ac:dyDescent="0.3">
      <c r="A73" s="16">
        <v>1946</v>
      </c>
      <c r="B73" s="14">
        <v>38879</v>
      </c>
      <c r="C73" s="14">
        <v>40771</v>
      </c>
      <c r="D73" s="28">
        <f t="shared" si="25"/>
        <v>54.916645591842695</v>
      </c>
      <c r="E73" s="11">
        <f t="shared" si="26"/>
        <v>42518.074399999998</v>
      </c>
      <c r="F73" s="11">
        <f t="shared" si="27"/>
        <v>40771</v>
      </c>
      <c r="G73" s="78">
        <f t="shared" si="28"/>
        <v>4.1090158118731779</v>
      </c>
      <c r="H73" s="28">
        <f t="shared" si="29"/>
        <v>37281.455742501836</v>
      </c>
      <c r="I73" s="28">
        <f t="shared" si="30"/>
        <v>54.916645591842695</v>
      </c>
    </row>
    <row r="74" spans="1:9" x14ac:dyDescent="0.3">
      <c r="A74" s="16">
        <v>1968</v>
      </c>
      <c r="B74" s="14">
        <v>17879</v>
      </c>
      <c r="C74" s="14">
        <v>18944</v>
      </c>
      <c r="D74" s="28">
        <f t="shared" ref="D74:D84" si="31">I74</f>
        <v>54.445631462662369</v>
      </c>
      <c r="E74" s="11">
        <f t="shared" ref="E74:E84" si="32">B74 * 1.0936</f>
        <v>19552.474399999999</v>
      </c>
      <c r="F74" s="11">
        <f t="shared" ref="F74:F84" si="33">C74</f>
        <v>18944</v>
      </c>
      <c r="G74" s="78">
        <f t="shared" ref="G74:G84" si="34">100- (F74/E74 *100)</f>
        <v>3.1120071431981984</v>
      </c>
      <c r="H74" s="28">
        <f t="shared" ref="H74:H84" si="35">F74/1.0936</f>
        <v>17322.604242867594</v>
      </c>
      <c r="I74" s="28">
        <f t="shared" ref="I74:I84" si="36">((B74*48)+(H74*10))/C74</f>
        <v>54.445631462662369</v>
      </c>
    </row>
    <row r="75" spans="1:9" x14ac:dyDescent="0.3">
      <c r="A75" s="16" t="s">
        <v>237</v>
      </c>
      <c r="B75" s="14">
        <v>12958</v>
      </c>
      <c r="C75" s="14">
        <v>13748</v>
      </c>
      <c r="D75" s="28">
        <f t="shared" si="31"/>
        <v>54.385891815028124</v>
      </c>
      <c r="E75" s="11">
        <f t="shared" si="32"/>
        <v>14170.868799999998</v>
      </c>
      <c r="F75" s="11">
        <f t="shared" si="33"/>
        <v>13748</v>
      </c>
      <c r="G75" s="78">
        <f t="shared" si="34"/>
        <v>2.9840710966147554</v>
      </c>
      <c r="H75" s="28">
        <f t="shared" si="35"/>
        <v>12571.32406730066</v>
      </c>
      <c r="I75" s="28">
        <f t="shared" si="36"/>
        <v>54.385891815028124</v>
      </c>
    </row>
    <row r="76" spans="1:9" x14ac:dyDescent="0.3">
      <c r="A76" s="16">
        <v>1945</v>
      </c>
      <c r="B76" s="14">
        <v>18112</v>
      </c>
      <c r="C76" s="14">
        <v>19394</v>
      </c>
      <c r="D76" s="28">
        <f t="shared" si="31"/>
        <v>53.971171107829868</v>
      </c>
      <c r="E76" s="11">
        <f t="shared" si="32"/>
        <v>19807.283199999998</v>
      </c>
      <c r="F76" s="11">
        <f t="shared" si="33"/>
        <v>19394</v>
      </c>
      <c r="G76" s="78">
        <f t="shared" si="34"/>
        <v>2.0865213862343239</v>
      </c>
      <c r="H76" s="28">
        <f t="shared" si="35"/>
        <v>17734.08924652524</v>
      </c>
      <c r="I76" s="28">
        <f t="shared" si="36"/>
        <v>53.971171107829868</v>
      </c>
    </row>
    <row r="77" spans="1:9" x14ac:dyDescent="0.3">
      <c r="A77" s="16">
        <v>1962</v>
      </c>
      <c r="B77" s="14">
        <v>36110</v>
      </c>
      <c r="C77" s="14">
        <v>38155</v>
      </c>
      <c r="D77" s="28">
        <f t="shared" si="31"/>
        <v>54.571447059250964</v>
      </c>
      <c r="E77" s="11">
        <f t="shared" si="32"/>
        <v>39489.895999999993</v>
      </c>
      <c r="F77" s="11">
        <f t="shared" si="33"/>
        <v>38155</v>
      </c>
      <c r="G77" s="78">
        <f t="shared" si="34"/>
        <v>3.3803482288228679</v>
      </c>
      <c r="H77" s="28">
        <f t="shared" si="35"/>
        <v>34889.356254572056</v>
      </c>
      <c r="I77" s="28">
        <f t="shared" si="36"/>
        <v>54.571447059250964</v>
      </c>
    </row>
    <row r="78" spans="1:9" x14ac:dyDescent="0.3">
      <c r="A78" s="16">
        <v>1970</v>
      </c>
      <c r="B78" s="14">
        <v>42406</v>
      </c>
      <c r="C78" s="14">
        <v>45170</v>
      </c>
      <c r="D78" s="28">
        <f t="shared" si="31"/>
        <v>54.206940503882024</v>
      </c>
      <c r="E78" s="11">
        <f t="shared" si="32"/>
        <v>46375.201599999993</v>
      </c>
      <c r="F78" s="11">
        <f t="shared" si="33"/>
        <v>45170</v>
      </c>
      <c r="G78" s="78">
        <f t="shared" si="34"/>
        <v>2.598806168855532</v>
      </c>
      <c r="H78" s="28">
        <f t="shared" si="35"/>
        <v>41303.950256035117</v>
      </c>
      <c r="I78" s="28">
        <f t="shared" si="36"/>
        <v>54.206940503882024</v>
      </c>
    </row>
    <row r="79" spans="1:9" x14ac:dyDescent="0.3">
      <c r="A79" s="16">
        <v>1944</v>
      </c>
      <c r="B79" s="14">
        <v>14691</v>
      </c>
      <c r="C79" s="14">
        <v>15699</v>
      </c>
      <c r="D79" s="28">
        <f t="shared" si="31"/>
        <v>54.062131448459368</v>
      </c>
      <c r="E79" s="11">
        <f t="shared" si="32"/>
        <v>16066.077599999999</v>
      </c>
      <c r="F79" s="11">
        <f t="shared" si="33"/>
        <v>15699</v>
      </c>
      <c r="G79" s="78">
        <f t="shared" si="34"/>
        <v>2.2847991223445661</v>
      </c>
      <c r="H79" s="28">
        <f t="shared" si="35"/>
        <v>14355.340160936359</v>
      </c>
      <c r="I79" s="28">
        <f t="shared" si="36"/>
        <v>54.062131448459368</v>
      </c>
    </row>
    <row r="80" spans="1:9" x14ac:dyDescent="0.3">
      <c r="A80" s="16">
        <v>1955</v>
      </c>
      <c r="B80" s="14">
        <v>50443</v>
      </c>
      <c r="C80" s="14">
        <v>53589</v>
      </c>
      <c r="D80" s="28">
        <f t="shared" si="31"/>
        <v>54.326219460880033</v>
      </c>
      <c r="E80" s="11">
        <f t="shared" si="32"/>
        <v>55164.464799999994</v>
      </c>
      <c r="F80" s="11">
        <f t="shared" si="33"/>
        <v>53589</v>
      </c>
      <c r="G80" s="78">
        <f t="shared" si="34"/>
        <v>2.8559414211882199</v>
      </c>
      <c r="H80" s="28">
        <f t="shared" si="35"/>
        <v>49002.377468910025</v>
      </c>
      <c r="I80" s="28">
        <f t="shared" si="36"/>
        <v>54.326219460880033</v>
      </c>
    </row>
    <row r="81" spans="1:9" x14ac:dyDescent="0.3">
      <c r="A81" s="16">
        <v>1902</v>
      </c>
      <c r="B81" s="14">
        <v>49995</v>
      </c>
      <c r="C81" s="14">
        <v>52010</v>
      </c>
      <c r="D81" s="28">
        <f t="shared" si="31"/>
        <v>55.284468815926033</v>
      </c>
      <c r="E81" s="11">
        <f t="shared" si="32"/>
        <v>54674.531999999992</v>
      </c>
      <c r="F81" s="11">
        <f t="shared" si="33"/>
        <v>52010</v>
      </c>
      <c r="G81" s="78">
        <f t="shared" si="34"/>
        <v>4.873442721009468</v>
      </c>
      <c r="H81" s="28">
        <f t="shared" si="35"/>
        <v>47558.522311631314</v>
      </c>
      <c r="I81" s="28">
        <f t="shared" si="36"/>
        <v>55.284468815926033</v>
      </c>
    </row>
    <row r="82" spans="1:9" x14ac:dyDescent="0.3">
      <c r="A82" s="16">
        <v>1959</v>
      </c>
      <c r="B82" s="14">
        <v>55691</v>
      </c>
      <c r="C82" s="14">
        <v>59311</v>
      </c>
      <c r="D82" s="28">
        <f t="shared" si="31"/>
        <v>54.214469136112491</v>
      </c>
      <c r="E82" s="11">
        <f t="shared" si="32"/>
        <v>60903.677599999995</v>
      </c>
      <c r="F82" s="11">
        <f t="shared" si="33"/>
        <v>59311</v>
      </c>
      <c r="G82" s="78">
        <f t="shared" si="34"/>
        <v>2.6150762363814835</v>
      </c>
      <c r="H82" s="28">
        <f t="shared" si="35"/>
        <v>54234.637893196785</v>
      </c>
      <c r="I82" s="28">
        <f t="shared" si="36"/>
        <v>54.214469136112491</v>
      </c>
    </row>
    <row r="83" spans="1:9" x14ac:dyDescent="0.3">
      <c r="A83" s="16">
        <v>1960</v>
      </c>
      <c r="B83" s="14">
        <v>30151</v>
      </c>
      <c r="C83" s="14">
        <v>32399</v>
      </c>
      <c r="D83" s="28">
        <f t="shared" si="31"/>
        <v>53.813638029640167</v>
      </c>
      <c r="E83" s="11">
        <f t="shared" si="32"/>
        <v>32973.133599999994</v>
      </c>
      <c r="F83" s="11">
        <f t="shared" si="33"/>
        <v>32399</v>
      </c>
      <c r="G83" s="78">
        <f t="shared" si="34"/>
        <v>1.7412163701662706</v>
      </c>
      <c r="H83" s="28">
        <f t="shared" si="35"/>
        <v>29626.005852231167</v>
      </c>
      <c r="I83" s="28">
        <f t="shared" si="36"/>
        <v>53.813638029640167</v>
      </c>
    </row>
    <row r="84" spans="1:9" x14ac:dyDescent="0.3">
      <c r="A84" s="16">
        <v>1966</v>
      </c>
      <c r="B84" s="14">
        <v>9963</v>
      </c>
      <c r="C84" s="14">
        <v>10733</v>
      </c>
      <c r="D84" s="28">
        <f t="shared" si="31"/>
        <v>53.700525987882649</v>
      </c>
      <c r="E84" s="11">
        <f t="shared" si="32"/>
        <v>10895.5368</v>
      </c>
      <c r="F84" s="11">
        <f t="shared" si="33"/>
        <v>10733</v>
      </c>
      <c r="G84" s="78">
        <f t="shared" si="34"/>
        <v>1.4917741363601209</v>
      </c>
      <c r="H84" s="28">
        <f t="shared" si="35"/>
        <v>9814.3745427944414</v>
      </c>
      <c r="I84" s="28">
        <f t="shared" si="36"/>
        <v>53.700525987882649</v>
      </c>
    </row>
    <row r="85" spans="1:9" x14ac:dyDescent="0.3">
      <c r="A85" s="16">
        <v>1892</v>
      </c>
      <c r="B85" s="14">
        <v>11318</v>
      </c>
      <c r="C85" s="14">
        <v>12494</v>
      </c>
      <c r="D85" s="28">
        <f t="shared" ref="D85:D119" si="37">I85</f>
        <v>52.626102548242905</v>
      </c>
      <c r="E85" s="11">
        <f t="shared" ref="E85:E119" si="38">B85 * 1.0936</f>
        <v>12377.364799999999</v>
      </c>
      <c r="F85" s="11">
        <f t="shared" ref="F85:F119" si="39">C85</f>
        <v>12494</v>
      </c>
      <c r="G85" s="78">
        <f t="shared" ref="G85:G119" si="40">100- (F85/E85 *100)</f>
        <v>-0.94232659281401254</v>
      </c>
      <c r="H85" s="28">
        <f t="shared" ref="H85:H119" si="41">F85/1.0936</f>
        <v>11424.65252377469</v>
      </c>
      <c r="I85" s="28">
        <f t="shared" ref="I85:I119" si="42">((B85*48)+(H85*10))/C85</f>
        <v>52.626102548242905</v>
      </c>
    </row>
    <row r="86" spans="1:9" x14ac:dyDescent="0.3">
      <c r="A86" s="16" t="s">
        <v>241</v>
      </c>
      <c r="B86" s="14">
        <v>20534</v>
      </c>
      <c r="C86" s="14">
        <v>21973</v>
      </c>
      <c r="D86" s="28">
        <f t="shared" si="37"/>
        <v>54.000616903947197</v>
      </c>
      <c r="E86" s="11">
        <f t="shared" si="38"/>
        <v>22455.982399999997</v>
      </c>
      <c r="F86" s="11">
        <f t="shared" si="39"/>
        <v>21973</v>
      </c>
      <c r="G86" s="78">
        <f t="shared" si="40"/>
        <v>2.1507961281622556</v>
      </c>
      <c r="H86" s="28">
        <f t="shared" si="41"/>
        <v>20092.355523043163</v>
      </c>
      <c r="I86" s="28">
        <f t="shared" si="42"/>
        <v>54.000616903947197</v>
      </c>
    </row>
    <row r="87" spans="1:9" x14ac:dyDescent="0.3">
      <c r="A87" s="16">
        <v>1924</v>
      </c>
      <c r="B87" s="14"/>
      <c r="C87" s="14">
        <v>8765</v>
      </c>
      <c r="D87" s="28">
        <f t="shared" si="37"/>
        <v>9.144111192392101</v>
      </c>
      <c r="E87" s="11">
        <f t="shared" si="38"/>
        <v>0</v>
      </c>
      <c r="F87" s="11">
        <f t="shared" si="39"/>
        <v>8765</v>
      </c>
      <c r="G87" s="78" t="e">
        <f t="shared" si="40"/>
        <v>#DIV/0!</v>
      </c>
      <c r="H87" s="28">
        <f t="shared" si="41"/>
        <v>8014.813460131676</v>
      </c>
      <c r="I87" s="28">
        <f t="shared" si="42"/>
        <v>9.144111192392101</v>
      </c>
    </row>
    <row r="88" spans="1:9" x14ac:dyDescent="0.3">
      <c r="A88" s="16">
        <v>1949</v>
      </c>
      <c r="B88" s="14">
        <v>10656</v>
      </c>
      <c r="C88" s="14">
        <v>11498</v>
      </c>
      <c r="D88" s="28">
        <f t="shared" si="37"/>
        <v>53.629065097419058</v>
      </c>
      <c r="E88" s="11">
        <f t="shared" si="38"/>
        <v>11653.401599999999</v>
      </c>
      <c r="F88" s="11">
        <f t="shared" si="39"/>
        <v>11498</v>
      </c>
      <c r="G88" s="78">
        <f t="shared" si="40"/>
        <v>1.3335299454538614</v>
      </c>
      <c r="H88" s="28">
        <f t="shared" si="41"/>
        <v>10513.899049012436</v>
      </c>
      <c r="I88" s="28">
        <f t="shared" si="42"/>
        <v>53.629065097419058</v>
      </c>
    </row>
    <row r="89" spans="1:9" x14ac:dyDescent="0.3">
      <c r="A89" s="16">
        <v>1956</v>
      </c>
      <c r="B89" s="14">
        <v>9179</v>
      </c>
      <c r="C89" s="14">
        <v>9967</v>
      </c>
      <c r="D89" s="28">
        <f t="shared" si="37"/>
        <v>53.34918794567794</v>
      </c>
      <c r="E89" s="11">
        <f t="shared" si="38"/>
        <v>10038.154399999999</v>
      </c>
      <c r="F89" s="11">
        <f t="shared" si="39"/>
        <v>9967</v>
      </c>
      <c r="G89" s="78">
        <f t="shared" si="40"/>
        <v>0.70883946554955912</v>
      </c>
      <c r="H89" s="28">
        <f t="shared" si="41"/>
        <v>9113.9356254572067</v>
      </c>
      <c r="I89" s="28">
        <f t="shared" si="42"/>
        <v>53.34918794567794</v>
      </c>
    </row>
    <row r="90" spans="1:9" x14ac:dyDescent="0.3">
      <c r="A90" s="16">
        <v>1971</v>
      </c>
      <c r="B90" s="14">
        <v>50697</v>
      </c>
      <c r="C90" s="14">
        <v>4350</v>
      </c>
      <c r="D90" s="28">
        <f t="shared" si="37"/>
        <v>568.5592836061852</v>
      </c>
      <c r="E90" s="11">
        <f t="shared" si="38"/>
        <v>55442.239199999996</v>
      </c>
      <c r="F90" s="11">
        <f t="shared" si="39"/>
        <v>4350</v>
      </c>
      <c r="G90" s="78">
        <f t="shared" si="40"/>
        <v>92.15399655070209</v>
      </c>
      <c r="H90" s="28">
        <f t="shared" si="41"/>
        <v>3977.6883686905635</v>
      </c>
      <c r="I90" s="28">
        <f t="shared" si="42"/>
        <v>568.5592836061852</v>
      </c>
    </row>
    <row r="91" spans="1:9" x14ac:dyDescent="0.3">
      <c r="A91" s="16">
        <v>1972</v>
      </c>
      <c r="B91" s="14">
        <v>4213</v>
      </c>
      <c r="C91" s="14">
        <v>4557</v>
      </c>
      <c r="D91" s="28">
        <f t="shared" si="37"/>
        <v>53.520674721029359</v>
      </c>
      <c r="E91" s="11">
        <f t="shared" si="38"/>
        <v>4607.3368</v>
      </c>
      <c r="F91" s="11">
        <f t="shared" si="39"/>
        <v>4557</v>
      </c>
      <c r="G91" s="78">
        <f t="shared" si="40"/>
        <v>1.0925357139074379</v>
      </c>
      <c r="H91" s="28">
        <f t="shared" si="41"/>
        <v>4166.9714703730797</v>
      </c>
      <c r="I91" s="28">
        <f t="shared" si="42"/>
        <v>53.520674721029359</v>
      </c>
    </row>
    <row r="92" spans="1:9" x14ac:dyDescent="0.3">
      <c r="A92" s="16" t="s">
        <v>28</v>
      </c>
      <c r="B92" s="30">
        <v>79388</v>
      </c>
      <c r="C92" s="30">
        <v>2066052</v>
      </c>
      <c r="D92" s="28">
        <f t="shared" si="37"/>
        <v>10.988510074898446</v>
      </c>
      <c r="E92" s="11">
        <f t="shared" si="38"/>
        <v>86818.716799999995</v>
      </c>
      <c r="F92" s="11">
        <f t="shared" si="39"/>
        <v>2066052</v>
      </c>
      <c r="G92" s="78">
        <f t="shared" si="40"/>
        <v>-2279.7310950350284</v>
      </c>
      <c r="H92" s="28">
        <f t="shared" si="41"/>
        <v>1889220.9217264084</v>
      </c>
      <c r="I92" s="28">
        <f t="shared" si="42"/>
        <v>10.988510074898446</v>
      </c>
    </row>
    <row r="93" spans="1:9" x14ac:dyDescent="0.3">
      <c r="D93" s="28" t="e">
        <f t="shared" si="37"/>
        <v>#DIV/0!</v>
      </c>
      <c r="E93" s="11">
        <f t="shared" si="38"/>
        <v>0</v>
      </c>
      <c r="F93" s="11">
        <f t="shared" si="39"/>
        <v>0</v>
      </c>
      <c r="G93" s="78" t="e">
        <f t="shared" si="40"/>
        <v>#DIV/0!</v>
      </c>
      <c r="H93" s="28">
        <f t="shared" si="41"/>
        <v>0</v>
      </c>
      <c r="I93" s="28" t="e">
        <f t="shared" si="42"/>
        <v>#DIV/0!</v>
      </c>
    </row>
    <row r="94" spans="1:9" x14ac:dyDescent="0.3">
      <c r="D94" s="28" t="e">
        <f t="shared" si="37"/>
        <v>#DIV/0!</v>
      </c>
      <c r="E94" s="11">
        <f t="shared" si="38"/>
        <v>0</v>
      </c>
      <c r="F94" s="11">
        <f t="shared" si="39"/>
        <v>0</v>
      </c>
      <c r="G94" s="78" t="e">
        <f t="shared" si="40"/>
        <v>#DIV/0!</v>
      </c>
      <c r="H94" s="28">
        <f t="shared" si="41"/>
        <v>0</v>
      </c>
      <c r="I94" s="28" t="e">
        <f t="shared" si="42"/>
        <v>#DIV/0!</v>
      </c>
    </row>
    <row r="95" spans="1:9" x14ac:dyDescent="0.3">
      <c r="D95" s="28" t="e">
        <f t="shared" si="37"/>
        <v>#DIV/0!</v>
      </c>
      <c r="E95" s="11">
        <f t="shared" si="38"/>
        <v>0</v>
      </c>
      <c r="F95" s="11">
        <f t="shared" si="39"/>
        <v>0</v>
      </c>
      <c r="G95" s="78" t="e">
        <f t="shared" si="40"/>
        <v>#DIV/0!</v>
      </c>
      <c r="H95" s="28">
        <f t="shared" si="41"/>
        <v>0</v>
      </c>
      <c r="I95" s="28" t="e">
        <f t="shared" si="42"/>
        <v>#DIV/0!</v>
      </c>
    </row>
    <row r="96" spans="1: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topLeftCell="A10" workbookViewId="0">
      <selection activeCell="M30" sqref="M3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0</v>
      </c>
    </row>
    <row r="6" spans="2:10" x14ac:dyDescent="0.3">
      <c r="B6" s="1">
        <v>46011</v>
      </c>
      <c r="C6" t="s">
        <v>113</v>
      </c>
      <c r="D6">
        <f>SUMIFS(Table14[Debit], Table14[Date], Table5[[#This Row],[Date]], Table14[Party], "Rashan")</f>
        <v>0</v>
      </c>
      <c r="H6" s="1">
        <v>46011</v>
      </c>
      <c r="I6" t="s">
        <v>55</v>
      </c>
      <c r="J6">
        <f>SUMIFS(Table14[Debit], Table14[Date], Table15[[#This Row],[Date]], Table14[Party], "Parts")</f>
        <v>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0</v>
      </c>
    </row>
    <row r="10" spans="2:10" x14ac:dyDescent="0.3">
      <c r="B10" s="1">
        <v>46015</v>
      </c>
      <c r="C10" t="s">
        <v>113</v>
      </c>
      <c r="D10">
        <f>SUMIFS(Table14[Debit], Table14[Date], Table5[[#This Row],[Date]], Table14[Party], "Rashan")</f>
        <v>0</v>
      </c>
      <c r="H10" s="1">
        <v>46015</v>
      </c>
      <c r="J10">
        <f>SUMIFS(Table14[Debit], Table14[Date], Table15[[#This Row],[Date]], Table14[Party], "Parts")</f>
        <v>0</v>
      </c>
    </row>
    <row r="11" spans="2:10" x14ac:dyDescent="0.3">
      <c r="B11" s="1">
        <v>46016</v>
      </c>
      <c r="C11" t="s">
        <v>113</v>
      </c>
      <c r="D11">
        <f>SUMIFS(Table14[Debit], Table14[Date], Table5[[#This Row],[Date]], Table14[Party], "Rashan")</f>
        <v>0</v>
      </c>
      <c r="H11" s="1">
        <v>46016</v>
      </c>
      <c r="J11">
        <f>SUMIFS(Table14[Debit], Table14[Date], Table15[[#This Row],[Date]], Table14[Party], "Parts")</f>
        <v>0</v>
      </c>
    </row>
    <row r="12" spans="2:10" x14ac:dyDescent="0.3">
      <c r="B12" s="1">
        <v>46017</v>
      </c>
      <c r="C12" t="s">
        <v>113</v>
      </c>
      <c r="D12">
        <f>SUMIFS(Table14[Debit], Table14[Date], Table5[[#This Row],[Date]], Table14[Party], "Rashan")</f>
        <v>0</v>
      </c>
      <c r="H12" s="1">
        <v>46017</v>
      </c>
      <c r="J12">
        <f>SUMIFS(Table14[Debit], Table14[Date], Table15[[#This Row],[Date]], Table14[Party], "Parts")</f>
        <v>0</v>
      </c>
    </row>
    <row r="13" spans="2:10" x14ac:dyDescent="0.3">
      <c r="B13" s="1">
        <v>46018</v>
      </c>
      <c r="C13" t="s">
        <v>113</v>
      </c>
      <c r="D13">
        <f>SUMIFS(Table14[Debit], Table14[Date], Table5[[#This Row],[Date]], Table14[Party], "Rashan")</f>
        <v>0</v>
      </c>
      <c r="H13" s="1">
        <v>46018</v>
      </c>
      <c r="J13">
        <f>SUMIFS(Table14[Debit], Table14[Date], Table15[[#This Row],[Date]], Table14[Party], "Parts")</f>
        <v>0</v>
      </c>
    </row>
    <row r="14" spans="2:10" x14ac:dyDescent="0.3">
      <c r="B14" s="1">
        <v>46019</v>
      </c>
      <c r="C14" t="s">
        <v>113</v>
      </c>
      <c r="D14">
        <f>SUMIFS(Table14[Debit], Table14[Date], Table5[[#This Row],[Date]], Table14[Party], "Rashan")</f>
        <v>0</v>
      </c>
      <c r="H14" s="1">
        <v>46019</v>
      </c>
      <c r="J14">
        <f>SUMIFS(Table14[Debit], Table14[Date], Table15[[#This Row],[Date]], Table14[Party], "Parts")</f>
        <v>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0</v>
      </c>
    </row>
    <row r="38" spans="2:10" x14ac:dyDescent="0.3">
      <c r="B38" s="1"/>
      <c r="D38">
        <f>SUM(Table5[Amount])</f>
        <v>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27" sqref="C27"/>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4188080.9231894724</v>
      </c>
    </row>
    <row r="3" spans="1:3" ht="21" x14ac:dyDescent="0.4">
      <c r="A3" s="102" t="str">
        <f>Billing!Q6</f>
        <v>Ejaz Sahab</v>
      </c>
      <c r="B3" s="105">
        <f>Billing!AD6</f>
        <v>3963904</v>
      </c>
      <c r="C3" s="103">
        <f>Billing!AE6</f>
        <v>208925.1880029263</v>
      </c>
    </row>
    <row r="4" spans="1:3" ht="21" x14ac:dyDescent="0.4">
      <c r="A4" s="102" t="str">
        <f>Billing!Q7</f>
        <v>Arshad</v>
      </c>
      <c r="B4" s="105">
        <f>Billing!AD7</f>
        <v>6002935</v>
      </c>
      <c r="C4" s="104">
        <f>Billing!AE7</f>
        <v>225643.09070958383</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7397871</v>
      </c>
      <c r="C7" s="103">
        <f>Billing!AE10</f>
        <v>533291.21653255355</v>
      </c>
    </row>
    <row r="8" spans="1:3" ht="21" x14ac:dyDescent="0.4">
      <c r="A8" s="102" t="str">
        <f>Billing!Q11</f>
        <v>Raaz Fabrics</v>
      </c>
      <c r="B8" s="105">
        <f>Billing!AD11</f>
        <v>1100000</v>
      </c>
      <c r="C8" s="104">
        <f>Billing!AE11</f>
        <v>293873.44550109748</v>
      </c>
    </row>
    <row r="9" spans="1:3" ht="21" x14ac:dyDescent="0.4">
      <c r="A9" s="102" t="str">
        <f>Billing!Q12</f>
        <v>Azam</v>
      </c>
      <c r="B9" s="105">
        <f>Billing!AD12</f>
        <v>3322620</v>
      </c>
      <c r="C9" s="103">
        <f>Billing!AE12</f>
        <v>59519.722019020468</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1805980</v>
      </c>
      <c r="C12" s="103">
        <f>Billing!AE15</f>
        <v>48582.911485003773</v>
      </c>
    </row>
    <row r="13" spans="1:3" ht="21" x14ac:dyDescent="0.4">
      <c r="A13" s="102" t="str">
        <f>Billing!Q16</f>
        <v>Badshah Fabrics</v>
      </c>
      <c r="B13" s="105">
        <f>Billing!AD16</f>
        <v>4925761</v>
      </c>
      <c r="C13" s="103">
        <f>Billing!AE16</f>
        <v>93961.933430870995</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4">
        <f>Billing!AD24</f>
        <v>0</v>
      </c>
      <c r="C21" s="103">
        <f>Billing!AE24</f>
        <v>713525.05486466724</v>
      </c>
    </row>
    <row r="22" spans="1:3" ht="21" x14ac:dyDescent="0.4">
      <c r="A22" s="102" t="str">
        <f>Billing!Q25</f>
        <v>Shahid Qasayi</v>
      </c>
      <c r="B22" s="112">
        <f>Billing!AD25</f>
        <v>1468325</v>
      </c>
      <c r="C22" s="103">
        <f>Billing!AE25</f>
        <v>189776.68251645938</v>
      </c>
    </row>
    <row r="23" spans="1:3" ht="21" x14ac:dyDescent="0.4">
      <c r="A23" s="102" t="str">
        <f>Billing!Q26</f>
        <v>Hameed corporation</v>
      </c>
      <c r="B23" s="112">
        <f>Billing!AD26</f>
        <v>424323</v>
      </c>
      <c r="C23" s="103">
        <f>Billing!AE26</f>
        <v>0.33577176299877465</v>
      </c>
    </row>
    <row r="24" spans="1:3" ht="21" x14ac:dyDescent="0.4">
      <c r="A24" s="102" t="str">
        <f>Billing!Q27</f>
        <v>ibraheem behraam</v>
      </c>
      <c r="B24" s="112">
        <f>Billing!AD27</f>
        <v>790500</v>
      </c>
      <c r="C24" s="103">
        <f>Billing!AE27</f>
        <v>2445.3182150695939</v>
      </c>
    </row>
    <row r="25" spans="1:3" ht="21" x14ac:dyDescent="0.4">
      <c r="A25" s="102" t="str">
        <f>Billing!Q28</f>
        <v>Zia-ullah karachi</v>
      </c>
      <c r="B25" s="112">
        <f>Billing!AD28</f>
        <v>124560</v>
      </c>
      <c r="C25" s="103">
        <f>Billing!AE28</f>
        <v>1.0826627651840681</v>
      </c>
    </row>
    <row r="26" spans="1:3" ht="21" x14ac:dyDescent="0.4">
      <c r="A26" s="102" t="str">
        <f>Billing!Q29</f>
        <v>ZA</v>
      </c>
      <c r="B26" s="112">
        <f>Billing!AD29</f>
        <v>250000</v>
      </c>
      <c r="C26" s="103">
        <f>Billing!AE29</f>
        <v>135138.07607900514</v>
      </c>
    </row>
    <row r="27" spans="1:3" ht="21" x14ac:dyDescent="0.4">
      <c r="A27" s="102" t="str">
        <f>Billing!Q30</f>
        <v>Ahmad Javaid</v>
      </c>
      <c r="B27" s="112">
        <f>Billing!AD30</f>
        <v>0</v>
      </c>
      <c r="C27" s="103">
        <f>Billing!AE30</f>
        <v>54170.629114850039</v>
      </c>
    </row>
    <row r="28" spans="1:3" ht="21" x14ac:dyDescent="0.4">
      <c r="A28" s="102">
        <f>Billing!Q31</f>
        <v>0</v>
      </c>
      <c r="B28" s="112">
        <f>Billing!AD31</f>
        <v>0</v>
      </c>
      <c r="C28" s="103">
        <f>Billing!AE31</f>
        <v>0</v>
      </c>
    </row>
  </sheetData>
  <conditionalFormatting sqref="C2:C28">
    <cfRule type="cellIs" dxfId="8" priority="1" operator="lessThan">
      <formula>10</formula>
    </cfRule>
  </conditionalFormatting>
  <conditionalFormatting sqref="C2:C29">
    <cfRule type="cellIs" dxfId="7"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177</v>
      </c>
      <c r="B18" s="10">
        <f>_xlfn.XLOOKUP($A18,[1]Billing!$Q$5:$Q$40,[1]Billing!$AD$5:$AD$40)</f>
        <v>4915571</v>
      </c>
    </row>
    <row r="19" spans="1:2" x14ac:dyDescent="0.3">
      <c r="A19" s="81" t="s">
        <v>180</v>
      </c>
      <c r="B19" s="10">
        <f>_xlfn.XLOOKUP($A19,[1]Billing!$Q$5:$Q$40,[1]Billing!$AD$5:$AD$40)</f>
        <v>835660</v>
      </c>
    </row>
    <row r="20" spans="1:2" x14ac:dyDescent="0.3">
      <c r="A20" s="81" t="s">
        <v>181</v>
      </c>
      <c r="B20" s="10">
        <f>_xlfn.XLOOKUP($A20,[1]Billing!$Q$5:$Q$40,[1]Billing!$AD$5:$AD$40)</f>
        <v>2300000</v>
      </c>
    </row>
    <row r="21" spans="1:2" x14ac:dyDescent="0.3">
      <c r="A21" s="81" t="s">
        <v>186</v>
      </c>
      <c r="B21" s="10">
        <f>_xlfn.XLOOKUP($A21,[1]Billing!$Q$5:$Q$40,[1]Billing!$AD$5:$AD$40)</f>
        <v>0</v>
      </c>
    </row>
    <row r="22" spans="1:2" x14ac:dyDescent="0.3">
      <c r="A22" s="81" t="s">
        <v>202</v>
      </c>
      <c r="B22" s="10">
        <f>_xlfn.XLOOKUP($A22,[1]Billing!$Q$5:$Q$40,[1]Billing!$AD$5:$AD$40)</f>
        <v>1468325</v>
      </c>
    </row>
    <row r="23" spans="1:2" x14ac:dyDescent="0.3">
      <c r="A23" s="81" t="s">
        <v>216</v>
      </c>
      <c r="B23" s="10">
        <f>_xlfn.XLOOKUP($A23,[1]Billing!$Q$5:$Q$40,[1]Billing!$AD$5:$AD$40)</f>
        <v>424323</v>
      </c>
    </row>
    <row r="24" spans="1:2" x14ac:dyDescent="0.3">
      <c r="A24" s="81" t="s">
        <v>215</v>
      </c>
      <c r="B24" s="10">
        <f>_xlfn.XLOOKUP($A24,[1]Billing!$Q$5:$Q$40,[1]Billing!$AD$5:$AD$40)</f>
        <v>790500</v>
      </c>
    </row>
    <row r="25" spans="1:2" x14ac:dyDescent="0.3">
      <c r="A25" s="81" t="s">
        <v>225</v>
      </c>
      <c r="B25" s="10">
        <f>_xlfn.XLOOKUP($A25,[1]Billing!$Q$5:$Q$40,[1]Billing!$AD$5:$AD$40)</f>
        <v>124560</v>
      </c>
    </row>
    <row r="26" spans="1:2" x14ac:dyDescent="0.3">
      <c r="A26" s="81" t="s">
        <v>240</v>
      </c>
      <c r="B26" s="10">
        <f>_xlfn.XLOOKUP($A26,[1]Billing!$Q$5:$Q$40,[1]Billing!$AD$5:$AD$40)</f>
        <v>250000</v>
      </c>
    </row>
    <row r="27" spans="1:2" x14ac:dyDescent="0.3">
      <c r="A27" s="119" t="s">
        <v>244</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2025-12-17T22:54:12Z</dcterms:modified>
  <cp:category/>
  <cp:contentStatus/>
</cp:coreProperties>
</file>