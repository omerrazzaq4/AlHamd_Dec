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274" documentId="8_{882B14A6-A67C-4C60-A7D4-43427E6D1DAC}" xr6:coauthVersionLast="47" xr6:coauthVersionMax="47" xr10:uidLastSave="{C1BCEC70-53AA-470C-91E3-5B5A9AD31ACD}"/>
  <bookViews>
    <workbookView xWindow="-108" yWindow="-108" windowWidth="23256" windowHeight="12456" tabRatio="597" firstSheet="7"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19"/>
    <pivotCache cacheId="1" r:id="rId20"/>
    <pivotCache cacheId="2" r:id="rId21"/>
    <pivotCache cacheId="3" r:id="rId22"/>
    <pivotCache cacheId="4" r:id="rId23"/>
    <pivotCache cacheId="5"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9" i="6" l="1"/>
  <c r="I59" i="6" s="1"/>
  <c r="G59" i="6"/>
  <c r="H56" i="6"/>
  <c r="I56" i="6" s="1"/>
  <c r="H57" i="6"/>
  <c r="I57" i="6" s="1"/>
  <c r="H58" i="6"/>
  <c r="I58" i="6" s="1"/>
  <c r="H55" i="6"/>
  <c r="I55" i="6" s="1"/>
  <c r="G58" i="6"/>
  <c r="G57" i="6"/>
  <c r="G56" i="6"/>
  <c r="G55" i="6"/>
  <c r="G54" i="6"/>
  <c r="I54" i="6"/>
  <c r="G53" i="6"/>
  <c r="I53" i="6"/>
  <c r="I112" i="1"/>
  <c r="J112" i="1" a="1"/>
  <c r="J112" i="1" s="1"/>
  <c r="I113" i="1"/>
  <c r="J113" i="1" a="1"/>
  <c r="J113" i="1" s="1"/>
  <c r="J111" i="1" a="1"/>
  <c r="J111" i="1" s="1"/>
  <c r="J110" i="1" a="1"/>
  <c r="J110" i="1" s="1"/>
  <c r="I111" i="1"/>
  <c r="I103" i="1"/>
  <c r="J103" i="1" a="1"/>
  <c r="J103" i="1" s="1"/>
  <c r="I104" i="1"/>
  <c r="J104" i="1" a="1"/>
  <c r="J104" i="1" s="1"/>
  <c r="I105" i="1"/>
  <c r="J105" i="1" a="1"/>
  <c r="J105" i="1" s="1"/>
  <c r="I106" i="1"/>
  <c r="J106" i="1" s="1" a="1"/>
  <c r="J106" i="1" s="1"/>
  <c r="I107" i="1"/>
  <c r="J107" i="1" s="1" a="1"/>
  <c r="J107" i="1" s="1"/>
  <c r="I108" i="1"/>
  <c r="J108" i="1" s="1" a="1"/>
  <c r="J108" i="1" s="1"/>
  <c r="I109" i="1"/>
  <c r="J109" i="1" s="1" a="1"/>
  <c r="J109" i="1" s="1"/>
  <c r="I110" i="1"/>
  <c r="F110" i="1"/>
  <c r="C190" i="17"/>
  <c r="O112" i="9"/>
  <c r="B21" i="21"/>
  <c r="D3" i="17"/>
  <c r="D2" i="17"/>
  <c r="B4" i="21"/>
  <c r="H50" i="6"/>
  <c r="I50" i="6" s="1"/>
  <c r="H49" i="6"/>
  <c r="I49" i="6" s="1"/>
  <c r="G51" i="6"/>
  <c r="G52" i="6"/>
  <c r="I51" i="6"/>
  <c r="I52" i="6"/>
  <c r="G48" i="6"/>
  <c r="G49" i="6"/>
  <c r="G50" i="6"/>
  <c r="I48" i="6"/>
  <c r="I100" i="1"/>
  <c r="J100" i="1" s="1" a="1"/>
  <c r="J100" i="1" s="1"/>
  <c r="I94" i="1"/>
  <c r="J94" i="1" s="1" a="1"/>
  <c r="J94" i="1" s="1"/>
  <c r="I95" i="1"/>
  <c r="J95" i="1" s="1" a="1"/>
  <c r="J95" i="1" s="1"/>
  <c r="I99" i="1"/>
  <c r="J99" i="1" s="1" a="1"/>
  <c r="J99" i="1" s="1"/>
  <c r="I101" i="1"/>
  <c r="J101" i="1" s="1" a="1"/>
  <c r="J101" i="1" s="1"/>
  <c r="I102" i="1"/>
  <c r="J102" i="1" s="1" a="1"/>
  <c r="J102" i="1" s="1"/>
  <c r="G98" i="1"/>
  <c r="I98" i="1" s="1"/>
  <c r="J98" i="1" s="1" a="1"/>
  <c r="J98" i="1" s="1"/>
  <c r="G97" i="1"/>
  <c r="I97" i="1" s="1"/>
  <c r="J97" i="1" s="1" a="1"/>
  <c r="J97" i="1" s="1"/>
  <c r="G93" i="1"/>
  <c r="I93" i="1" s="1"/>
  <c r="G96" i="1"/>
  <c r="I96" i="1" s="1"/>
  <c r="J96" i="1" s="1" a="1"/>
  <c r="J96" i="1" s="1"/>
  <c r="F94" i="1"/>
  <c r="G11" i="7"/>
  <c r="H11" i="7" s="1"/>
  <c r="G10" i="7"/>
  <c r="H10" i="7" s="1"/>
  <c r="H47" i="6"/>
  <c r="I47" i="6" s="1"/>
  <c r="H46" i="6"/>
  <c r="I46" i="6" s="1"/>
  <c r="G46" i="6"/>
  <c r="G47" i="6"/>
  <c r="H42" i="6"/>
  <c r="I42" i="6" s="1"/>
  <c r="G45" i="6"/>
  <c r="I45" i="6"/>
  <c r="I77" i="1"/>
  <c r="J77" i="1" s="1" a="1"/>
  <c r="J77" i="1" s="1"/>
  <c r="I78" i="1"/>
  <c r="J78" i="1" s="1" a="1"/>
  <c r="J78" i="1" s="1"/>
  <c r="I79" i="1"/>
  <c r="J79" i="1" s="1" a="1"/>
  <c r="J79" i="1" s="1"/>
  <c r="I80" i="1"/>
  <c r="J80" i="1" s="1" a="1"/>
  <c r="J80" i="1" s="1"/>
  <c r="I81" i="1"/>
  <c r="J81" i="1" s="1" a="1"/>
  <c r="J81" i="1" s="1"/>
  <c r="I82" i="1"/>
  <c r="J82" i="1" s="1" a="1"/>
  <c r="J82" i="1"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44" i="6"/>
  <c r="I70" i="1"/>
  <c r="J70" i="1" s="1" a="1"/>
  <c r="J70" i="1" s="1"/>
  <c r="I71" i="1"/>
  <c r="J71" i="1" s="1" a="1"/>
  <c r="J71" i="1" s="1"/>
  <c r="I72" i="1"/>
  <c r="J72" i="1" s="1" a="1"/>
  <c r="J72" i="1" s="1"/>
  <c r="I73" i="1"/>
  <c r="J73" i="1" s="1" a="1"/>
  <c r="J73" i="1" s="1"/>
  <c r="I74" i="1"/>
  <c r="J74" i="1" s="1" a="1"/>
  <c r="J74" i="1" s="1"/>
  <c r="I75" i="1"/>
  <c r="J75" i="1" s="1" a="1"/>
  <c r="J75" i="1" s="1"/>
  <c r="I76" i="1"/>
  <c r="J76" i="1" s="1" a="1"/>
  <c r="J76" i="1" s="1"/>
  <c r="C106" i="17"/>
  <c r="C7" i="8" s="1"/>
  <c r="C103" i="17"/>
  <c r="H31" i="6"/>
  <c r="I31" i="6" s="1"/>
  <c r="G31" i="6"/>
  <c r="G22" i="6"/>
  <c r="I22" i="6"/>
  <c r="G26" i="6"/>
  <c r="I26" i="6"/>
  <c r="G28" i="6"/>
  <c r="G29" i="6"/>
  <c r="G30" i="6"/>
  <c r="I28" i="6"/>
  <c r="I29" i="6"/>
  <c r="I30" i="6"/>
  <c r="C74" i="17"/>
  <c r="H27" i="6"/>
  <c r="I27" i="6" s="1"/>
  <c r="G27" i="6"/>
  <c r="G25" i="6"/>
  <c r="H23" i="6"/>
  <c r="I23" i="6" s="1"/>
  <c r="H24" i="6"/>
  <c r="I24" i="6" s="1"/>
  <c r="H25" i="6"/>
  <c r="I25" i="6" s="1"/>
  <c r="H21" i="6"/>
  <c r="I21" i="6" s="1"/>
  <c r="G21" i="6"/>
  <c r="G23" i="6"/>
  <c r="G24" i="6"/>
  <c r="I65" i="1"/>
  <c r="J65" i="1" s="1" a="1"/>
  <c r="J65" i="1" s="1"/>
  <c r="I66" i="1"/>
  <c r="J66" i="1" s="1" a="1"/>
  <c r="J66" i="1" s="1"/>
  <c r="I67" i="1"/>
  <c r="J67" i="1" s="1" a="1"/>
  <c r="J67" i="1" s="1"/>
  <c r="I68" i="1"/>
  <c r="J68" i="1" s="1" a="1"/>
  <c r="J68" i="1" s="1"/>
  <c r="I69" i="1"/>
  <c r="J69" i="1" s="1" a="1"/>
  <c r="J69" i="1" s="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c r="J61" i="1" s="1" a="1"/>
  <c r="J61" i="1" s="1"/>
  <c r="I62" i="1"/>
  <c r="J62" i="1" s="1" a="1"/>
  <c r="J62" i="1" s="1"/>
  <c r="I60" i="1"/>
  <c r="J60" i="1" s="1" a="1"/>
  <c r="J60" i="1" s="1"/>
  <c r="H10" i="6"/>
  <c r="I10" i="6" s="1"/>
  <c r="C112" i="9"/>
  <c r="D112" i="9"/>
  <c r="E112" i="9"/>
  <c r="F112" i="9"/>
  <c r="G112" i="9"/>
  <c r="V33" i="9" a="1"/>
  <c r="V33" i="9" s="1"/>
  <c r="H112" i="9"/>
  <c r="W33" i="9" a="1"/>
  <c r="W33" i="9" s="1"/>
  <c r="I112" i="9"/>
  <c r="X33" i="9" a="1"/>
  <c r="X33" i="9" s="1"/>
  <c r="J112" i="9"/>
  <c r="Y33" i="9" a="1"/>
  <c r="Y33" i="9" s="1"/>
  <c r="K112" i="9"/>
  <c r="Z33" i="9" a="1"/>
  <c r="Z33" i="9" s="1"/>
  <c r="L112" i="9"/>
  <c r="AA33" i="9" a="1"/>
  <c r="AA33" i="9" s="1"/>
  <c r="M112" i="9"/>
  <c r="AB33" i="9" a="1"/>
  <c r="AB33" i="9" s="1"/>
  <c r="C113" i="9"/>
  <c r="D113" i="9"/>
  <c r="E113" i="9"/>
  <c r="F113" i="9"/>
  <c r="G113" i="9"/>
  <c r="V34" i="9" s="1" a="1"/>
  <c r="V34" i="9" s="1"/>
  <c r="H113" i="9"/>
  <c r="W34" i="9" s="1" a="1"/>
  <c r="W34" i="9" s="1"/>
  <c r="I113" i="9"/>
  <c r="X34" i="9" a="1"/>
  <c r="X34" i="9" s="1"/>
  <c r="J113" i="9"/>
  <c r="Y34" i="9" s="1" a="1"/>
  <c r="Y34" i="9" s="1"/>
  <c r="K113" i="9"/>
  <c r="Z34" i="9" s="1" a="1"/>
  <c r="Z34" i="9" s="1"/>
  <c r="L113" i="9"/>
  <c r="AA34" i="9" s="1" a="1"/>
  <c r="AA34" i="9" s="1"/>
  <c r="M113" i="9"/>
  <c r="N113" i="9" s="1"/>
  <c r="C114" i="9"/>
  <c r="D114" i="9"/>
  <c r="E114" i="9"/>
  <c r="T35" i="9" a="1"/>
  <c r="T35" i="9" s="1"/>
  <c r="F114" i="9"/>
  <c r="G114" i="9"/>
  <c r="H114" i="9"/>
  <c r="W35" i="9" s="1" a="1"/>
  <c r="W35" i="9" s="1"/>
  <c r="I114" i="9"/>
  <c r="X35" i="9" a="1"/>
  <c r="X35" i="9" s="1"/>
  <c r="J114" i="9"/>
  <c r="Y35" i="9" a="1"/>
  <c r="Y35" i="9" s="1"/>
  <c r="K114" i="9"/>
  <c r="Z35" i="9" s="1" a="1"/>
  <c r="Z35" i="9" s="1"/>
  <c r="L114" i="9"/>
  <c r="AA35" i="9" a="1"/>
  <c r="AA35" i="9" s="1"/>
  <c r="M114" i="9"/>
  <c r="AB35" i="9" a="1"/>
  <c r="AB35" i="9" s="1"/>
  <c r="C115" i="9"/>
  <c r="D115" i="9"/>
  <c r="E115" i="9"/>
  <c r="F115" i="9"/>
  <c r="G115" i="9"/>
  <c r="V36" i="9" s="1" a="1"/>
  <c r="V36" i="9" s="1"/>
  <c r="H115" i="9"/>
  <c r="W36" i="9" s="1" a="1"/>
  <c r="W36" i="9" s="1"/>
  <c r="I115" i="9"/>
  <c r="N115" i="9" s="1"/>
  <c r="J115" i="9"/>
  <c r="Y36" i="9" s="1" a="1"/>
  <c r="Y36" i="9" s="1"/>
  <c r="K115" i="9"/>
  <c r="Z36" i="9" s="1" a="1"/>
  <c r="Z36" i="9" s="1"/>
  <c r="L115" i="9"/>
  <c r="AA36" i="9" s="1" a="1"/>
  <c r="AA36" i="9" s="1"/>
  <c r="M115" i="9"/>
  <c r="AB36" i="9" s="1"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H9" i="15" s="1"/>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V35" i="9" a="1"/>
  <c r="V35" i="9" s="1"/>
  <c r="N112" i="9"/>
  <c r="P35" i="7"/>
  <c r="P36" i="7"/>
  <c r="P37" i="7"/>
  <c r="P38" i="7"/>
  <c r="P39" i="7"/>
  <c r="P40" i="7"/>
  <c r="P41" i="7"/>
  <c r="P42" i="7"/>
  <c r="P43" i="7"/>
  <c r="P44" i="7"/>
  <c r="P45" i="7"/>
  <c r="P46" i="7"/>
  <c r="P47" i="7"/>
  <c r="P56" i="7"/>
  <c r="C5" i="8"/>
  <c r="P48" i="7"/>
  <c r="P49" i="7"/>
  <c r="P50" i="7"/>
  <c r="P51" i="7"/>
  <c r="P52" i="7"/>
  <c r="P53" i="7"/>
  <c r="P54" i="7"/>
  <c r="P55" i="7"/>
  <c r="P34" i="7"/>
  <c r="K27" i="15"/>
  <c r="K26" i="15"/>
  <c r="K25" i="15"/>
  <c r="K30" i="15"/>
  <c r="B49" i="9" a="1"/>
  <c r="I66" i="9" s="1" a="1"/>
  <c r="I66" i="9" s="1"/>
  <c r="E12" i="7"/>
  <c r="F11" i="15"/>
  <c r="F12" i="15"/>
  <c r="F13" i="15"/>
  <c r="G10" i="15"/>
  <c r="H10" i="15" s="1"/>
  <c r="G11" i="15"/>
  <c r="H11" i="15" s="1"/>
  <c r="H14" i="15" s="1"/>
  <c r="G12" i="15"/>
  <c r="H12" i="15" s="1"/>
  <c r="G13" i="15"/>
  <c r="H13" i="15" s="1"/>
  <c r="O77" i="9"/>
  <c r="O78" i="9"/>
  <c r="C9" i="8"/>
  <c r="I36" i="12"/>
  <c r="J35" i="14"/>
  <c r="J36" i="14"/>
  <c r="D35" i="14"/>
  <c r="D36" i="14"/>
  <c r="D35" i="18"/>
  <c r="D36" i="18"/>
  <c r="D37" i="18"/>
  <c r="E35" i="18"/>
  <c r="E36" i="18"/>
  <c r="E37" i="18"/>
  <c r="J25" i="15"/>
  <c r="J27" i="15"/>
  <c r="E38" i="7"/>
  <c r="E37" i="7"/>
  <c r="G7" i="6"/>
  <c r="C39" i="12"/>
  <c r="C40" i="12"/>
  <c r="C41" i="12"/>
  <c r="C42" i="12"/>
  <c r="C38" i="12"/>
  <c r="C37" i="12"/>
  <c r="R33" i="9" a="1"/>
  <c r="R33" i="9" s="1"/>
  <c r="S33" i="9" a="1"/>
  <c r="S33" i="9" s="1"/>
  <c r="T33" i="9" a="1"/>
  <c r="T33" i="9" s="1"/>
  <c r="U33" i="9" a="1"/>
  <c r="U33" i="9" s="1"/>
  <c r="R34" i="9" a="1"/>
  <c r="R34" i="9" s="1"/>
  <c r="S34" i="9" a="1"/>
  <c r="S34" i="9" s="1"/>
  <c r="T34" i="9" a="1"/>
  <c r="T34" i="9" s="1"/>
  <c r="U34" i="9" a="1"/>
  <c r="U34" i="9" s="1"/>
  <c r="R35" i="9" a="1"/>
  <c r="R35" i="9" s="1"/>
  <c r="S35" i="9" a="1"/>
  <c r="S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16" i="7"/>
  <c r="E17" i="7"/>
  <c r="E18" i="7"/>
  <c r="E19" i="7"/>
  <c r="E20" i="7"/>
  <c r="E21" i="7"/>
  <c r="E22" i="7"/>
  <c r="E23" i="7"/>
  <c r="E24" i="7"/>
  <c r="E25" i="7"/>
  <c r="E26" i="7"/>
  <c r="E27" i="7"/>
  <c r="E28" i="7"/>
  <c r="E29" i="7"/>
  <c r="E30" i="7"/>
  <c r="E31" i="7"/>
  <c r="E32" i="7"/>
  <c r="E33" i="7"/>
  <c r="E34" i="7"/>
  <c r="E35" i="7"/>
  <c r="E36" i="7"/>
  <c r="E15" i="7"/>
  <c r="E41"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14"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c r="D57" i="2"/>
  <c r="E58" i="2"/>
  <c r="F58" i="2"/>
  <c r="G58" i="2"/>
  <c r="F27" i="2"/>
  <c r="H27" i="2" s="1"/>
  <c r="I27" i="2" s="1"/>
  <c r="D27" i="2" s="1"/>
  <c r="E27" i="2"/>
  <c r="E59" i="2"/>
  <c r="F59" i="2"/>
  <c r="H59" i="2"/>
  <c r="I59" i="2"/>
  <c r="D59" i="2"/>
  <c r="F28" i="2"/>
  <c r="H28" i="2" s="1"/>
  <c r="I28" i="2" s="1"/>
  <c r="D28" i="2" s="1"/>
  <c r="E28" i="2"/>
  <c r="E60" i="2"/>
  <c r="G60" i="2"/>
  <c r="F60" i="2"/>
  <c r="H60" i="2"/>
  <c r="I60" i="2"/>
  <c r="D60" i="2"/>
  <c r="E61" i="2"/>
  <c r="F61" i="2"/>
  <c r="E62" i="2"/>
  <c r="F62" i="2"/>
  <c r="H62" i="2"/>
  <c r="I62" i="2"/>
  <c r="D62" i="2"/>
  <c r="E63" i="2"/>
  <c r="G63" i="2"/>
  <c r="F63" i="2"/>
  <c r="H63" i="2"/>
  <c r="I63" i="2"/>
  <c r="D63" i="2"/>
  <c r="E64" i="2"/>
  <c r="F64" i="2"/>
  <c r="G64" i="2"/>
  <c r="E65" i="2"/>
  <c r="F65" i="2"/>
  <c r="E66" i="2"/>
  <c r="F66" i="2"/>
  <c r="H66" i="2"/>
  <c r="I66" i="2"/>
  <c r="D66" i="2"/>
  <c r="E67" i="2"/>
  <c r="F67" i="2"/>
  <c r="H67" i="2"/>
  <c r="I67" i="2"/>
  <c r="D67" i="2"/>
  <c r="E68" i="2"/>
  <c r="G68" i="2"/>
  <c r="F68" i="2"/>
  <c r="E69" i="2"/>
  <c r="F69" i="2"/>
  <c r="H69" i="2"/>
  <c r="I69" i="2"/>
  <c r="D69" i="2"/>
  <c r="E70" i="2"/>
  <c r="F70" i="2"/>
  <c r="H70" i="2"/>
  <c r="I70" i="2"/>
  <c r="D70" i="2"/>
  <c r="E71" i="2"/>
  <c r="F71" i="2"/>
  <c r="H71" i="2"/>
  <c r="I71" i="2"/>
  <c r="D71" i="2"/>
  <c r="E72" i="2"/>
  <c r="F72" i="2"/>
  <c r="H72" i="2"/>
  <c r="I72" i="2"/>
  <c r="D72" i="2"/>
  <c r="E73" i="2"/>
  <c r="F73" i="2"/>
  <c r="H73" i="2"/>
  <c r="I73" i="2"/>
  <c r="D73" i="2"/>
  <c r="E45" i="2"/>
  <c r="F45" i="2"/>
  <c r="E46" i="2"/>
  <c r="F46" i="2"/>
  <c r="H46" i="2"/>
  <c r="I46" i="2"/>
  <c r="D46" i="2"/>
  <c r="E47" i="2"/>
  <c r="F47" i="2"/>
  <c r="H47" i="2"/>
  <c r="I47" i="2"/>
  <c r="D47" i="2"/>
  <c r="E48" i="2"/>
  <c r="F48" i="2"/>
  <c r="F20" i="2"/>
  <c r="E20" i="2"/>
  <c r="E49" i="2"/>
  <c r="F49" i="2"/>
  <c r="F21" i="2"/>
  <c r="H21" i="2" s="1"/>
  <c r="I21" i="2" s="1"/>
  <c r="D21" i="2" s="1"/>
  <c r="E21" i="2"/>
  <c r="E50" i="2"/>
  <c r="G50" i="2"/>
  <c r="F50" i="2"/>
  <c r="H50" i="2"/>
  <c r="I50" i="2"/>
  <c r="D50" i="2"/>
  <c r="E51" i="2"/>
  <c r="F51" i="2"/>
  <c r="H51" i="2"/>
  <c r="I51" i="2"/>
  <c r="D51" i="2"/>
  <c r="E52" i="2"/>
  <c r="F52" i="2"/>
  <c r="H52" i="2"/>
  <c r="I52" i="2"/>
  <c r="D52" i="2"/>
  <c r="E53" i="2"/>
  <c r="F53" i="2"/>
  <c r="H53" i="2"/>
  <c r="I53" i="2"/>
  <c r="D53" i="2"/>
  <c r="E54" i="2"/>
  <c r="F54" i="2"/>
  <c r="H54" i="2"/>
  <c r="I54" i="2"/>
  <c r="D54" i="2"/>
  <c r="F24" i="2"/>
  <c r="H24" i="2" s="1"/>
  <c r="I24" i="2" s="1"/>
  <c r="D24" i="2" s="1"/>
  <c r="E24" i="2"/>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G34" i="2" s="1"/>
  <c r="H113" i="1" s="1"/>
  <c r="F18" i="2"/>
  <c r="E18" i="2"/>
  <c r="E35" i="2"/>
  <c r="F35" i="2"/>
  <c r="H35" i="2"/>
  <c r="I35" i="2" s="1"/>
  <c r="D35" i="2" s="1"/>
  <c r="E36" i="2"/>
  <c r="F36" i="2"/>
  <c r="H36" i="2"/>
  <c r="I36" i="2"/>
  <c r="D36" i="2"/>
  <c r="F22" i="2"/>
  <c r="H22" i="2" s="1"/>
  <c r="I22" i="2" s="1"/>
  <c r="D22" i="2" s="1"/>
  <c r="E22" i="2"/>
  <c r="F7" i="2"/>
  <c r="H7" i="2" s="1"/>
  <c r="I7" i="2" s="1"/>
  <c r="D7" i="2" s="1"/>
  <c r="E7" i="2"/>
  <c r="E37" i="2"/>
  <c r="F37" i="2"/>
  <c r="H37" i="2"/>
  <c r="I37" i="2"/>
  <c r="D37" i="2"/>
  <c r="G37" i="2"/>
  <c r="E39" i="2"/>
  <c r="G39" i="2"/>
  <c r="F39" i="2"/>
  <c r="H39" i="2"/>
  <c r="I39" i="2"/>
  <c r="D39" i="2"/>
  <c r="E40" i="2"/>
  <c r="F40" i="2"/>
  <c r="H40" i="2"/>
  <c r="I40" i="2"/>
  <c r="D40" i="2"/>
  <c r="E41" i="2"/>
  <c r="F41" i="2"/>
  <c r="H41" i="2"/>
  <c r="I41" i="2"/>
  <c r="D41" i="2"/>
  <c r="E42" i="2"/>
  <c r="F42" i="2"/>
  <c r="G42" i="2"/>
  <c r="E43" i="2"/>
  <c r="F43" i="2"/>
  <c r="H43" i="2"/>
  <c r="I43" i="2"/>
  <c r="D43" i="2"/>
  <c r="E44" i="2"/>
  <c r="F44" i="2"/>
  <c r="G44" i="2"/>
  <c r="F19" i="2"/>
  <c r="E19" i="2"/>
  <c r="F38" i="2"/>
  <c r="H38" i="2"/>
  <c r="I38" i="2"/>
  <c r="D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E15" i="2"/>
  <c r="F16" i="2"/>
  <c r="E16" i="2"/>
  <c r="F26" i="2"/>
  <c r="H26" i="2" s="1"/>
  <c r="I26" i="2" s="1"/>
  <c r="D26" i="2" s="1"/>
  <c r="E26" i="2"/>
  <c r="F29" i="2"/>
  <c r="H29" i="2" s="1"/>
  <c r="I29" i="2" s="1"/>
  <c r="D29" i="2" s="1"/>
  <c r="E29" i="2"/>
  <c r="F30" i="2"/>
  <c r="F31" i="2"/>
  <c r="H31" i="2"/>
  <c r="I31" i="2" s="1"/>
  <c r="D31" i="2" s="1"/>
  <c r="E31" i="2"/>
  <c r="H43" i="1"/>
  <c r="F32" i="2"/>
  <c r="H32" i="2" s="1"/>
  <c r="I32" i="2" s="1"/>
  <c r="D32" i="2" s="1"/>
  <c r="F14" i="2"/>
  <c r="H14" i="2" s="1"/>
  <c r="I14" i="2" s="1"/>
  <c r="D14" i="2" s="1"/>
  <c r="E14" i="2"/>
  <c r="E30" i="2"/>
  <c r="E32" i="2"/>
  <c r="N4" i="17"/>
  <c r="F12" i="2"/>
  <c r="E12" i="2"/>
  <c r="F11" i="2"/>
  <c r="H11" i="2" s="1"/>
  <c r="I11" i="2" s="1"/>
  <c r="E11" i="2"/>
  <c r="E17" i="2"/>
  <c r="F17" i="2"/>
  <c r="F9" i="2"/>
  <c r="E9" i="2"/>
  <c r="E8" i="2"/>
  <c r="F8" i="2"/>
  <c r="H8" i="2" s="1"/>
  <c r="I8" i="2" s="1"/>
  <c r="D8" i="2" s="1"/>
  <c r="E10" i="2"/>
  <c r="E4" i="2"/>
  <c r="C8" i="8"/>
  <c r="F10" i="2"/>
  <c r="H10" i="2" s="1"/>
  <c r="I10" i="2" s="1"/>
  <c r="D10" i="2" s="1"/>
  <c r="F4" i="2"/>
  <c r="H4" i="2" s="1"/>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J30" i="15"/>
  <c r="H49" i="2"/>
  <c r="I49" i="2"/>
  <c r="D49" i="2"/>
  <c r="G55" i="2"/>
  <c r="G49" i="2"/>
  <c r="G69" i="2"/>
  <c r="G51" i="2"/>
  <c r="G57" i="2"/>
  <c r="G66" i="2"/>
  <c r="G72" i="2"/>
  <c r="G45" i="2"/>
  <c r="G38" i="2"/>
  <c r="G71" i="2"/>
  <c r="H45" i="2"/>
  <c r="I45" i="2"/>
  <c r="D45" i="2"/>
  <c r="H68" i="2"/>
  <c r="I68" i="2"/>
  <c r="D68" i="2"/>
  <c r="H77" i="2"/>
  <c r="I77" i="2"/>
  <c r="D77" i="2"/>
  <c r="G76" i="2"/>
  <c r="F14" i="15"/>
  <c r="G56" i="2"/>
  <c r="H64" i="2"/>
  <c r="I64" i="2"/>
  <c r="D64" i="2"/>
  <c r="G82" i="2"/>
  <c r="G77" i="2"/>
  <c r="G53" i="2"/>
  <c r="H89" i="2"/>
  <c r="I89" i="2"/>
  <c r="D89" i="2"/>
  <c r="H81" i="2"/>
  <c r="I81" i="2"/>
  <c r="D81" i="2"/>
  <c r="G84" i="2"/>
  <c r="H58" i="2"/>
  <c r="I58" i="2"/>
  <c r="D58" i="2"/>
  <c r="G65" i="2"/>
  <c r="H56" i="2"/>
  <c r="I56" i="2"/>
  <c r="D56" i="2"/>
  <c r="C6" i="8"/>
  <c r="G73" i="2"/>
  <c r="G67" i="2"/>
  <c r="G40" i="2"/>
  <c r="G61" i="2"/>
  <c r="H75" i="2"/>
  <c r="I75" i="2"/>
  <c r="D75" i="2"/>
  <c r="G86" i="2"/>
  <c r="G79" i="2"/>
  <c r="H44" i="2"/>
  <c r="I44" i="2"/>
  <c r="D44" i="2"/>
  <c r="G80" i="2"/>
  <c r="H90" i="2"/>
  <c r="I90" i="2"/>
  <c r="D90" i="2"/>
  <c r="G85" i="2"/>
  <c r="G59" i="2"/>
  <c r="G74" i="2"/>
  <c r="G92" i="2"/>
  <c r="G88" i="2"/>
  <c r="G83" i="2"/>
  <c r="G36" i="2"/>
  <c r="G47" i="2"/>
  <c r="H65" i="2"/>
  <c r="I65" i="2"/>
  <c r="D65" i="2"/>
  <c r="H88" i="2"/>
  <c r="I88" i="2"/>
  <c r="D88" i="2"/>
  <c r="G48" i="2"/>
  <c r="G62" i="2"/>
  <c r="G52" i="2"/>
  <c r="H78" i="2"/>
  <c r="I78" i="2"/>
  <c r="D78" i="2"/>
  <c r="H86" i="2"/>
  <c r="I86" i="2"/>
  <c r="D86" i="2"/>
  <c r="H48" i="2"/>
  <c r="I48" i="2"/>
  <c r="D48" i="2"/>
  <c r="G54" i="2"/>
  <c r="H42" i="2"/>
  <c r="I42" i="2"/>
  <c r="D42" i="2"/>
  <c r="G43" i="2"/>
  <c r="G41" i="2"/>
  <c r="G46" i="2"/>
  <c r="H61" i="2"/>
  <c r="I61" i="2"/>
  <c r="D61" i="2"/>
  <c r="G70"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L76" i="9" a="1"/>
  <c r="L76" i="9" s="1"/>
  <c r="G76" i="9" a="1"/>
  <c r="G76" i="9" s="1"/>
  <c r="C111" i="9"/>
  <c r="R32" i="9" s="1" a="1"/>
  <c r="R32" i="9" s="1"/>
  <c r="H111" i="9"/>
  <c r="W32" i="9" a="1"/>
  <c r="W32" i="9" s="1"/>
  <c r="D111" i="9"/>
  <c r="S32" i="9" a="1"/>
  <c r="S32" i="9" s="1"/>
  <c r="I111" i="9"/>
  <c r="X32" i="9" s="1" a="1"/>
  <c r="X32" i="9" s="1"/>
  <c r="E111" i="9"/>
  <c r="T32" i="9" a="1"/>
  <c r="T32" i="9" s="1"/>
  <c r="J111" i="9"/>
  <c r="Y32" i="9" a="1"/>
  <c r="Y32" i="9" s="1"/>
  <c r="K76" i="9" a="1"/>
  <c r="K76" i="9" s="1"/>
  <c r="H76" i="9" a="1"/>
  <c r="H76" i="9" s="1"/>
  <c r="G111" i="9"/>
  <c r="M76" i="9" a="1"/>
  <c r="M76" i="9" s="1"/>
  <c r="M111" i="9"/>
  <c r="AB32" i="9" s="1" a="1"/>
  <c r="AB32" i="9" s="1"/>
  <c r="K111" i="9"/>
  <c r="Z32" i="9" s="1" a="1"/>
  <c r="Z32" i="9" s="1"/>
  <c r="F111" i="9"/>
  <c r="U32" i="9" s="1" a="1"/>
  <c r="U32" i="9" s="1"/>
  <c r="J76" i="9" a="1"/>
  <c r="J76" i="9" s="1"/>
  <c r="L111" i="9"/>
  <c r="AA32" i="9" s="1" a="1"/>
  <c r="AA32" i="9" s="1"/>
  <c r="O76" i="9"/>
  <c r="I76" i="9" a="1"/>
  <c r="I76" i="9" s="1"/>
  <c r="V32" i="9" a="1"/>
  <c r="V32" i="9" s="1"/>
  <c r="B10" i="21"/>
  <c r="B14" i="21"/>
  <c r="C2" i="2"/>
  <c r="X36" i="9" l="1" a="1"/>
  <c r="X36" i="9" s="1"/>
  <c r="AB34" i="9" a="1"/>
  <c r="AB34" i="9" s="1"/>
  <c r="N114" i="9"/>
  <c r="N111" i="9"/>
  <c r="G60" i="6"/>
  <c r="K6" i="6"/>
  <c r="C4" i="8" s="1"/>
  <c r="G35" i="2"/>
  <c r="G31" i="2"/>
  <c r="H110" i="1" s="1"/>
  <c r="G13" i="2"/>
  <c r="H69" i="1" s="1"/>
  <c r="H34" i="2"/>
  <c r="I34" i="2" s="1"/>
  <c r="D34" i="2" s="1"/>
  <c r="G33" i="2"/>
  <c r="H112" i="1" s="1"/>
  <c r="G32" i="2"/>
  <c r="H111" i="1" s="1"/>
  <c r="G27" i="2"/>
  <c r="F88" i="9"/>
  <c r="U9" i="9" s="1" a="1"/>
  <c r="U9" i="9" s="1"/>
  <c r="M75" i="9" a="1"/>
  <c r="M75" i="9" s="1"/>
  <c r="A10" i="20"/>
  <c r="A17" i="20"/>
  <c r="C94" i="9"/>
  <c r="J93" i="1" a="1"/>
  <c r="J93" i="1" s="1"/>
  <c r="I114" i="1" a="1"/>
  <c r="I114" i="1" s="1"/>
  <c r="E5" i="8" s="1"/>
  <c r="A25" i="20"/>
  <c r="M51" i="9" a="1"/>
  <c r="M51" i="9" s="1"/>
  <c r="J63" i="9" a="1"/>
  <c r="J63" i="9" s="1"/>
  <c r="G102" i="9"/>
  <c r="V23" i="9" s="1" a="1"/>
  <c r="V23" i="9" s="1"/>
  <c r="A9" i="20"/>
  <c r="O63" i="9"/>
  <c r="I110" i="9"/>
  <c r="A19" i="20"/>
  <c r="L66" i="9" a="1"/>
  <c r="L66" i="9" s="1"/>
  <c r="F106" i="9"/>
  <c r="H90" i="9"/>
  <c r="W11" i="9" s="1" a="1"/>
  <c r="W11" i="9" s="1"/>
  <c r="O66" i="9"/>
  <c r="H94" i="9"/>
  <c r="W15" i="9" s="1" a="1"/>
  <c r="W15" i="9" s="1"/>
  <c r="H103" i="9"/>
  <c r="W24" i="9" s="1" a="1"/>
  <c r="W24" i="9" s="1"/>
  <c r="M68" i="9" a="1"/>
  <c r="M68" i="9" s="1"/>
  <c r="K106" i="9"/>
  <c r="Z27" i="9" s="1" a="1"/>
  <c r="Z27" i="9" s="1"/>
  <c r="H53" i="9" a="1"/>
  <c r="H53" i="9" s="1"/>
  <c r="I58" i="9" a="1"/>
  <c r="I58" i="9" s="1"/>
  <c r="J73" i="9" a="1"/>
  <c r="J73" i="9" s="1"/>
  <c r="O110" i="9"/>
  <c r="H56" i="9" a="1"/>
  <c r="H56" i="9" s="1"/>
  <c r="L99" i="9"/>
  <c r="AA20" i="9" s="1" a="1"/>
  <c r="AA20" i="9" s="1"/>
  <c r="B16" i="9"/>
  <c r="K107" i="9"/>
  <c r="Z28" i="9" s="1" a="1"/>
  <c r="Z28" i="9" s="1"/>
  <c r="K65" i="9" a="1"/>
  <c r="K65" i="9" s="1"/>
  <c r="L107" i="9"/>
  <c r="AA28" i="9" s="1" a="1"/>
  <c r="AA28" i="9" s="1"/>
  <c r="H93" i="9"/>
  <c r="W14" i="9" s="1" a="1"/>
  <c r="W14" i="9" s="1"/>
  <c r="K70" i="9" a="1"/>
  <c r="K70" i="9" s="1"/>
  <c r="O70" i="9"/>
  <c r="L97" i="9"/>
  <c r="AA18" i="9" s="1" a="1"/>
  <c r="AA18" i="9" s="1"/>
  <c r="C101" i="9"/>
  <c r="R22" i="9" s="1" a="1"/>
  <c r="R22" i="9" s="1"/>
  <c r="H55" i="9" a="1"/>
  <c r="H55" i="9" s="1"/>
  <c r="E98" i="9"/>
  <c r="T19" i="9" s="1" a="1"/>
  <c r="T19" i="9" s="1"/>
  <c r="H89" i="9"/>
  <c r="L95" i="9"/>
  <c r="AA16" i="9" s="1" a="1"/>
  <c r="AA16" i="9" s="1"/>
  <c r="O61" i="9"/>
  <c r="E108" i="9"/>
  <c r="T29" i="9" s="1" a="1"/>
  <c r="T29" i="9" s="1"/>
  <c r="C102" i="9"/>
  <c r="R23" i="9" s="1" a="1"/>
  <c r="R23" i="9" s="1"/>
  <c r="C98" i="9"/>
  <c r="R19" i="9" s="1" a="1"/>
  <c r="R19" i="9" s="1"/>
  <c r="K103" i="9"/>
  <c r="Z24" i="9" s="1" a="1"/>
  <c r="Z24" i="9" s="1"/>
  <c r="B14" i="9"/>
  <c r="E14" i="9" s="1"/>
  <c r="M63" i="9" a="1"/>
  <c r="M63" i="9" s="1"/>
  <c r="M70" i="9" a="1"/>
  <c r="M70" i="9" s="1"/>
  <c r="L60" i="9" a="1"/>
  <c r="L60" i="9" s="1"/>
  <c r="L100" i="9"/>
  <c r="AA21" i="9" s="1" a="1"/>
  <c r="AA21" i="9" s="1"/>
  <c r="K94" i="9"/>
  <c r="Z15" i="9" s="1" a="1"/>
  <c r="Z15" i="9" s="1"/>
  <c r="B12" i="9"/>
  <c r="H100" i="9"/>
  <c r="W21" i="9" s="1" a="1"/>
  <c r="W21" i="9" s="1"/>
  <c r="I104" i="9"/>
  <c r="X25" i="9" s="1" a="1"/>
  <c r="X25" i="9" s="1"/>
  <c r="O75" i="9"/>
  <c r="F86" i="9"/>
  <c r="U7" i="9" s="1" a="1"/>
  <c r="U7" i="9" s="1"/>
  <c r="H91" i="9"/>
  <c r="W12" i="9" s="1" a="1"/>
  <c r="W12" i="9" s="1"/>
  <c r="F107" i="9"/>
  <c r="U28" i="9" s="1" a="1"/>
  <c r="U28" i="9" s="1"/>
  <c r="M89" i="9"/>
  <c r="AB10" i="9" s="1" a="1"/>
  <c r="AB10" i="9" s="1"/>
  <c r="K89" i="9"/>
  <c r="Z10" i="9" s="1" a="1"/>
  <c r="Z10" i="9" s="1"/>
  <c r="F102" i="9"/>
  <c r="U23" i="9" s="1" a="1"/>
  <c r="U23" i="9" s="1"/>
  <c r="K63" i="9" a="1"/>
  <c r="K63" i="9" s="1"/>
  <c r="L102" i="9"/>
  <c r="AA23" i="9" s="1" a="1"/>
  <c r="AA23" i="9" s="1"/>
  <c r="J102" i="9"/>
  <c r="Y23" i="9" s="1" a="1"/>
  <c r="Y23" i="9" s="1"/>
  <c r="J59" i="9" a="1"/>
  <c r="J59" i="9" s="1"/>
  <c r="G61" i="9" a="1"/>
  <c r="G61" i="9" s="1"/>
  <c r="I109" i="9"/>
  <c r="X30" i="9" s="1" a="1"/>
  <c r="X30" i="9" s="1"/>
  <c r="G96" i="9"/>
  <c r="V17" i="9" s="1" a="1"/>
  <c r="V17" i="9" s="1"/>
  <c r="D89" i="9"/>
  <c r="S10" i="9" s="1" a="1"/>
  <c r="S10" i="9" s="1"/>
  <c r="I52" i="9" a="1"/>
  <c r="I52" i="9" s="1"/>
  <c r="J95" i="9"/>
  <c r="Y16" i="9" s="1" a="1"/>
  <c r="Y16" i="9" s="1"/>
  <c r="D108" i="9"/>
  <c r="S29" i="9" s="1" a="1"/>
  <c r="S29" i="9" s="1"/>
  <c r="K74" i="9" a="1"/>
  <c r="K74" i="9" s="1"/>
  <c r="M50" i="9" a="1"/>
  <c r="M50" i="9" s="1"/>
  <c r="M104" i="9"/>
  <c r="AB25" i="9" s="1" a="1"/>
  <c r="AB25" i="9" s="1"/>
  <c r="O74" i="9"/>
  <c r="G64" i="9" a="1"/>
  <c r="G64" i="9" s="1"/>
  <c r="C104" i="9"/>
  <c r="R25" i="9" s="1" a="1"/>
  <c r="R25" i="9" s="1"/>
  <c r="J72" i="9" a="1"/>
  <c r="J72" i="9" s="1"/>
  <c r="J62" i="9" a="1"/>
  <c r="J62" i="9" s="1"/>
  <c r="H57" i="9" a="1"/>
  <c r="H57" i="9" s="1"/>
  <c r="M60" i="9" a="1"/>
  <c r="M60" i="9" s="1"/>
  <c r="H68" i="9" a="1"/>
  <c r="H68" i="9" s="1"/>
  <c r="L101" i="9"/>
  <c r="D98" i="9"/>
  <c r="S19" i="9" s="1" a="1"/>
  <c r="S19" i="9" s="1"/>
  <c r="F95" i="9"/>
  <c r="L51" i="9" a="1"/>
  <c r="L51" i="9" s="1"/>
  <c r="H63" i="9" a="1"/>
  <c r="H63" i="9" s="1"/>
  <c r="I73" i="9" a="1"/>
  <c r="I73" i="9" s="1"/>
  <c r="C97" i="9"/>
  <c r="R18" i="9" s="1" a="1"/>
  <c r="R18" i="9" s="1"/>
  <c r="I62" i="9" a="1"/>
  <c r="I62" i="9" s="1"/>
  <c r="L72" i="9" a="1"/>
  <c r="L72" i="9" s="1"/>
  <c r="H75" i="9" a="1"/>
  <c r="H75" i="9" s="1"/>
  <c r="I54" i="9" a="1"/>
  <c r="I54" i="9" s="1"/>
  <c r="G74" i="9" a="1"/>
  <c r="G74" i="9" s="1"/>
  <c r="I87" i="9"/>
  <c r="X8" i="9" s="1" a="1"/>
  <c r="X8" i="9" s="1"/>
  <c r="L75" i="9" a="1"/>
  <c r="L75" i="9" s="1"/>
  <c r="C85" i="9"/>
  <c r="R6" i="9" s="1" a="1"/>
  <c r="R6" i="9" s="1"/>
  <c r="L64" i="9" a="1"/>
  <c r="L64" i="9" s="1"/>
  <c r="W10" i="9" a="1"/>
  <c r="W10" i="9" s="1"/>
  <c r="K56" i="9" a="1"/>
  <c r="K56" i="9" s="1"/>
  <c r="B13" i="9"/>
  <c r="G103" i="9"/>
  <c r="G89" i="9"/>
  <c r="V10" i="9" s="1" a="1"/>
  <c r="V10" i="9" s="1"/>
  <c r="E85" i="9"/>
  <c r="T6" i="9" s="1" a="1"/>
  <c r="T6" i="9" s="1"/>
  <c r="B11" i="9"/>
  <c r="F94" i="9"/>
  <c r="U15" i="9" s="1" a="1"/>
  <c r="U15" i="9" s="1"/>
  <c r="D101" i="9"/>
  <c r="S22" i="9" s="1" a="1"/>
  <c r="S22" i="9" s="1"/>
  <c r="I94" i="9"/>
  <c r="X15" i="9" s="1" a="1"/>
  <c r="X15" i="9" s="1"/>
  <c r="C92" i="9"/>
  <c r="R13" i="9" s="1" a="1"/>
  <c r="R13" i="9" s="1"/>
  <c r="L53" i="9" a="1"/>
  <c r="L53" i="9" s="1"/>
  <c r="I92" i="9"/>
  <c r="G104" i="9"/>
  <c r="V25" i="9" s="1" a="1"/>
  <c r="V25" i="9" s="1"/>
  <c r="L90" i="9"/>
  <c r="AA11" i="9" s="1" a="1"/>
  <c r="AA11" i="9" s="1"/>
  <c r="M67" i="9" a="1"/>
  <c r="M67" i="9" s="1"/>
  <c r="I65" i="9" a="1"/>
  <c r="I65" i="9" s="1"/>
  <c r="K68" i="9" a="1"/>
  <c r="K68" i="9" s="1"/>
  <c r="H97" i="9"/>
  <c r="W18" i="9" s="1" a="1"/>
  <c r="W18" i="9" s="1"/>
  <c r="J96" i="9"/>
  <c r="Y17" i="9" s="1" a="1"/>
  <c r="Y17" i="9" s="1"/>
  <c r="I53" i="9" a="1"/>
  <c r="I53" i="9" s="1"/>
  <c r="J106" i="9"/>
  <c r="Y27" i="9" s="1" a="1"/>
  <c r="Y27" i="9" s="1"/>
  <c r="M53" i="9" a="1"/>
  <c r="M53" i="9" s="1"/>
  <c r="F90" i="9"/>
  <c r="U11" i="9" s="1" a="1"/>
  <c r="U11" i="9" s="1"/>
  <c r="K61" i="9" a="1"/>
  <c r="K61" i="9" s="1"/>
  <c r="J56" i="9" a="1"/>
  <c r="J56" i="9" s="1"/>
  <c r="I102" i="9"/>
  <c r="X23" i="9" s="1" a="1"/>
  <c r="X23" i="9" s="1"/>
  <c r="K57" i="9" a="1"/>
  <c r="K57" i="9" s="1"/>
  <c r="I86" i="9"/>
  <c r="J99" i="9"/>
  <c r="Y20" i="9" s="1" a="1"/>
  <c r="Y20" i="9" s="1"/>
  <c r="I55" i="9" a="1"/>
  <c r="I55" i="9" s="1"/>
  <c r="M105" i="9"/>
  <c r="AB26" i="9" s="1" a="1"/>
  <c r="AB26" i="9" s="1"/>
  <c r="C99" i="9"/>
  <c r="R20" i="9" s="1" a="1"/>
  <c r="R20" i="9" s="1"/>
  <c r="D90" i="9"/>
  <c r="S11" i="9" s="1" a="1"/>
  <c r="S11" i="9" s="1"/>
  <c r="H102" i="9"/>
  <c r="W23" i="9" s="1" a="1"/>
  <c r="W23" i="9" s="1"/>
  <c r="O62" i="9"/>
  <c r="C89" i="9"/>
  <c r="R10" i="9" s="1" a="1"/>
  <c r="R10" i="9" s="1"/>
  <c r="G54" i="9" a="1"/>
  <c r="G54" i="9" s="1"/>
  <c r="E87" i="9"/>
  <c r="T8" i="9" s="1" a="1"/>
  <c r="T8" i="9" s="1"/>
  <c r="G66" i="9" a="1"/>
  <c r="G66" i="9" s="1"/>
  <c r="K62" i="9" a="1"/>
  <c r="K62" i="9" s="1"/>
  <c r="K87" i="9"/>
  <c r="Z8" i="9" s="1" a="1"/>
  <c r="Z8" i="9" s="1"/>
  <c r="L87" i="9"/>
  <c r="AA8" i="9" s="1" a="1"/>
  <c r="AA8" i="9" s="1"/>
  <c r="B6" i="9"/>
  <c r="E103" i="9"/>
  <c r="T24" i="9" s="1" a="1"/>
  <c r="T24" i="9" s="1"/>
  <c r="O56" i="9"/>
  <c r="L88" i="9"/>
  <c r="AA9" i="9" s="1" a="1"/>
  <c r="AA9" i="9" s="1"/>
  <c r="J70" i="9" a="1"/>
  <c r="J70" i="9" s="1"/>
  <c r="B8" i="9"/>
  <c r="C8" i="9" s="1"/>
  <c r="M106" i="9"/>
  <c r="AB27" i="9" s="1" a="1"/>
  <c r="AB27" i="9" s="1"/>
  <c r="D91" i="9"/>
  <c r="S12" i="9" s="1" a="1"/>
  <c r="S12" i="9" s="1"/>
  <c r="E109" i="9"/>
  <c r="T30" i="9" s="1" a="1"/>
  <c r="T30" i="9" s="1"/>
  <c r="E106" i="9"/>
  <c r="T27" i="9" s="1" a="1"/>
  <c r="T27" i="9" s="1"/>
  <c r="J69" i="9" a="1"/>
  <c r="J69" i="9" s="1"/>
  <c r="I70" i="9" a="1"/>
  <c r="I70" i="9" s="1"/>
  <c r="G99" i="9"/>
  <c r="V20" i="9" s="1" a="1"/>
  <c r="V20" i="9" s="1"/>
  <c r="C108" i="9"/>
  <c r="R29" i="9" s="1" a="1"/>
  <c r="R29" i="9" s="1"/>
  <c r="I89" i="9"/>
  <c r="X10" i="9" s="1" a="1"/>
  <c r="X10" i="9" s="1"/>
  <c r="M71" i="9" a="1"/>
  <c r="M71" i="9" s="1"/>
  <c r="O92" i="9"/>
  <c r="AD13" i="9" s="1"/>
  <c r="B10" i="20" s="1"/>
  <c r="G67" i="9" a="1"/>
  <c r="G67" i="9" s="1"/>
  <c r="K73" i="9" a="1"/>
  <c r="K73" i="9" s="1"/>
  <c r="E100" i="9"/>
  <c r="T21" i="9" s="1" a="1"/>
  <c r="T21" i="9" s="1"/>
  <c r="K86" i="9"/>
  <c r="Z7" i="9" s="1" a="1"/>
  <c r="Z7" i="9" s="1"/>
  <c r="C96" i="9"/>
  <c r="R17" i="9" s="1" a="1"/>
  <c r="R17" i="9" s="1"/>
  <c r="I108" i="9"/>
  <c r="H88" i="9"/>
  <c r="W9" i="9" s="1" a="1"/>
  <c r="W9" i="9" s="1"/>
  <c r="K100" i="9"/>
  <c r="Z21" i="9" s="1" a="1"/>
  <c r="Z21" i="9" s="1"/>
  <c r="F99" i="9"/>
  <c r="U20" i="9" s="1" a="1"/>
  <c r="U20" i="9" s="1"/>
  <c r="G50" i="9" a="1"/>
  <c r="G50" i="9" s="1"/>
  <c r="I60" i="9" a="1"/>
  <c r="I60" i="9" s="1"/>
  <c r="I75" i="9" a="1"/>
  <c r="I75" i="9" s="1"/>
  <c r="J92" i="9"/>
  <c r="Y13" i="9" s="1" a="1"/>
  <c r="Y13" i="9" s="1"/>
  <c r="O97" i="9"/>
  <c r="AD18" i="9" s="1"/>
  <c r="B15" i="20" s="1"/>
  <c r="L103" i="9"/>
  <c r="AA24" i="9" s="1" a="1"/>
  <c r="AA24" i="9" s="1"/>
  <c r="G75" i="9" a="1"/>
  <c r="G75" i="9" s="1"/>
  <c r="M101" i="9"/>
  <c r="AB22" i="9" s="1" a="1"/>
  <c r="AB22" i="9" s="1"/>
  <c r="B3" i="9"/>
  <c r="C3" i="9" s="1"/>
  <c r="M66" i="9" a="1"/>
  <c r="M66" i="9" s="1"/>
  <c r="L85" i="9"/>
  <c r="AA6" i="9" s="1" a="1"/>
  <c r="AA6" i="9" s="1"/>
  <c r="M109" i="9"/>
  <c r="AB30" i="9" s="1" a="1"/>
  <c r="AB30" i="9" s="1"/>
  <c r="I107" i="9"/>
  <c r="X28" i="9" s="1" a="1"/>
  <c r="X28" i="9" s="1"/>
  <c r="J94" i="9"/>
  <c r="Y15" i="9" s="1" a="1"/>
  <c r="Y15" i="9" s="1"/>
  <c r="J90" i="9"/>
  <c r="Y11" i="9" s="1" a="1"/>
  <c r="Y11" i="9" s="1"/>
  <c r="J60" i="9" a="1"/>
  <c r="J60" i="9" s="1"/>
  <c r="C91" i="9"/>
  <c r="R12" i="9" s="1" a="1"/>
  <c r="R12" i="9" s="1"/>
  <c r="E107" i="9"/>
  <c r="T28" i="9" s="1" a="1"/>
  <c r="T28" i="9" s="1"/>
  <c r="J57" i="9" a="1"/>
  <c r="J57" i="9" s="1"/>
  <c r="F110" i="9"/>
  <c r="U31" i="9" s="1" a="1"/>
  <c r="U31" i="9" s="1"/>
  <c r="L69" i="9" a="1"/>
  <c r="L69" i="9" s="1"/>
  <c r="K53" i="9" a="1"/>
  <c r="K53" i="9" s="1"/>
  <c r="H106" i="9"/>
  <c r="W27" i="9" s="1" a="1"/>
  <c r="W27" i="9" s="1"/>
  <c r="I51" i="9" a="1"/>
  <c r="I51" i="9" s="1"/>
  <c r="G57" i="9" a="1"/>
  <c r="G57" i="9" s="1"/>
  <c r="M57" i="9" a="1"/>
  <c r="M57" i="9" s="1"/>
  <c r="M58" i="9" a="1"/>
  <c r="M58" i="9" s="1"/>
  <c r="G100" i="9"/>
  <c r="V21" i="9" s="1" a="1"/>
  <c r="V21" i="9" s="1"/>
  <c r="B7" i="9"/>
  <c r="L70" i="9" a="1"/>
  <c r="L70" i="9" s="1"/>
  <c r="G73" i="9" a="1"/>
  <c r="G73" i="9" s="1"/>
  <c r="J75" i="9" a="1"/>
  <c r="J75" i="9" s="1"/>
  <c r="G108" i="9"/>
  <c r="V29" i="9" s="1" a="1"/>
  <c r="V29" i="9" s="1"/>
  <c r="J85" i="9"/>
  <c r="Y6" i="9" s="1" a="1"/>
  <c r="Y6" i="9" s="1"/>
  <c r="K55" i="9" a="1"/>
  <c r="K55" i="9" s="1"/>
  <c r="D99" i="9"/>
  <c r="S20" i="9" s="1" a="1"/>
  <c r="S20" i="9" s="1"/>
  <c r="K75" i="9" a="1"/>
  <c r="K75" i="9" s="1"/>
  <c r="K95" i="9"/>
  <c r="Z16" i="9" s="1" a="1"/>
  <c r="Z16" i="9" s="1"/>
  <c r="M107" i="9"/>
  <c r="AB28" i="9" s="1" a="1"/>
  <c r="AB28" i="9" s="1"/>
  <c r="K108" i="9"/>
  <c r="Z29" i="9" s="1" a="1"/>
  <c r="Z29" i="9" s="1"/>
  <c r="D100" i="9"/>
  <c r="S21" i="9" s="1" a="1"/>
  <c r="S21" i="9" s="1"/>
  <c r="I56" i="9" a="1"/>
  <c r="I56" i="9" s="1"/>
  <c r="O52" i="9"/>
  <c r="C90" i="9"/>
  <c r="R11" i="9" s="1" a="1"/>
  <c r="R11" i="9" s="1"/>
  <c r="F92" i="9"/>
  <c r="U13" i="9" s="1" a="1"/>
  <c r="U13" i="9" s="1"/>
  <c r="E105" i="9"/>
  <c r="T26" i="9" s="1" a="1"/>
  <c r="T26" i="9" s="1"/>
  <c r="H73" i="9" a="1"/>
  <c r="H73" i="9" s="1"/>
  <c r="J61" i="9" a="1"/>
  <c r="J61" i="9" s="1"/>
  <c r="L59" i="9" a="1"/>
  <c r="L59" i="9" s="1"/>
  <c r="H72" i="9" a="1"/>
  <c r="H72" i="9" s="1"/>
  <c r="L50" i="9" a="1"/>
  <c r="L50" i="9" s="1"/>
  <c r="J86" i="9"/>
  <c r="Y7" i="9" s="1" a="1"/>
  <c r="Y7" i="9" s="1"/>
  <c r="C107" i="9"/>
  <c r="R28" i="9" s="1" a="1"/>
  <c r="R28" i="9" s="1"/>
  <c r="H52" i="9" a="1"/>
  <c r="H52" i="9" s="1"/>
  <c r="J103" i="9"/>
  <c r="Y24" i="9" s="1" a="1"/>
  <c r="Y24" i="9" s="1"/>
  <c r="K101" i="9"/>
  <c r="Z22" i="9" s="1" a="1"/>
  <c r="Z22" i="9" s="1"/>
  <c r="H60" i="9" a="1"/>
  <c r="H60" i="9" s="1"/>
  <c r="D95" i="9"/>
  <c r="S16" i="9" s="1" a="1"/>
  <c r="S16" i="9" s="1"/>
  <c r="M72" i="9" a="1"/>
  <c r="M72" i="9" s="1"/>
  <c r="M55" i="9" a="1"/>
  <c r="M55" i="9" s="1"/>
  <c r="H107" i="9"/>
  <c r="W28" i="9" s="1" a="1"/>
  <c r="W28" i="9" s="1"/>
  <c r="L55" i="9" a="1"/>
  <c r="L55" i="9" s="1"/>
  <c r="I90" i="9"/>
  <c r="X11" i="9" s="1" a="1"/>
  <c r="X11" i="9" s="1"/>
  <c r="G72" i="9" a="1"/>
  <c r="G72" i="9" s="1"/>
  <c r="D102" i="9"/>
  <c r="S23" i="9" s="1" a="1"/>
  <c r="S23" i="9" s="1"/>
  <c r="C110" i="9"/>
  <c r="R31" i="9" s="1" a="1"/>
  <c r="R31" i="9" s="1"/>
  <c r="D103" i="9"/>
  <c r="S24" i="9" s="1" a="1"/>
  <c r="S24" i="9" s="1"/>
  <c r="J50" i="9" a="1"/>
  <c r="J50" i="9" s="1"/>
  <c r="L52" i="9" a="1"/>
  <c r="L52" i="9" s="1"/>
  <c r="J55" i="9" a="1"/>
  <c r="J55" i="9" s="1"/>
  <c r="J107" i="9"/>
  <c r="Y28" i="9" s="1" a="1"/>
  <c r="Y28" i="9" s="1"/>
  <c r="L61" i="9" a="1"/>
  <c r="L61" i="9" s="1"/>
  <c r="I99" i="9"/>
  <c r="X20" i="9" s="1" a="1"/>
  <c r="X20" i="9" s="1"/>
  <c r="I106" i="9"/>
  <c r="X27" i="9" s="1" a="1"/>
  <c r="X27" i="9" s="1"/>
  <c r="I100" i="9"/>
  <c r="X21" i="9" s="1" a="1"/>
  <c r="X21" i="9" s="1"/>
  <c r="K54" i="9" a="1"/>
  <c r="K54" i="9" s="1"/>
  <c r="E94" i="9"/>
  <c r="T15" i="9" s="1" a="1"/>
  <c r="T15" i="9" s="1"/>
  <c r="M56" i="9" a="1"/>
  <c r="M56" i="9" s="1"/>
  <c r="J98" i="9"/>
  <c r="Y19" i="9" s="1" a="1"/>
  <c r="Y19" i="9" s="1"/>
  <c r="E86" i="9"/>
  <c r="T7" i="9" s="1" a="1"/>
  <c r="T7" i="9" s="1"/>
  <c r="J64" i="9" a="1"/>
  <c r="J64" i="9" s="1"/>
  <c r="J71" i="9" a="1"/>
  <c r="J71" i="9" s="1"/>
  <c r="H101" i="9"/>
  <c r="W22" i="9" s="1" a="1"/>
  <c r="W22" i="9" s="1"/>
  <c r="I64" i="9" a="1"/>
  <c r="I64" i="9" s="1"/>
  <c r="L67" i="9" a="1"/>
  <c r="L67" i="9" s="1"/>
  <c r="AA22" i="9" a="1"/>
  <c r="AA22" i="9" s="1"/>
  <c r="U16" i="9" a="1"/>
  <c r="U16" i="9" s="1"/>
  <c r="G93" i="9"/>
  <c r="V14" i="9" s="1" a="1"/>
  <c r="V14" i="9" s="1"/>
  <c r="I57" i="9" a="1"/>
  <c r="I57" i="9" s="1"/>
  <c r="H58" i="9" a="1"/>
  <c r="H58" i="9" s="1"/>
  <c r="L91" i="9"/>
  <c r="AA12" i="9" s="1" a="1"/>
  <c r="AA12" i="9" s="1"/>
  <c r="F98" i="9"/>
  <c r="U19" i="9" s="1" a="1"/>
  <c r="U19" i="9" s="1"/>
  <c r="D110" i="9"/>
  <c r="S31" i="9" s="1" a="1"/>
  <c r="S31" i="9" s="1"/>
  <c r="K90" i="9"/>
  <c r="Z11" i="9" s="1" a="1"/>
  <c r="Z11" i="9" s="1"/>
  <c r="L104" i="9"/>
  <c r="AA25" i="9" s="1" a="1"/>
  <c r="AA25" i="9" s="1"/>
  <c r="H67" i="9" a="1"/>
  <c r="H67" i="9" s="1"/>
  <c r="O72" i="9"/>
  <c r="I105" i="9"/>
  <c r="X26" i="9" s="1" a="1"/>
  <c r="X26" i="9" s="1"/>
  <c r="L108" i="9"/>
  <c r="AA29" i="9" s="1" a="1"/>
  <c r="AA29" i="9" s="1"/>
  <c r="H66" i="9" a="1"/>
  <c r="H66" i="9" s="1"/>
  <c r="K58" i="9" a="1"/>
  <c r="K58" i="9" s="1"/>
  <c r="G98" i="9"/>
  <c r="V19" i="9" s="1" a="1"/>
  <c r="V19" i="9" s="1"/>
  <c r="L105" i="9"/>
  <c r="AA26" i="9" s="1" a="1"/>
  <c r="AA26" i="9" s="1"/>
  <c r="E110" i="9"/>
  <c r="H98" i="9"/>
  <c r="W19" i="9" s="1" a="1"/>
  <c r="W19" i="9" s="1"/>
  <c r="I68" i="9" a="1"/>
  <c r="I68" i="9" s="1"/>
  <c r="H99" i="9"/>
  <c r="W20" i="9" s="1" a="1"/>
  <c r="W20" i="9" s="1"/>
  <c r="H86" i="9"/>
  <c r="W7" i="9" s="1" a="1"/>
  <c r="W7" i="9" s="1"/>
  <c r="D86" i="9"/>
  <c r="S7" i="9" s="1" a="1"/>
  <c r="S7" i="9" s="1"/>
  <c r="I67" i="9" a="1"/>
  <c r="I67" i="9" s="1"/>
  <c r="J74" i="9" a="1"/>
  <c r="J74" i="9" s="1"/>
  <c r="J51" i="9" a="1"/>
  <c r="J51" i="9" s="1"/>
  <c r="H110" i="9"/>
  <c r="W31" i="9" s="1" a="1"/>
  <c r="W31" i="9" s="1"/>
  <c r="L74" i="9" a="1"/>
  <c r="L74" i="9" s="1"/>
  <c r="F97" i="9"/>
  <c r="U18" i="9" s="1" a="1"/>
  <c r="U18" i="9" s="1"/>
  <c r="J54" i="9" a="1"/>
  <c r="J54" i="9" s="1"/>
  <c r="F104" i="9"/>
  <c r="U25" i="9" s="1" a="1"/>
  <c r="U25" i="9" s="1"/>
  <c r="H61" i="9" a="1"/>
  <c r="H61" i="9" s="1"/>
  <c r="G94" i="9"/>
  <c r="V15" i="9" s="1" a="1"/>
  <c r="V15" i="9" s="1"/>
  <c r="I72" i="9" a="1"/>
  <c r="I72" i="9" s="1"/>
  <c r="M64" i="9" a="1"/>
  <c r="M64" i="9" s="1"/>
  <c r="K98" i="9"/>
  <c r="Z19" i="9" s="1" a="1"/>
  <c r="Z19" i="9" s="1"/>
  <c r="G107" i="9"/>
  <c r="V28" i="9" s="1" a="1"/>
  <c r="V28" i="9" s="1"/>
  <c r="K96" i="9"/>
  <c r="Z17" i="9" s="1" a="1"/>
  <c r="Z17" i="9" s="1"/>
  <c r="F108" i="9"/>
  <c r="U29" i="9" s="1" a="1"/>
  <c r="U29" i="9" s="1"/>
  <c r="K105" i="9"/>
  <c r="Z26" i="9" s="1" a="1"/>
  <c r="Z26" i="9" s="1"/>
  <c r="D92" i="9"/>
  <c r="S13" i="9" s="1" a="1"/>
  <c r="S13" i="9" s="1"/>
  <c r="O68" i="9"/>
  <c r="E104" i="9"/>
  <c r="T25" i="9" s="1" a="1"/>
  <c r="T25" i="9" s="1"/>
  <c r="G85" i="9"/>
  <c r="V6" i="9" s="1" a="1"/>
  <c r="V6" i="9" s="1"/>
  <c r="J65" i="9" a="1"/>
  <c r="J65" i="9" s="1"/>
  <c r="G87" i="9"/>
  <c r="J108" i="9"/>
  <c r="Y29" i="9" s="1" a="1"/>
  <c r="Y29" i="9" s="1"/>
  <c r="J66" i="9" a="1"/>
  <c r="J66" i="9" s="1"/>
  <c r="D107" i="9"/>
  <c r="S28" i="9" s="1" a="1"/>
  <c r="S28" i="9" s="1"/>
  <c r="I69" i="9" a="1"/>
  <c r="I69" i="9" s="1"/>
  <c r="M59" i="9" a="1"/>
  <c r="M59" i="9" s="1"/>
  <c r="M73" i="9" a="1"/>
  <c r="M73" i="9" s="1"/>
  <c r="G105" i="9"/>
  <c r="V26" i="9" s="1" a="1"/>
  <c r="V26" i="9" s="1"/>
  <c r="H104" i="9"/>
  <c r="W25" i="9" s="1" a="1"/>
  <c r="W25" i="9" s="1"/>
  <c r="G106" i="9"/>
  <c r="V27" i="9" s="1" a="1"/>
  <c r="V27" i="9" s="1"/>
  <c r="E95" i="9"/>
  <c r="T16" i="9" s="1" a="1"/>
  <c r="T16" i="9" s="1"/>
  <c r="J87" i="9"/>
  <c r="Y8" i="9" s="1" a="1"/>
  <c r="Y8" i="9" s="1"/>
  <c r="K85" i="9"/>
  <c r="Z6" i="9" s="1" a="1"/>
  <c r="Z6" i="9" s="1"/>
  <c r="I96" i="9"/>
  <c r="X17" i="9" s="1" a="1"/>
  <c r="X17" i="9" s="1"/>
  <c r="K66" i="9" a="1"/>
  <c r="K66" i="9" s="1"/>
  <c r="H109" i="9"/>
  <c r="W30" i="9" s="1" a="1"/>
  <c r="W30" i="9" s="1"/>
  <c r="J53" i="9" a="1"/>
  <c r="J53" i="9" s="1"/>
  <c r="C87" i="9"/>
  <c r="R8" i="9" s="1" a="1"/>
  <c r="R8" i="9" s="1"/>
  <c r="M62" i="9" a="1"/>
  <c r="M62" i="9" s="1"/>
  <c r="I50" i="9" a="1"/>
  <c r="I50" i="9" s="1"/>
  <c r="F96" i="9"/>
  <c r="U17" i="9" s="1" a="1"/>
  <c r="U17" i="9" s="1"/>
  <c r="B5" i="9"/>
  <c r="G92" i="9"/>
  <c r="V13" i="9" s="1" a="1"/>
  <c r="V13" i="9" s="1"/>
  <c r="L92" i="9"/>
  <c r="AA13" i="9" s="1" a="1"/>
  <c r="AA13" i="9" s="1"/>
  <c r="L68" i="9" a="1"/>
  <c r="L68" i="9" s="1"/>
  <c r="G95" i="9"/>
  <c r="V16" i="9" s="1" a="1"/>
  <c r="V16" i="9" s="1"/>
  <c r="G109" i="9"/>
  <c r="V30" i="9" s="1" a="1"/>
  <c r="V30" i="9" s="1"/>
  <c r="L86" i="9"/>
  <c r="AA7" i="9" s="1" a="1"/>
  <c r="AA7" i="9" s="1"/>
  <c r="I85" i="9"/>
  <c r="X6" i="9" s="1" a="1"/>
  <c r="X6" i="9" s="1"/>
  <c r="K59" i="9" a="1"/>
  <c r="K59" i="9" s="1"/>
  <c r="M52" i="9" a="1"/>
  <c r="M52" i="9" s="1"/>
  <c r="G52" i="9" a="1"/>
  <c r="G52" i="9" s="1"/>
  <c r="J110" i="9"/>
  <c r="Y31" i="9" s="1" a="1"/>
  <c r="Y31" i="9" s="1"/>
  <c r="M86" i="9"/>
  <c r="AB7" i="9" s="1" a="1"/>
  <c r="AB7" i="9" s="1"/>
  <c r="G86" i="9"/>
  <c r="V7" i="9" s="1" a="1"/>
  <c r="V7" i="9" s="1"/>
  <c r="C105" i="9"/>
  <c r="R26" i="9" s="1" a="1"/>
  <c r="R26" i="9" s="1"/>
  <c r="O71" i="9"/>
  <c r="H105" i="9"/>
  <c r="W26" i="9" s="1" a="1"/>
  <c r="W26" i="9" s="1"/>
  <c r="M87" i="9"/>
  <c r="AB8" i="9" s="1" a="1"/>
  <c r="AB8" i="9" s="1"/>
  <c r="I91" i="9"/>
  <c r="X12" i="9" s="1" a="1"/>
  <c r="X12" i="9" s="1"/>
  <c r="B18" i="9"/>
  <c r="C18" i="9" s="1"/>
  <c r="C106" i="9"/>
  <c r="R27" i="9" s="1" a="1"/>
  <c r="R27" i="9" s="1"/>
  <c r="I103" i="9"/>
  <c r="X24" i="9" s="1" a="1"/>
  <c r="X24" i="9" s="1"/>
  <c r="L106" i="9"/>
  <c r="AA27" i="9" s="1" a="1"/>
  <c r="AA27" i="9" s="1"/>
  <c r="J58" i="9" a="1"/>
  <c r="J58" i="9" s="1"/>
  <c r="M97" i="9"/>
  <c r="AB18" i="9" s="1" a="1"/>
  <c r="AB18" i="9" s="1"/>
  <c r="O60" i="9"/>
  <c r="E93" i="9"/>
  <c r="T14" i="9" s="1" a="1"/>
  <c r="T14" i="9" s="1"/>
  <c r="L54" i="9" a="1"/>
  <c r="L54" i="9" s="1"/>
  <c r="E97" i="9"/>
  <c r="T18" i="9" s="1" a="1"/>
  <c r="T18" i="9" s="1"/>
  <c r="G101" i="9"/>
  <c r="V22" i="9" s="1" a="1"/>
  <c r="V22" i="9" s="1"/>
  <c r="D97" i="9"/>
  <c r="S18" i="9" s="1" a="1"/>
  <c r="S18" i="9" s="1"/>
  <c r="H64" i="9" a="1"/>
  <c r="H64" i="9" s="1"/>
  <c r="M100" i="9"/>
  <c r="AB21" i="9" s="1" a="1"/>
  <c r="AB21" i="9" s="1"/>
  <c r="K52" i="9" a="1"/>
  <c r="K52" i="9" s="1"/>
  <c r="M95" i="9"/>
  <c r="AB16" i="9" s="1" a="1"/>
  <c r="AB16" i="9" s="1"/>
  <c r="M88" i="9"/>
  <c r="AB9" i="9" s="1" a="1"/>
  <c r="AB9" i="9" s="1"/>
  <c r="K64" i="9" a="1"/>
  <c r="K64" i="9" s="1"/>
  <c r="G62" i="9" a="1"/>
  <c r="G62" i="9" s="1"/>
  <c r="H92" i="9"/>
  <c r="W13" i="9" s="1" a="1"/>
  <c r="W13" i="9" s="1"/>
  <c r="M108" i="9"/>
  <c r="AB29" i="9" s="1" a="1"/>
  <c r="AB29" i="9" s="1"/>
  <c r="F105" i="9"/>
  <c r="U26" i="9" s="1" a="1"/>
  <c r="U26" i="9" s="1"/>
  <c r="L96" i="9"/>
  <c r="AA17" i="9" s="1" a="1"/>
  <c r="AA17" i="9" s="1"/>
  <c r="X31" i="9" a="1"/>
  <c r="X31" i="9" s="1"/>
  <c r="H95" i="9"/>
  <c r="W16" i="9" s="1" a="1"/>
  <c r="W16" i="9" s="1"/>
  <c r="K51" i="9" a="1"/>
  <c r="K51" i="9" s="1"/>
  <c r="K110" i="9"/>
  <c r="Z31" i="9" s="1" a="1"/>
  <c r="Z31" i="9" s="1"/>
  <c r="M65" i="9" a="1"/>
  <c r="M65" i="9" s="1"/>
  <c r="B17" i="9"/>
  <c r="H71" i="9" a="1"/>
  <c r="H71" i="9" s="1"/>
  <c r="M69" i="9" a="1"/>
  <c r="M69" i="9" s="1"/>
  <c r="E91" i="9"/>
  <c r="T12" i="9" s="1" a="1"/>
  <c r="T12" i="9" s="1"/>
  <c r="I101" i="9"/>
  <c r="X22" i="9" s="1" a="1"/>
  <c r="X22" i="9" s="1"/>
  <c r="J109" i="9"/>
  <c r="Y30" i="9" s="1" a="1"/>
  <c r="Y30" i="9" s="1"/>
  <c r="K50" i="9" a="1"/>
  <c r="K50" i="9" s="1"/>
  <c r="L73" i="9" a="1"/>
  <c r="L73" i="9" s="1"/>
  <c r="K102" i="9"/>
  <c r="Z23" i="9" s="1" a="1"/>
  <c r="Z23" i="9" s="1"/>
  <c r="J52" i="9" a="1"/>
  <c r="J52" i="9" s="1"/>
  <c r="G97" i="9"/>
  <c r="V18" i="9" s="1" a="1"/>
  <c r="V18" i="9" s="1"/>
  <c r="M61" i="9" a="1"/>
  <c r="M61" i="9" s="1"/>
  <c r="G70" i="9" a="1"/>
  <c r="G70" i="9" s="1"/>
  <c r="J89" i="9"/>
  <c r="Y10" i="9" s="1" a="1"/>
  <c r="Y10" i="9" s="1"/>
  <c r="O57" i="9"/>
  <c r="M54" i="9" a="1"/>
  <c r="M54" i="9" s="1"/>
  <c r="J88" i="9"/>
  <c r="Y9" i="9" s="1" a="1"/>
  <c r="Y9" i="9" s="1"/>
  <c r="L89" i="9"/>
  <c r="AA10" i="9" s="1" a="1"/>
  <c r="AA10" i="9" s="1"/>
  <c r="I95" i="9"/>
  <c r="X16" i="9" s="1" a="1"/>
  <c r="X16" i="9" s="1"/>
  <c r="K67" i="9" a="1"/>
  <c r="K67" i="9" s="1"/>
  <c r="E90" i="9"/>
  <c r="T11" i="9" s="1" a="1"/>
  <c r="T11" i="9" s="1"/>
  <c r="J100" i="9"/>
  <c r="Y21" i="9" s="1" a="1"/>
  <c r="Y21" i="9" s="1"/>
  <c r="I88" i="9"/>
  <c r="X9" i="9" s="1" a="1"/>
  <c r="X9" i="9" s="1"/>
  <c r="E88" i="9"/>
  <c r="T9" i="9" s="1" a="1"/>
  <c r="T9" i="9" s="1"/>
  <c r="K88" i="9"/>
  <c r="Z9" i="9" s="1" a="1"/>
  <c r="Z9" i="9" s="1"/>
  <c r="G63" i="9" a="1"/>
  <c r="G63" i="9" s="1"/>
  <c r="D104" i="9"/>
  <c r="S25" i="9" s="1" a="1"/>
  <c r="S25" i="9" s="1"/>
  <c r="D105" i="9"/>
  <c r="S26" i="9" s="1" a="1"/>
  <c r="S26" i="9" s="1"/>
  <c r="G88" i="9"/>
  <c r="V9" i="9" s="1" a="1"/>
  <c r="V9" i="9" s="1"/>
  <c r="C95" i="9"/>
  <c r="R16" i="9" s="1" a="1"/>
  <c r="R16" i="9" s="1"/>
  <c r="L62" i="9" a="1"/>
  <c r="L62" i="9" s="1"/>
  <c r="G65" i="9" a="1"/>
  <c r="G65" i="9" s="1"/>
  <c r="O55" i="9"/>
  <c r="D85" i="9"/>
  <c r="S6" i="9" s="1" a="1"/>
  <c r="S6" i="9" s="1"/>
  <c r="B49" i="9"/>
  <c r="D49" i="9" s="1" a="1"/>
  <c r="D49" i="9" s="1"/>
  <c r="M103" i="9"/>
  <c r="AB24" i="9" s="1" a="1"/>
  <c r="AB24" i="9" s="1"/>
  <c r="H87" i="9"/>
  <c r="W8" i="9" s="1" a="1"/>
  <c r="W8" i="9" s="1"/>
  <c r="E92" i="9"/>
  <c r="T13" i="9" s="1" a="1"/>
  <c r="T13" i="9" s="1"/>
  <c r="K92" i="9"/>
  <c r="Z13" i="9" s="1" a="1"/>
  <c r="Z13" i="9" s="1"/>
  <c r="H62" i="9" a="1"/>
  <c r="H62" i="9" s="1"/>
  <c r="L56" i="9" a="1"/>
  <c r="L56" i="9" s="1"/>
  <c r="O67" i="9"/>
  <c r="M98" i="9"/>
  <c r="AB19" i="9" s="1" a="1"/>
  <c r="AB19" i="9" s="1"/>
  <c r="C100" i="9"/>
  <c r="R21" i="9" s="1" a="1"/>
  <c r="R21" i="9" s="1"/>
  <c r="E96" i="9"/>
  <c r="T17" i="9" s="1" a="1"/>
  <c r="T17" i="9" s="1"/>
  <c r="H59" i="9" a="1"/>
  <c r="H59" i="9" s="1"/>
  <c r="M99" i="9"/>
  <c r="AB20" i="9" s="1" a="1"/>
  <c r="AB20" i="9" s="1"/>
  <c r="M110" i="9"/>
  <c r="AB31" i="9" s="1" a="1"/>
  <c r="AB31" i="9" s="1"/>
  <c r="O54" i="9"/>
  <c r="G90" i="9"/>
  <c r="V11" i="9" s="1" a="1"/>
  <c r="V11" i="9" s="1"/>
  <c r="E89" i="9"/>
  <c r="T10" i="9" s="1" a="1"/>
  <c r="T10" i="9" s="1"/>
  <c r="O50" i="9"/>
  <c r="O73" i="9"/>
  <c r="C93" i="9"/>
  <c r="R14" i="9" s="1" a="1"/>
  <c r="R14" i="9" s="1"/>
  <c r="I71" i="9" a="1"/>
  <c r="I71" i="9" s="1"/>
  <c r="C109" i="9"/>
  <c r="R30" i="9" s="1" a="1"/>
  <c r="R30" i="9" s="1"/>
  <c r="F100" i="9"/>
  <c r="U21" i="9" s="1" a="1"/>
  <c r="U21" i="9" s="1"/>
  <c r="R15" i="9" a="1"/>
  <c r="R15" i="9" s="1"/>
  <c r="H65" i="9" a="1"/>
  <c r="H65" i="9" s="1"/>
  <c r="A28" i="20"/>
  <c r="A13" i="20"/>
  <c r="A16" i="20"/>
  <c r="O98" i="9"/>
  <c r="AD19" i="9" s="1"/>
  <c r="B16" i="20" s="1"/>
  <c r="K69" i="9" a="1"/>
  <c r="K69" i="9" s="1"/>
  <c r="A22" i="20"/>
  <c r="A3" i="20"/>
  <c r="G55" i="9" a="1"/>
  <c r="G55" i="9" s="1"/>
  <c r="N78" i="9"/>
  <c r="P78" i="9" s="1"/>
  <c r="G60" i="9" a="1"/>
  <c r="G60" i="9" s="1"/>
  <c r="AC32" i="9"/>
  <c r="K114" i="1"/>
  <c r="A24" i="20"/>
  <c r="N77" i="9"/>
  <c r="P77" i="9" s="1"/>
  <c r="A4" i="20"/>
  <c r="A5" i="20"/>
  <c r="C88" i="9"/>
  <c r="R9" i="9" s="1" a="1"/>
  <c r="R9" i="9" s="1"/>
  <c r="H108" i="9"/>
  <c r="F89" i="9"/>
  <c r="U10" i="9" s="1" a="1"/>
  <c r="U10" i="9" s="1"/>
  <c r="F93" i="9"/>
  <c r="U14" i="9" s="1" a="1"/>
  <c r="U14" i="9" s="1"/>
  <c r="I59" i="9" a="1"/>
  <c r="I59" i="9" s="1"/>
  <c r="G110" i="9"/>
  <c r="M85" i="9"/>
  <c r="AB6" i="9" s="1" a="1"/>
  <c r="AB6" i="9" s="1"/>
  <c r="G53" i="9" a="1"/>
  <c r="G53" i="9" s="1"/>
  <c r="J91" i="9"/>
  <c r="Y12" i="9" s="1" a="1"/>
  <c r="Y12" i="9" s="1"/>
  <c r="E99" i="9"/>
  <c r="T20" i="9" s="1" a="1"/>
  <c r="T20" i="9" s="1"/>
  <c r="I98" i="9"/>
  <c r="X19" i="9" s="1" a="1"/>
  <c r="X19" i="9" s="1"/>
  <c r="L93" i="9"/>
  <c r="AA14" i="9" s="1" a="1"/>
  <c r="AA14" i="9" s="1"/>
  <c r="B10" i="9"/>
  <c r="L109" i="9"/>
  <c r="AA30" i="9" s="1" a="1"/>
  <c r="AA30" i="9" s="1"/>
  <c r="M102" i="9"/>
  <c r="AB23" i="9" s="1" a="1"/>
  <c r="AB23" i="9" s="1"/>
  <c r="J101" i="9"/>
  <c r="L57" i="9" a="1"/>
  <c r="L57" i="9" s="1"/>
  <c r="L110" i="9"/>
  <c r="AA31" i="9" s="1" a="1"/>
  <c r="AA31" i="9" s="1"/>
  <c r="F91" i="9"/>
  <c r="U12" i="9" s="1" a="1"/>
  <c r="U12" i="9" s="1"/>
  <c r="L98" i="9"/>
  <c r="AA19" i="9" s="1" a="1"/>
  <c r="AA19" i="9" s="1"/>
  <c r="I61" i="9" a="1"/>
  <c r="I61" i="9" s="1"/>
  <c r="L58" i="9" a="1"/>
  <c r="L58" i="9" s="1"/>
  <c r="A27" i="20"/>
  <c r="A23" i="20"/>
  <c r="A18" i="20"/>
  <c r="A26" i="20"/>
  <c r="A21" i="20"/>
  <c r="L71" i="9" a="1"/>
  <c r="L71" i="9" s="1"/>
  <c r="F87" i="9"/>
  <c r="U8" i="9" s="1" a="1"/>
  <c r="U8" i="9" s="1"/>
  <c r="K97" i="9"/>
  <c r="Z18" i="9" s="1" a="1"/>
  <c r="Z18" i="9" s="1"/>
  <c r="G91" i="9"/>
  <c r="V12" i="9" s="1" a="1"/>
  <c r="V12" i="9" s="1"/>
  <c r="H54" i="9" a="1"/>
  <c r="H54" i="9" s="1"/>
  <c r="J68" i="9" a="1"/>
  <c r="J68" i="9" s="1"/>
  <c r="M94" i="9"/>
  <c r="AB15" i="9" s="1" a="1"/>
  <c r="AB15" i="9" s="1"/>
  <c r="K72" i="9" a="1"/>
  <c r="K72" i="9" s="1"/>
  <c r="D87" i="9"/>
  <c r="S8" i="9" s="1" a="1"/>
  <c r="S8" i="9" s="1"/>
  <c r="H96" i="9"/>
  <c r="W17" i="9" s="1" a="1"/>
  <c r="W17" i="9" s="1"/>
  <c r="J97" i="9"/>
  <c r="Y18" i="9" s="1" a="1"/>
  <c r="Y18" i="9" s="1"/>
  <c r="M92" i="9"/>
  <c r="AB13" i="9" s="1" a="1"/>
  <c r="AB13" i="9" s="1"/>
  <c r="D88" i="9"/>
  <c r="S9" i="9" s="1" a="1"/>
  <c r="S9" i="9" s="1"/>
  <c r="J105" i="9"/>
  <c r="I97" i="9"/>
  <c r="K109" i="9"/>
  <c r="Z30" i="9" s="1" a="1"/>
  <c r="Z30" i="9" s="1"/>
  <c r="O69" i="9"/>
  <c r="K104" i="9"/>
  <c r="Z25" i="9" s="1" a="1"/>
  <c r="Z25" i="9" s="1"/>
  <c r="L63" i="9" a="1"/>
  <c r="L63" i="9" s="1"/>
  <c r="K60" i="9" a="1"/>
  <c r="K60" i="9" s="1"/>
  <c r="D106" i="9"/>
  <c r="S27" i="9" s="1" a="1"/>
  <c r="S27" i="9" s="1"/>
  <c r="O59" i="9"/>
  <c r="O58" i="9"/>
  <c r="A7" i="20"/>
  <c r="A12" i="20"/>
  <c r="A11" i="20"/>
  <c r="N76" i="9"/>
  <c r="P76" i="9" s="1"/>
  <c r="A6" i="20"/>
  <c r="A15" i="20"/>
  <c r="C103" i="9"/>
  <c r="R24" i="9" s="1" a="1"/>
  <c r="R24" i="9" s="1"/>
  <c r="J104" i="9"/>
  <c r="Y25" i="9" s="1" a="1"/>
  <c r="Y25" i="9" s="1"/>
  <c r="O53" i="9"/>
  <c r="I93" i="9"/>
  <c r="M91" i="9"/>
  <c r="AB12" i="9" s="1" a="1"/>
  <c r="AB12" i="9" s="1"/>
  <c r="H70" i="9" a="1"/>
  <c r="H70" i="9" s="1"/>
  <c r="D94" i="9"/>
  <c r="S15" i="9" s="1" a="1"/>
  <c r="S15" i="9" s="1"/>
  <c r="B4" i="9"/>
  <c r="E101" i="9"/>
  <c r="T22" i="9" s="1" a="1"/>
  <c r="T22" i="9" s="1"/>
  <c r="F85" i="9"/>
  <c r="U6" i="9" s="1" a="1"/>
  <c r="U6" i="9" s="1"/>
  <c r="K71" i="9" a="1"/>
  <c r="K71" i="9" s="1"/>
  <c r="I74" i="9" a="1"/>
  <c r="I74" i="9" s="1"/>
  <c r="M93" i="9"/>
  <c r="AB14" i="9" s="1" a="1"/>
  <c r="AB14" i="9" s="1"/>
  <c r="G71" i="9" a="1"/>
  <c r="G71" i="9" s="1"/>
  <c r="C86" i="9"/>
  <c r="R7" i="9" s="1" a="1"/>
  <c r="R7" i="9" s="1"/>
  <c r="K93" i="9"/>
  <c r="Z14" i="9" s="1" a="1"/>
  <c r="Z14" i="9" s="1"/>
  <c r="X7" i="9" a="1"/>
  <c r="X7" i="9" s="1"/>
  <c r="O65" i="9"/>
  <c r="B15" i="9"/>
  <c r="H74" i="9" a="1"/>
  <c r="H74" i="9" s="1"/>
  <c r="K99" i="9"/>
  <c r="Z20" i="9" s="1" a="1"/>
  <c r="Z20" i="9" s="1"/>
  <c r="F101" i="9"/>
  <c r="U22" i="9" s="1" a="1"/>
  <c r="U22" i="9" s="1"/>
  <c r="F103" i="9"/>
  <c r="U24" i="9" s="1" a="1"/>
  <c r="U24" i="9" s="1"/>
  <c r="U27" i="9" a="1"/>
  <c r="U27" i="9" s="1"/>
  <c r="B9" i="9"/>
  <c r="D93" i="9"/>
  <c r="S14" i="9" s="1" a="1"/>
  <c r="S14" i="9" s="1"/>
  <c r="A8" i="20"/>
  <c r="Q5" i="9"/>
  <c r="AD31" i="9"/>
  <c r="B28" i="20" s="1"/>
  <c r="AC35" i="9"/>
  <c r="AC34" i="9"/>
  <c r="A20" i="20"/>
  <c r="AC36" i="9"/>
  <c r="J93" i="9"/>
  <c r="Y14" i="9" s="1" a="1"/>
  <c r="Y14" i="9" s="1"/>
  <c r="M90" i="9"/>
  <c r="AB11" i="9" s="1" a="1"/>
  <c r="AB11" i="9" s="1"/>
  <c r="E102" i="9"/>
  <c r="T23" i="9" s="1" a="1"/>
  <c r="T23" i="9" s="1"/>
  <c r="L94" i="9"/>
  <c r="AA15" i="9" s="1" a="1"/>
  <c r="AA15" i="9" s="1"/>
  <c r="J67" i="9" a="1"/>
  <c r="J67" i="9" s="1"/>
  <c r="T31" i="9" a="1"/>
  <c r="T31" i="9" s="1"/>
  <c r="M96" i="9"/>
  <c r="AB17" i="9" s="1" a="1"/>
  <c r="AB17" i="9" s="1"/>
  <c r="H85" i="9"/>
  <c r="X29" i="9" a="1"/>
  <c r="X29" i="9" s="1"/>
  <c r="L65" i="9" a="1"/>
  <c r="L65" i="9" s="1"/>
  <c r="G58" i="9" a="1"/>
  <c r="G58" i="9" s="1"/>
  <c r="H69" i="9" a="1"/>
  <c r="H69" i="9" s="1"/>
  <c r="K91" i="9"/>
  <c r="Z12" i="9" s="1" a="1"/>
  <c r="Z12" i="9" s="1"/>
  <c r="D96" i="9"/>
  <c r="S17" i="9" s="1" a="1"/>
  <c r="S17" i="9" s="1"/>
  <c r="O51" i="9"/>
  <c r="I63" i="9" a="1"/>
  <c r="I63" i="9" s="1"/>
  <c r="D109" i="9"/>
  <c r="S30" i="9" s="1" a="1"/>
  <c r="S30" i="9" s="1"/>
  <c r="F109" i="9"/>
  <c r="U30" i="9" s="1" a="1"/>
  <c r="U30" i="9" s="1"/>
  <c r="G4" i="2"/>
  <c r="G5" i="2"/>
  <c r="H96" i="1" s="1"/>
  <c r="G20" i="2"/>
  <c r="H86" i="1" s="1"/>
  <c r="G22" i="2"/>
  <c r="H91" i="1" s="1"/>
  <c r="G12" i="2"/>
  <c r="G6" i="2"/>
  <c r="G17" i="2"/>
  <c r="G29" i="2"/>
  <c r="G11" i="2"/>
  <c r="H74" i="1" s="1"/>
  <c r="G15" i="2"/>
  <c r="H79" i="1" s="1"/>
  <c r="G8" i="2"/>
  <c r="G9" i="2"/>
  <c r="G30" i="2"/>
  <c r="H108" i="1" s="1"/>
  <c r="G19" i="2"/>
  <c r="G25" i="2"/>
  <c r="G24" i="2"/>
  <c r="H20" i="2"/>
  <c r="I20" i="2" s="1"/>
  <c r="D20" i="2" s="1"/>
  <c r="G26" i="2"/>
  <c r="H97" i="1" s="1"/>
  <c r="H19" i="2"/>
  <c r="I19" i="2" s="1"/>
  <c r="D19" i="2" s="1"/>
  <c r="G16" i="2"/>
  <c r="H81" i="1" s="1"/>
  <c r="G18" i="2"/>
  <c r="G23" i="2"/>
  <c r="G14" i="2"/>
  <c r="H75" i="1" s="1"/>
  <c r="H30" i="2"/>
  <c r="I30" i="2" s="1"/>
  <c r="D30" i="2" s="1"/>
  <c r="G10" i="2"/>
  <c r="H77" i="1" s="1"/>
  <c r="H15" i="2"/>
  <c r="I15" i="2" s="1"/>
  <c r="D15" i="2" s="1"/>
  <c r="G21" i="2"/>
  <c r="H99" i="1"/>
  <c r="H94" i="1"/>
  <c r="G7" i="2"/>
  <c r="H62" i="1" s="1"/>
  <c r="H18" i="2"/>
  <c r="I18" i="2" s="1"/>
  <c r="D18" i="2" s="1"/>
  <c r="G28" i="2"/>
  <c r="H17" i="2"/>
  <c r="I17" i="2" s="1"/>
  <c r="D17" i="2" s="1"/>
  <c r="H16" i="2"/>
  <c r="I16" i="2" s="1"/>
  <c r="D16" i="2" s="1"/>
  <c r="H9" i="2"/>
  <c r="I9" i="2" s="1"/>
  <c r="D9" i="2" s="1"/>
  <c r="H12" i="2"/>
  <c r="I12" i="2" s="1"/>
  <c r="D12" i="2" s="1"/>
  <c r="O85" i="9"/>
  <c r="AD6" i="9" s="1"/>
  <c r="B3" i="20" s="1"/>
  <c r="B3" i="21"/>
  <c r="N5" i="17"/>
  <c r="O96" i="9"/>
  <c r="AD17" i="9" s="1"/>
  <c r="B14" i="20" s="1"/>
  <c r="N6" i="17"/>
  <c r="B15" i="21"/>
  <c r="O90" i="9"/>
  <c r="AD11" i="9" s="1"/>
  <c r="B8" i="20" s="1"/>
  <c r="B5" i="21"/>
  <c r="B22" i="21"/>
  <c r="O104" i="9"/>
  <c r="AD25" i="9" s="1"/>
  <c r="B13" i="21"/>
  <c r="O95" i="9"/>
  <c r="AD16" i="9" s="1"/>
  <c r="B13" i="20" s="1"/>
  <c r="B26" i="21"/>
  <c r="B24" i="21"/>
  <c r="O86" i="9"/>
  <c r="AD7" i="9" s="1"/>
  <c r="B4" i="20" s="1"/>
  <c r="O87" i="9"/>
  <c r="AD8" i="9" s="1"/>
  <c r="B5" i="20" s="1"/>
  <c r="AD33" i="9"/>
  <c r="P112" i="9"/>
  <c r="O91" i="9"/>
  <c r="O108" i="9"/>
  <c r="O93" i="9"/>
  <c r="O102" i="9"/>
  <c r="AD23" i="9" s="1"/>
  <c r="B20" i="20" s="1"/>
  <c r="B27" i="21"/>
  <c r="O106" i="9"/>
  <c r="B2" i="21"/>
  <c r="O105" i="9"/>
  <c r="AD26" i="9" s="1"/>
  <c r="B23" i="20" s="1"/>
  <c r="O114" i="9"/>
  <c r="AD35" i="9" s="1"/>
  <c r="B23" i="21"/>
  <c r="O115" i="9"/>
  <c r="O113" i="9"/>
  <c r="P113" i="9" s="1"/>
  <c r="O101" i="9"/>
  <c r="AD22" i="9" s="1"/>
  <c r="B19" i="20" s="1"/>
  <c r="B9" i="21"/>
  <c r="B11" i="21"/>
  <c r="B6" i="21"/>
  <c r="O88" i="9"/>
  <c r="AD9" i="9" s="1"/>
  <c r="B6" i="20" s="1"/>
  <c r="O111" i="9"/>
  <c r="AD32" i="9" s="1"/>
  <c r="O94" i="9"/>
  <c r="B19" i="21"/>
  <c r="B12" i="21"/>
  <c r="O109" i="9"/>
  <c r="B17" i="21"/>
  <c r="O89" i="9"/>
  <c r="AD10" i="9" s="1"/>
  <c r="B7" i="20" s="1"/>
  <c r="B7" i="21"/>
  <c r="O99" i="9"/>
  <c r="AD20" i="9" s="1"/>
  <c r="B17" i="20" s="1"/>
  <c r="B20" i="21"/>
  <c r="B8" i="21"/>
  <c r="O107" i="9"/>
  <c r="AD28" i="9" s="1"/>
  <c r="B25" i="20" s="1"/>
  <c r="B18" i="21"/>
  <c r="O100" i="9"/>
  <c r="B25" i="21"/>
  <c r="B16" i="21"/>
  <c r="O103" i="9"/>
  <c r="C226" i="17"/>
  <c r="K4" i="17" s="1"/>
  <c r="C16" i="10"/>
  <c r="G14" i="15"/>
  <c r="E38" i="18"/>
  <c r="J37" i="14"/>
  <c r="C12" i="8" s="1"/>
  <c r="D38" i="14"/>
  <c r="C10" i="8" s="1"/>
  <c r="C43" i="12"/>
  <c r="H60" i="6"/>
  <c r="I37" i="12"/>
  <c r="D38" i="18"/>
  <c r="C11" i="8" s="1"/>
  <c r="I60" i="6"/>
  <c r="H12" i="7"/>
  <c r="M74" i="9" a="1"/>
  <c r="M74" i="9" s="1"/>
  <c r="G51" i="9" a="1"/>
  <c r="G51" i="9" s="1"/>
  <c r="G68" i="9" a="1"/>
  <c r="G68" i="9" s="1"/>
  <c r="V24" i="9" a="1"/>
  <c r="V24" i="9" s="1"/>
  <c r="H51" i="9" a="1"/>
  <c r="H51" i="9" s="1"/>
  <c r="J114" i="1" a="1"/>
  <c r="J114" i="1" s="1"/>
  <c r="G56" i="9" a="1"/>
  <c r="G56" i="9" s="1"/>
  <c r="H50" i="9" a="1"/>
  <c r="H50" i="9" s="1"/>
  <c r="G59" i="9" a="1"/>
  <c r="G59" i="9" s="1"/>
  <c r="AC33" i="9"/>
  <c r="G69" i="9" a="1"/>
  <c r="G69" i="9" s="1"/>
  <c r="N79" i="9"/>
  <c r="D2" i="2"/>
  <c r="AD34" i="9" l="1"/>
  <c r="AE34" i="9" s="1"/>
  <c r="H101" i="1"/>
  <c r="H67" i="1"/>
  <c r="I84" i="9"/>
  <c r="X5" i="9" s="1" a="1"/>
  <c r="X5" i="9" s="1"/>
  <c r="H60" i="1"/>
  <c r="H68" i="1"/>
  <c r="H84" i="1"/>
  <c r="H85" i="1"/>
  <c r="H93" i="1"/>
  <c r="H70" i="1"/>
  <c r="H106" i="1"/>
  <c r="H104" i="1"/>
  <c r="H82" i="1"/>
  <c r="H66" i="1"/>
  <c r="H107" i="1"/>
  <c r="H109" i="1"/>
  <c r="H83" i="1"/>
  <c r="H89" i="1"/>
  <c r="H63" i="1"/>
  <c r="H103" i="1"/>
  <c r="H92" i="1"/>
  <c r="H95" i="1"/>
  <c r="H102" i="1"/>
  <c r="E8" i="9"/>
  <c r="E18" i="9"/>
  <c r="G49" i="9" a="1"/>
  <c r="G49" i="9" s="1"/>
  <c r="O84" i="9"/>
  <c r="AD5" i="9" s="1"/>
  <c r="B2" i="20" s="1"/>
  <c r="D84" i="9"/>
  <c r="S5" i="9" s="1" a="1"/>
  <c r="S5" i="9" s="1"/>
  <c r="J84" i="9"/>
  <c r="Y5" i="9" s="1" a="1"/>
  <c r="Y5" i="9" s="1"/>
  <c r="H49" i="9" a="1"/>
  <c r="H49" i="9" s="1"/>
  <c r="M84" i="9"/>
  <c r="AB5" i="9" s="1" a="1"/>
  <c r="AB5" i="9" s="1"/>
  <c r="E4" i="8"/>
  <c r="E8" i="8"/>
  <c r="E13" i="8"/>
  <c r="E7" i="8"/>
  <c r="E6" i="8"/>
  <c r="E10" i="8"/>
  <c r="E9" i="8"/>
  <c r="E12" i="8"/>
  <c r="N85" i="9"/>
  <c r="P85" i="9" s="1"/>
  <c r="C14" i="9"/>
  <c r="D10" i="19" a="1"/>
  <c r="D10" i="19" s="1"/>
  <c r="F49" i="9" a="1"/>
  <c r="F49" i="9" s="1"/>
  <c r="C14" i="19" a="1"/>
  <c r="C14" i="19" s="1"/>
  <c r="K84" i="9"/>
  <c r="Z5" i="9" s="1" a="1"/>
  <c r="Z5" i="9" s="1"/>
  <c r="C84" i="9"/>
  <c r="R5" i="9" s="1" a="1"/>
  <c r="R5" i="9" s="1"/>
  <c r="E84" i="9"/>
  <c r="T5" i="9" s="1" a="1"/>
  <c r="T5" i="9" s="1"/>
  <c r="G84" i="9"/>
  <c r="V5" i="9" s="1" a="1"/>
  <c r="V5" i="9" s="1"/>
  <c r="H84" i="9"/>
  <c r="W5" i="9" s="1" a="1"/>
  <c r="W5" i="9" s="1"/>
  <c r="F84" i="9"/>
  <c r="U5" i="9" s="1" a="1"/>
  <c r="U5" i="9" s="1"/>
  <c r="O49" i="9"/>
  <c r="N102" i="9"/>
  <c r="P102" i="9" s="1"/>
  <c r="N92" i="9"/>
  <c r="P92" i="9" s="1"/>
  <c r="N95" i="9"/>
  <c r="P95" i="9" s="1"/>
  <c r="N56" i="9"/>
  <c r="P56" i="9" s="1"/>
  <c r="N87" i="9"/>
  <c r="P87" i="9" s="1"/>
  <c r="C12" i="19" a="1"/>
  <c r="C12" i="19" s="1"/>
  <c r="N62" i="9"/>
  <c r="P62" i="9" s="1"/>
  <c r="N64" i="9"/>
  <c r="P64" i="9" s="1"/>
  <c r="AC27" i="9"/>
  <c r="N55" i="9"/>
  <c r="P55" i="9" s="1"/>
  <c r="N57" i="9"/>
  <c r="P57" i="9" s="1"/>
  <c r="N65" i="9"/>
  <c r="P65" i="9" s="1"/>
  <c r="AC21" i="9"/>
  <c r="N73" i="9"/>
  <c r="P73" i="9" s="1"/>
  <c r="AC9" i="9"/>
  <c r="AE9" i="9" s="1"/>
  <c r="C6" i="20" s="1"/>
  <c r="N66" i="9"/>
  <c r="P66" i="9" s="1"/>
  <c r="N54" i="9"/>
  <c r="P54" i="9" s="1"/>
  <c r="N52" i="9"/>
  <c r="P52" i="9" s="1"/>
  <c r="AC23" i="9"/>
  <c r="AE23" i="9" s="1"/>
  <c r="C20" i="20" s="1"/>
  <c r="N59" i="9"/>
  <c r="P59" i="9" s="1"/>
  <c r="N75" i="9"/>
  <c r="P75" i="9" s="1"/>
  <c r="V8" i="9" a="1"/>
  <c r="V8" i="9" s="1"/>
  <c r="AC8" i="9" s="1"/>
  <c r="AE8" i="9" s="1"/>
  <c r="C5" i="20" s="1"/>
  <c r="N103" i="9"/>
  <c r="P103" i="9" s="1"/>
  <c r="AC10" i="9"/>
  <c r="AE10" i="9" s="1"/>
  <c r="C7" i="20" s="1"/>
  <c r="N53" i="9"/>
  <c r="P53" i="9" s="1"/>
  <c r="E7" i="9" a="1"/>
  <c r="E7" i="9" s="1"/>
  <c r="C7" i="9"/>
  <c r="C13" i="9"/>
  <c r="E13" i="9"/>
  <c r="AC20" i="9"/>
  <c r="AE20" i="9" s="1"/>
  <c r="C17" i="20" s="1"/>
  <c r="N89" i="9"/>
  <c r="P89" i="9" s="1"/>
  <c r="N98" i="9"/>
  <c r="P98" i="9" s="1"/>
  <c r="N63" i="9"/>
  <c r="P63" i="9" s="1"/>
  <c r="C5" i="9"/>
  <c r="E5" i="9"/>
  <c r="N106" i="9"/>
  <c r="P106" i="9" s="1"/>
  <c r="E12" i="9"/>
  <c r="C12" i="9"/>
  <c r="C6" i="9"/>
  <c r="E6" i="9"/>
  <c r="C49" i="9" a="1"/>
  <c r="C49" i="9" s="1"/>
  <c r="N90" i="9"/>
  <c r="P90" i="9" s="1"/>
  <c r="N67" i="9"/>
  <c r="P67" i="9" s="1"/>
  <c r="N72" i="9"/>
  <c r="P72" i="9" s="1"/>
  <c r="AC28" i="9"/>
  <c r="AE28" i="9" s="1"/>
  <c r="C25" i="20" s="1"/>
  <c r="N100" i="9"/>
  <c r="P100" i="9" s="1"/>
  <c r="E49" i="9" a="1"/>
  <c r="E49" i="9" s="1"/>
  <c r="X13" i="9" a="1"/>
  <c r="X13" i="9" s="1"/>
  <c r="AC13" i="9" s="1"/>
  <c r="AE13" i="9" s="1"/>
  <c r="C10" i="20" s="1"/>
  <c r="C16" i="9"/>
  <c r="E16" i="9"/>
  <c r="AC24" i="9"/>
  <c r="N107" i="9"/>
  <c r="P107" i="9" s="1"/>
  <c r="N99" i="9"/>
  <c r="P99" i="9" s="1"/>
  <c r="W6" i="9" a="1"/>
  <c r="W6" i="9" s="1"/>
  <c r="AC6" i="9" s="1"/>
  <c r="AE6" i="9" s="1"/>
  <c r="C3" i="20" s="1"/>
  <c r="N109" i="9"/>
  <c r="P109" i="9" s="1"/>
  <c r="K49" i="9" a="1"/>
  <c r="K49" i="9" s="1"/>
  <c r="M49" i="9" a="1"/>
  <c r="M49" i="9" s="1"/>
  <c r="B2" i="9"/>
  <c r="L84" i="9"/>
  <c r="AA5" i="9" s="1" a="1"/>
  <c r="AA5" i="9" s="1"/>
  <c r="I49" i="9" a="1"/>
  <c r="I49" i="9" s="1"/>
  <c r="L49" i="9" a="1"/>
  <c r="L49" i="9" s="1"/>
  <c r="J49" i="9" a="1"/>
  <c r="J49" i="9" s="1"/>
  <c r="C17" i="9"/>
  <c r="E17" i="9"/>
  <c r="N50" i="9"/>
  <c r="P50" i="9" s="1"/>
  <c r="N88" i="9"/>
  <c r="P88" i="9" s="1"/>
  <c r="N70" i="9"/>
  <c r="P70" i="9" s="1"/>
  <c r="C11" i="9"/>
  <c r="E11" i="9"/>
  <c r="N58" i="9"/>
  <c r="P58" i="9" s="1"/>
  <c r="E3" i="9"/>
  <c r="N61" i="9"/>
  <c r="P61" i="9" s="1"/>
  <c r="N86" i="9"/>
  <c r="P86" i="9" s="1"/>
  <c r="AC19" i="9"/>
  <c r="AE19" i="9" s="1"/>
  <c r="C16" i="20" s="1"/>
  <c r="AC16" i="9"/>
  <c r="AE16" i="9" s="1"/>
  <c r="C13" i="20" s="1"/>
  <c r="AC11" i="9"/>
  <c r="AE11" i="9" s="1"/>
  <c r="C8" i="20" s="1"/>
  <c r="N60" i="9"/>
  <c r="P60" i="9" s="1"/>
  <c r="AE32" i="9"/>
  <c r="N68" i="9"/>
  <c r="P68" i="9" s="1"/>
  <c r="AC17" i="9"/>
  <c r="AE17" i="9" s="1"/>
  <c r="C14" i="20" s="1"/>
  <c r="AC30" i="9"/>
  <c r="N74" i="9"/>
  <c r="P74" i="9" s="1"/>
  <c r="D8" i="19" a="1"/>
  <c r="D8" i="19" s="1"/>
  <c r="AC15" i="9"/>
  <c r="C4" i="9"/>
  <c r="E4" i="9"/>
  <c r="Y22" i="9" a="1"/>
  <c r="Y22" i="9" s="1"/>
  <c r="AC22" i="9" s="1"/>
  <c r="AE22" i="9" s="1"/>
  <c r="C19" i="20" s="1"/>
  <c r="N101" i="9"/>
  <c r="P101" i="9" s="1"/>
  <c r="E18" i="19" a="1"/>
  <c r="E18" i="19" s="1"/>
  <c r="D14" i="19" a="1"/>
  <c r="D14" i="19" s="1"/>
  <c r="X18" i="9" a="1"/>
  <c r="X18" i="9" s="1"/>
  <c r="AC18" i="9" s="1"/>
  <c r="AE18" i="9" s="1"/>
  <c r="C15" i="20" s="1"/>
  <c r="N97" i="9"/>
  <c r="P97" i="9" s="1"/>
  <c r="N69" i="9"/>
  <c r="P69" i="9" s="1"/>
  <c r="C9" i="9"/>
  <c r="E9" i="9"/>
  <c r="N91" i="9"/>
  <c r="P91" i="9" s="1"/>
  <c r="N110" i="9"/>
  <c r="P110" i="9" s="1"/>
  <c r="V31" i="9" a="1"/>
  <c r="V31" i="9" s="1"/>
  <c r="AC31" i="9" s="1"/>
  <c r="AE31" i="9" s="1"/>
  <c r="C28" i="20" s="1"/>
  <c r="C15" i="9"/>
  <c r="E15" i="9"/>
  <c r="AC25" i="9"/>
  <c r="AE25" i="9" s="1"/>
  <c r="C22" i="20" s="1"/>
  <c r="N71" i="9"/>
  <c r="P71" i="9" s="1"/>
  <c r="X14" i="9" a="1"/>
  <c r="X14" i="9" s="1"/>
  <c r="AC14" i="9" s="1"/>
  <c r="N93" i="9"/>
  <c r="P93" i="9" s="1"/>
  <c r="Y26" i="9" a="1"/>
  <c r="Y26" i="9" s="1"/>
  <c r="AC26" i="9" s="1"/>
  <c r="AE26" i="9" s="1"/>
  <c r="C23" i="20" s="1"/>
  <c r="N105" i="9"/>
  <c r="P105" i="9" s="1"/>
  <c r="E10" i="9"/>
  <c r="C10" i="9"/>
  <c r="N104" i="9"/>
  <c r="P104" i="9" s="1"/>
  <c r="AE35" i="9"/>
  <c r="A2" i="20"/>
  <c r="D12" i="19" a="1"/>
  <c r="D12" i="19" s="1"/>
  <c r="N51" i="9"/>
  <c r="P51" i="9" s="1"/>
  <c r="N94" i="9"/>
  <c r="P94" i="9" s="1"/>
  <c r="AC12" i="9"/>
  <c r="N96" i="9"/>
  <c r="P96" i="9" s="1"/>
  <c r="W29" i="9" a="1"/>
  <c r="W29" i="9" s="1"/>
  <c r="AC29" i="9" s="1"/>
  <c r="N108" i="9"/>
  <c r="P108" i="9" s="1"/>
  <c r="H98" i="1"/>
  <c r="H65" i="1"/>
  <c r="H100" i="1"/>
  <c r="H90" i="1"/>
  <c r="H64" i="1"/>
  <c r="H61" i="1"/>
  <c r="H78" i="1"/>
  <c r="H72" i="1"/>
  <c r="H87" i="1"/>
  <c r="H88" i="1"/>
  <c r="H105" i="1"/>
  <c r="H80" i="1"/>
  <c r="H76" i="1"/>
  <c r="H71" i="1"/>
  <c r="H73" i="1"/>
  <c r="B22" i="20"/>
  <c r="N7" i="17"/>
  <c r="P7" i="17" s="1"/>
  <c r="C12" i="10"/>
  <c r="D226" i="17"/>
  <c r="F226" i="17" s="1"/>
  <c r="P114" i="9"/>
  <c r="P111" i="9"/>
  <c r="AD15" i="9"/>
  <c r="B12" i="20" s="1"/>
  <c r="AD27" i="9"/>
  <c r="B24" i="20" s="1"/>
  <c r="AD14" i="9"/>
  <c r="AE33" i="9"/>
  <c r="AD29" i="9"/>
  <c r="AD12" i="9"/>
  <c r="B9" i="20" s="1"/>
  <c r="AD36" i="9"/>
  <c r="P115" i="9"/>
  <c r="AD24" i="9"/>
  <c r="B21" i="20" s="1"/>
  <c r="AD21" i="9"/>
  <c r="B18" i="20" s="1"/>
  <c r="AD30" i="9"/>
  <c r="B27" i="20" s="1"/>
  <c r="F38" i="18"/>
  <c r="E11" i="8"/>
  <c r="C14" i="8"/>
  <c r="C4" i="10" s="1"/>
  <c r="C15" i="10" s="1"/>
  <c r="C17" i="10" s="1"/>
  <c r="AC7" i="9"/>
  <c r="AE7" i="9" s="1"/>
  <c r="C4" i="20" s="1"/>
  <c r="N84" i="9" l="1"/>
  <c r="P84" i="9" s="1"/>
  <c r="E14" i="19"/>
  <c r="AC5" i="9"/>
  <c r="AE5" i="9" s="1"/>
  <c r="C2" i="20" s="1"/>
  <c r="E12" i="19"/>
  <c r="N49" i="9"/>
  <c r="P49" i="9" s="1"/>
  <c r="E2" i="9"/>
  <c r="C2" i="9"/>
  <c r="C21" i="9"/>
  <c r="C19" i="10"/>
  <c r="E20" i="19" a="1"/>
  <c r="E20" i="19" s="1"/>
  <c r="K5" i="17"/>
  <c r="K6" i="17" s="1"/>
  <c r="AE27" i="9"/>
  <c r="C24" i="20" s="1"/>
  <c r="AE15" i="9"/>
  <c r="C12" i="20" s="1"/>
  <c r="B26" i="20"/>
  <c r="AE29" i="9"/>
  <c r="C26" i="20" s="1"/>
  <c r="B11" i="20"/>
  <c r="AE14" i="9"/>
  <c r="C11" i="20" s="1"/>
  <c r="AE12" i="9"/>
  <c r="C9" i="20" s="1"/>
  <c r="AE24" i="9"/>
  <c r="C21" i="20" s="1"/>
  <c r="AE21" i="9"/>
  <c r="C18" i="20" s="1"/>
  <c r="AE30" i="9"/>
  <c r="C27" i="20" s="1"/>
  <c r="E16" i="19" l="1"/>
  <c r="C23" i="9"/>
  <c r="C3" i="10" s="1"/>
  <c r="C5" i="10" s="1"/>
  <c r="F21" i="10" s="1"/>
  <c r="C11" i="10" l="1"/>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<sst xmlns="http://schemas.openxmlformats.org/spreadsheetml/2006/main" count="1505" uniqueCount="356">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</sst>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27">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cellXfs>
  <cellStyles count="2">
    <cellStyle name="Comma" xfId="1" builtinId="3"/>
    <cellStyle name="Normal" xfId="0" builtinId="0"/>
  </cellStyles>
  <dxfs count="134">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585495</xdr:colOff>
      <xdr:row>7</xdr:row>
      <xdr:rowOff>43181</xdr:rowOff>
    </xdr:from>
    <xdr:to>
      <xdr:col>13</xdr:col>
      <xdr:colOff>470937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283784</xdr:colOff>
      <xdr:row>12</xdr:row>
      <xdr:rowOff>138748</xdr:rowOff>
    </xdr:from>
    <xdr:to>
      <xdr:col>14</xdr:col>
      <xdr:colOff>606680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17</xdr:row>
      <xdr:rowOff>152401</xdr:rowOff>
    </xdr:from>
    <xdr:to>
      <xdr:col>11</xdr:col>
      <xdr:colOff>41514</xdr:colOff>
      <xdr:row>24</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7691062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2430555" createdVersion="8" refreshedVersion="8" minRefreshableVersion="3" recordCount="112" xr:uid="{46CBB50D-3613-4E5B-8212-DD0313DCD05A}">
  <cacheSource type="worksheet">
    <worksheetSource name="Table1"/>
  </cacheSource>
  <cacheFields count="14">
    <cacheField name="Date" numFmtId="0">
      <sharedItems containsSemiMixedTypes="0" containsNonDate="0" containsDate="1" containsString="0" minDate="2025-11-18T00:00:00" maxDate="2025-12-31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256" maxValue="1308"/>
    </cacheField>
    <cacheField name="Quality" numFmtId="0">
      <sharedItems/>
    </cacheField>
    <cacheField name="Shipment Number" numFmtId="164">
      <sharedItems containsBlank="1" containsMixedTypes="1" containsNumber="1" containsInteger="1" minValue="1558" maxValue="17000" count="350">
        <m/>
        <n v="1971"/>
        <n v="1951"/>
        <n v="1934"/>
        <n v="1924"/>
        <n v="1835"/>
        <n v="1628"/>
        <n v="1958"/>
        <n v="1987"/>
        <n v="1974"/>
        <n v="1972"/>
        <n v="1982"/>
        <n v="1986"/>
        <n v="1981"/>
        <n v="1954"/>
        <n v="1948"/>
        <n v="1947"/>
        <n v="1985"/>
        <n v="1983"/>
        <n v="1984"/>
        <s v="1997+1988"/>
        <n v="1993"/>
        <n v="1775"/>
        <n v="1941"/>
        <n v="2000"/>
        <n v="1995"/>
        <n v="1992"/>
        <n v="1718"/>
        <n v="1990"/>
        <n v="1989"/>
        <n v="200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709.74639999999999" maxValue="52476"/>
    </cacheField>
    <cacheField name="shortage %" numFmtId="165">
      <sharedItems containsMixedTypes="1" containsNumber="1" minValue="0.1052719730907512" maxValue="87.268730311889087"/>
    </cacheField>
    <cacheField name="tiyar/meters" numFmtId="165">
      <sharedItems containsString="0" containsBlank="1" containsNumber="1" minValue="0" maxValue="2035507.4981711779"/>
    </cacheField>
    <cacheField name="billing" numFmtId="165">
      <sharedItems containsSemiMixedTypes="0" containsString="0"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2893517"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2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150000"/>
    </cacheField>
    <cacheField name="Balance" numFmtId="0">
      <sharedItems containsSemiMixedTypes="0" containsString="0" containsNumber="1" containsInteger="1" minValue="-150000" maxValue="351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3009263" createdVersion="8" refreshedVersion="8" minRefreshableVersion="3" recordCount="51" xr:uid="{3E5C2981-ACF5-44A9-8567-B1D65DB3A8D2}">
  <cacheSource type="worksheet">
    <worksheetSource name="Table3"/>
  </cacheSource>
  <cacheFields count="9">
    <cacheField name="Date" numFmtId="14">
      <sharedItems containsNonDate="0" containsDate="1" containsString="0" containsBlank="1" minDate="2025-05-02T00:00:00" maxDate="2025-12-30T00:00:00" count="148">
        <d v="2025-12-17T00:00:00"/>
        <d v="2025-12-18T00:00:00"/>
        <d v="2025-12-19T00:00:00"/>
        <d v="2025-12-20T00:00:00"/>
        <d v="2025-12-22T00:00:00"/>
        <d v="2025-12-21T00:00:00"/>
        <d v="2025-12-23T00:00:00"/>
        <d v="2025-12-24T00:00:00"/>
        <d v="2025-12-25T00:00:00"/>
        <m/>
        <d v="2025-12-26T00:00:00"/>
        <d v="2025-12-27T00:00:00"/>
        <d v="2025-12-29T00:00:00"/>
        <d v="2025-12-28T00:00:00"/>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2">
        <s v="Malik Zaheer"/>
        <s v="Aqib"/>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4">
        <s v="Closing Balance CF"/>
        <s v="TKL 364"/>
        <n v="9662"/>
        <s v="LES 9718"/>
        <s v="APL"/>
        <m/>
        <n v="2223"/>
        <s v="LEI 2223"/>
        <s v="-"/>
        <s v="LEJ 9662"/>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5" maxValue="252"/>
    </cacheField>
    <cacheField name="Rate" numFmtId="164">
      <sharedItems containsString="0" containsBlank="1" containsNumber="1" containsInteger="1" minValue="580" maxValue="850"/>
    </cacheField>
    <cacheField name="Rent" numFmtId="164">
      <sharedItems containsString="0" containsBlank="1" containsNumber="1" containsInteger="1" minValue="53250" maxValue="53250"/>
    </cacheField>
    <cacheField name="Total" numFmtId="164">
      <sharedItems containsSemiMixedTypes="0" containsString="0" containsNumber="1" containsInteger="1" minValue="0" maxValue="207400"/>
    </cacheField>
    <cacheField name="Paid" numFmtId="164">
      <sharedItems containsString="0" containsBlank="1" containsNumber="1" containsInteger="1" minValue="0" maxValue="201000"/>
    </cacheField>
    <cacheField name="balance" numFmtId="164">
      <sharedItems containsSemiMixedTypes="0" containsString="0" containsNumber="1" containsInteger="1" minValue="-201000" maxValue="154625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3125001" createdVersion="8" refreshedVersion="8" minRefreshableVersion="3" recordCount="10" xr:uid="{AC867DCC-CE64-4D1A-827D-F1F3EE10EE4E}">
  <cacheSource type="worksheet">
    <worksheetSource name="Table8"/>
  </cacheSource>
  <cacheFields count="9">
    <cacheField name="Date" numFmtId="0">
      <sharedItems containsSemiMixedTypes="0" containsNonDate="0" containsDate="1" containsString="0" minDate="2025-05-16T00:00:00" maxDate="2025-12-30T00:00:00" count="57">
        <d v="2025-12-17T00:00:00"/>
        <d v="2025-12-18T00:00:00"/>
        <d v="2025-12-22T00:00:00"/>
        <d v="2025-12-26T00:00:00"/>
        <d v="2025-12-25T00:00:00"/>
        <d v="2025-12-27T00:00:00"/>
        <d v="2025-12-29T00:00:00"/>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84000" maxValue="183750"/>
    </cacheField>
    <cacheField name="Party" numFmtId="0">
      <sharedItems containsBlank="1" count="8">
        <s v="Unicolour"/>
        <s v="madina dyes"/>
        <s v="General Dyes"/>
        <s v="Shafi Dyes"/>
        <s v="usman shafiq Dyes"/>
        <m u="1"/>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0" maxValue="34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32407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200789.02926115584"/>
    </cacheField>
    <cacheField name="Rate" numFmtId="0">
      <sharedItems containsString="0" containsBlank="1" containsNumber="1" minValue="10" maxValue="12"/>
    </cacheField>
    <cacheField name="Total" numFmtId="164">
      <sharedItems containsSemiMixedTypes="0" containsString="0" containsNumber="1" minValue="0" maxValue="1579608.6320409658"/>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3472225" createdVersion="8" refreshedVersion="8" minRefreshableVersion="3" recordCount="216" xr:uid="{B5BDFB73-D93A-4A7A-8149-666BC190B09B}">
  <cacheSource type="worksheet">
    <worksheetSource name="Table14"/>
  </cacheSource>
  <cacheFields count="7">
    <cacheField name="Date" numFmtId="14">
      <sharedItems containsNonDate="0" containsDate="1" containsString="0" containsBlank="1" minDate="2025-12-17T00:00:00" maxDate="2025-12-31T00:00:00"/>
    </cacheField>
    <cacheField name="Party" numFmtId="0">
      <sharedItems containsBlank="1" count="78">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temp"/>
        <s v="shehzad kamoki"/>
        <s v="sufi nawaz sahab"/>
        <m/>
        <s v="Closing October CF" u="1"/>
        <s v="Aurangzeb" u="1"/>
        <s v="BSC" u="1"/>
        <s v="Finish" u="1"/>
        <s v="Amjad Sohail" u="1"/>
        <s v="Haseeb Shamsi" u="1"/>
        <s v="Ashraf Zia" u="1"/>
        <s v="General Dyes" u="1"/>
        <s v="Faizan" u="1"/>
        <s v="abid ghafoor" u="1"/>
        <s v="Zia-ullah karachi" u="1"/>
        <s v="Ishaq" u="1"/>
        <s v="Unicolour" u="1"/>
        <s v="ibraheem behraam" u="1"/>
        <s v="Shafi Dyes" u="1"/>
        <s v="Ubaidullah" u="1"/>
        <s v="Hameed corporation" u="1"/>
        <s v="Raaz fabrics" u="1"/>
        <s v="ZA" u="1"/>
        <s v="Zia-ullah" u="1"/>
        <s v="Closing September CF" u="1"/>
        <s v="copper" u="1"/>
        <s v="sunsuper theka" u="1"/>
        <s v="Dyes"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79106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32388.44184345281"/>
    <m/>
  </r>
  <r>
    <d v="2025-12-22T00:00:00"/>
    <x v="0"/>
    <n v="1264"/>
    <s v="crinkle"/>
    <x v="6"/>
    <n v="48198"/>
    <n v="10049"/>
    <n v="20.99845209954924"/>
    <n v="9188.9173372348214"/>
    <n v="91889.173372348218"/>
    <m/>
  </r>
  <r>
    <d v="2025-12-22T00:00:00"/>
    <x v="11"/>
    <n v="1265"/>
    <s v="crinkle"/>
    <x v="5"/>
    <n v="50010"/>
    <n v="25349"/>
    <n v="7.1820602960607403"/>
    <n v="23179.407461594736"/>
    <n v="231794.07461594735"/>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56.820961192156666"/>
    <n v="4427.5786393562548"/>
    <n v="57558.522311631314"/>
    <m/>
  </r>
  <r>
    <d v="2025-12-26T00:00:00"/>
    <x v="2"/>
    <n v="1281"/>
    <s v="Silky"/>
    <x v="15"/>
    <n v="20882"/>
    <n v="3112"/>
    <n v="86.372725777835356"/>
    <n v="2845.6474030724216"/>
    <n v="36993.416239941478"/>
    <m/>
  </r>
  <r>
    <d v="2025-12-26T00:00:00"/>
    <x v="2"/>
    <n v="1282"/>
    <s v="Silky"/>
    <x v="16"/>
    <n v="11427"/>
    <n v="6074"/>
    <n v="51.39465180485725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4332"/>
    <n v="1.5178395094718695"/>
    <n v="3961.2289685442579"/>
    <n v="47534.747622531097"/>
    <m/>
  </r>
  <r>
    <d v="2025-12-29T00:00:00"/>
    <x v="20"/>
    <s v="1296-b"/>
    <s v="Chamki"/>
    <x v="19"/>
    <n v="28662"/>
    <n v="4276"/>
    <n v="1.5178395094718695"/>
    <n v="3910.0219458668621"/>
    <n v="39100.219458668624"/>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4.7627979595792169"/>
    <n v="14825.347476225312"/>
    <n v="148253.47476225311"/>
    <m/>
  </r>
  <r>
    <d v="2025-12-30T00:00:00"/>
    <x v="10"/>
    <n v="1303"/>
    <s v="Chamki"/>
    <x v="26"/>
    <n v="27665"/>
    <n v="13642"/>
    <n v="4.7627979595792169"/>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29.755226469774399"/>
    <n v="32088.514996342357"/>
    <n v="320885.14996342355"/>
    <m/>
  </r>
  <r>
    <d v="2025-12-30T00:00:00"/>
    <x v="0"/>
    <n v="1307"/>
    <s v="Chamki"/>
    <x v="29"/>
    <n v="61388"/>
    <n v="8547"/>
    <n v="87.268730311889087"/>
    <n v="7815.471836137528"/>
    <n v="78154.718361375286"/>
    <m/>
  </r>
  <r>
    <d v="2025-12-30T00:00:00"/>
    <x v="3"/>
    <n v="1308"/>
    <s v="Chamki"/>
    <x v="30"/>
    <n v="8245"/>
    <n v="8850"/>
    <n v="1.8491400210186981"/>
    <n v="8092.5384052670088"/>
    <n v="84971.653255303594"/>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0"/>
    <s v="Starch"/>
    <n v="45"/>
    <m/>
    <n v="351000"/>
    <n v="0"/>
    <n v="351000"/>
  </r>
  <r>
    <d v="2025-12-23T00:00:00"/>
    <x v="1"/>
    <s v="PVA"/>
    <m/>
    <m/>
    <n v="0"/>
    <n v="150000"/>
    <n v="-15000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1">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580"/>
    <m/>
    <n v="69600"/>
    <n v="150000"/>
    <n v="-804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n v="135"/>
    <n v="580"/>
    <m/>
    <n v="78300"/>
    <m/>
    <n v="78300"/>
  </r>
  <r>
    <x v="11"/>
    <x v="6"/>
    <x v="7"/>
    <n v="201"/>
    <n v="820"/>
    <m/>
    <n v="164820"/>
    <m/>
    <n v="164820"/>
  </r>
  <r>
    <x v="11"/>
    <x v="8"/>
    <x v="5"/>
    <m/>
    <m/>
    <m/>
    <n v="0"/>
    <n v="45000"/>
    <n v="-45000"/>
  </r>
  <r>
    <x v="11"/>
    <x v="7"/>
    <x v="5"/>
    <m/>
    <m/>
    <m/>
    <n v="0"/>
    <n v="40000"/>
    <n v="-40000"/>
  </r>
  <r>
    <x v="11"/>
    <x v="3"/>
    <x v="9"/>
    <n v="128"/>
    <n v="580"/>
    <m/>
    <n v="74240"/>
    <m/>
    <n v="74240"/>
  </r>
  <r>
    <x v="12"/>
    <x v="3"/>
    <x v="5"/>
    <m/>
    <m/>
    <m/>
    <n v="0"/>
    <n v="100000"/>
    <n v="-100000"/>
  </r>
  <r>
    <x v="13"/>
    <x v="6"/>
    <x v="5"/>
    <m/>
    <m/>
    <m/>
    <n v="0"/>
    <n v="0"/>
    <n v="0"/>
  </r>
  <r>
    <x v="9"/>
    <x v="9"/>
    <x v="5"/>
    <m/>
    <m/>
    <m/>
    <n v="0"/>
    <m/>
    <n v="0"/>
  </r>
  <r>
    <x v="9"/>
    <x v="9"/>
    <x v="5"/>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00789.02926115584"/>
    <n v="10"/>
    <n v="1579608.6320409658"/>
  </r>
  <r>
    <x v="1"/>
    <n v="34084.674469641555"/>
    <n v="10"/>
    <n v="409016.09363569866"/>
  </r>
  <r>
    <x v="2"/>
    <n v="66135.698610095104"/>
    <n v="10"/>
    <n v="687011.70446232636"/>
  </r>
  <r>
    <x v="3"/>
    <n v="8092.5384052670088"/>
    <n v="10.5"/>
    <n v="84971.653255303594"/>
  </r>
  <r>
    <x v="4"/>
    <n v="23995.976591075349"/>
    <n v="10"/>
    <n v="0"/>
  </r>
  <r>
    <x v="5"/>
    <n v="0"/>
    <n v="10"/>
    <n v="0"/>
  </r>
  <r>
    <x v="6"/>
    <n v="23250.731528895394"/>
    <n v="10"/>
    <n v="232507.31528895395"/>
  </r>
  <r>
    <x v="7"/>
    <n v="94839.978054133142"/>
    <n v="10"/>
    <n v="948399.78054133139"/>
  </r>
  <r>
    <x v="8"/>
    <n v="0"/>
    <n v="10"/>
    <n v="0"/>
  </r>
  <r>
    <x v="9"/>
    <n v="0"/>
    <n v="12"/>
    <n v="0"/>
  </r>
  <r>
    <x v="10"/>
    <n v="77208.302852962704"/>
    <m/>
    <n v="772083.02852962702"/>
  </r>
  <r>
    <x v="11"/>
    <n v="108264.44769568399"/>
    <m/>
    <n v="618461.96049743972"/>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d v="2025-12-17T00:00:00"/>
    <x v="0"/>
    <m/>
    <n v="77910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29"/>
    <m/>
    <n v="68900"/>
    <s v="Pending"/>
    <s v="Bank"/>
    <m/>
  </r>
  <r>
    <d v="2025-12-30T00:00:00"/>
    <x v="6"/>
    <m/>
    <n v="194000"/>
    <m/>
    <s v="Bank"/>
    <m/>
  </r>
  <r>
    <d v="2025-12-30T00:00:00"/>
    <x v="21"/>
    <m/>
    <n v="100000"/>
    <s v="TID:310854"/>
    <s v="Bank"/>
    <m/>
  </r>
  <r>
    <d v="2025-12-30T00:00:00"/>
    <x v="21"/>
    <m/>
    <n v="100000"/>
    <s v="cash"/>
    <s v="Bank"/>
    <m/>
  </r>
  <r>
    <d v="2025-12-30T00:00:00"/>
    <x v="30"/>
    <m/>
    <n v="84970"/>
    <m/>
    <s v="Bank"/>
    <m/>
  </r>
  <r>
    <d v="2025-12-30T00:00:00"/>
    <x v="1"/>
    <n v="1183"/>
    <m/>
    <m/>
    <s v="Bank"/>
    <m/>
  </r>
  <r>
    <d v="2025-12-30T00:00:00"/>
    <x v="10"/>
    <n v="200401"/>
    <m/>
    <s v="TID:618716"/>
    <s v="Bank"/>
    <m/>
  </r>
  <r>
    <d v="2025-12-30T00:00:00"/>
    <x v="31"/>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29"/>
    <n v="14000"/>
    <m/>
    <s v="Salary//unresolved sabir"/>
    <s v="Bank"/>
    <m/>
  </r>
  <r>
    <d v="2025-12-30T00:00:00"/>
    <x v="9"/>
    <n v="5250"/>
    <m/>
    <m/>
    <s v="Bank"/>
    <m/>
  </r>
  <r>
    <d v="2025-12-30T00:00:00"/>
    <x v="9"/>
    <n v="3500"/>
    <m/>
    <s v="bulbs x10"/>
    <s v="Bank"/>
    <m/>
  </r>
  <r>
    <d v="2025-12-30T00:00:00"/>
    <x v="1"/>
    <n v="100000"/>
    <m/>
    <s v="100k transfer"/>
    <s v="Bank"/>
    <m/>
  </r>
  <r>
    <d v="2025-12-30T00:00:00"/>
    <x v="32"/>
    <m/>
    <m/>
    <m/>
    <m/>
    <m/>
  </r>
  <r>
    <m/>
    <x v="32"/>
    <m/>
    <m/>
    <m/>
    <m/>
    <m/>
  </r>
  <r>
    <m/>
    <x v="32"/>
    <m/>
    <m/>
    <m/>
    <m/>
    <m/>
  </r>
  <r>
    <m/>
    <x v="32"/>
    <m/>
    <m/>
    <m/>
    <m/>
    <m/>
  </r>
  <r>
    <m/>
    <x v="32"/>
    <m/>
    <m/>
    <m/>
    <m/>
    <m/>
  </r>
  <r>
    <m/>
    <x v="32"/>
    <m/>
    <m/>
    <m/>
    <m/>
    <m/>
  </r>
  <r>
    <m/>
    <x v="32"/>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3">
      <pivotArea field="0" grandRow="1" outline="0" collapsedLevelsAreSubtotals="1" axis="axisRow" fieldPosition="0">
        <references count="1">
          <reference field="4294967294" count="1" selected="0">
            <x v="1"/>
          </reference>
        </references>
      </pivotArea>
    </format>
    <format dxfId="132">
      <pivotArea field="0" grandRow="1" outline="0" collapsedLevelsAreSubtotals="1" axis="axisRow" fieldPosition="0">
        <references count="1">
          <reference field="4294967294" count="1" selected="0">
            <x v="0"/>
          </reference>
        </references>
      </pivotArea>
    </format>
    <format dxfId="131">
      <pivotArea collapsedLevelsAreSubtotals="1" fieldPosition="0">
        <references count="2">
          <reference field="4294967294" count="1" selected="0">
            <x v="1"/>
          </reference>
          <reference field="0" count="0"/>
        </references>
      </pivotArea>
    </format>
    <format dxfId="130">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8" firstHeaderRow="0" firstDataRow="1" firstDataCol="1" rowPageCount="1" colPageCount="1"/>
  <pivotFields count="9">
    <pivotField axis="axisRow" numFmtId="14" showAll="0">
      <items count="149">
        <item m="1" x="132"/>
        <item m="1" x="133"/>
        <item m="1" x="134"/>
        <item m="1" x="135"/>
        <item m="1" x="136"/>
        <item m="1" x="137"/>
        <item m="1" x="138"/>
        <item m="1" x="147"/>
        <item m="1" x="128"/>
        <item m="1" x="139"/>
        <item m="1" x="140"/>
        <item m="1" x="141"/>
        <item m="1" x="142"/>
        <item m="1" x="143"/>
        <item m="1" x="144"/>
        <item m="1" x="145"/>
        <item m="1" x="99"/>
        <item m="1" x="100"/>
        <item m="1" x="146"/>
        <item m="1" x="101"/>
        <item m="1" x="98"/>
        <item m="1" x="102"/>
        <item m="1" x="104"/>
        <item m="1" x="105"/>
        <item m="1" x="106"/>
        <item m="1" x="108"/>
        <item m="1" x="109"/>
        <item m="1" x="110"/>
        <item m="1" x="103"/>
        <item m="1" x="107"/>
        <item m="1" x="111"/>
        <item m="1" x="112"/>
        <item m="1" x="113"/>
        <item m="1" x="114"/>
        <item m="1" x="97"/>
        <item m="1" x="115"/>
        <item m="1" x="129"/>
        <item m="1" x="130"/>
        <item m="1" x="131"/>
        <item m="1" x="116"/>
        <item m="1" x="117"/>
        <item m="1" x="118"/>
        <item m="1" x="119"/>
        <item m="1" x="120"/>
        <item m="1" x="121"/>
        <item m="1" x="122"/>
        <item m="1" x="123"/>
        <item m="1" x="124"/>
        <item m="1" x="125"/>
        <item m="1" x="126"/>
        <item m="1" x="127"/>
        <item m="1" x="68"/>
        <item m="1" x="69"/>
        <item m="1" x="70"/>
        <item m="1" x="71"/>
        <item m="1" x="72"/>
        <item m="1" x="73"/>
        <item m="1" x="74"/>
        <item m="1" x="75"/>
        <item m="1" x="77"/>
        <item m="1" x="78"/>
        <item m="1" x="79"/>
        <item m="1" x="76"/>
        <item m="1" x="80"/>
        <item m="1" x="81"/>
        <item m="1" x="82"/>
        <item m="1" x="83"/>
        <item m="1" x="84"/>
        <item m="1" x="85"/>
        <item m="1" x="86"/>
        <item m="1" x="87"/>
        <item m="1" x="88"/>
        <item m="1" x="89"/>
        <item m="1" x="90"/>
        <item m="1" x="91"/>
        <item m="1" x="92"/>
        <item m="1" x="93"/>
        <item m="1" x="94"/>
        <item m="1" x="95"/>
        <item m="1" x="96"/>
        <item m="1" x="14"/>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15"/>
        <item m="1" x="18"/>
        <item m="1" x="16"/>
        <item m="1" x="17"/>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x="0"/>
        <item x="1"/>
        <item x="2"/>
        <item x="3"/>
        <item x="4"/>
        <item x="5"/>
        <item x="6"/>
        <item x="7"/>
        <item x="9"/>
        <item x="8"/>
        <item x="10"/>
        <item x="11"/>
        <item x="12"/>
        <item x="13"/>
        <item t="default"/>
      </items>
    </pivotField>
    <pivotField axis="axisPage" showAll="0">
      <items count="13">
        <item x="1"/>
        <item x="0"/>
        <item x="9"/>
        <item m="1" x="11"/>
        <item x="2"/>
        <item x="3"/>
        <item x="4"/>
        <item m="1" x="10"/>
        <item x="5"/>
        <item x="6"/>
        <item x="7"/>
        <item x="8"/>
        <item t="default"/>
      </items>
    </pivotField>
    <pivotField axis="axisRow" showAll="0">
      <items count="65">
        <item m="1" x="54"/>
        <item m="1" x="38"/>
        <item m="1" x="50"/>
        <item m="1" x="20"/>
        <item m="1" x="55"/>
        <item m="1" x="56"/>
        <item m="1" x="51"/>
        <item m="1" x="52"/>
        <item m="1" x="53"/>
        <item m="1" x="31"/>
        <item m="1" x="57"/>
        <item m="1" x="58"/>
        <item m="1" x="59"/>
        <item m="1" x="60"/>
        <item m="1" x="61"/>
        <item m="1" x="62"/>
        <item m="1" x="27"/>
        <item m="1" x="28"/>
        <item m="1" x="63"/>
        <item m="1" x="29"/>
        <item x="0"/>
        <item m="1" x="30"/>
        <item m="1" x="32"/>
        <item m="1" x="33"/>
        <item m="1" x="34"/>
        <item m="1" x="35"/>
        <item m="1" x="36"/>
        <item m="1" x="37"/>
        <item m="1" x="39"/>
        <item m="1" x="40"/>
        <item m="1" x="22"/>
        <item m="1" x="41"/>
        <item m="1" x="42"/>
        <item m="1" x="43"/>
        <item m="1" x="26"/>
        <item m="1" x="44"/>
        <item m="1" x="45"/>
        <item m="1" x="24"/>
        <item m="1" x="46"/>
        <item m="1" x="47"/>
        <item m="1" x="48"/>
        <item m="1" x="49"/>
        <item m="1" x="12"/>
        <item m="1" x="13"/>
        <item m="1" x="14"/>
        <item m="1" x="15"/>
        <item m="1" x="16"/>
        <item m="1" x="17"/>
        <item m="1" x="18"/>
        <item m="1" x="19"/>
        <item m="1" x="21"/>
        <item m="1" x="23"/>
        <item m="1" x="25"/>
        <item m="1" x="11"/>
        <item x="5"/>
        <item x="1"/>
        <item x="2"/>
        <item m="1" x="10"/>
        <item x="3"/>
        <item x="4"/>
        <item x="6"/>
        <item x="7"/>
        <item x="8"/>
        <item x="9"/>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0">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7" firstHeaderRow="0" firstDataRow="1" firstDataCol="1"/>
  <pivotFields count="7">
    <pivotField numFmtId="14" showAll="0"/>
    <pivotField axis="axisRow" showAll="0">
      <items count="79">
        <item x="15"/>
        <item x="19"/>
        <item m="1" x="35"/>
        <item m="1" x="64"/>
        <item m="1" x="68"/>
        <item m="1" x="36"/>
        <item x="5"/>
        <item x="16"/>
        <item x="9"/>
        <item x="26"/>
        <item x="4"/>
        <item m="1" x="76"/>
        <item x="30"/>
        <item x="17"/>
        <item x="24"/>
        <item m="1" x="74"/>
        <item x="2"/>
        <item x="29"/>
        <item x="1"/>
        <item x="28"/>
        <item x="32"/>
        <item x="22"/>
        <item m="1" x="77"/>
        <item x="31"/>
        <item x="8"/>
        <item m="1" x="75"/>
        <item m="1" x="67"/>
        <item m="1" x="45"/>
        <item m="1" x="69"/>
        <item m="1" x="70"/>
        <item m="1" x="71"/>
        <item m="1" x="72"/>
        <item m="1" x="48"/>
        <item m="1" x="73"/>
        <item m="1" x="50"/>
        <item x="12"/>
        <item m="1" x="56"/>
        <item x="14"/>
        <item m="1" x="63"/>
        <item m="1" x="59"/>
        <item x="23"/>
        <item x="13"/>
        <item m="1" x="44"/>
        <item m="1" x="65"/>
        <item x="6"/>
        <item m="1" x="66"/>
        <item m="1" x="53"/>
        <item m="1" x="41"/>
        <item x="7"/>
        <item m="1" x="54"/>
        <item m="1" x="55"/>
        <item m="1" x="57"/>
        <item m="1" x="58"/>
        <item m="1" x="60"/>
        <item m="1" x="37"/>
        <item m="1" x="38"/>
        <item m="1" x="61"/>
        <item m="1" x="62"/>
        <item m="1" x="34"/>
        <item m="1" x="40"/>
        <item m="1" x="33"/>
        <item x="18"/>
        <item m="1" x="39"/>
        <item m="1" x="42"/>
        <item m="1" x="52"/>
        <item x="3"/>
        <item m="1" x="46"/>
        <item m="1" x="47"/>
        <item x="21"/>
        <item m="1" x="43"/>
        <item x="10"/>
        <item m="1" x="49"/>
        <item x="11"/>
        <item m="1" x="51"/>
        <item x="0"/>
        <item x="20"/>
        <item x="25"/>
        <item x="27"/>
        <item t="default"/>
      </items>
    </pivotField>
    <pivotField dataField="1" showAll="0"/>
    <pivotField dataField="1" showAll="0"/>
    <pivotField showAll="0"/>
    <pivotField showAll="0"/>
    <pivotField showAll="0"/>
  </pivotFields>
  <rowFields count="1">
    <field x="1"/>
  </rowFields>
  <rowItems count="34">
    <i>
      <x/>
    </i>
    <i>
      <x v="1"/>
    </i>
    <i>
      <x v="6"/>
    </i>
    <i>
      <x v="7"/>
    </i>
    <i>
      <x v="8"/>
    </i>
    <i>
      <x v="9"/>
    </i>
    <i>
      <x v="10"/>
    </i>
    <i>
      <x v="12"/>
    </i>
    <i>
      <x v="13"/>
    </i>
    <i>
      <x v="14"/>
    </i>
    <i>
      <x v="16"/>
    </i>
    <i>
      <x v="17"/>
    </i>
    <i>
      <x v="18"/>
    </i>
    <i>
      <x v="19"/>
    </i>
    <i>
      <x v="20"/>
    </i>
    <i>
      <x v="21"/>
    </i>
    <i>
      <x v="23"/>
    </i>
    <i>
      <x v="24"/>
    </i>
    <i>
      <x v="35"/>
    </i>
    <i>
      <x v="37"/>
    </i>
    <i>
      <x v="40"/>
    </i>
    <i>
      <x v="41"/>
    </i>
    <i>
      <x v="44"/>
    </i>
    <i>
      <x v="48"/>
    </i>
    <i>
      <x v="61"/>
    </i>
    <i>
      <x v="65"/>
    </i>
    <i>
      <x v="68"/>
    </i>
    <i>
      <x v="70"/>
    </i>
    <i>
      <x v="72"/>
    </i>
    <i>
      <x v="74"/>
    </i>
    <i>
      <x v="75"/>
    </i>
    <i>
      <x v="76"/>
    </i>
    <i>
      <x v="77"/>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7" firstHeaderRow="0" firstDataRow="1" firstDataCol="1" rowPageCount="1" colPageCount="1"/>
  <pivotFields count="9">
    <pivotField axis="axisRow" showAll="0">
      <items count="58">
        <item m="1" x="52"/>
        <item m="1" x="53"/>
        <item m="1" x="54"/>
        <item m="1" x="55"/>
        <item m="1" x="56"/>
        <item m="1" x="51"/>
        <item m="1" x="39"/>
        <item m="1" x="40"/>
        <item m="1" x="44"/>
        <item m="1" x="45"/>
        <item m="1" x="41"/>
        <item m="1" x="46"/>
        <item m="1" x="47"/>
        <item m="1" x="48"/>
        <item m="1" x="49"/>
        <item m="1" x="50"/>
        <item m="1" x="38"/>
        <item m="1" x="42"/>
        <item m="1" x="43"/>
        <item m="1" x="31"/>
        <item m="1" x="32"/>
        <item m="1" x="33"/>
        <item m="1" x="34"/>
        <item m="1" x="35"/>
        <item m="1" x="36"/>
        <item m="1" x="37"/>
        <item m="1" x="7"/>
        <item m="1" x="23"/>
        <item m="1" x="24"/>
        <item m="1" x="25"/>
        <item m="1" x="26"/>
        <item m="1" x="27"/>
        <item m="1" x="28"/>
        <item m="1" x="29"/>
        <item m="1" x="30"/>
        <item m="1" x="8"/>
        <item m="1" x="9"/>
        <item m="1" x="10"/>
        <item m="1" x="11"/>
        <item m="1" x="12"/>
        <item m="1" x="13"/>
        <item m="1" x="14"/>
        <item m="1" x="16"/>
        <item m="1" x="17"/>
        <item m="1" x="15"/>
        <item m="1" x="18"/>
        <item m="1" x="19"/>
        <item m="1" x="20"/>
        <item m="1" x="21"/>
        <item m="1" x="22"/>
        <item x="0"/>
        <item x="1"/>
        <item x="2"/>
        <item x="3"/>
        <item x="4"/>
        <item x="5"/>
        <item x="6"/>
        <item t="default"/>
      </items>
    </pivotField>
    <pivotField showAll="0"/>
    <pivotField showAll="0"/>
    <pivotField showAll="0"/>
    <pivotField dataField="1" showAll="0"/>
    <pivotField axis="axisPage" showAll="0">
      <items count="9">
        <item x="0"/>
        <item m="1" x="5"/>
        <item m="1" x="7"/>
        <item m="1" x="6"/>
        <item x="1"/>
        <item x="2"/>
        <item x="3"/>
        <item x="4"/>
        <item t="default"/>
      </items>
    </pivotField>
    <pivotField showAll="0"/>
    <pivotField dataField="1" showAll="0"/>
    <pivotField showAll="0"/>
  </pivotFields>
  <rowFields count="1">
    <field x="0"/>
  </rowFields>
  <rowItems count="8">
    <i>
      <x v="50"/>
    </i>
    <i>
      <x v="51"/>
    </i>
    <i>
      <x v="52"/>
    </i>
    <i>
      <x v="53"/>
    </i>
    <i>
      <x v="54"/>
    </i>
    <i>
      <x v="55"/>
    </i>
    <i>
      <x v="5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35"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51">
        <item m="1" x="333"/>
        <item m="1" x="334"/>
        <item m="1" x="332"/>
        <item m="1" x="331"/>
        <item m="1" x="335"/>
        <item m="1" x="337"/>
        <item m="1" x="336"/>
        <item m="1" x="338"/>
        <item m="1" x="339"/>
        <item m="1" x="340"/>
        <item m="1" x="341"/>
        <item m="1" x="342"/>
        <item m="1" x="343"/>
        <item m="1" x="344"/>
        <item m="1" x="269"/>
        <item m="1" x="291"/>
        <item m="1" x="345"/>
        <item m="1" x="346"/>
        <item m="1" x="347"/>
        <item m="1" x="299"/>
        <item m="1" x="298"/>
        <item m="1" x="348"/>
        <item m="1" x="349"/>
        <item m="1" x="308"/>
        <item m="1" x="300"/>
        <item m="1" x="301"/>
        <item m="1" x="302"/>
        <item m="1" x="303"/>
        <item m="1" x="304"/>
        <item m="1" x="305"/>
        <item m="1" x="306"/>
        <item m="1" x="307"/>
        <item m="1" x="309"/>
        <item m="1" x="329"/>
        <item m="1" x="310"/>
        <item m="1" x="330"/>
        <item m="1" x="311"/>
        <item m="1" x="312"/>
        <item m="1" x="313"/>
        <item m="1" x="314"/>
        <item m="1" x="315"/>
        <item m="1" x="246"/>
        <item m="1" x="316"/>
        <item m="1" x="317"/>
        <item m="1" x="318"/>
        <item m="1" x="319"/>
        <item m="1" x="320"/>
        <item m="1" x="321"/>
        <item m="1" x="322"/>
        <item m="1" x="323"/>
        <item m="1" x="324"/>
        <item m="1" x="325"/>
        <item m="1" x="326"/>
        <item m="1" x="327"/>
        <item m="1" x="328"/>
        <item x="0"/>
        <item m="1" x="245"/>
        <item m="1" x="247"/>
        <item m="1" x="248"/>
        <item m="1" x="249"/>
        <item m="1" x="250"/>
        <item m="1" x="251"/>
        <item m="1" x="252"/>
        <item m="1" x="253"/>
        <item m="1" x="254"/>
        <item m="1" x="255"/>
        <item m="1" x="256"/>
        <item m="1" x="257"/>
        <item m="1" x="258"/>
        <item m="1" x="259"/>
        <item x="6"/>
        <item m="1" x="260"/>
        <item m="1" x="261"/>
        <item m="1" x="262"/>
        <item m="1" x="263"/>
        <item m="1" x="264"/>
        <item m="1" x="265"/>
        <item m="1" x="266"/>
        <item m="1" x="267"/>
        <item m="1" x="268"/>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2"/>
        <item m="1" x="293"/>
        <item m="1" x="294"/>
        <item m="1" x="295"/>
        <item m="1" x="296"/>
        <item m="1" x="297"/>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x="24"/>
        <item m="1" x="214"/>
        <item m="1" x="215"/>
        <item m="1" x="216"/>
        <item m="1" x="217"/>
        <item m="1" x="218"/>
        <item m="1" x="219"/>
        <item m="1" x="220"/>
        <item m="1" x="221"/>
        <item m="1" x="222"/>
        <item m="1" x="223"/>
        <item m="1" x="224"/>
        <item m="1" x="244"/>
        <item m="1" x="225"/>
        <item m="1" x="226"/>
        <item m="1" x="227"/>
        <item m="1" x="228"/>
        <item m="1" x="229"/>
        <item m="1" x="230"/>
        <item m="1" x="231"/>
        <item m="1" x="232"/>
        <item m="1" x="233"/>
        <item m="1" x="234"/>
        <item m="1" x="235"/>
        <item m="1" x="236"/>
        <item m="1" x="237"/>
        <item m="1" x="238"/>
        <item m="1" x="239"/>
        <item m="1" x="240"/>
        <item m="1" x="241"/>
        <item m="1" x="242"/>
        <item m="1" x="243"/>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40"/>
        <item m="1" x="163"/>
        <item m="1" x="31"/>
        <item m="1" x="32"/>
        <item m="1" x="33"/>
        <item m="1" x="34"/>
        <item m="1" x="35"/>
        <item m="1" x="36"/>
        <item m="1" x="37"/>
        <item m="1" x="38"/>
        <item m="1" x="39"/>
        <item m="1" x="41"/>
        <item m="1" x="42"/>
        <item m="1" x="43"/>
        <item m="1" x="44"/>
        <item m="1" x="45"/>
        <item m="1" x="46"/>
        <item m="1" x="47"/>
        <item m="1" x="48"/>
        <item m="1" x="49"/>
        <item m="1" x="50"/>
        <item m="1" x="51"/>
        <item m="1" x="52"/>
        <item m="1" x="53"/>
        <item m="1" x="54"/>
        <item x="3"/>
        <item m="1" x="55"/>
        <item m="1" x="56"/>
        <item m="1" x="57"/>
        <item m="1" x="58"/>
        <item m="1" x="59"/>
        <item m="1" x="60"/>
        <item m="1" x="61"/>
        <item m="1" x="62"/>
        <item m="1" x="63"/>
        <item m="1" x="64"/>
        <item m="1" x="65"/>
        <item m="1" x="66"/>
        <item m="1" x="67"/>
        <item m="1" x="68"/>
        <item m="1" x="69"/>
        <item m="1" x="70"/>
        <item m="1" x="71"/>
        <item m="1" x="72"/>
        <item m="1" x="73"/>
        <item m="1" x="74"/>
        <item m="1" x="75"/>
        <item m="1" x="76"/>
        <item x="7"/>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x="4"/>
        <item m="1" x="106"/>
        <item m="1" x="107"/>
        <item x="1"/>
        <item x="10"/>
        <item x="2"/>
        <item x="5"/>
        <item x="8"/>
        <item x="9"/>
        <item x="11"/>
        <item x="12"/>
        <item x="13"/>
        <item x="14"/>
        <item x="15"/>
        <item x="16"/>
        <item x="17"/>
        <item x="18"/>
        <item x="19"/>
        <item x="21"/>
        <item x="20"/>
        <item x="22"/>
        <item x="23"/>
        <item x="25"/>
        <item x="26"/>
        <item x="27"/>
        <item x="28"/>
        <item x="29"/>
        <item x="30"/>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32">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50">
        <i x="6" s="1"/>
        <i x="27" s="1"/>
        <i x="22" s="1"/>
        <i x="5" s="1"/>
        <i x="4" s="1"/>
        <i x="3" s="1"/>
        <i x="23" s="1"/>
        <i x="16" s="1"/>
        <i x="15" s="1"/>
        <i x="2" s="1"/>
        <i x="14" s="1"/>
        <i x="7" s="1"/>
        <i x="1" s="1"/>
        <i x="10" s="1"/>
        <i x="9" s="1"/>
        <i x="13" s="1"/>
        <i x="11" s="1"/>
        <i x="18" s="1"/>
        <i x="19" s="1"/>
        <i x="17" s="1"/>
        <i x="12" s="1"/>
        <i x="8" s="1"/>
        <i x="29" s="1"/>
        <i x="28" s="1"/>
        <i x="26" s="1"/>
        <i x="21" s="1"/>
        <i x="25" s="1"/>
        <i x="24" s="1"/>
        <i x="30" s="1"/>
        <i x="20" s="1"/>
        <i x="304" s="1" nd="1"/>
        <i x="333" s="1" nd="1"/>
        <i x="334" s="1" nd="1"/>
        <i x="342" s="1" nd="1"/>
        <i x="332" s="1" nd="1"/>
        <i x="331" s="1" nd="1"/>
        <i x="335" s="1" nd="1"/>
        <i x="346" s="1" nd="1"/>
        <i x="338" s="1" nd="1"/>
        <i x="339" s="1" nd="1"/>
        <i x="336" s="1" nd="1"/>
        <i x="337" s="1" nd="1"/>
        <i x="347" s="1" nd="1"/>
        <i x="340" s="1" nd="1"/>
        <i x="341" s="1" nd="1"/>
        <i x="344" s="1" nd="1"/>
        <i x="345" s="1" nd="1"/>
        <i x="343" s="1" nd="1"/>
        <i x="299" s="1" nd="1"/>
        <i x="349" s="1" nd="1"/>
        <i x="298" s="1" nd="1"/>
        <i x="348" s="1" nd="1"/>
        <i x="301" s="1" nd="1"/>
        <i x="262" s="1" nd="1"/>
        <i x="300" s="1" nd="1"/>
        <i x="302" s="1" nd="1"/>
        <i x="308" s="1" nd="1"/>
        <i x="303" s="1" nd="1"/>
        <i x="305" s="1" nd="1"/>
        <i x="321" s="1" nd="1"/>
        <i x="245" s="1" nd="1"/>
        <i x="309" s="1" nd="1"/>
        <i x="250" s="1" nd="1"/>
        <i x="315" s="1" nd="1"/>
        <i x="310" s="1" nd="1"/>
        <i x="313" s="1" nd="1"/>
        <i x="318" s="1" nd="1"/>
        <i x="329" s="1" nd="1"/>
        <i x="311" s="1" nd="1"/>
        <i x="323" s="1" nd="1"/>
        <i x="326" s="1" nd="1"/>
        <i x="317" s="1" nd="1"/>
        <i x="306" s="1" nd="1"/>
        <i x="314" s="1" nd="1"/>
        <i x="307" s="1" nd="1"/>
        <i x="312" s="1" nd="1"/>
        <i x="246" s="1" nd="1"/>
        <i x="316" s="1" nd="1"/>
        <i x="322" s="1" nd="1"/>
        <i x="319" s="1" nd="1"/>
        <i x="324" s="1" nd="1"/>
        <i x="320" s="1" nd="1"/>
        <i x="286" s="1" nd="1"/>
        <i x="325" s="1" nd="1"/>
        <i x="327" s="1" nd="1"/>
        <i x="248" s="1" nd="1"/>
        <i x="255" s="1" nd="1"/>
        <i x="328" s="1" nd="1"/>
        <i x="252" s="1" nd="1"/>
        <i x="253" s="1" nd="1"/>
        <i x="247" s="1" nd="1"/>
        <i x="251" s="1" nd="1"/>
        <i x="139" s="1" nd="1"/>
        <i x="249" s="1" nd="1"/>
        <i x="258" s="1" nd="1"/>
        <i x="254" s="1" nd="1"/>
        <i x="256" s="1" nd="1"/>
        <i x="259" s="1" nd="1"/>
        <i x="266" s="1" nd="1"/>
        <i x="257" s="1" nd="1"/>
        <i x="265" s="1" nd="1"/>
        <i x="270" s="1" nd="1"/>
        <i x="264" s="1" nd="1"/>
        <i x="267" s="1" nd="1"/>
        <i x="277" s="1" nd="1"/>
        <i x="263" s="1" nd="1"/>
        <i x="260" s="1" nd="1"/>
        <i x="261" s="1" nd="1"/>
        <i x="276" s="1" nd="1"/>
        <i x="135" s="1" nd="1"/>
        <i x="269" s="1" nd="1"/>
        <i x="280" s="1" nd="1"/>
        <i x="275" s="1" nd="1"/>
        <i x="268" s="1" nd="1"/>
        <i x="292" s="1" nd="1"/>
        <i x="273" s="1" nd="1"/>
        <i x="283" s="1" nd="1"/>
        <i x="281" s="1" nd="1"/>
        <i x="271" s="1" nd="1"/>
        <i x="279" s="1" nd="1"/>
        <i x="278" s="1" nd="1"/>
        <i x="274" s="1" nd="1"/>
        <i x="284" s="1" nd="1"/>
        <i x="282" s="1" nd="1"/>
        <i x="285" s="1" nd="1"/>
        <i x="272" s="1" nd="1"/>
        <i x="214" s="1" nd="1"/>
        <i x="287" s="1" nd="1"/>
        <i x="288" s="1" nd="1"/>
        <i x="173" s="1" nd="1"/>
        <i x="175" s="1" nd="1"/>
        <i x="295" s="1" nd="1"/>
        <i x="169" s="1" nd="1"/>
        <i x="215" s="1" nd="1"/>
        <i x="289" s="1" nd="1"/>
        <i x="290" s="1" nd="1"/>
        <i x="172" s="1" nd="1"/>
        <i x="297" s="1" nd="1"/>
        <i x="171" s="1" nd="1"/>
        <i x="186" s="1" nd="1"/>
        <i x="296" s="1" nd="1"/>
        <i x="291" s="1" nd="1"/>
        <i x="190" s="1" nd="1"/>
        <i x="294" s="1" nd="1"/>
        <i x="293" s="1" nd="1"/>
        <i x="211" s="1" nd="1"/>
        <i x="164" s="1" nd="1"/>
        <i x="176" s="1" nd="1"/>
        <i x="212" s="1" nd="1"/>
        <i x="210" s="1" nd="1"/>
        <i x="168" s="1" nd="1"/>
        <i x="170" s="1" nd="1"/>
        <i x="174" s="1" nd="1"/>
        <i x="165" s="1" nd="1"/>
        <i x="200" s="1" nd="1"/>
        <i x="205" s="1" nd="1"/>
        <i x="166" s="1" nd="1"/>
        <i x="167" s="1" nd="1"/>
        <i x="177" s="1" nd="1"/>
        <i x="180" s="1" nd="1"/>
        <i x="187" s="1" nd="1"/>
        <i x="179" s="1" nd="1"/>
        <i x="182" s="1" nd="1"/>
        <i x="181" s="1" nd="1"/>
        <i x="223" s="1" nd="1"/>
        <i x="178" s="1" nd="1"/>
        <i x="203" s="1" nd="1"/>
        <i x="218" s="1" nd="1"/>
        <i x="183" s="1" nd="1"/>
        <i x="208" s="1" nd="1"/>
        <i x="220" s="1" nd="1"/>
        <i x="192" s="1" nd="1"/>
        <i x="232" s="1" nd="1"/>
        <i x="191" s="1" nd="1"/>
        <i x="188" s="1" nd="1"/>
        <i x="184" s="1" nd="1"/>
        <i x="185" s="1" nd="1"/>
        <i x="204" s="1" nd="1"/>
        <i x="193" s="1" nd="1"/>
        <i x="116" s="1" nd="1"/>
        <i x="194" s="1" nd="1"/>
        <i x="189" s="1" nd="1"/>
        <i x="196" s="1" nd="1"/>
        <i x="197" s="1" nd="1"/>
        <i x="225" s="1" nd="1"/>
        <i x="195" s="1" nd="1"/>
        <i x="213" s="1" nd="1"/>
        <i x="201" s="1" nd="1"/>
        <i x="198" s="1" nd="1"/>
        <i x="202" s="1" nd="1"/>
        <i x="199" s="1" nd="1"/>
        <i x="206" s="1" nd="1"/>
        <i x="224" s="1" nd="1"/>
        <i x="219" s="1" nd="1"/>
        <i x="238" s="1" nd="1"/>
        <i x="207" s="1" nd="1"/>
        <i x="109" s="1" nd="1"/>
        <i x="217" s="1" nd="1"/>
        <i x="209" s="1" nd="1"/>
        <i x="233" s="1" nd="1"/>
        <i x="216" s="1" nd="1"/>
        <i x="231" s="1" nd="1"/>
        <i x="117" s="1" nd="1"/>
        <i x="222" s="1" nd="1"/>
        <i x="221" s="1" nd="1"/>
        <i x="237" s="1" nd="1"/>
        <i x="234" s="1" nd="1"/>
        <i x="128" s="1" nd="1"/>
        <i x="242" s="1" nd="1"/>
        <i x="226" s="1" nd="1"/>
        <i x="235" s="1" nd="1"/>
        <i x="240" s="1" nd="1"/>
        <i x="119" s="1" nd="1"/>
        <i x="145" s="1" nd="1"/>
        <i x="244" s="1" nd="1"/>
        <i x="241" s="1" nd="1"/>
        <i x="110" s="1" nd="1"/>
        <i x="130" s="1" nd="1"/>
        <i x="236" s="1" nd="1"/>
        <i x="112" s="1" nd="1"/>
        <i x="227" s="1" nd="1"/>
        <i x="230" s="1" nd="1"/>
        <i x="127" s="1" nd="1"/>
        <i x="239" s="1" nd="1"/>
        <i x="228" s="1" nd="1"/>
        <i x="229" s="1" nd="1"/>
        <i x="114" s="1" nd="1"/>
        <i x="132" s="1" nd="1"/>
        <i x="133" s="1" nd="1"/>
        <i x="146" s="1" nd="1"/>
        <i x="243" s="1" nd="1"/>
        <i x="108" s="1" nd="1"/>
        <i x="131" s="1" nd="1"/>
        <i x="124" s="1" nd="1"/>
        <i x="111" s="1" nd="1"/>
        <i x="115" s="1" nd="1"/>
        <i x="121" s="1" nd="1"/>
        <i x="113" s="1" nd="1"/>
        <i x="137" s="1" nd="1"/>
        <i x="141" s="1" nd="1"/>
        <i x="142" s="1" nd="1"/>
        <i x="134" s="1" nd="1"/>
        <i x="118" s="1" nd="1"/>
        <i x="120" s="1" nd="1"/>
        <i x="122" s="1" nd="1"/>
        <i x="125" s="1" nd="1"/>
        <i x="138" s="1" nd="1"/>
        <i x="123" s="1" nd="1"/>
        <i x="144" s="1" nd="1"/>
        <i x="76" s="1" nd="1"/>
        <i x="55" s="1" nd="1"/>
        <i x="159" s="1" nd="1"/>
        <i x="126" s="1" nd="1"/>
        <i x="147" s="1" nd="1"/>
        <i x="143" s="1" nd="1"/>
        <i x="129" s="1" nd="1"/>
        <i x="151" s="1" nd="1"/>
        <i x="87" s="1" nd="1"/>
        <i x="50" s="1" nd="1"/>
        <i x="136" s="1" nd="1"/>
        <i x="160" s="1" nd="1"/>
        <i x="140" s="1" nd="1"/>
        <i x="163" s="1" nd="1"/>
        <i x="150" s="1" nd="1"/>
        <i x="155" s="1" nd="1"/>
        <i x="32" s="1" nd="1"/>
        <i x="152" s="1" nd="1"/>
        <i x="154" s="1" nd="1"/>
        <i x="72" s="1" nd="1"/>
        <i x="40" s="1" nd="1"/>
        <i x="149" s="1" nd="1"/>
        <i x="37" s="1" nd="1"/>
        <i x="148" s="1" nd="1"/>
        <i x="49" s="1" nd="1"/>
        <i x="33" s="1" nd="1"/>
        <i x="31" s="1" nd="1"/>
        <i x="153" s="1" nd="1"/>
        <i x="47" s="1" nd="1"/>
        <i x="41" s="1" nd="1"/>
        <i x="52" s="1" nd="1"/>
        <i x="69" s="1" nd="1"/>
        <i x="46" s="1" nd="1"/>
        <i x="57" s="1" nd="1"/>
        <i x="51" s="1" nd="1"/>
        <i x="48" s="1" nd="1"/>
        <i x="161" s="1" nd="1"/>
        <i x="105" s="1" nd="1"/>
        <i x="59" s="1" nd="1"/>
        <i x="60" s="1" nd="1"/>
        <i x="157" s="1" nd="1"/>
        <i x="156" s="1" nd="1"/>
        <i x="34" s="1" nd="1"/>
        <i x="36" s="1" nd="1"/>
        <i x="67" s="1" nd="1"/>
        <i x="43" s="1" nd="1"/>
        <i x="162" s="1" nd="1"/>
        <i x="101" s="1" nd="1"/>
        <i x="92" s="1" nd="1"/>
        <i x="80" s="1" nd="1"/>
        <i x="54" s="1" nd="1"/>
        <i x="39" s="1" nd="1"/>
        <i x="70" s="1" nd="1"/>
        <i x="89" s="1" nd="1"/>
        <i x="81" s="1" nd="1"/>
        <i x="77" s="1" nd="1"/>
        <i x="45" s="1" nd="1"/>
        <i x="65" s="1" nd="1"/>
        <i x="64" s="1" nd="1"/>
        <i x="79" s="1" nd="1"/>
        <i x="66" s="1" nd="1"/>
        <i x="158" s="1" nd="1"/>
        <i x="42" s="1" nd="1"/>
        <i x="38" s="1" nd="1"/>
        <i x="68" s="1" nd="1"/>
        <i x="35" s="1" nd="1"/>
        <i x="73" s="1" nd="1"/>
        <i x="74" s="1" nd="1"/>
        <i x="78" s="1" nd="1"/>
        <i x="58" s="1" nd="1"/>
        <i x="53" s="1" nd="1"/>
        <i x="86" s="1" nd="1"/>
        <i x="85" s="1" nd="1"/>
        <i x="90" s="1" nd="1"/>
        <i x="44" s="1" nd="1"/>
        <i x="88" s="1" nd="1"/>
        <i x="75" s="1" nd="1"/>
        <i x="56" s="1" nd="1"/>
        <i x="61" s="1" nd="1"/>
        <i x="62" s="1" nd="1"/>
        <i x="71" s="1" nd="1"/>
        <i x="63" s="1" nd="1"/>
        <i x="82" s="1" nd="1"/>
        <i x="93" s="1" nd="1"/>
        <i x="83" s="1" nd="1"/>
        <i x="99" s="1" nd="1"/>
        <i x="96" s="1" nd="1"/>
        <i x="94" s="1" nd="1"/>
        <i x="106" s="1" nd="1"/>
        <i x="100" s="1" nd="1"/>
        <i x="107" s="1" nd="1"/>
        <i x="102" s="1" nd="1"/>
        <i x="103" s="1" nd="1"/>
        <i x="84" s="1" nd="1"/>
        <i x="97" s="1" nd="1"/>
        <i x="104" s="1" nd="1"/>
        <i x="95" s="1" nd="1"/>
        <i x="98" s="1" nd="1"/>
        <i x="91" s="1" nd="1"/>
        <i x="330"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9">
      <calculatedColumnFormula>B49</calculatedColumnFormula>
    </tableColumn>
    <tableColumn id="2" xr3:uid="{7EDCC2ED-0339-42B3-9633-FFEA7A3DD9F3}" name="Tiyaar" dataDxfId="128">
      <calculatedColumnFormula>SUMIFS(ledger!G:G, ledger!B:B, B2, ledger!E:E, "&lt;&gt;*RD*") / 1.0936</calculatedColumnFormula>
    </tableColumn>
    <tableColumn id="3" xr3:uid="{CC1535DD-3FE7-4F55-8040-E7643388A78E}" name="Rate"/>
    <tableColumn id="4" xr3:uid="{059CB70B-ADAD-4985-84AA-0D530BAC5567}" name="Total" dataDxfId="127">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6" dataDxfId="125">
  <autoFilter ref="B7:E20" xr:uid="{449E5D32-DF9C-4018-96AB-CA98E118D910}"/>
  <tableColumns count="4">
    <tableColumn id="1" xr3:uid="{F663704C-91DD-4BB9-B7EB-EEB0C5EDED6C}" name="Description" dataDxfId="124"/>
    <tableColumn id="2" xr3:uid="{6D94D495-CD0B-4FD3-9771-81D731982A97}" name="Rate" dataDxfId="123" dataCellStyle="Comma"/>
    <tableColumn id="3" xr3:uid="{2D14CEAD-3602-40E7-A488-3584EBC9141E}" name="gazana" dataDxfId="122" dataCellStyle="Comma"/>
    <tableColumn id="4" xr3:uid="{06FEE63C-6480-4079-8426-51BC26B38B34}" name="sum" dataDxfId="121"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0" totalsRowDxfId="119" dataCellStyle="Comma">
      <totalsRowFormula>SUM(Table12[Amount])</totalsRowFormula>
    </tableColumn>
    <tableColumn id="3" xr3:uid="{12F975D1-A51D-47BD-82DF-F0C35A709016}" name="Description"/>
    <tableColumn id="4" xr3:uid="{96712812-B120-49C2-B905-59FC86A743E8}" name="cost per meter" dataDxfId="118">
      <calculatedColumnFormula>Table12[[#This Row],[Amount]]/Table1[[#Totals],[tiyar/meters]]</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14" totalsRowCount="1" headerRowDxfId="108" dataDxfId="107" headerRowCellStyle="Comma" dataCellStyle="Comma">
  <autoFilter ref="A1:K113" xr:uid="{11DACEC6-751B-4B1D-817F-5C5BCD38EF6D}"/>
  <tableColumns count="11">
    <tableColumn id="1" xr3:uid="{2FCE3FA8-A48C-4685-8919-AE44C6C71FD9}" name="Date" dataDxfId="106" dataCellStyle="Comma"/>
    <tableColumn id="2" xr3:uid="{5780FD5F-0890-44E6-B59C-8E37A559FE36}" name="Party Name" dataDxfId="105" dataCellStyle="Comma"/>
    <tableColumn id="3" xr3:uid="{5B3ECD85-9174-40AC-BFBD-49CAC97A83D3}" name="Bill Number" dataDxfId="104" dataCellStyle="Comma"/>
    <tableColumn id="4" xr3:uid="{11B50761-04B6-4262-AD4D-7182450037D1}" name="Quality" dataDxfId="103" dataCellStyle="Comma"/>
    <tableColumn id="5" xr3:uid="{2C556969-B713-4967-BD24-466AACCBE5F5}" name="Shipment Number" dataDxfId="102" totalsRowDxfId="101" dataCellStyle="Comma"/>
    <tableColumn id="6" xr3:uid="{F4E1FD2B-9017-4DEB-B772-BF447ECE56F7}" name="Kora/metre" dataDxfId="100" totalsRowDxfId="99" dataCellStyle="Comma"/>
    <tableColumn id="7" xr3:uid="{52ACC1DA-7A76-4A90-B809-3A1AE728E7EA}" name="Tiyaar/gaz" dataDxfId="98" totalsRowDxfId="97" dataCellStyle="Comma"/>
    <tableColumn id="8" xr3:uid="{31A0FF5E-56F0-44D1-9865-73256B964660}" name="shortage %" dataDxfId="96" totalsRowDxfId="95" dataCellStyle="Comma">
      <calculatedColumnFormula>_xlfn.XLOOKUP(Table1[[#This Row],[Shipment Number]], 'pivot '!A:A,'pivot '!G:G, "NF")</calculatedColumnFormula>
    </tableColumn>
    <tableColumn id="9" xr3:uid="{F99075E0-AC8E-094D-BB85-272AD2C6C568}" name="tiyar/meters" totalsRowFunction="custom" dataDxfId="94" totalsRowDxfId="93"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92" totalsRowDxfId="91"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90" totalsRowDxfId="89"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60" totalsRowCount="1" headerRowDxfId="86" headerRowBorderDxfId="85" tableBorderDxfId="84">
  <autoFilter ref="A1:I59" xr:uid="{F8E8C957-ABE7-4E4F-8D4E-7D44E26B334F}"/>
  <tableColumns count="9">
    <tableColumn id="1" xr3:uid="{C2E817D6-AB98-4DDD-8890-736B27F261CD}" name="Date" dataDxfId="83" totalsRowDxfId="82"/>
    <tableColumn id="2" xr3:uid="{CFB51890-CCDC-463C-81C9-3F8BD7469CB9}" name="Party Name"/>
    <tableColumn id="3" xr3:uid="{A113D971-1C9D-4733-99C4-BD0CC4333209}" name="Vehicle Number"/>
    <tableColumn id="4" xr3:uid="{49780304-3DD1-4AE9-98EE-2BC7EB8F3B57}" name="Weight" dataDxfId="81" totalsRowDxfId="80" dataCellStyle="Comma"/>
    <tableColumn id="5" xr3:uid="{FCAF1BC6-1D8C-42AD-8BBC-F924BF2DC7FE}" name="Rate" dataDxfId="79" totalsRowDxfId="78" dataCellStyle="Comma"/>
    <tableColumn id="6" xr3:uid="{8C70A624-4134-410C-9C45-9FDEB51D51BF}" name="Rent" dataDxfId="77" totalsRowDxfId="76" dataCellStyle="Comma"/>
    <tableColumn id="7" xr3:uid="{EBCE10AE-9634-4982-9C95-37ABC8A7078C}" name="Total" totalsRowFunction="sum" dataDxfId="75" totalsRowDxfId="74" dataCellStyle="Comma">
      <calculatedColumnFormula>D2*E2</calculatedColumnFormula>
    </tableColumn>
    <tableColumn id="9" xr3:uid="{D4788559-C94A-44D9-B9AE-E72B214355AC}" name="Paid" totalsRowFunction="sum" dataDxfId="73" totalsRowDxfId="72" dataCellStyle="Comma"/>
    <tableColumn id="8" xr3:uid="{E26F5BF0-1875-4FC6-994D-49F202ED562B}" name="balance" totalsRowFunction="sum" dataDxfId="71" totalsRowDxfId="7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26" totalsRowCount="1">
  <autoFilter ref="A1:G225" xr:uid="{CB032221-B416-47A8-9A76-693DE76CFD04}"/>
  <tableColumns count="7">
    <tableColumn id="1" xr3:uid="{554B1EED-65B6-4E9A-B646-82727FAC40DE}" name="Date" dataDxfId="68" totalsRowDxfId="3"/>
    <tableColumn id="2" xr3:uid="{32259059-42CF-4947-83DE-115AA430BE2B}" name="Party"/>
    <tableColumn id="3" xr3:uid="{A1320223-D55D-483C-91C3-AB19B95CC9D8}" name="Debit" totalsRowFunction="sum" dataDxfId="67" totalsRowDxfId="2" dataCellStyle="Comma"/>
    <tableColumn id="4" xr3:uid="{E9745767-9FF0-4B1C-9052-FF335D1D7588}" name="Credit" totalsRowFunction="sum" dataDxfId="66" totalsRowDxfId="1" dataCellStyle="Comma"/>
    <tableColumn id="5" xr3:uid="{5C88A48E-2467-4E6D-B626-2442B7FD0BE4}" name="Description"/>
    <tableColumn id="6" xr3:uid="{63CA4666-144E-4BE6-8B7C-7CB992BD3041}" name="Mode" totalsRowFunction="custom" dataDxfId="65"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4" tableBorderDxfId="63" totalsRowBorderDxfId="62">
  <autoFilter ref="J3:K6" xr:uid="{DCE01694-23ED-48BF-8B92-4186B9ED10A8}"/>
  <tableColumns count="2">
    <tableColumn id="1" xr3:uid="{C8484DAF-2989-4C2F-9AEC-A6917E1C57F6}" name="Type" dataDxfId="61"/>
    <tableColumn id="2" xr3:uid="{B07B7A2A-4D4E-4654-BED6-FE2F0A7BEC34}" name="Amount" dataDxfId="60"/>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9" headerRowBorderDxfId="58" tableBorderDxfId="57" totalsRowBorderDxfId="56">
  <autoFilter ref="M3:O6" xr:uid="{D166BDD1-ACD7-45D7-8AE9-7350373F8CEB}"/>
  <tableColumns count="3">
    <tableColumn id="1" xr3:uid="{64F0205E-DEA7-4571-BA86-E4374A5FEE28}" name="Type" totalsRowLabel="Total" dataDxfId="55" totalsRowDxfId="54"/>
    <tableColumn id="2" xr3:uid="{15FA05F9-789C-4459-9BE0-5C1EC84D3365}" name="amount" totalsRowFunction="custom" dataDxfId="53" totalsRowDxfId="52">
      <totalsRowFormula>SUM(N5:N6)</totalsRowFormula>
    </tableColumn>
    <tableColumn id="3" xr3:uid="{3681D409-90C6-44D0-BDE2-4B5943A516F0}" name="Actual" totalsRowFunction="custom" totalsRowDxfId="51">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0" totalsRowDxfId="49"/>
    <tableColumn id="2" xr3:uid="{5B9D0FEE-4304-4C5C-A05C-5B27CF7841D3}" name="Type"/>
    <tableColumn id="3" xr3:uid="{6A91CA0D-C802-4C6F-9F39-CA53687E8EDE}" name="Description"/>
    <tableColumn id="4" xr3:uid="{A251D40C-AB87-4BB4-85F8-444B20E32FDF}" name="Total" totalsRowFunction="custom" dataDxfId="48" totalsRowDxfId="47"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2" totalsRowCount="1" headerRowDxfId="46" headerRowBorderDxfId="45">
  <autoFilter ref="A1:I11"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4"/>
    <tableColumn id="4" xr3:uid="{1889A312-9B41-4EC4-BD8F-05252F27084A}" name="Price" totalsRowFunction="sum"/>
    <tableColumn id="6" xr3:uid="{8B974B20-F003-4E67-8660-024FA4F324A9}" name="Party"/>
    <tableColumn id="7" xr3:uid="{0A5A5C21-FD61-47DA-9F54-66A6479FA557}" name="Paid" dataDxfId="43">
      <calculatedColumnFormula>SUMIFS(Table14[Debit], Table14[Date], Table8[[#This Row],[Date]], Table14[Party], Table8[[#This Row],[Party]])</calculatedColumnFormula>
    </tableColumn>
    <tableColumn id="8" xr3:uid="{8DCB3B43-2161-4081-82EC-CDB0F4DE4E6F}" name="Balance" totalsRowFunction="sum" dataDxfId="4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4:E41" totalsRowCount="1">
  <autoFilter ref="A14:E40"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41" headerRowBorderDxfId="40">
  <autoFilter ref="A4:H13" xr:uid="{A4C80688-A8BA-4BA7-90B4-791CD99446B4}">
    <filterColumn colId="1">
      <filters>
        <filter val="Faysal Akraam"/>
      </filters>
    </filterColumn>
  </autoFilter>
  <sortState xmlns:xlrd2="http://schemas.microsoft.com/office/spreadsheetml/2017/richdata2" ref="A5:H6">
    <sortCondition ref="A4:A6"/>
  </sortState>
  <tableColumns count="8">
    <tableColumn id="1" xr3:uid="{4A818912-918E-4111-ACFC-BC93FEF7C1AD}" name="Date" dataDxfId="39" totalsRowDxfId="38"/>
    <tableColumn id="8" xr3:uid="{477ACFD5-62AF-4F69-974B-E9B974C11D7D}" name="Party Name" dataDxfId="3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6">
      <calculatedColumnFormula>Table2[[#This Row],[Quantity]]*200*Table2[[#This Row],[Boxes]]</calculatedColumnFormula>
    </tableColumn>
    <tableColumn id="6" xr3:uid="{30432929-CBD4-4BA8-B63F-CD0F6CF6405F}" name="Paid" totalsRowFunction="sum" dataDxfId="35">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4">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3" totalsRowDxfId="32"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1" totalsRowDxfId="30"/>
    <tableColumn id="2" xr3:uid="{053BFC14-4828-417C-9F9F-95B6E232A945}" name="Amount" totalsRowFunction="custom" dataDxfId="29" totalsRowDxfId="2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7" totalsRowDxfId="2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2">
      <calculatedColumnFormula>Billing!Q5</calculatedColumnFormula>
    </tableColumn>
    <tableColumn id="2" xr3:uid="{7093A59E-B58F-487D-888A-9AA8156B5F9A}" name="Amount Paid" dataDxfId="11">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0"/>
    <tableColumn id="2" xr3:uid="{F72CFEEB-BA11-4A49-BD19-88592EB6A27C}" name="Credit" dataDxfId="9"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200789.02926115584</v>
      </c>
      <c r="D2">
        <v>10</v>
      </c>
      <c r="E2" s="14">
        <f>(SUMIFS(ledger!G:G, ledger!B:B, B2, ledger!E:E, "&lt;&gt;*RD*",ledger!D:D, "Silky") / 1.0936)*12 + (SUMIFS(ledger!G:G, ledger!B:B, B2, ledger!E:E, "&lt;&gt;*RD*",ledger!D:D, "Chamki") / 1.0936)*10</f>
        <v>1579608.6320409658</v>
      </c>
      <c r="I2" t="s">
        <v>21</v>
      </c>
      <c r="Q2" t="s">
        <v>1</v>
      </c>
    </row>
    <row r="3" spans="2:33" x14ac:dyDescent="0.3">
      <c r="B3" t="str">
        <f t="shared" si="0"/>
        <v>Ejaz Sahab</v>
      </c>
      <c r="C3" s="18">
        <f>SUMIFS(ledger!G:G, ledger!B:B, B3, ledger!E:E, "&lt;&gt;*RD*") / 1.0936</f>
        <v>34084.674469641555</v>
      </c>
      <c r="D3">
        <v>10</v>
      </c>
      <c r="E3" s="14">
        <f>(SUMIFS(ledger!G:G, ledger!B:B, B3, ledger!E:E, "&lt;&gt;*RD*",ledger!D:D, "Silky") / 1.0936)*12 + (SUMIFS(ledger!G:G, ledger!B:B, B3, ledger!E:E, "&lt;&gt;*RD*",ledger!D:D, "Chamki") / 1.0936)*10</f>
        <v>409016.09363569866</v>
      </c>
      <c r="I3" t="s">
        <v>22</v>
      </c>
    </row>
    <row r="4" spans="2:33" x14ac:dyDescent="0.3">
      <c r="B4" t="str">
        <f t="shared" si="0"/>
        <v>Arshad</v>
      </c>
      <c r="C4" s="18">
        <f>SUMIFS(ledger!G:G, ledger!B:B, B4, ledger!E:E, "&lt;&gt;*RD*") / 1.0936</f>
        <v>66135.698610095104</v>
      </c>
      <c r="D4">
        <v>10</v>
      </c>
      <c r="E4" s="14">
        <f>(SUMIFS(ledger!G:G, ledger!B:B, B4, ledger!E:E, "&lt;&gt;*RD*",ledger!D:D, "Silky") / 1.0936)*12 + (SUMIFS(ledger!G:G, ledger!B:B, B4, ledger!E:E, "&lt;&gt;*RD*",ledger!D:D, "Chamki") / 1.0936)*10</f>
        <v>687011.70446232636</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0">_xlfn.UNIQUE(Table1[Party Name])</f>
        <v>BSC</v>
      </c>
      <c r="R5" s="22" cm="1">
        <f t="array" ref="R5">_xlfn.BYROW(B49,_xlfn.LAMBDA(_xlpm.party,SUMIFS(ledger!G:G,ledger!B:B,_xlpm.party,ledger!E:E,"&lt;&gt;*RD*")))+_xlfn.IFNA(C84,0)</f>
        <v>2754521.8824</v>
      </c>
      <c r="S5" s="22" cm="1">
        <f t="array" ref="S5">_xlfn.BYROW(B49, _xlfn.LAMBDA(_xlpm.party, SUMIFS(ledger!G:G, ledger!B:B, _xlpm.party, ledger!E:E, "&lt;&gt;*RD*") / 1.0936 ))+_xlfn.IFNA(D84,0)</f>
        <v>2518765.43745428</v>
      </c>
      <c r="T5" s="22" cm="1">
        <f t="array" ref="T5">(_xlfn.BYROW(B49,_xlfn.LAMBDA(_xlpm.party,SUMIFS(ledger!G:G,ledger!B:B,_xlpm.party,ledger!E:E,"&lt;&gt;*RD*",ledger!D:D,"Chamki")+SUMIFS(ledger!G:G, ledger!B:B, _xlpm.party, ledger!E:E, "&lt;&gt;*RD*", ledger!D:D, "Crinkle")))/1.0936)+_xlfn.IFNA(E84,0)</f>
        <v>2236296.5274323337</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(SUMIFS(ledger!J:J,ledger!B:B,_xlpm.party,ledger!E:E,"&lt;&gt;*RD*",ledger!D:D,"Chamki",ledger!C:C,"&lt;&gt;November Closing CF")+
SUMIFS(ledger!J:J,ledger!B:B,_xlpm.party,ledger!E:E,"&lt;&gt;*RD*",ledger!D:D,"Crinkle",ledger!C:C,"&lt;&gt;November Closing CF")
)+_xlfn.IFNA(G84,0))))</f>
        <v>22362965.274323341</v>
      </c>
      <c r="W5" s="70" cm="1">
        <f t="array" ref="W5">_xlfn.BYROW(B49, _xlfn.LAMBDA(_xlpm.party,
   SUMIFS(ledger!J:J, ledger!B:B, _xlpm.party, ledger!E:E, "&lt;&gt;*RD*", ledger!D:D, "Silky", ledger!C:C, "&lt;&gt;November Closing CF")
)) + _xlfn.IFNA(H84, 0)</f>
        <v>3583739.941477689</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25946705.21580103</v>
      </c>
      <c r="AD5" s="22">
        <f>(SUMIF(Table14[Party],Q5,Table14[Credit]))+_xlfn.IFNA(O84,0)</f>
        <v>19750734</v>
      </c>
      <c r="AE5" s="33">
        <f>AC5-AD5</f>
        <v>6195971.2158010304</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430669</v>
      </c>
      <c r="S6" s="22" cm="1">
        <f t="array" ref="S6">_xlfn.BYROW(B50, _xlfn.LAMBDA(_xlpm.party, SUMIFS(ledger!G:G, ledger!B:B, _xlpm.party, ledger!E:E, "&lt;&gt;*RD*") / 1.0936 ))+_xlfn.IFNA(D85,0)</f>
        <v>393808.52231163136</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245662.94806144843</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3134474.2136064377</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4615929.9561082665</v>
      </c>
      <c r="AD6" s="22">
        <f>(SUMIF(Table14[Party],Q6,Table14[Credit]))+_xlfn.IFNA(O85,0)</f>
        <v>4371992</v>
      </c>
      <c r="AE6" s="33">
        <f t="shared" ref="AE6:AE31" si="2">AC6-AD6</f>
        <v>243937.95610826649</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729474</v>
      </c>
      <c r="S7" s="22" cm="1">
        <f t="array" ref="S7">_xlfn.BYROW(B51, _xlfn.LAMBDA(_xlpm.party, SUMIFS(ledger!G:G, ledger!B:B, _xlpm.party, ledger!E:E, "&lt;&gt;*RD*") / 1.0936 ))+_xlfn.IFNA(D86,0)</f>
        <v>667039.13679590344</v>
      </c>
      <c r="T7" s="22" cm="1">
        <f t="array" ref="T7">(_xlfn.BYROW(B51,_xlfn.LAMBDA(_xlpm.party,SUMIFS(ledger!G:G,ledger!B:B,_xlpm.party,ledger!E:E,"&lt;&gt;*RD*",ledger!D:D,"Chamki")+SUMIFS(ledger!G:G, ledger!B:B, _xlpm.party, ledger!E:E, "&lt;&gt;*RD*", ledger!D:D, "Crinkle")))/1.0936)+_xlfn.IFNA(E86,0)</f>
        <v>576099.12216532556</v>
      </c>
      <c r="U7" s="70" cm="1">
        <f t="array" ref="U7">(_xlfn.BYROW(B51,_xlfn.LAMBDA(_xlpm.party,SUMIFS(ledger!G:G,ledger!B:B,_xlpm.party,ledger!E:E,"&lt;&gt;*RD*",ledger!D:D,"Silky")))/1.0936)+_xlfn.IFNA(F86,0)</f>
        <v>90940.014630577905</v>
      </c>
      <c r="V7" s="22" cm="1">
        <f t="array" ref="V7">(_xlfn.BYROW(B51,_xlfn.LAMBDA(_xlpm.party,
(SUMIFS(ledger!J:J,ledger!B:B,_xlpm.party,ledger!E:E,"&lt;&gt;*RD*",ledger!D:D,"Chamki",ledger!C:C,"&lt;&gt;November Closing CF")+
SUMIFS(ledger!J:J,ledger!B:B,_xlpm.party,ledger!E:E,"&lt;&gt;*RD*",ledger!D:D,"Crinkle",ledger!C:C,"&lt;&gt;November Closing CF")
)+_xlfn.IFNA(G86,0))))</f>
        <v>5760991.2216532556</v>
      </c>
      <c r="W7" s="70" cm="1">
        <f t="array" ref="W7">_xlfn.BYROW(B51, _xlfn.LAMBDA(_xlpm.party,
   SUMIFS(ledger!J:J, ledger!B:B, _xlpm.party, ledger!E:E, "&lt;&gt;*RD*", ledger!D:D, "Silky", ledger!C:C, "&lt;&gt;November Closing CF")
)) + _xlfn.IFNA(H86, 0)</f>
        <v>1167425.9326993418</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6928417.1543525979</v>
      </c>
      <c r="AD7" s="22">
        <f>(SUMIF(Table14[Party],Q7,Table14[Credit]))+_xlfn.IFNA(O86,0)</f>
        <v>6705301</v>
      </c>
      <c r="AE7" s="33">
        <f t="shared" si="2"/>
        <v>223116.15435259789</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94839.978054133142</v>
      </c>
      <c r="D9">
        <v>10</v>
      </c>
      <c r="E9" s="14">
        <f>(SUMIFS(ledger!G:G, ledger!B:B, B9, ledger!E:E, "&lt;&gt;*RD*",ledger!D:D, "Silky") / 1.0936)*12 + (SUMIFS(ledger!G:G, ledger!B:B, B9, ledger!E:E, "&lt;&gt;*RD*",ledger!D:D, "Chamki") / 1.0936)*10</f>
        <v>948399.78054133139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10869060</v>
      </c>
      <c r="AE9" s="33">
        <f t="shared" si="2"/>
        <v>609704.2384784203</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1300000</v>
      </c>
      <c r="AE11" s="33">
        <f t="shared" si="2"/>
        <v>326380.76079005143</v>
      </c>
      <c r="AF11" s="21">
        <v>10</v>
      </c>
      <c r="AG11" s="21">
        <v>13</v>
      </c>
    </row>
    <row r="12" spans="2:33" x14ac:dyDescent="0.3">
      <c r="B12" t="str">
        <f t="shared" si="0"/>
        <v>Hafiz Qureshi</v>
      </c>
      <c r="C12" s="18">
        <f>SUMIFS(ledger!G:G, ledger!B:B, B12, ledger!E:E, "&lt;&gt;*RD*") / 1.0936</f>
        <v>77208.302852962704</v>
      </c>
      <c r="E12" s="14">
        <f>(SUMIFS(ledger!G:G, ledger!B:B, B12, ledger!E:E, "&lt;&gt;*RD*",ledger!D:D, "Silky") / 1.0936)*12 + (SUMIFS(ledger!G:G, ledger!B:B, B12, ledger!E:E, "&lt;&gt;*RD*",ledger!D:D, "Chamki") / 1.0936)*10</f>
        <v>772083.02852962702</v>
      </c>
      <c r="I12" t="s">
        <v>27</v>
      </c>
      <c r="O12" s="28"/>
      <c r="P12" s="28"/>
      <c r="Q12" s="24" t="str">
        <v>Azam</v>
      </c>
      <c r="R12" s="22" cm="1">
        <f t="array" ref="R12">_xlfn.BYROW(B56,_xlfn.LAMBDA(_xlpm.party,SUMIFS(ledger!G:G,ledger!B:B,_xlpm.party,ledger!E:E,"&lt;&gt;*RD*")))+_xlfn.IFNA(C91,0)</f>
        <v>465324</v>
      </c>
      <c r="S12" s="22" cm="1">
        <f t="array" ref="S12">_xlfn.BYROW(B56, _xlfn.LAMBDA(_xlpm.party, SUMIFS(ledger!G:G, ledger!B:B, _xlpm.party, ledger!E:E, "&lt;&gt;*RD*") / 1.0936 ))+_xlfn.IFNA(D91,0)</f>
        <v>425497.43964886619</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4330539.502560352</v>
      </c>
      <c r="AD12" s="22">
        <f>(SUMIF(Table14[Party],Q12,Table14[Credit]))+_xlfn.IFNA(O91,0)</f>
        <v>4330540</v>
      </c>
      <c r="AE12" s="33">
        <f t="shared" si="2"/>
        <v>-0.49743964802473783</v>
      </c>
      <c r="AF12" s="21">
        <v>10</v>
      </c>
      <c r="AG12" s="21">
        <v>13</v>
      </c>
    </row>
    <row r="13" spans="2:33" x14ac:dyDescent="0.3">
      <c r="B13" t="str">
        <f t="shared" si="0"/>
        <v>Badshah Fabrics</v>
      </c>
      <c r="C13" s="18">
        <f>SUMIFS(ledger!G:G, ledger!B:B, B13, ledger!E:E, "&lt;&gt;*RD*") / 1.0936</f>
        <v>108264.44769568399</v>
      </c>
      <c r="E13" s="14">
        <f>(SUMIFS(ledger!G:G, ledger!B:B, B13, ledger!E:E, "&lt;&gt;*RD*",ledger!D:D, "Silky") / 1.0936)*12 + (SUMIFS(ledger!G:G, ledger!B:B, B13, ledger!E:E, "&lt;&gt;*RD*",ledger!D:D, "Chamki") / 1.0936)*10</f>
        <v>618461.96049743972</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287250</v>
      </c>
      <c r="S15" s="22" cm="1">
        <f t="array" ref="S15">_xlfn.BYROW(B59, _xlfn.LAMBDA(_xlpm.party, SUMIFS(ledger!G:G, ledger!B:B, _xlpm.party, ledger!E:E, "&lt;&gt;*RD*") / 1.0936 ))+_xlfn.IFNA(D94,0)</f>
        <v>262664.59400146309</v>
      </c>
      <c r="T15" s="22" cm="1">
        <f t="array" ref="T15">(_xlfn.BYROW(B59,_xlfn.LAMBDA(_xlpm.party,SUMIFS(ledger!G:G,ledger!B:B,_xlpm.party,ledger!E:E,"&lt;&gt;*RD*",ledger!D:D,"Chamki")+SUMIFS(ledger!G:G, ledger!B:B, _xlpm.party, ledger!E:E, "&lt;&gt;*RD*", ledger!D:D, "Crinkle")))/1.0936)+_xlfn.IFNA(E94,0)</f>
        <v>262664.59400146309</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2626645.940014631</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2626645.940014631</v>
      </c>
      <c r="AD15" s="22">
        <f>(SUMIF(Table14[Party],Q15,Table14[Credit]))+_xlfn.IFNA(O94,0)</f>
        <v>2261380</v>
      </c>
      <c r="AE15" s="33">
        <f t="shared" si="2"/>
        <v>365265.94001463102</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635806</v>
      </c>
      <c r="S16" s="22" cm="1">
        <f t="array" ref="S16">_xlfn.BYROW(B60, _xlfn.LAMBDA(_xlpm.party, SUMIFS(ledger!G:G, ledger!B:B, _xlpm.party, ledger!E:E, "&lt;&gt;*RD*") / 1.0936 ))+_xlfn.IFNA(D95,0)</f>
        <v>581388.07607900514</v>
      </c>
      <c r="T16" s="22" cm="1">
        <f t="array" ref="T16">(_xlfn.BYROW(B60,_xlfn.LAMBDA(_xlpm.party,SUMIFS(ledger!G:G,ledger!B:B,_xlpm.party,ledger!E:E,"&lt;&gt;*RD*",ledger!D:D,"Chamki")+SUMIFS(ledger!G:G, ledger!B:B, _xlpm.party, ledger!E:E, "&lt;&gt;*RD*", ledger!D:D, "Crinkle")))/1.0936)+_xlfn.IFNA(E95,0)</f>
        <v>464174.28675932705</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(SUMIFS(ledger!J:J,ledger!B:B,_xlpm.party,ledger!E:E,"&lt;&gt;*RD*",ledger!D:D,"Chamki",ledger!C:C,"&lt;&gt;November Closing CF")+
SUMIFS(ledger!J:J,ledger!B:B,_xlpm.party,ledger!E:E,"&lt;&gt;*RD*",ledger!D:D,"Crinkle",ledger!C:C,"&lt;&gt;November Closing CF")
)+_xlfn.IFNA(G95,0))))</f>
        <v>4641742.8675932707</v>
      </c>
      <c r="W16" s="70" cm="1">
        <f t="array" ref="W16">_xlfn.BYROW(B60, _xlfn.LAMBDA(_xlpm.party,
   SUMIFS(ledger!J:J, ledger!B:B, _xlpm.party, ledger!E:E, "&lt;&gt;*RD*", ledger!D:D, "Silky", ledger!C:C, "&lt;&gt;November Closing CF")
)) + _xlfn.IFNA(H95, 0)</f>
        <v>1460624.5427944404</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6102367.4103877116</v>
      </c>
      <c r="AD16" s="22">
        <f>(SUMIF(Table14[Party],Q16,Table14[Credit]))+_xlfn.IFNA(O95,0)</f>
        <v>5815761</v>
      </c>
      <c r="AE16" s="33">
        <f t="shared" si="2"/>
        <v>286606.4103877116</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7678658.3979517203</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7678658.3979517203</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2300000</v>
      </c>
      <c r="AE23" s="33">
        <f t="shared" si="2"/>
        <v>409309.61960497499</v>
      </c>
      <c r="AF23" s="21">
        <v>10</v>
      </c>
      <c r="AG23" s="21">
        <v>13</v>
      </c>
    </row>
    <row r="24" spans="2:33" x14ac:dyDescent="0.3">
      <c r="I24" t="s">
        <v>195</v>
      </c>
      <c r="Q24" t="str">
        <v>Salman Zaffar</v>
      </c>
      <c r="R24" s="22" cm="1">
        <f t="array" ref="R24">_xlfn.BYROW(B68,_xlfn.LAMBDA(_xlpm.party,SUMIFS(ledger!G:G,ledger!B:B,_xlpm.party,ledger!E:E,"&lt;&gt;*RD*")))+_xlfn.IFNA(C103,0)</f>
        <v>93232</v>
      </c>
      <c r="S24" s="22" cm="1">
        <f t="array" ref="S24">_xlfn.BYROW(B68, _xlfn.LAMBDA(_xlpm.party, SUMIFS(ledger!G:G, ledger!B:B, _xlpm.party, ledger!E:E, "&lt;&gt;*RD*") / 1.0936 ))+_xlfn.IFNA(D103,0)</f>
        <v>85252.377468910039</v>
      </c>
      <c r="T24" s="22" cm="1">
        <f t="array" ref="T24">(_xlfn.BYROW(B68,_xlfn.LAMBDA(_xlpm.party,SUMIFS(ledger!G:G,ledger!B:B,_xlpm.party,ledger!E:E,"&lt;&gt;*RD*",ledger!D:D,"Chamki")+SUMIFS(ledger!G:G, ledger!B:B, _xlpm.party, ledger!E:E, "&lt;&gt;*RD*", ledger!D:D, "Crinkle")))/1.0936)+_xlfn.IFNA(E103,0)</f>
        <v>40372.165325530361</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403721.65325530362</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973693.30651060725</v>
      </c>
      <c r="AD24" s="22">
        <f>(SUMIF(Table14[Party],Q24,Table14[Credit]))+_xlfn.IFNA(O103,0)</f>
        <v>813525</v>
      </c>
      <c r="AE24" s="33">
        <f t="shared" si="2"/>
        <v>160168.30651060725</v>
      </c>
      <c r="AF24" s="21">
        <v>10</v>
      </c>
      <c r="AG24" s="21">
        <v>13</v>
      </c>
    </row>
    <row r="25" spans="2:33" x14ac:dyDescent="0.3">
      <c r="I25" t="s">
        <v>201</v>
      </c>
      <c r="Q25" t="str">
        <v>Shahid Qasayi</v>
      </c>
      <c r="R25" s="22" cm="1">
        <f t="array" ref="R25">_xlfn.BYROW(B69,_xlfn.LAMBDA(_xlpm.party,SUMIFS(ledger!G:G,ledger!B:B,_xlpm.party,ledger!E:E,"&lt;&gt;*RD*")))+_xlfn.IFNA(C104,0)</f>
        <v>263818</v>
      </c>
      <c r="S25" s="22" cm="1">
        <f t="array" ref="S25">_xlfn.BYROW(B69, _xlfn.LAMBDA(_xlpm.party, SUMIFS(ledger!G:G, ledger!B:B, _xlpm.party, ledger!E:E, "&lt;&gt;*RD*") / 1.0936 ))+_xlfn.IFNA(D104,0)</f>
        <v>241238.11265544992</v>
      </c>
      <c r="T25" s="22" cm="1">
        <f t="array" ref="T25">(_xlfn.BYROW(B69,_xlfn.LAMBDA(_xlpm.party,SUMIFS(ledger!G:G,ledger!B:B,_xlpm.party,ledger!E:E,"&lt;&gt;*RD*",ledger!D:D,"Chamki")+SUMIFS(ledger!G:G, ledger!B:B, _xlpm.party, ledger!E:E, "&lt;&gt;*RD*", ledger!D:D, "Crinkle")))/1.0936)+_xlfn.IFNA(E104,0)</f>
        <v>189718.36137527431</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1897183.6137527432</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47534.747622531097</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2467862.1068032188</v>
      </c>
      <c r="AD25" s="22">
        <f>(SUMIF(Table14[Party],Q25,Table14[Credit]))+_xlfn.IFNA(O104,0)</f>
        <v>2108095</v>
      </c>
      <c r="AE25" s="33">
        <f t="shared" si="2"/>
        <v>359767.10680321883</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219582.8824</v>
      </c>
      <c r="D49" s="22" cm="1">
        <f t="array" ref="D49:D74">_xlfn.BYROW(_xlfn.ANCHORARRAY(B49), _xlfn.LAMBDA(_xlpm.party, SUMIFS(ledger!G:G, ledger!B:B, _xlpm.party, ledger!E:E, "&lt;&gt;*RD*") / 1.0936 ))</f>
        <v>200789.02926115584</v>
      </c>
      <c r="E49" s="63" cm="1">
        <f t="array" ref="E49:E74">(_xlfn.BYROW(_xlfn.ANCHORARRAY(B49),_xlfn.LAMBDA(_xlpm.party,SUMIFS(ledger!G:G,ledger!B:B,_xlpm.party,ledger!E:E,"&lt;&gt;*RD*",ledger!D:D,"Chamki")+SUMIFS(ledger!G:G, ledger!B:B, _xlpm.party, ledger!E:E, "&lt;&gt;*RD*", ledger!D:D, "Crinkle")))/1.0936)</f>
        <v>200789.02926115584</v>
      </c>
      <c r="F49" s="63" cm="1">
        <f t="array" ref="F49:F74">(_xlfn.BYROW(_xlfn.ANCHORARRAY(B49),_xlfn.LAMBDA(_xlpm.party,SUMIFS(ledger!G:G,ledger!B:B,_xlpm.party,ledger!E:E,"&lt;&gt;*RD*",ledger!D:D,"Silky")))/1.0936)</f>
        <v>0</v>
      </c>
      <c r="G49" s="22" cm="1">
        <f t="array" ref="G49">(_xlfn.BYROW(B49,_xlfn.LAMBDA(_xlpm.party,
(SUMIFS(ledger!J:J,ledger!B:B,_xlpm.party,ledger!E:E,"&lt;&gt;*RD*",ledger!D:D,"Chamki",ledger!C:C,"&lt;&gt;November Closing CF")+
SUMIFS(ledger!J:J,ledger!B:B,_xlpm.party,ledger!E:E,"&lt;&gt;*RD*",ledger!D:D,"Crinkle",ledger!C:C,"&lt;&gt;November Closing CF")
))))</f>
        <v>2007890.2926115585</v>
      </c>
      <c r="H49" s="22" cm="1">
        <f t="array" ref="H49">_xlfn.BYROW(B49, _xlfn.LAMBDA(_xlpm.party,
   SUMIFS(ledger!J:J, ledger!B:B, _xlpm.party, ledger!E:E, "&lt;&gt;*RD*", ledger!D:D, "Silky", ledger!C:C, "&lt;&gt;November Closing CF")
))</f>
        <v>0</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2007890.2926115585</v>
      </c>
      <c r="O49" s="22">
        <f>(SUMIF(Table14[Party],B49,Table14[Credit]))</f>
        <v>0</v>
      </c>
      <c r="P49" s="37">
        <f>N49-O49</f>
        <v>2007890.2926115585</v>
      </c>
      <c r="Q49" s="21">
        <v>10</v>
      </c>
      <c r="R49" s="21">
        <v>12</v>
      </c>
    </row>
    <row r="50" spans="1:23" x14ac:dyDescent="0.3">
      <c r="B50" s="24" t="str">
        <v>Ejaz Sahab</v>
      </c>
      <c r="C50" s="22">
        <v>37275</v>
      </c>
      <c r="D50" s="22">
        <v>34084.674469641555</v>
      </c>
      <c r="E50" s="63">
        <v>0</v>
      </c>
      <c r="F50" s="63">
        <v>34084.674469641555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443100.76810534019</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443100.76810534019</v>
      </c>
      <c r="O50" s="22">
        <f>(SUMIF(Table14[Party],B50,Table14[Credit]))</f>
        <v>408088</v>
      </c>
      <c r="P50" s="37">
        <f>N50-O50</f>
        <v>35012.76810534019</v>
      </c>
      <c r="Q50" s="21">
        <v>10</v>
      </c>
      <c r="R50" s="21">
        <v>12</v>
      </c>
    </row>
    <row r="51" spans="1:23" x14ac:dyDescent="0.3">
      <c r="B51" s="24" t="str">
        <v>Arshad</v>
      </c>
      <c r="C51" s="22">
        <v>72326</v>
      </c>
      <c r="D51" s="22">
        <v>66135.698610095104</v>
      </c>
      <c r="E51" s="63">
        <v>53308.339429407468</v>
      </c>
      <c r="F51" s="63">
        <v>12827.359180687637</v>
      </c>
      <c r="G51" s="22" cm="1">
        <f t="array" ref="G51">(_xlfn.BYROW(B51,_xlfn.LAMBDA(_xlpm.party,
(SUMIFS(ledger!J:J,ledger!B:B,_xlpm.party,ledger!E:E,"&lt;&gt;*RD*",ledger!D:D,"Chamki",ledger!C:C,"&lt;&gt;November Closing CF")+
SUMIFS(ledger!J:J,ledger!B:B,_xlpm.party,ledger!E:E,"&lt;&gt;*RD*",ledger!D:D,"Crinkle",ledger!C:C,"&lt;&gt;November Closing CF")
))))</f>
        <v>533083.39429407462</v>
      </c>
      <c r="H51" s="22" cm="1">
        <f t="array" ref="H51">_xlfn.BYROW(B51, _xlfn.LAMBDA(_xlpm.party,
   SUMIFS(ledger!J:J, ledger!B:B, _xlpm.party, ledger!E:E, "&lt;&gt;*RD*", ledger!D:D, "Silky", ledger!C:C, "&lt;&gt;November Closing CF")
))</f>
        <v>166755.66934893929</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699839.06364301394</v>
      </c>
      <c r="O51" s="22">
        <f>(SUMIF(Table14[Party],B51,Table14[Credit]))</f>
        <v>702366</v>
      </c>
      <c r="P51" s="37">
        <f>N51-O51</f>
        <v>-2526.9363569860579</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239960</v>
      </c>
      <c r="P53" s="37">
        <f t="shared" si="5"/>
        <v>-0.23408924651448615</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200000</v>
      </c>
      <c r="P55" s="37">
        <f t="shared" si="5"/>
        <v>32507.31528895392</v>
      </c>
      <c r="Q55" s="21">
        <v>10</v>
      </c>
      <c r="R55" s="21">
        <v>12</v>
      </c>
    </row>
    <row r="56" spans="1:23" x14ac:dyDescent="0.3">
      <c r="B56" s="24" t="str">
        <v>Azam</v>
      </c>
      <c r="C56" s="22">
        <v>103717</v>
      </c>
      <c r="D56" s="22">
        <v>94839.978054133142</v>
      </c>
      <c r="E56" s="63">
        <v>94839.978054133142</v>
      </c>
      <c r="F56" s="63">
        <v>0</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948399.78054133151</v>
      </c>
      <c r="O56" s="22">
        <f>(SUMIF(Table14[Party],B56,Table14[Credit]))</f>
        <v>1007920</v>
      </c>
      <c r="P56" s="37">
        <f t="shared" ref="P56:P78" si="6">N56-O56</f>
        <v>-59520.219458668493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200789.02926115584</v>
      </c>
      <c r="W58" s="18">
        <v>1579608.6320409658</v>
      </c>
    </row>
    <row r="59" spans="1:23" x14ac:dyDescent="0.3">
      <c r="B59" s="24" t="str">
        <v>Hafiz Qureshi</v>
      </c>
      <c r="C59" s="22">
        <v>84435</v>
      </c>
      <c r="D59" s="22">
        <v>77208.302852962704</v>
      </c>
      <c r="E59" s="63">
        <v>77208.302852962704</v>
      </c>
      <c r="F59" s="63">
        <v>0</v>
      </c>
      <c r="G59" s="22" cm="1">
        <f t="array" ref="G59">(_xlfn.BYROW(B59,_xlfn.LAMBDA(_xlpm.party,
(SUMIFS(ledger!J:J,ledger!B:B,_xlpm.party,ledger!E:E,"&lt;&gt;*RD*",ledger!D:D,"Chamki",ledger!C:C,"&lt;&gt;November Closing CF")+
SUMIFS(ledger!J:J,ledger!B:B,_xlpm.party,ledger!E:E,"&lt;&gt;*RD*",ledger!D:D,"Crinkle",ledger!C:C,"&lt;&gt;November Closing CF")
))))</f>
        <v>772083.02852962713</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772083.02852962713</v>
      </c>
      <c r="O59" s="22">
        <f>SUMIF(Table14[Party], B59, Table14[Credit])</f>
        <v>455400</v>
      </c>
      <c r="P59" s="37">
        <f t="shared" si="6"/>
        <v>316683.02852962713</v>
      </c>
      <c r="Q59" s="21">
        <v>10</v>
      </c>
      <c r="R59" s="21">
        <v>12</v>
      </c>
      <c r="U59" s="4" t="s">
        <v>22</v>
      </c>
      <c r="V59" s="5">
        <v>34084.674469641555</v>
      </c>
      <c r="W59" s="18">
        <v>409016.09363569866</v>
      </c>
    </row>
    <row r="60" spans="1:23" x14ac:dyDescent="0.3">
      <c r="B60" s="24" t="str">
        <v>Badshah Fabrics</v>
      </c>
      <c r="C60" s="22">
        <v>118398</v>
      </c>
      <c r="D60" s="22">
        <v>108264.44769568399</v>
      </c>
      <c r="E60" s="63">
        <v>108264.44769568399</v>
      </c>
      <c r="F60" s="63">
        <v>0</v>
      </c>
      <c r="G60" s="22" cm="1">
        <f t="array" ref="G60">(_xlfn.BYROW(B60,_xlfn.LAMBDA(_xlpm.party,
(SUMIFS(ledger!J:J,ledger!B:B,_xlpm.party,ledger!E:E,"&lt;&gt;*RD*",ledger!D:D,"Chamki",ledger!C:C,"&lt;&gt;November Closing CF")+
SUMIFS(ledger!J:J,ledger!B:B,_xlpm.party,ledger!E:E,"&lt;&gt;*RD*",ledger!D:D,"Crinkle",ledger!C:C,"&lt;&gt;November Closing CF")
))))</f>
        <v>1082644.4769568399</v>
      </c>
      <c r="H60" s="22" cm="1">
        <f t="array" ref="H60">_xlfn.BYROW(B60, _xlfn.LAMBDA(_xlpm.party,
   SUMIFS(ledger!J:J, ledger!B:B, _xlpm.party, ledger!E:E, "&lt;&gt;*RD*", ledger!D:D, "Silky", ledger!C:C, "&lt;&gt;November Closing CF")
))</f>
        <v>0</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1082644.4769568399</v>
      </c>
      <c r="O60" s="22">
        <f>SUMIF(Table14[Party], B60, Table14[Credit])</f>
        <v>890000</v>
      </c>
      <c r="P60" s="37">
        <f t="shared" si="6"/>
        <v>192644.47695683991</v>
      </c>
      <c r="Q60" s="21">
        <v>10</v>
      </c>
      <c r="R60" s="21">
        <v>12</v>
      </c>
      <c r="U60" s="4" t="s">
        <v>9</v>
      </c>
      <c r="V60" s="5">
        <v>66135.698610095104</v>
      </c>
      <c r="W60" s="18">
        <v>687011.70446232636</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94839.978054133142</v>
      </c>
      <c r="W65" s="18">
        <v>948399.78054133139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0</v>
      </c>
      <c r="P67" s="37">
        <f t="shared" si="6"/>
        <v>0</v>
      </c>
      <c r="Q67" s="21">
        <v>10</v>
      </c>
      <c r="R67" s="21">
        <v>12</v>
      </c>
      <c r="U67" s="4" t="s">
        <v>148</v>
      </c>
      <c r="V67" s="5">
        <v>0</v>
      </c>
      <c r="W67" s="18">
        <v>0</v>
      </c>
    </row>
    <row r="68" spans="2:23" x14ac:dyDescent="0.3">
      <c r="B68" s="81" t="str">
        <v>Salman Zaffar</v>
      </c>
      <c r="C68" s="22">
        <v>28452</v>
      </c>
      <c r="D68" s="22">
        <v>26016.825164594004</v>
      </c>
      <c r="E68" s="63">
        <v>26016.825164594004</v>
      </c>
      <c r="F68" s="63">
        <v>0</v>
      </c>
      <c r="G68" s="22" cm="1">
        <f t="array" ref="G68">(_xlfn.BYROW(B68,_xlfn.LAMBDA(_xlpm.party,
(SUMIFS(ledger!J:J,ledger!B:B,_xlpm.party,ledger!E:E,"&lt;&gt;*RD*",ledger!D:D,"Chamki",ledger!C:C,"&lt;&gt;November Closing CF")+
SUMIFS(ledger!J:J,ledger!B:B,_xlpm.party,ledger!E:E,"&lt;&gt;*RD*",ledger!D:D,"Crinkle",ledger!C:C,"&lt;&gt;November Closing CF")
))))</f>
        <v>260168.25164594001</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260168.25164594001</v>
      </c>
      <c r="O68" s="22">
        <f>SUMIF(Table14[Party], B68, Table14[Credit])</f>
        <v>813525</v>
      </c>
      <c r="P68" s="37">
        <f t="shared" si="6"/>
        <v>-553356.74835405999</v>
      </c>
      <c r="Q68" s="21">
        <v>10</v>
      </c>
      <c r="R68" s="21">
        <v>12</v>
      </c>
      <c r="U68" s="4" t="s">
        <v>27</v>
      </c>
      <c r="V68" s="5">
        <v>77208.302852962704</v>
      </c>
      <c r="W68" s="18">
        <v>772083.02852962702</v>
      </c>
    </row>
    <row r="69" spans="2:23" x14ac:dyDescent="0.3">
      <c r="B69" s="81" t="str">
        <v>Shahid Qasayi</v>
      </c>
      <c r="C69" s="22">
        <v>87689</v>
      </c>
      <c r="D69" s="22">
        <v>80183.79663496709</v>
      </c>
      <c r="E69" s="63">
        <v>76222.567666422823</v>
      </c>
      <c r="F69" s="21">
        <v>0</v>
      </c>
      <c r="G69" s="22" cm="1">
        <f t="array" ref="G69">(_xlfn.BYROW(B69,_xlfn.LAMBDA(_xlpm.party,
(SUMIFS(ledger!J:J,ledger!B:B,_xlpm.party,ledger!E:E,"&lt;&gt;*RD*",ledger!D:D,"Chamki",ledger!C:C,"&lt;&gt;November Closing CF")+
SUMIFS(ledger!J:J,ledger!B:B,_xlpm.party,ledger!E:E,"&lt;&gt;*RD*",ledger!D:D,"Crinkle",ledger!C:C,"&lt;&gt;November Closing CF")
))))</f>
        <v>762225.6766642282</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47534.747622531097</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809760.42428675934</v>
      </c>
      <c r="O69" s="22">
        <f>SUMIF(Table14[Party], B69, Table14[Credit])</f>
        <v>639770</v>
      </c>
      <c r="P69" s="37">
        <f t="shared" si="6"/>
        <v>169990.42428675934</v>
      </c>
      <c r="Q69" s="21">
        <v>10</v>
      </c>
      <c r="R69" s="21">
        <v>12</v>
      </c>
      <c r="U69" s="4" t="s">
        <v>166</v>
      </c>
      <c r="V69" s="5">
        <v>108264.44769568399</v>
      </c>
      <c r="W69" s="18">
        <v>618461.96049743972</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636661.37746891007</v>
      </c>
      <c r="W75" s="14">
        <v>5332060.1682516467</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E12" sqref="E1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199</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263818</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241238.11265544992</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189718.36137527431</v>
      </c>
      <c r="E12" s="92">
        <f ca="1">Table21[[#This Row],[gazana]]*Table21[[#This Row],[Rate]]</f>
        <v>1897183.6137527432</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1897183.6137527432</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2108095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359767.10680321883</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G14" sqref="G1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f>
        <v>3209860</v>
      </c>
      <c r="D4" t="s">
        <v>190</v>
      </c>
      <c r="E4" s="43">
        <f ca="1">Table12[[#This Row],[Amount]]/Table1[[#Totals],[tiyar/meters]]</f>
        <v>4.277821593785653</v>
      </c>
    </row>
    <row r="5" spans="1:5" x14ac:dyDescent="0.3">
      <c r="B5" t="s">
        <v>48</v>
      </c>
      <c r="C5" s="11">
        <f>SUM(Table8[Price])+Dyes!P56</f>
        <v>1077660</v>
      </c>
      <c r="E5" s="43">
        <f ca="1">Table12[[#This Row],[Amount]]/Table1[[#Totals],[tiyar/meters]]</f>
        <v>1.4362113047793508</v>
      </c>
    </row>
    <row r="6" spans="1:5" x14ac:dyDescent="0.3">
      <c r="B6" t="s">
        <v>49</v>
      </c>
      <c r="C6" s="11">
        <f>SUM(Table2[Price])+Finish!K30</f>
        <v>457600</v>
      </c>
      <c r="D6" t="s">
        <v>189</v>
      </c>
      <c r="E6" s="43">
        <f ca="1">Table12[[#This Row],[Amount]]/Table1[[#Totals],[tiyar/meters]]</f>
        <v>0.6098493894800131</v>
      </c>
    </row>
    <row r="7" spans="1:5" x14ac:dyDescent="0.3">
      <c r="B7" t="s">
        <v>50</v>
      </c>
      <c r="C7" s="11">
        <f>SUMIFS(Table14[Debit], Table14[Party],Table12[[#This Row],[Type]])</f>
        <v>11275</v>
      </c>
      <c r="E7" s="43">
        <f ca="1">Table12[[#This Row],[Amount]]/Table1[[#Totals],[tiyar/meters]]</f>
        <v>1.5026337120601285E-2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120300</v>
      </c>
      <c r="E9" s="43">
        <f ca="1">Table12[[#This Row],[Amount]]/Table1[[#Totals],[tiyar/meters]]</f>
        <v>0.16032535304730242</v>
      </c>
    </row>
    <row r="10" spans="1:5" x14ac:dyDescent="0.3">
      <c r="B10" t="s">
        <v>53</v>
      </c>
      <c r="C10" s="11">
        <f>Table5[[#Totals],[Amount]]</f>
        <v>36865</v>
      </c>
      <c r="E10" s="43">
        <f ca="1">Table12[[#This Row],[Amount]]/Table1[[#Totals],[tiyar/meters]]</f>
        <v>4.9130458354852892E-2</v>
      </c>
    </row>
    <row r="11" spans="1:5" x14ac:dyDescent="0.3">
      <c r="B11" t="s">
        <v>54</v>
      </c>
      <c r="C11" s="11">
        <f>Table13[[#Totals],[Debit]]</f>
        <v>74805</v>
      </c>
      <c r="E11" s="43">
        <f ca="1">Table12[[#This Row],[Amount]]/Table1[[#Totals],[tiyar/meters]]</f>
        <v>9.9693582998366226E-2</v>
      </c>
    </row>
    <row r="12" spans="1:5" x14ac:dyDescent="0.3">
      <c r="B12" t="s">
        <v>55</v>
      </c>
      <c r="C12" s="11">
        <f>Table15[[#Totals],[Amount]]</f>
        <v>68045</v>
      </c>
      <c r="E12" s="43">
        <f ca="1">Table12[[#This Row],[Amount]]/Table1[[#Totals],[tiyar/meters]]</f>
        <v>9.0684444290138749E-2</v>
      </c>
    </row>
    <row r="13" spans="1:5" x14ac:dyDescent="0.3">
      <c r="C13" s="11"/>
      <c r="E13" s="43">
        <f ca="1">Table12[[#This Row],[Amount]]/Table1[[#Totals],[tiyar/meters]]</f>
        <v>0</v>
      </c>
    </row>
    <row r="14" spans="1:5" x14ac:dyDescent="0.3">
      <c r="C14" s="14">
        <f>SUM(Table12[Amount])</f>
        <v>5056410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7678658.3979517203</v>
      </c>
    </row>
    <row r="4" spans="1:3" x14ac:dyDescent="0.3">
      <c r="B4" s="11" t="s">
        <v>44</v>
      </c>
      <c r="C4" s="11">
        <f>Table12[[#Totals],[Amount]]</f>
        <v>5056410</v>
      </c>
    </row>
    <row r="5" spans="1:3" x14ac:dyDescent="0.3">
      <c r="A5" s="6"/>
      <c r="B5" s="15" t="s">
        <v>68</v>
      </c>
      <c r="C5" s="15">
        <f>C3-C4</f>
        <v>2622248.3979517203</v>
      </c>
    </row>
    <row r="10" spans="1:3" ht="15" thickBot="1" x14ac:dyDescent="0.35">
      <c r="B10" t="s">
        <v>66</v>
      </c>
      <c r="C10" s="14" t="s">
        <v>67</v>
      </c>
    </row>
    <row r="11" spans="1:3" x14ac:dyDescent="0.3">
      <c r="B11" s="56" t="s">
        <v>0</v>
      </c>
      <c r="C11" s="57">
        <f>C3</f>
        <v>7678658.3979517203</v>
      </c>
    </row>
    <row r="12" spans="1:3" x14ac:dyDescent="0.3">
      <c r="B12" s="58" t="s">
        <v>69</v>
      </c>
      <c r="C12" s="59">
        <f>SUM(Table14[Credit])</f>
        <v>19112717</v>
      </c>
    </row>
    <row r="13" spans="1:3" ht="15" thickBot="1" x14ac:dyDescent="0.35">
      <c r="B13" s="74" t="s">
        <v>93</v>
      </c>
      <c r="C13" s="73">
        <f>(C11-C12)</f>
        <v>-11434058.60204828</v>
      </c>
    </row>
    <row r="14" spans="1:3" ht="15" thickBot="1" x14ac:dyDescent="0.35">
      <c r="B14" s="58"/>
      <c r="C14" s="59"/>
    </row>
    <row r="15" spans="1:3" x14ac:dyDescent="0.3">
      <c r="B15" s="56" t="s">
        <v>44</v>
      </c>
      <c r="C15" s="57">
        <f>C4</f>
        <v>5056410</v>
      </c>
    </row>
    <row r="16" spans="1:3" x14ac:dyDescent="0.3">
      <c r="B16" s="58" t="s">
        <v>70</v>
      </c>
      <c r="C16" s="59">
        <f>SUM(Table14[Debit])</f>
        <v>19088967</v>
      </c>
    </row>
    <row r="17" spans="2:6" ht="15" thickBot="1" x14ac:dyDescent="0.35">
      <c r="B17" s="74" t="s">
        <v>71</v>
      </c>
      <c r="C17" s="73">
        <f>C15-C16</f>
        <v>-14032557</v>
      </c>
    </row>
    <row r="18" spans="2:6" ht="15" thickBot="1" x14ac:dyDescent="0.35">
      <c r="B18" s="58"/>
      <c r="C18" s="59"/>
    </row>
    <row r="19" spans="2:6" ht="15" thickBot="1" x14ac:dyDescent="0.35">
      <c r="B19" s="75" t="s">
        <v>72</v>
      </c>
      <c r="C19" s="76">
        <f>Table18[[#Totals],[amount]]</f>
        <v>23750</v>
      </c>
    </row>
    <row r="20" spans="2:6" ht="15" thickBot="1" x14ac:dyDescent="0.35">
      <c r="B20" s="71"/>
      <c r="C20" s="72"/>
    </row>
    <row r="21" spans="2:6" ht="15" thickBot="1" x14ac:dyDescent="0.35">
      <c r="B21" s="60" t="s">
        <v>73</v>
      </c>
      <c r="C21" s="61">
        <f>(C13-C17)+C19</f>
        <v>2622248.3979517203</v>
      </c>
      <c r="E21" s="79" t="s">
        <v>74</v>
      </c>
      <c r="F21" s="80">
        <f>C5*0.05</f>
        <v>131112.41989758602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B3" sqref="B3:B3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0</v>
      </c>
      <c r="E21">
        <f>SUMIFS(Table14[Credit], Table14[Date], Table13[[#This Row],[Date]], Table14[Party], "Transport")</f>
        <v>0</v>
      </c>
    </row>
    <row r="22" spans="2:5" x14ac:dyDescent="0.3">
      <c r="B22" s="1">
        <v>46025</v>
      </c>
      <c r="D22">
        <f>SUMIFS(Table14[Debit], Table14[Date], Table13[[#This Row],[Date]], Table14[Party], "Transport")</f>
        <v>0</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0</v>
      </c>
      <c r="E24">
        <f>SUMIFS(Table14[Credit], Table14[Date], Table13[[#This Row],[Date]], Table14[Party], "Transport")</f>
        <v>0</v>
      </c>
    </row>
    <row r="25" spans="2:5" x14ac:dyDescent="0.3">
      <c r="B25" s="1">
        <v>46028</v>
      </c>
      <c r="D25">
        <f>SUMIFS(Table14[Debit], Table14[Date], Table13[[#This Row],[Date]], Table14[Party], "Transport")</f>
        <v>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0</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74805</v>
      </c>
      <c r="E38">
        <f>SUBTOTAL(109,Table13[Credit])</f>
        <v>0</v>
      </c>
      <c r="F38">
        <f>Table13[[#Totals],[Debit]]-Table13[[#Totals],[Credit]]</f>
        <v>74805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91" zoomScaleNormal="82" workbookViewId="0">
      <selection activeCell="G116" sqref="G116"/>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232388.44184345281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231794.07461594735</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56.820961192156666</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86.372725777835356</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51.394651804857254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v>4332</v>
      </c>
      <c r="H100" s="120">
        <f>_xlfn.XLOOKUP(Table1[[#This Row],[Shipment Number]], 'pivot '!A:A,'pivot '!G:G, "NF")</f>
        <v>1.5178395094718695</v>
      </c>
      <c r="I100" s="121">
        <f>Table1[[#This Row],[Tiyaar/gaz]]/1.0936</f>
        <v>3961.2289685442579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47534.747622531097</v>
      </c>
      <c r="K100" s="119"/>
      <c r="M100"/>
      <c r="P100"/>
      <c r="Q100"/>
      <c r="R100"/>
    </row>
    <row r="101" spans="1:18" x14ac:dyDescent="0.3">
      <c r="A101" s="122">
        <v>46020</v>
      </c>
      <c r="B101" s="124" t="s">
        <v>193</v>
      </c>
      <c r="C101" s="119" t="s">
        <v>333</v>
      </c>
      <c r="D101" s="119" t="s">
        <v>85</v>
      </c>
      <c r="E101" s="11">
        <v>1984</v>
      </c>
      <c r="F101" s="11">
        <v>28662</v>
      </c>
      <c r="G101" s="11">
        <v>4276</v>
      </c>
      <c r="H101" s="120">
        <f>_xlfn.XLOOKUP(Table1[[#This Row],[Shipment Number]], 'pivot '!A:A,'pivot '!G:G, "NF")</f>
        <v>1.5178395094718695</v>
      </c>
      <c r="I101" s="121">
        <f>Table1[[#This Row],[Tiyaar/gaz]]/1.0936</f>
        <v>3910.0219458668621</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39100.219458668624</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29.755226469774399</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v>61388</v>
      </c>
      <c r="G112" s="11">
        <v>8547</v>
      </c>
      <c r="H112" s="120">
        <f>_xlfn.XLOOKUP(Table1[[#This Row],[Shipment Number]], 'pivot '!A:A,'pivot '!G:G, "NF")</f>
        <v>87.268730311889087</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c r="B114"/>
      <c r="C114"/>
      <c r="D114"/>
      <c r="E114" s="14"/>
      <c r="F114" s="14"/>
      <c r="G114" s="14"/>
      <c r="H114" s="43"/>
      <c r="I114" s="94" cm="1">
        <f t="array" aca="1" ref="I114" ca="1">SUMPRODUCT( SUBTOTAL(109, OFFSET(Table1[tiyar/meters], ROW(Table1[tiyar/meters])-MIN(ROW(Table1[tiyar/meters])), 0, 1)), --(Table1[Bill Number]&lt;&gt;"November Closing CF") )</f>
        <v>750349.19751280185</v>
      </c>
      <c r="J114" s="43" cm="1">
        <f t="array" aca="1" ref="J114" ca="1">SUMPRODUCT( SUBTOTAL(109, OFFSET(Table1[billing], ROW(Table1[billing])-MIN(ROW(Table1[billing])), 0, 1)), --(Table1[Bill Number]&lt;&gt;"November Closing CF") )</f>
        <v>7678658.3979517194</v>
      </c>
      <c r="K114" s="14">
        <f>SUMIFS(Table1[billing], Table1[Bill Number], "&lt;&gt;November Closing CF")</f>
        <v>7678658.3979517194</v>
      </c>
      <c r="O114"/>
      <c r="P114"/>
      <c r="Q114"/>
    </row>
    <row r="115" spans="1:17" x14ac:dyDescent="0.3">
      <c r="O115"/>
      <c r="P115"/>
      <c r="Q115"/>
    </row>
    <row r="116" spans="1:17" x14ac:dyDescent="0.3">
      <c r="O116"/>
      <c r="P116"/>
      <c r="Q116"/>
    </row>
    <row r="117" spans="1:17" x14ac:dyDescent="0.3">
      <c r="O117"/>
      <c r="P117"/>
      <c r="Q117"/>
    </row>
    <row r="118" spans="1:17" x14ac:dyDescent="0.3">
      <c r="O118"/>
      <c r="P118"/>
      <c r="Q118"/>
    </row>
    <row r="119" spans="1:17" x14ac:dyDescent="0.3">
      <c r="O119"/>
      <c r="P119"/>
      <c r="Q119"/>
    </row>
    <row r="120" spans="1:17" x14ac:dyDescent="0.3">
      <c r="P120"/>
      <c r="Q120"/>
    </row>
    <row r="121" spans="1:17" x14ac:dyDescent="0.3">
      <c r="P121"/>
      <c r="Q121"/>
    </row>
    <row r="122" spans="1:17" x14ac:dyDescent="0.3">
      <c r="P122"/>
      <c r="Q122"/>
    </row>
    <row r="123" spans="1:17" x14ac:dyDescent="0.3">
      <c r="P123"/>
      <c r="Q123"/>
    </row>
    <row r="124" spans="1:17" x14ac:dyDescent="0.3">
      <c r="P124"/>
      <c r="Q124"/>
    </row>
    <row r="125" spans="1:17" x14ac:dyDescent="0.3">
      <c r="P125"/>
      <c r="Q125"/>
    </row>
    <row r="126" spans="1:17" x14ac:dyDescent="0.3">
      <c r="P126"/>
      <c r="Q126"/>
    </row>
    <row r="127" spans="1:17" x14ac:dyDescent="0.3">
      <c r="P127"/>
      <c r="Q127"/>
    </row>
    <row r="128" spans="1: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114">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60"/>
  <sheetViews>
    <sheetView topLeftCell="A45" zoomScale="145" zoomScaleNormal="90" workbookViewId="0">
      <selection activeCell="H59" sqref="H5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2637760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330445</v>
      </c>
      <c r="O30" s="14">
        <v>296000</v>
      </c>
      <c r="P30" s="14">
        <v>34445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158725</v>
      </c>
      <c r="O31" s="14">
        <v>150000</v>
      </c>
      <c r="P31" s="14">
        <v>8725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1">
        <v>580</v>
      </c>
      <c r="F33" s="11"/>
      <c r="G33" s="11">
        <f t="shared" si="5"/>
        <v>69600</v>
      </c>
      <c r="H33" s="11">
        <f>SUMIFS(Table14[Debit], Table14[Date], Table3[[#This Row],[Date]], Table14[Party], Table3[[#This Row],[Party Name]])</f>
        <v>150000</v>
      </c>
      <c r="I33" s="11">
        <f>(D33*E33)-Table3[[#This Row],[Paid]]</f>
        <v>-80400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960</v>
      </c>
      <c r="N40" s="14">
        <v>731400</v>
      </c>
      <c r="O40" s="14">
        <v>185000</v>
      </c>
      <c r="P40" s="14">
        <v>546400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496</v>
      </c>
      <c r="N41" s="14">
        <v>414040</v>
      </c>
      <c r="O41" s="14">
        <v>185000</v>
      </c>
      <c r="P41" s="14">
        <v>229040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263</v>
      </c>
      <c r="N43" s="14">
        <v>152540</v>
      </c>
      <c r="O43" s="14"/>
      <c r="P43" s="14">
        <v>152540</v>
      </c>
    </row>
    <row r="44" spans="1:16" x14ac:dyDescent="0.3">
      <c r="A44" s="1">
        <v>46018</v>
      </c>
      <c r="B44" t="s">
        <v>169</v>
      </c>
      <c r="C44" t="s">
        <v>334</v>
      </c>
      <c r="D44" s="11">
        <v>135</v>
      </c>
      <c r="E44" s="11">
        <v>580</v>
      </c>
      <c r="F44" s="11"/>
      <c r="G44" s="11">
        <f t="shared" si="5"/>
        <v>78300</v>
      </c>
      <c r="H44" s="11"/>
      <c r="I44" s="11">
        <f>(D44*E44)-Table3[[#This Row],[Paid]]</f>
        <v>78300</v>
      </c>
      <c r="L44" s="26">
        <v>46020</v>
      </c>
      <c r="M44" s="14"/>
      <c r="N44" s="14">
        <v>0</v>
      </c>
      <c r="O44" s="14">
        <v>100000</v>
      </c>
      <c r="P44" s="14">
        <v>-100000</v>
      </c>
    </row>
    <row r="45" spans="1:16" x14ac:dyDescent="0.3">
      <c r="A45" s="1">
        <v>46018</v>
      </c>
      <c r="B45" t="s">
        <v>200</v>
      </c>
      <c r="C45" t="s">
        <v>297</v>
      </c>
      <c r="D45" s="11">
        <v>201</v>
      </c>
      <c r="E45" s="11">
        <v>820</v>
      </c>
      <c r="F45" s="11"/>
      <c r="G45" s="11">
        <f>D45*E45</f>
        <v>164820</v>
      </c>
      <c r="H45" s="11"/>
      <c r="I45" s="11">
        <f>(D45*E45)-Table3[[#This Row],[Paid]]</f>
        <v>164820</v>
      </c>
      <c r="L45" s="42" t="s">
        <v>103</v>
      </c>
      <c r="M45" s="14"/>
      <c r="N45" s="14">
        <v>0</v>
      </c>
      <c r="O45" s="14">
        <v>100000</v>
      </c>
      <c r="P45" s="14">
        <v>-100000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c r="N46" s="14">
        <v>0</v>
      </c>
      <c r="O46" s="14">
        <v>0</v>
      </c>
      <c r="P46" s="14">
        <v>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c r="N47" s="14">
        <v>0</v>
      </c>
      <c r="O47" s="14">
        <v>0</v>
      </c>
      <c r="P47" s="14">
        <v>0</v>
      </c>
    </row>
    <row r="48" spans="1:16" x14ac:dyDescent="0.3">
      <c r="A48" s="1">
        <v>46018</v>
      </c>
      <c r="B48" t="s">
        <v>169</v>
      </c>
      <c r="C48" t="s">
        <v>334</v>
      </c>
      <c r="D48" s="11">
        <v>128</v>
      </c>
      <c r="E48" s="11">
        <v>580</v>
      </c>
      <c r="F48" s="11"/>
      <c r="G48" s="11">
        <f t="shared" ref="G48:G50" si="8">D48*E48</f>
        <v>74240</v>
      </c>
      <c r="H48" s="11"/>
      <c r="I48" s="11">
        <f>(D48*E48)-Table3[[#This Row],[Paid]]</f>
        <v>74240</v>
      </c>
      <c r="L48" s="26" t="s">
        <v>28</v>
      </c>
      <c r="M48" s="14">
        <v>3226</v>
      </c>
      <c r="N48" s="14">
        <v>2432870</v>
      </c>
      <c r="O48" s="14">
        <v>2201650</v>
      </c>
      <c r="P48" s="14">
        <v>3552648</v>
      </c>
    </row>
    <row r="49" spans="1:9" x14ac:dyDescent="0.3">
      <c r="A49" s="1">
        <v>46020</v>
      </c>
      <c r="B49" t="s">
        <v>169</v>
      </c>
      <c r="D49" s="11"/>
      <c r="E49" s="11"/>
      <c r="F49" s="11"/>
      <c r="G49" s="11">
        <f t="shared" si="8"/>
        <v>0</v>
      </c>
      <c r="H49" s="11">
        <f>SUMIFS(Table14[Debit], Table14[Date], Table3[[#This Row],[Date]], Table14[Party], Table3[[#This Row],[Party Name]])</f>
        <v>100000</v>
      </c>
      <c r="I49" s="11">
        <f>(D49*E49)-Table3[[#This Row],[Paid]]</f>
        <v>-100000</v>
      </c>
    </row>
    <row r="50" spans="1:9" x14ac:dyDescent="0.3">
      <c r="A50" s="1">
        <v>46019</v>
      </c>
      <c r="B50" t="s">
        <v>200</v>
      </c>
      <c r="D50" s="11"/>
      <c r="E50" s="11"/>
      <c r="F50" s="11"/>
      <c r="G50" s="11">
        <f t="shared" si="8"/>
        <v>0</v>
      </c>
      <c r="H50" s="11">
        <f>SUMIFS(Table14[Debit], Table14[Date], Table3[[#This Row],[Date]], Table14[Party], Table3[[#This Row],[Party Name]])</f>
        <v>0</v>
      </c>
      <c r="I50" s="11">
        <f>(D50*E50)-Table3[[#This Row],[Paid]]</f>
        <v>0</v>
      </c>
    </row>
    <row r="51" spans="1:9" x14ac:dyDescent="0.3">
      <c r="A51" s="1">
        <v>46019</v>
      </c>
      <c r="B51" t="s">
        <v>169</v>
      </c>
      <c r="D51" s="11">
        <v>116</v>
      </c>
      <c r="E51" s="11">
        <v>775</v>
      </c>
      <c r="F51" s="11"/>
      <c r="G51" s="11">
        <f t="shared" ref="G51:G52" si="9">D51*E51</f>
        <v>89900</v>
      </c>
      <c r="H51" s="11"/>
      <c r="I51" s="11">
        <f>(D51*E51)-Table3[[#This Row],[Paid]]</f>
        <v>89900</v>
      </c>
    </row>
    <row r="52" spans="1:9" x14ac:dyDescent="0.3">
      <c r="A52" s="1">
        <v>46019</v>
      </c>
      <c r="B52" t="s">
        <v>169</v>
      </c>
      <c r="D52" s="11">
        <v>20</v>
      </c>
      <c r="E52" s="11">
        <v>580</v>
      </c>
      <c r="F52" s="11"/>
      <c r="G52" s="11">
        <f t="shared" si="9"/>
        <v>11600</v>
      </c>
      <c r="H52" s="11"/>
      <c r="I52" s="11">
        <f>(D52*E52)-Table3[[#This Row],[Paid]]</f>
        <v>11600</v>
      </c>
    </row>
    <row r="53" spans="1:9" x14ac:dyDescent="0.3">
      <c r="A53" s="1">
        <v>46020</v>
      </c>
      <c r="B53" t="s">
        <v>169</v>
      </c>
      <c r="D53" s="11">
        <v>90</v>
      </c>
      <c r="E53" s="11">
        <v>775</v>
      </c>
      <c r="F53" s="11"/>
      <c r="G53" s="11">
        <f t="shared" ref="G53:G59" si="10">D53*E53</f>
        <v>69750</v>
      </c>
      <c r="H53" s="11"/>
      <c r="I53" s="11">
        <f>(D53*E53)-Table3[[#This Row],[Paid]]</f>
        <v>69750</v>
      </c>
    </row>
    <row r="54" spans="1:9" x14ac:dyDescent="0.3">
      <c r="A54" s="1">
        <v>46020</v>
      </c>
      <c r="B54" t="s">
        <v>169</v>
      </c>
      <c r="D54" s="11">
        <v>58</v>
      </c>
      <c r="E54" s="11">
        <v>580</v>
      </c>
      <c r="F54" s="11"/>
      <c r="G54" s="11">
        <f t="shared" si="10"/>
        <v>33640</v>
      </c>
      <c r="H54" s="11"/>
      <c r="I54" s="11">
        <f>(D54*E54)-Table3[[#This Row],[Paid]]</f>
        <v>33640</v>
      </c>
    </row>
    <row r="55" spans="1:9" x14ac:dyDescent="0.3">
      <c r="A55" s="1">
        <v>46021</v>
      </c>
      <c r="B55" t="s">
        <v>169</v>
      </c>
      <c r="D55" s="11"/>
      <c r="E55" s="11"/>
      <c r="F55" s="11"/>
      <c r="G55" s="11">
        <f t="shared" si="10"/>
        <v>0</v>
      </c>
      <c r="H55" s="11">
        <f>SUMIFS(Table14[Debit], Table14[Date], Table3[[#This Row],[Date]], Table14[Party], Table3[[#This Row],[Party Name]])</f>
        <v>250000</v>
      </c>
      <c r="I55" s="11">
        <f>(D55*E55)-Table3[[#This Row],[Paid]]</f>
        <v>-250000</v>
      </c>
    </row>
    <row r="56" spans="1:9" x14ac:dyDescent="0.3">
      <c r="A56" s="1">
        <v>46021</v>
      </c>
      <c r="B56" t="s">
        <v>200</v>
      </c>
      <c r="D56" s="11"/>
      <c r="E56" s="11"/>
      <c r="F56" s="11"/>
      <c r="G56" s="11">
        <f t="shared" si="10"/>
        <v>0</v>
      </c>
      <c r="H56" s="11">
        <f>SUMIFS(Table14[Debit], Table14[Date], Table3[[#This Row],[Date]], Table14[Party], Table3[[#This Row],[Party Name]])</f>
        <v>205401</v>
      </c>
      <c r="I56" s="11">
        <f>(D56*E56)-Table3[[#This Row],[Paid]]</f>
        <v>-205401</v>
      </c>
    </row>
    <row r="57" spans="1:9" x14ac:dyDescent="0.3">
      <c r="A57" s="1">
        <v>46021</v>
      </c>
      <c r="B57" t="s">
        <v>241</v>
      </c>
      <c r="D57" s="11"/>
      <c r="E57" s="11"/>
      <c r="F57" s="11"/>
      <c r="G57" s="11">
        <f t="shared" si="10"/>
        <v>0</v>
      </c>
      <c r="H57" s="11">
        <f>SUMIFS(Table14[Debit], Table14[Date], Table3[[#This Row],[Date]], Table14[Party], Table3[[#This Row],[Party Name]])</f>
        <v>11850</v>
      </c>
      <c r="I57" s="11">
        <f>(D57*E57)-Table3[[#This Row],[Paid]]</f>
        <v>-11850</v>
      </c>
    </row>
    <row r="58" spans="1:9" x14ac:dyDescent="0.3">
      <c r="A58" s="1">
        <v>46021</v>
      </c>
      <c r="B58" t="s">
        <v>202</v>
      </c>
      <c r="D58" s="11"/>
      <c r="E58" s="11"/>
      <c r="F58" s="11"/>
      <c r="G58" s="11">
        <f t="shared" si="10"/>
        <v>0</v>
      </c>
      <c r="H58" s="11">
        <f>SUMIFS(Table14[Debit], Table14[Date], Table3[[#This Row],[Date]], Table14[Party], Table3[[#This Row],[Party Name]])</f>
        <v>27000</v>
      </c>
      <c r="I58" s="11">
        <f>(D58*E58)-Table3[[#This Row],[Paid]]</f>
        <v>-27000</v>
      </c>
    </row>
    <row r="59" spans="1:9" x14ac:dyDescent="0.3">
      <c r="A59" s="1">
        <v>46021</v>
      </c>
      <c r="B59" t="s">
        <v>94</v>
      </c>
      <c r="D59" s="11"/>
      <c r="E59" s="11"/>
      <c r="F59" s="11"/>
      <c r="G59" s="11">
        <f t="shared" si="10"/>
        <v>0</v>
      </c>
      <c r="H59" s="11">
        <f>SUMIFS(Table14[Debit], Table14[Date], Table3[[#This Row],[Date]], Table14[Party], Table3[[#This Row],[Party Name]])</f>
        <v>1000</v>
      </c>
      <c r="I59" s="11">
        <f>(D59*E59)-Table3[[#This Row],[Paid]]</f>
        <v>-1000</v>
      </c>
    </row>
    <row r="60" spans="1:9" x14ac:dyDescent="0.3">
      <c r="A60" s="1"/>
      <c r="D60" s="14"/>
      <c r="E60" s="14"/>
      <c r="F60" s="14"/>
      <c r="G60" s="14">
        <f>SUBTOTAL(109,Table3[Total])</f>
        <v>2637760</v>
      </c>
      <c r="H60" s="14">
        <f>SUBTOTAL(109,Table3[Paid])</f>
        <v>2696901</v>
      </c>
      <c r="I60" s="14">
        <f>SUBTOTAL(109,Table3[balance])</f>
        <v>3262287</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abSelected="1" topLeftCell="A215" zoomScale="158" workbookViewId="0">
      <selection activeCell="G224" sqref="G224"/>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7691062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19088967</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19112717</v>
      </c>
      <c r="M5" s="45" t="s">
        <v>108</v>
      </c>
      <c r="N5" s="46">
        <f>(SUMIFS(Table14[Credit],Table14[Mode],"Bank")-SUMIFS(Table14[Debit],Table14[Mode],"Bank")-SUMIFS(Table14[Withdrawal],Table14[Mode],"Transfer"))</f>
        <v>634666</v>
      </c>
      <c r="O5">
        <v>360000</v>
      </c>
    </row>
    <row r="6" spans="1:16" x14ac:dyDescent="0.3">
      <c r="A6" s="38">
        <v>46009</v>
      </c>
      <c r="B6" t="s">
        <v>177</v>
      </c>
      <c r="C6" s="96">
        <v>3600</v>
      </c>
      <c r="D6" s="96"/>
      <c r="E6" t="s">
        <v>218</v>
      </c>
      <c r="F6" s="111" t="s">
        <v>108</v>
      </c>
      <c r="J6" s="52" t="s">
        <v>43</v>
      </c>
      <c r="K6" s="53">
        <f>(K5-K4)</f>
        <v>23750</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23750</v>
      </c>
      <c r="O7" s="90">
        <f>SUM(O5,O6)</f>
        <v>410000</v>
      </c>
      <c r="P7" s="14">
        <f>Table18[[#Totals],[amount]]-Table18[[#Totals],[Actual]]</f>
        <v>-386250</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120300</v>
      </c>
    </row>
    <row r="165" spans="1:12" x14ac:dyDescent="0.3">
      <c r="A165" s="38">
        <v>46018</v>
      </c>
      <c r="B165" t="s">
        <v>54</v>
      </c>
      <c r="C165" s="11">
        <v>2500</v>
      </c>
      <c r="D165" s="11"/>
      <c r="E165" t="s">
        <v>236</v>
      </c>
      <c r="F165" s="111" t="s">
        <v>108</v>
      </c>
      <c r="J165" s="4" t="s">
        <v>9</v>
      </c>
      <c r="K165" s="14">
        <v>550000</v>
      </c>
      <c r="L165" s="14"/>
    </row>
    <row r="166" spans="1:12" x14ac:dyDescent="0.3">
      <c r="A166" s="38">
        <v>46018</v>
      </c>
      <c r="B166" t="s">
        <v>55</v>
      </c>
      <c r="C166" s="11">
        <v>1000</v>
      </c>
      <c r="D166" s="11"/>
      <c r="F166" s="111" t="s">
        <v>108</v>
      </c>
      <c r="J166" s="4" t="s">
        <v>94</v>
      </c>
      <c r="K166" s="14"/>
      <c r="L166" s="14">
        <v>454825</v>
      </c>
    </row>
    <row r="167" spans="1:12" x14ac:dyDescent="0.3">
      <c r="A167" s="38">
        <v>46018</v>
      </c>
      <c r="B167" t="s">
        <v>50</v>
      </c>
      <c r="C167" s="11">
        <v>1000</v>
      </c>
      <c r="D167" s="11"/>
      <c r="E167" t="s">
        <v>217</v>
      </c>
      <c r="F167" s="111" t="s">
        <v>108</v>
      </c>
      <c r="J167" s="4" t="s">
        <v>50</v>
      </c>
      <c r="K167" s="14"/>
      <c r="L167" s="14">
        <v>11275</v>
      </c>
    </row>
    <row r="168" spans="1:12" x14ac:dyDescent="0.3">
      <c r="A168" s="38">
        <v>46019</v>
      </c>
      <c r="B168" t="s">
        <v>55</v>
      </c>
      <c r="C168" s="96">
        <v>2630</v>
      </c>
      <c r="D168" s="96"/>
      <c r="E168" t="s">
        <v>328</v>
      </c>
      <c r="F168" s="111" t="s">
        <v>108</v>
      </c>
      <c r="J168" s="4" t="s">
        <v>55</v>
      </c>
      <c r="K168" s="14"/>
      <c r="L168" s="14">
        <v>65775</v>
      </c>
    </row>
    <row r="169" spans="1:12" x14ac:dyDescent="0.3">
      <c r="A169" s="116">
        <v>46019</v>
      </c>
      <c r="B169" t="s">
        <v>55</v>
      </c>
      <c r="C169" s="11">
        <v>21000</v>
      </c>
      <c r="D169" s="11"/>
      <c r="E169" t="s">
        <v>329</v>
      </c>
      <c r="F169" s="111" t="s">
        <v>108</v>
      </c>
      <c r="J169" s="4" t="s">
        <v>113</v>
      </c>
      <c r="K169" s="14"/>
      <c r="L169" s="14">
        <v>36865</v>
      </c>
    </row>
    <row r="170" spans="1:12" x14ac:dyDescent="0.3">
      <c r="A170" s="38">
        <v>46019</v>
      </c>
      <c r="B170" t="s">
        <v>54</v>
      </c>
      <c r="C170" s="11">
        <v>1000</v>
      </c>
      <c r="D170" s="11"/>
      <c r="E170" t="s">
        <v>236</v>
      </c>
      <c r="F170" s="111" t="s">
        <v>108</v>
      </c>
      <c r="J170" s="4" t="s">
        <v>52</v>
      </c>
      <c r="K170" s="14"/>
      <c r="L170" s="14"/>
    </row>
    <row r="171" spans="1:12" x14ac:dyDescent="0.3">
      <c r="A171" s="116">
        <v>46020</v>
      </c>
      <c r="B171" t="s">
        <v>198</v>
      </c>
      <c r="C171" s="11">
        <v>61000</v>
      </c>
      <c r="D171" s="11"/>
      <c r="E171" t="s">
        <v>18</v>
      </c>
      <c r="F171" s="111" t="s">
        <v>108</v>
      </c>
      <c r="J171" s="4" t="s">
        <v>339</v>
      </c>
      <c r="K171" s="14">
        <v>84970</v>
      </c>
      <c r="L171" s="14"/>
    </row>
    <row r="172" spans="1:12" x14ac:dyDescent="0.3">
      <c r="A172" s="38">
        <v>46020</v>
      </c>
      <c r="B172" t="s">
        <v>198</v>
      </c>
      <c r="C172" s="11">
        <v>100000</v>
      </c>
      <c r="D172" s="11"/>
      <c r="F172" s="111" t="s">
        <v>108</v>
      </c>
      <c r="J172" s="4" t="s">
        <v>54</v>
      </c>
      <c r="K172" s="14"/>
      <c r="L172" s="14">
        <v>74805</v>
      </c>
    </row>
    <row r="173" spans="1:12" x14ac:dyDescent="0.3">
      <c r="A173" s="116">
        <v>46020</v>
      </c>
      <c r="B173" t="s">
        <v>9</v>
      </c>
      <c r="C173" s="11"/>
      <c r="D173" s="11">
        <v>200000</v>
      </c>
      <c r="F173" s="111" t="s">
        <v>108</v>
      </c>
      <c r="J173" s="4" t="s">
        <v>116</v>
      </c>
      <c r="K173" s="14"/>
      <c r="L173" s="14">
        <v>150000</v>
      </c>
    </row>
    <row r="174" spans="1:12" x14ac:dyDescent="0.3">
      <c r="A174" s="38">
        <v>46020</v>
      </c>
      <c r="B174" t="s">
        <v>169</v>
      </c>
      <c r="C174" s="11">
        <v>100000</v>
      </c>
      <c r="D174" s="11"/>
      <c r="F174" s="111" t="s">
        <v>108</v>
      </c>
      <c r="J174" s="4" t="s">
        <v>177</v>
      </c>
      <c r="K174" s="14"/>
      <c r="L174" s="14">
        <v>678040</v>
      </c>
    </row>
    <row r="175" spans="1:12" x14ac:dyDescent="0.3">
      <c r="A175" s="116">
        <v>46020</v>
      </c>
      <c r="B175" t="s">
        <v>192</v>
      </c>
      <c r="C175" s="11"/>
      <c r="D175" s="11">
        <v>975000</v>
      </c>
      <c r="E175" t="s">
        <v>330</v>
      </c>
      <c r="F175" s="111" t="s">
        <v>108</v>
      </c>
      <c r="J175" s="4" t="s">
        <v>337</v>
      </c>
      <c r="K175" s="14">
        <v>68900</v>
      </c>
      <c r="L175" s="14">
        <v>14000</v>
      </c>
    </row>
    <row r="176" spans="1:12" x14ac:dyDescent="0.3">
      <c r="A176" s="38">
        <v>46020</v>
      </c>
      <c r="B176" t="s">
        <v>54</v>
      </c>
      <c r="C176" s="11">
        <v>10000</v>
      </c>
      <c r="D176" s="11"/>
      <c r="E176" t="s">
        <v>236</v>
      </c>
      <c r="F176" s="111" t="s">
        <v>108</v>
      </c>
      <c r="J176" s="4" t="s">
        <v>222</v>
      </c>
      <c r="K176" s="14">
        <v>323372</v>
      </c>
      <c r="L176" s="14">
        <v>113043</v>
      </c>
    </row>
    <row r="177" spans="1:12" x14ac:dyDescent="0.3">
      <c r="A177" s="116">
        <v>46020</v>
      </c>
      <c r="B177" t="s">
        <v>54</v>
      </c>
      <c r="C177" s="11">
        <v>7950</v>
      </c>
      <c r="D177" s="11"/>
      <c r="E177" t="s">
        <v>236</v>
      </c>
      <c r="F177" s="111" t="s">
        <v>108</v>
      </c>
      <c r="J177" s="4" t="s">
        <v>326</v>
      </c>
      <c r="K177" s="14">
        <v>208088</v>
      </c>
      <c r="L177" s="14"/>
    </row>
    <row r="178" spans="1:12" x14ac:dyDescent="0.3">
      <c r="A178" s="38">
        <v>46020</v>
      </c>
      <c r="B178" t="s">
        <v>233</v>
      </c>
      <c r="C178" s="11">
        <v>15000</v>
      </c>
      <c r="D178" s="11"/>
      <c r="E178" t="s">
        <v>238</v>
      </c>
      <c r="F178" s="111" t="s">
        <v>108</v>
      </c>
      <c r="J178" s="4" t="s">
        <v>103</v>
      </c>
      <c r="K178" s="14"/>
      <c r="L178" s="14"/>
    </row>
    <row r="179" spans="1:12" x14ac:dyDescent="0.3">
      <c r="A179" s="116">
        <v>46020</v>
      </c>
      <c r="B179" t="s">
        <v>219</v>
      </c>
      <c r="C179" s="11">
        <v>5000</v>
      </c>
      <c r="D179" s="11"/>
      <c r="E179" t="s">
        <v>220</v>
      </c>
      <c r="F179" s="111" t="s">
        <v>108</v>
      </c>
      <c r="J179" s="4" t="s">
        <v>277</v>
      </c>
      <c r="K179" s="14">
        <v>600000</v>
      </c>
      <c r="L179" s="14"/>
    </row>
    <row r="180" spans="1:12" x14ac:dyDescent="0.3">
      <c r="A180" s="38">
        <v>46020</v>
      </c>
      <c r="B180" t="s">
        <v>177</v>
      </c>
      <c r="C180" s="11">
        <v>7200</v>
      </c>
      <c r="D180" s="11"/>
      <c r="F180" s="111" t="s">
        <v>108</v>
      </c>
      <c r="J180" s="4" t="s">
        <v>341</v>
      </c>
      <c r="K180" s="14">
        <v>239960</v>
      </c>
      <c r="L180" s="14"/>
    </row>
    <row r="181" spans="1:12" x14ac:dyDescent="0.3">
      <c r="A181" s="116">
        <v>46020</v>
      </c>
      <c r="B181" t="s">
        <v>192</v>
      </c>
      <c r="C181" s="96"/>
      <c r="D181" s="96">
        <v>50000</v>
      </c>
      <c r="E181" t="s">
        <v>284</v>
      </c>
      <c r="F181" s="111" t="s">
        <v>108</v>
      </c>
      <c r="J181" s="4" t="s">
        <v>224</v>
      </c>
      <c r="K181" s="14">
        <v>236500</v>
      </c>
      <c r="L181" s="14"/>
    </row>
    <row r="182" spans="1:12" x14ac:dyDescent="0.3">
      <c r="A182" s="38">
        <v>46020</v>
      </c>
      <c r="B182" t="s">
        <v>192</v>
      </c>
      <c r="C182" s="11"/>
      <c r="D182" s="11">
        <v>30000</v>
      </c>
      <c r="E182" t="s">
        <v>234</v>
      </c>
      <c r="F182" s="111" t="s">
        <v>108</v>
      </c>
      <c r="J182" s="4" t="s">
        <v>149</v>
      </c>
      <c r="K182" s="14"/>
      <c r="L182" s="14">
        <v>50000</v>
      </c>
    </row>
    <row r="183" spans="1:12" x14ac:dyDescent="0.3">
      <c r="A183" s="116">
        <v>46020</v>
      </c>
      <c r="B183" t="s">
        <v>166</v>
      </c>
      <c r="C183" s="11"/>
      <c r="D183" s="11">
        <v>100000</v>
      </c>
      <c r="E183" t="s">
        <v>21</v>
      </c>
      <c r="F183" s="111" t="s">
        <v>108</v>
      </c>
      <c r="J183" s="4" t="s">
        <v>152</v>
      </c>
      <c r="K183" s="14">
        <v>1007920</v>
      </c>
      <c r="L183" s="14"/>
    </row>
    <row r="184" spans="1:12" x14ac:dyDescent="0.3">
      <c r="A184" s="38">
        <v>46020</v>
      </c>
      <c r="B184" t="s">
        <v>192</v>
      </c>
      <c r="C184" s="11">
        <v>100000</v>
      </c>
      <c r="D184" s="11"/>
      <c r="E184" t="s">
        <v>335</v>
      </c>
      <c r="F184" s="111" t="s">
        <v>108</v>
      </c>
      <c r="J184" s="4" t="s">
        <v>166</v>
      </c>
      <c r="K184" s="14">
        <v>890000</v>
      </c>
      <c r="L184" s="14"/>
    </row>
    <row r="185" spans="1:12" x14ac:dyDescent="0.3">
      <c r="A185" s="116">
        <v>46021</v>
      </c>
      <c r="B185" t="s">
        <v>224</v>
      </c>
      <c r="C185" s="11"/>
      <c r="D185" s="11">
        <v>68900</v>
      </c>
      <c r="E185" t="s">
        <v>352</v>
      </c>
      <c r="F185" s="111" t="s">
        <v>108</v>
      </c>
      <c r="J185" s="4" t="s">
        <v>169</v>
      </c>
      <c r="K185" s="14"/>
      <c r="L185" s="14">
        <v>915800</v>
      </c>
    </row>
    <row r="186" spans="1:12" x14ac:dyDescent="0.3">
      <c r="A186" s="38">
        <v>46021</v>
      </c>
      <c r="B186" t="s">
        <v>192</v>
      </c>
      <c r="C186" s="96"/>
      <c r="D186" s="96">
        <v>194000</v>
      </c>
      <c r="F186" s="111" t="s">
        <v>108</v>
      </c>
      <c r="J186" s="4" t="s">
        <v>192</v>
      </c>
      <c r="K186" s="14">
        <v>5664930</v>
      </c>
      <c r="L186" s="14">
        <v>11608968</v>
      </c>
    </row>
    <row r="187" spans="1:12" x14ac:dyDescent="0.3">
      <c r="A187" s="116">
        <v>46021</v>
      </c>
      <c r="B187" t="s">
        <v>199</v>
      </c>
      <c r="C187" s="11"/>
      <c r="D187" s="11">
        <v>100000</v>
      </c>
      <c r="E187" t="s">
        <v>338</v>
      </c>
      <c r="F187" s="111" t="s">
        <v>108</v>
      </c>
      <c r="J187" s="4" t="s">
        <v>198</v>
      </c>
      <c r="K187" s="14"/>
      <c r="L187" s="14">
        <v>590000</v>
      </c>
    </row>
    <row r="188" spans="1:12" x14ac:dyDescent="0.3">
      <c r="A188" s="38">
        <v>46021</v>
      </c>
      <c r="B188" t="s">
        <v>199</v>
      </c>
      <c r="C188" s="96"/>
      <c r="D188" s="96">
        <v>100000</v>
      </c>
      <c r="E188" t="s">
        <v>225</v>
      </c>
      <c r="F188" s="111" t="s">
        <v>108</v>
      </c>
      <c r="J188" s="4" t="s">
        <v>51</v>
      </c>
      <c r="K188" s="14"/>
      <c r="L188" s="14">
        <v>2047865</v>
      </c>
    </row>
    <row r="189" spans="1:12" x14ac:dyDescent="0.3">
      <c r="A189" s="116">
        <v>46021</v>
      </c>
      <c r="B189" t="s">
        <v>339</v>
      </c>
      <c r="C189" s="11"/>
      <c r="D189" s="11">
        <v>84970</v>
      </c>
      <c r="F189" s="111" t="s">
        <v>108</v>
      </c>
      <c r="J189" s="4" t="s">
        <v>219</v>
      </c>
      <c r="K189" s="14"/>
      <c r="L189" s="14">
        <v>10000</v>
      </c>
    </row>
    <row r="190" spans="1:12" x14ac:dyDescent="0.3">
      <c r="A190" s="38">
        <v>46021</v>
      </c>
      <c r="B190" t="s">
        <v>222</v>
      </c>
      <c r="C190" s="11">
        <f>883+150+150</f>
        <v>1183</v>
      </c>
      <c r="D190" s="11"/>
      <c r="F190" s="111" t="s">
        <v>108</v>
      </c>
      <c r="J190" s="4" t="s">
        <v>199</v>
      </c>
      <c r="K190" s="14">
        <v>539770</v>
      </c>
      <c r="L190" s="14"/>
    </row>
    <row r="191" spans="1:12" x14ac:dyDescent="0.3">
      <c r="A191" s="116">
        <v>46021</v>
      </c>
      <c r="B191" t="s">
        <v>229</v>
      </c>
      <c r="C191" s="11">
        <v>200401</v>
      </c>
      <c r="D191" s="11"/>
      <c r="E191" t="s">
        <v>340</v>
      </c>
      <c r="F191" s="111" t="s">
        <v>108</v>
      </c>
      <c r="J191" s="4" t="s">
        <v>229</v>
      </c>
      <c r="K191" s="14"/>
      <c r="L191" s="14">
        <v>1102426</v>
      </c>
    </row>
    <row r="192" spans="1:12" x14ac:dyDescent="0.3">
      <c r="A192" s="38">
        <v>46021</v>
      </c>
      <c r="B192" t="s">
        <v>341</v>
      </c>
      <c r="C192" s="11"/>
      <c r="D192" s="11">
        <v>239960</v>
      </c>
      <c r="F192" s="111" t="s">
        <v>108</v>
      </c>
      <c r="J192" s="4" t="s">
        <v>202</v>
      </c>
      <c r="K192" s="14"/>
      <c r="L192" s="14">
        <v>107000</v>
      </c>
    </row>
    <row r="193" spans="1:12" x14ac:dyDescent="0.3">
      <c r="A193" s="116">
        <v>46021</v>
      </c>
      <c r="B193" t="s">
        <v>169</v>
      </c>
      <c r="C193" s="11">
        <v>250000</v>
      </c>
      <c r="D193" s="11"/>
      <c r="F193" s="111" t="s">
        <v>108</v>
      </c>
      <c r="J193" s="4" t="s">
        <v>216</v>
      </c>
      <c r="K193" s="14">
        <v>7180146</v>
      </c>
      <c r="L193" s="14"/>
    </row>
    <row r="194" spans="1:12" x14ac:dyDescent="0.3">
      <c r="A194" s="38">
        <v>46021</v>
      </c>
      <c r="B194" t="s">
        <v>326</v>
      </c>
      <c r="C194" s="11"/>
      <c r="D194" s="11">
        <v>60000</v>
      </c>
      <c r="E194" t="s">
        <v>342</v>
      </c>
      <c r="F194" s="111" t="s">
        <v>108</v>
      </c>
      <c r="J194" s="4" t="s">
        <v>256</v>
      </c>
      <c r="K194" s="14"/>
      <c r="L194" s="14">
        <v>66850</v>
      </c>
    </row>
    <row r="195" spans="1:12" x14ac:dyDescent="0.3">
      <c r="A195" s="116">
        <v>46021</v>
      </c>
      <c r="B195" t="s">
        <v>192</v>
      </c>
      <c r="C195" s="11">
        <v>60000</v>
      </c>
      <c r="D195" s="11"/>
      <c r="E195" t="s">
        <v>343</v>
      </c>
      <c r="F195" s="111" t="s">
        <v>108</v>
      </c>
      <c r="J195" s="4" t="s">
        <v>286</v>
      </c>
      <c r="K195" s="14">
        <v>813525</v>
      </c>
      <c r="L195" s="14"/>
    </row>
    <row r="196" spans="1:12" x14ac:dyDescent="0.3">
      <c r="A196" s="38">
        <v>46021</v>
      </c>
      <c r="B196" t="s">
        <v>256</v>
      </c>
      <c r="C196" s="11">
        <v>11850</v>
      </c>
      <c r="D196" s="11"/>
      <c r="E196" t="s">
        <v>294</v>
      </c>
      <c r="F196" s="111" t="s">
        <v>108</v>
      </c>
      <c r="J196" s="4" t="s">
        <v>302</v>
      </c>
      <c r="K196" s="14"/>
      <c r="L196" s="14">
        <v>162500</v>
      </c>
    </row>
    <row r="197" spans="1:12" x14ac:dyDescent="0.3">
      <c r="A197" s="116">
        <v>46021</v>
      </c>
      <c r="B197" t="s">
        <v>202</v>
      </c>
      <c r="C197" s="11">
        <v>27000</v>
      </c>
      <c r="D197" s="11"/>
      <c r="E197" t="s">
        <v>230</v>
      </c>
      <c r="F197" s="111" t="s">
        <v>108</v>
      </c>
      <c r="J197" s="4" t="s">
        <v>28</v>
      </c>
      <c r="K197" s="14">
        <v>18408081</v>
      </c>
      <c r="L197" s="14">
        <v>18380337</v>
      </c>
    </row>
    <row r="198" spans="1:12" x14ac:dyDescent="0.3">
      <c r="A198" s="38">
        <v>46021</v>
      </c>
      <c r="B198" t="s">
        <v>233</v>
      </c>
      <c r="C198" s="11">
        <v>1300</v>
      </c>
      <c r="D198" s="11"/>
      <c r="E198" t="s">
        <v>344</v>
      </c>
      <c r="F198" s="111" t="s">
        <v>108</v>
      </c>
    </row>
    <row r="199" spans="1:12" x14ac:dyDescent="0.3">
      <c r="A199" s="116">
        <v>46021</v>
      </c>
      <c r="B199" t="s">
        <v>233</v>
      </c>
      <c r="C199" s="11">
        <v>60000</v>
      </c>
      <c r="D199" s="11"/>
      <c r="E199" t="s">
        <v>290</v>
      </c>
      <c r="F199" s="111" t="s">
        <v>108</v>
      </c>
    </row>
    <row r="200" spans="1:12" x14ac:dyDescent="0.3">
      <c r="A200" s="38">
        <v>46021</v>
      </c>
      <c r="B200" t="s">
        <v>94</v>
      </c>
      <c r="C200" s="11">
        <v>1000</v>
      </c>
      <c r="D200" s="11"/>
      <c r="E200" t="s">
        <v>345</v>
      </c>
      <c r="F200" s="111" t="s">
        <v>108</v>
      </c>
    </row>
    <row r="201" spans="1:12" x14ac:dyDescent="0.3">
      <c r="A201" s="116">
        <v>46021</v>
      </c>
      <c r="B201" t="s">
        <v>229</v>
      </c>
      <c r="C201" s="11">
        <v>5000</v>
      </c>
      <c r="D201" s="11"/>
      <c r="E201" t="s">
        <v>345</v>
      </c>
      <c r="F201" s="111" t="s">
        <v>108</v>
      </c>
    </row>
    <row r="202" spans="1:12" x14ac:dyDescent="0.3">
      <c r="A202" s="38">
        <v>46021</v>
      </c>
      <c r="B202" t="s">
        <v>50</v>
      </c>
      <c r="C202" s="11">
        <v>1000</v>
      </c>
      <c r="D202" s="11"/>
      <c r="E202" t="s">
        <v>345</v>
      </c>
      <c r="F202" s="111" t="s">
        <v>108</v>
      </c>
    </row>
    <row r="203" spans="1:12" x14ac:dyDescent="0.3">
      <c r="A203" s="116">
        <v>46021</v>
      </c>
      <c r="B203" t="s">
        <v>177</v>
      </c>
      <c r="C203" s="11">
        <v>3600</v>
      </c>
      <c r="D203" s="11"/>
      <c r="E203" t="s">
        <v>218</v>
      </c>
      <c r="F203" s="111" t="s">
        <v>108</v>
      </c>
    </row>
    <row r="204" spans="1:12" x14ac:dyDescent="0.3">
      <c r="A204" s="38">
        <v>46021</v>
      </c>
      <c r="B204" t="s">
        <v>192</v>
      </c>
      <c r="C204" s="11">
        <v>200000</v>
      </c>
      <c r="D204" s="11"/>
      <c r="E204" t="s">
        <v>346</v>
      </c>
      <c r="F204" s="111" t="s">
        <v>108</v>
      </c>
    </row>
    <row r="205" spans="1:12" x14ac:dyDescent="0.3">
      <c r="A205" s="116">
        <v>46021</v>
      </c>
      <c r="B205" t="s">
        <v>55</v>
      </c>
      <c r="C205" s="11">
        <v>1000</v>
      </c>
      <c r="D205" s="11"/>
      <c r="E205" t="s">
        <v>347</v>
      </c>
      <c r="F205" s="111" t="s">
        <v>108</v>
      </c>
    </row>
    <row r="206" spans="1:12" x14ac:dyDescent="0.3">
      <c r="A206" s="38">
        <v>46021</v>
      </c>
      <c r="B206" t="s">
        <v>55</v>
      </c>
      <c r="C206" s="11">
        <v>850</v>
      </c>
      <c r="D206" s="11"/>
      <c r="F206" s="111" t="s">
        <v>108</v>
      </c>
    </row>
    <row r="207" spans="1:12" x14ac:dyDescent="0.3">
      <c r="A207" s="116">
        <v>46021</v>
      </c>
      <c r="B207" t="s">
        <v>337</v>
      </c>
      <c r="C207" s="11">
        <v>14000</v>
      </c>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46022</v>
      </c>
      <c r="B211" t="s">
        <v>326</v>
      </c>
      <c r="C211" s="96"/>
      <c r="D211" s="11">
        <v>200000</v>
      </c>
      <c r="E211" t="s">
        <v>353</v>
      </c>
      <c r="F211" s="111" t="s">
        <v>108</v>
      </c>
    </row>
    <row r="212" spans="1:6" x14ac:dyDescent="0.3">
      <c r="A212" s="116">
        <v>46022</v>
      </c>
      <c r="B212" t="s">
        <v>9</v>
      </c>
      <c r="C212" s="11"/>
      <c r="D212" s="11">
        <v>152366</v>
      </c>
      <c r="E212" t="s">
        <v>253</v>
      </c>
      <c r="F212" s="111" t="s">
        <v>108</v>
      </c>
    </row>
    <row r="213" spans="1:6" x14ac:dyDescent="0.3">
      <c r="A213" s="116">
        <v>46022</v>
      </c>
      <c r="B213" t="s">
        <v>94</v>
      </c>
      <c r="C213" s="11">
        <v>200010</v>
      </c>
      <c r="D213" s="11"/>
      <c r="E213" t="s">
        <v>354</v>
      </c>
      <c r="F213" s="111" t="s">
        <v>108</v>
      </c>
    </row>
    <row r="214" spans="1:6" x14ac:dyDescent="0.3">
      <c r="A214" s="116">
        <v>46022</v>
      </c>
      <c r="B214" t="s">
        <v>52</v>
      </c>
      <c r="C214" s="11"/>
      <c r="D214" s="11"/>
      <c r="E214" t="s">
        <v>221</v>
      </c>
      <c r="F214" s="111" t="s">
        <v>108</v>
      </c>
    </row>
    <row r="215" spans="1:6" x14ac:dyDescent="0.3">
      <c r="A215" s="116">
        <v>46022</v>
      </c>
      <c r="B215" t="s">
        <v>192</v>
      </c>
      <c r="C215" s="11"/>
      <c r="D215" s="11">
        <v>2270</v>
      </c>
      <c r="E215" t="s">
        <v>355</v>
      </c>
      <c r="F215" s="111" t="s">
        <v>108</v>
      </c>
    </row>
    <row r="216" spans="1:6" x14ac:dyDescent="0.3">
      <c r="A216" s="116">
        <v>46022</v>
      </c>
      <c r="B216" t="s">
        <v>55</v>
      </c>
      <c r="C216" s="11">
        <v>2270</v>
      </c>
      <c r="D216" s="11"/>
      <c r="F216" s="111" t="s">
        <v>108</v>
      </c>
    </row>
    <row r="217" spans="1:6" x14ac:dyDescent="0.3">
      <c r="A217" s="116">
        <v>46022</v>
      </c>
      <c r="B217" t="s">
        <v>26</v>
      </c>
      <c r="C217" s="96"/>
      <c r="D217" s="96">
        <v>200000</v>
      </c>
      <c r="F217" s="111" t="s">
        <v>108</v>
      </c>
    </row>
    <row r="218" spans="1:6" x14ac:dyDescent="0.3">
      <c r="A218" s="116">
        <v>46022</v>
      </c>
      <c r="B218" t="s">
        <v>224</v>
      </c>
      <c r="C218" s="11"/>
      <c r="D218" s="11">
        <v>150000</v>
      </c>
      <c r="F218" s="111" t="s">
        <v>108</v>
      </c>
    </row>
    <row r="219" spans="1:6" x14ac:dyDescent="0.3">
      <c r="A219" s="116">
        <v>46022</v>
      </c>
      <c r="B219" t="s">
        <v>199</v>
      </c>
      <c r="C219" s="11"/>
      <c r="D219" s="11">
        <v>100000</v>
      </c>
      <c r="F219" s="111" t="s">
        <v>108</v>
      </c>
    </row>
    <row r="220" spans="1:6" x14ac:dyDescent="0.3">
      <c r="A220" s="116">
        <v>46022</v>
      </c>
      <c r="B220" t="s">
        <v>192</v>
      </c>
      <c r="C220" s="96">
        <v>200000</v>
      </c>
      <c r="D220" s="11"/>
      <c r="E220" t="s">
        <v>26</v>
      </c>
      <c r="F220" s="111" t="s">
        <v>108</v>
      </c>
    </row>
    <row r="221" spans="1:6" x14ac:dyDescent="0.3">
      <c r="A221" s="116">
        <v>46022</v>
      </c>
      <c r="B221" t="s">
        <v>192</v>
      </c>
      <c r="C221" s="11">
        <v>150000</v>
      </c>
      <c r="D221" s="11"/>
      <c r="E221" t="s">
        <v>224</v>
      </c>
      <c r="F221" s="111" t="s">
        <v>108</v>
      </c>
    </row>
    <row r="222" spans="1:6" x14ac:dyDescent="0.3">
      <c r="A222" s="116">
        <v>46022</v>
      </c>
      <c r="B222" t="s">
        <v>192</v>
      </c>
      <c r="C222" s="11">
        <v>100000</v>
      </c>
      <c r="D222" s="11"/>
      <c r="E222" t="s">
        <v>199</v>
      </c>
      <c r="F222" s="111" t="s">
        <v>108</v>
      </c>
    </row>
    <row r="223" spans="1:6" x14ac:dyDescent="0.3">
      <c r="A223" s="116">
        <v>46022</v>
      </c>
      <c r="B223" t="s">
        <v>177</v>
      </c>
      <c r="C223" s="11">
        <v>6350</v>
      </c>
      <c r="D223" s="11"/>
      <c r="E223" t="s">
        <v>291</v>
      </c>
      <c r="F223" s="111" t="s">
        <v>108</v>
      </c>
    </row>
    <row r="224" spans="1:6" x14ac:dyDescent="0.3">
      <c r="A224" s="116">
        <v>46022</v>
      </c>
      <c r="B224" t="s">
        <v>229</v>
      </c>
      <c r="C224" s="11">
        <v>50000</v>
      </c>
      <c r="D224" s="11"/>
      <c r="F224" s="111" t="s">
        <v>108</v>
      </c>
    </row>
    <row r="225" spans="1:6" x14ac:dyDescent="0.3">
      <c r="A225" s="38"/>
      <c r="C225" s="96"/>
      <c r="D225" s="96"/>
      <c r="F225" s="111"/>
    </row>
    <row r="226" spans="1:6" x14ac:dyDescent="0.3">
      <c r="A226" s="38"/>
      <c r="C226" s="14">
        <f>SUBTOTAL(109,Table14[Debit])</f>
        <v>19088967</v>
      </c>
      <c r="D226" s="14">
        <f>SUBTOTAL(109,Table14[Credit])</f>
        <v>19112717</v>
      </c>
      <c r="F226" s="54">
        <f>(Table14[[#Totals],[Credit]]-Table14[[#Totals],[Debit]])</f>
        <v>23750</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A12" sqref="A1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M10">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v>183750</v>
      </c>
      <c r="M11">
        <v>0</v>
      </c>
    </row>
    <row r="12" spans="1:14" x14ac:dyDescent="0.3">
      <c r="E12">
        <f>SUBTOTAL(109,Table8[Price])</f>
        <v>832750</v>
      </c>
      <c r="H12">
        <f>SUBTOTAL(109,Table8[Balance])</f>
        <v>80250</v>
      </c>
      <c r="K12" s="26">
        <v>46013</v>
      </c>
      <c r="L12">
        <v>111250</v>
      </c>
      <c r="M12">
        <v>0</v>
      </c>
    </row>
    <row r="13" spans="1:14" x14ac:dyDescent="0.3">
      <c r="K13" s="26">
        <v>46017</v>
      </c>
      <c r="L13">
        <v>84000</v>
      </c>
      <c r="M13">
        <v>34000</v>
      </c>
    </row>
    <row r="14" spans="1:14" x14ac:dyDescent="0.3">
      <c r="A14" t="s">
        <v>57</v>
      </c>
      <c r="B14" t="s">
        <v>156</v>
      </c>
      <c r="C14" t="s">
        <v>157</v>
      </c>
      <c r="D14" t="s">
        <v>4</v>
      </c>
      <c r="E14" t="s">
        <v>158</v>
      </c>
      <c r="K14" s="26">
        <v>46016</v>
      </c>
      <c r="L14">
        <v>162500</v>
      </c>
      <c r="M14">
        <v>0</v>
      </c>
    </row>
    <row r="15" spans="1:14" x14ac:dyDescent="0.3">
      <c r="A15" t="s">
        <v>131</v>
      </c>
      <c r="B15">
        <v>1</v>
      </c>
      <c r="C15">
        <v>25</v>
      </c>
      <c r="D15">
        <v>1400</v>
      </c>
      <c r="E15">
        <f>Table2325[[#This Row],[boxes]]*Table2325[[#This Row],[kgs]]*Table2325[[#This Row],[Rate]]</f>
        <v>35000</v>
      </c>
      <c r="K15" s="26">
        <v>46018</v>
      </c>
      <c r="L15">
        <v>111000</v>
      </c>
      <c r="M15">
        <v>27000</v>
      </c>
    </row>
    <row r="16" spans="1:14" x14ac:dyDescent="0.3">
      <c r="A16" t="s">
        <v>129</v>
      </c>
      <c r="B16">
        <v>1</v>
      </c>
      <c r="C16">
        <v>3</v>
      </c>
      <c r="D16">
        <v>1340</v>
      </c>
      <c r="E16">
        <f>Table2325[[#This Row],[boxes]]*Table2325[[#This Row],[kgs]]*Table2325[[#This Row],[Rate]]</f>
        <v>4020</v>
      </c>
      <c r="K16" s="26">
        <v>46020</v>
      </c>
      <c r="L16">
        <v>180250</v>
      </c>
      <c r="M16">
        <v>19250</v>
      </c>
    </row>
    <row r="17" spans="1:13" x14ac:dyDescent="0.3">
      <c r="A17" t="s">
        <v>147</v>
      </c>
      <c r="B17">
        <v>1</v>
      </c>
      <c r="D17">
        <v>1120</v>
      </c>
      <c r="E17">
        <f>Table2325[[#This Row],[boxes]]*Table2325[[#This Row],[kgs]]*Table2325[[#This Row],[Rate]]</f>
        <v>0</v>
      </c>
      <c r="K17" s="4" t="s">
        <v>28</v>
      </c>
      <c r="L17">
        <v>832750</v>
      </c>
      <c r="M17">
        <v>80250</v>
      </c>
    </row>
    <row r="18" spans="1:13" x14ac:dyDescent="0.3">
      <c r="A18" t="s">
        <v>126</v>
      </c>
      <c r="B18">
        <v>1</v>
      </c>
      <c r="C18">
        <v>25</v>
      </c>
      <c r="D18">
        <v>1120</v>
      </c>
      <c r="E18">
        <f>Table2325[[#This Row],[boxes]]*Table2325[[#This Row],[kgs]]*Table2325[[#This Row],[Rate]]</f>
        <v>28000</v>
      </c>
    </row>
    <row r="19" spans="1:13" x14ac:dyDescent="0.3">
      <c r="A19" t="s">
        <v>125</v>
      </c>
      <c r="B19">
        <v>1</v>
      </c>
      <c r="C19">
        <v>25</v>
      </c>
      <c r="D19">
        <v>1120</v>
      </c>
      <c r="E19">
        <f>Table2325[[#This Row],[boxes]]*Table2325[[#This Row],[kgs]]*Table2325[[#This Row],[Rate]]</f>
        <v>28000</v>
      </c>
    </row>
    <row r="20" spans="1:13" x14ac:dyDescent="0.3">
      <c r="A20" t="s">
        <v>146</v>
      </c>
      <c r="B20">
        <v>1</v>
      </c>
      <c r="D20">
        <v>1300</v>
      </c>
      <c r="E20">
        <f>Table2325[[#This Row],[boxes]]*Table2325[[#This Row],[kgs]]*Table2325[[#This Row],[Rate]]</f>
        <v>0</v>
      </c>
    </row>
    <row r="21" spans="1:13" x14ac:dyDescent="0.3">
      <c r="A21" t="s">
        <v>132</v>
      </c>
      <c r="B21">
        <v>1</v>
      </c>
      <c r="C21">
        <v>25</v>
      </c>
      <c r="D21">
        <v>1450</v>
      </c>
      <c r="E21">
        <f>Table2325[[#This Row],[boxes]]*Table2325[[#This Row],[kgs]]*Table2325[[#This Row],[Rate]]</f>
        <v>36250</v>
      </c>
    </row>
    <row r="22" spans="1:13" x14ac:dyDescent="0.3">
      <c r="A22" t="s">
        <v>159</v>
      </c>
      <c r="B22">
        <v>1</v>
      </c>
      <c r="C22">
        <v>25</v>
      </c>
      <c r="D22">
        <v>940</v>
      </c>
      <c r="E22">
        <f>Table2325[[#This Row],[boxes]]*Table2325[[#This Row],[kgs]]*Table2325[[#This Row],[Rate]]</f>
        <v>23500</v>
      </c>
    </row>
    <row r="23" spans="1:13" x14ac:dyDescent="0.3">
      <c r="A23" t="s">
        <v>125</v>
      </c>
      <c r="D23">
        <v>1130</v>
      </c>
      <c r="E23">
        <f>Table2325[[#This Row],[boxes]]*Table2325[[#This Row],[kgs]]*Table2325[[#This Row],[Rate]]</f>
        <v>0</v>
      </c>
    </row>
    <row r="24" spans="1:13" x14ac:dyDescent="0.3">
      <c r="A24" t="s">
        <v>146</v>
      </c>
      <c r="B24">
        <v>1</v>
      </c>
      <c r="C24">
        <v>12</v>
      </c>
      <c r="D24">
        <v>1300</v>
      </c>
      <c r="E24">
        <f>Table2325[[#This Row],[boxes]]*Table2325[[#This Row],[kgs]]*Table2325[[#This Row],[Rate]]</f>
        <v>15600</v>
      </c>
    </row>
    <row r="25" spans="1:13" x14ac:dyDescent="0.3">
      <c r="A25" t="s">
        <v>133</v>
      </c>
      <c r="B25">
        <v>1</v>
      </c>
      <c r="C25">
        <v>8</v>
      </c>
      <c r="D25">
        <v>1650</v>
      </c>
      <c r="E25">
        <f>Table2325[[#This Row],[boxes]]*Table2325[[#This Row],[kgs]]*Table2325[[#This Row],[Rate]]</f>
        <v>13200</v>
      </c>
    </row>
    <row r="26" spans="1:13" x14ac:dyDescent="0.3">
      <c r="A26" t="s">
        <v>129</v>
      </c>
      <c r="D26">
        <v>1340</v>
      </c>
      <c r="E26">
        <f>Table2325[[#This Row],[boxes]]*Table2325[[#This Row],[kgs]]*Table2325[[#This Row],[Rate]]</f>
        <v>0</v>
      </c>
    </row>
    <row r="27" spans="1:13" x14ac:dyDescent="0.3">
      <c r="A27" t="s">
        <v>132</v>
      </c>
      <c r="B27">
        <v>1</v>
      </c>
      <c r="C27">
        <v>12</v>
      </c>
      <c r="D27">
        <v>1450</v>
      </c>
      <c r="E27">
        <f>Table2325[[#This Row],[boxes]]*Table2325[[#This Row],[kgs]]*Table2325[[#This Row],[Rate]]</f>
        <v>17400</v>
      </c>
    </row>
    <row r="28" spans="1:13" x14ac:dyDescent="0.3">
      <c r="A28" t="s">
        <v>131</v>
      </c>
      <c r="B28">
        <v>1</v>
      </c>
      <c r="C28">
        <v>4</v>
      </c>
      <c r="D28">
        <v>1400</v>
      </c>
      <c r="E28">
        <f>Table2325[[#This Row],[boxes]]*Table2325[[#This Row],[kgs]]*Table2325[[#This Row],[Rate]]</f>
        <v>5600</v>
      </c>
    </row>
    <row r="29" spans="1:13" x14ac:dyDescent="0.3">
      <c r="A29" t="s">
        <v>160</v>
      </c>
      <c r="D29">
        <v>1000</v>
      </c>
      <c r="E29">
        <f>Table2325[[#This Row],[boxes]]*Table2325[[#This Row],[kgs]]*Table2325[[#This Row],[Rate]]</f>
        <v>0</v>
      </c>
    </row>
    <row r="30" spans="1:13" x14ac:dyDescent="0.3">
      <c r="A30" t="s">
        <v>130</v>
      </c>
      <c r="B30">
        <v>1</v>
      </c>
      <c r="C30">
        <v>12</v>
      </c>
      <c r="D30">
        <v>1650</v>
      </c>
      <c r="E30">
        <f>Table2325[[#This Row],[boxes]]*Table2325[[#This Row],[kgs]]*Table2325[[#This Row],[Rate]]</f>
        <v>19800</v>
      </c>
    </row>
    <row r="31" spans="1:13" x14ac:dyDescent="0.3">
      <c r="A31" t="s">
        <v>114</v>
      </c>
      <c r="D31">
        <v>1130</v>
      </c>
      <c r="E31">
        <f>Table2325[[#This Row],[boxes]]*Table2325[[#This Row],[kgs]]*Table2325[[#This Row],[Rate]]</f>
        <v>0</v>
      </c>
    </row>
    <row r="32" spans="1:13" x14ac:dyDescent="0.3">
      <c r="A32" t="s">
        <v>153</v>
      </c>
      <c r="B32">
        <v>1</v>
      </c>
      <c r="C32">
        <v>5</v>
      </c>
      <c r="D32">
        <v>3100</v>
      </c>
      <c r="E32">
        <f>Table2325[[#This Row],[boxes]]*Table2325[[#This Row],[kgs]]*Table2325[[#This Row],[Rate]]</f>
        <v>15500</v>
      </c>
      <c r="L32" t="s">
        <v>163</v>
      </c>
    </row>
    <row r="33" spans="1:16" x14ac:dyDescent="0.3">
      <c r="A33" t="s">
        <v>126</v>
      </c>
      <c r="B33">
        <v>1</v>
      </c>
      <c r="C33">
        <v>8</v>
      </c>
      <c r="D33">
        <v>1140</v>
      </c>
      <c r="E33">
        <f>Table2325[[#This Row],[boxes]]*Table2325[[#This Row],[kgs]]*Table2325[[#This Row],[Rate]]</f>
        <v>9120</v>
      </c>
      <c r="L33" t="s">
        <v>57</v>
      </c>
      <c r="M33" t="s">
        <v>156</v>
      </c>
      <c r="N33" t="s">
        <v>157</v>
      </c>
      <c r="O33" t="s">
        <v>4</v>
      </c>
      <c r="P33" t="s">
        <v>158</v>
      </c>
    </row>
    <row r="34" spans="1:16" x14ac:dyDescent="0.3">
      <c r="A34" t="s">
        <v>147</v>
      </c>
      <c r="B34">
        <v>1</v>
      </c>
      <c r="C34">
        <v>6</v>
      </c>
      <c r="D34">
        <v>1140</v>
      </c>
      <c r="E34">
        <f>Table2325[[#This Row],[boxes]]*Table2325[[#This Row],[kgs]]*Table2325[[#This Row],[Rate]]</f>
        <v>6840</v>
      </c>
      <c r="L34" t="s">
        <v>131</v>
      </c>
      <c r="M34">
        <v>1</v>
      </c>
      <c r="N34">
        <v>5</v>
      </c>
      <c r="O34">
        <v>1400</v>
      </c>
      <c r="P34">
        <f>Table23[[#This Row],[boxes]]*Table23[[#This Row],[kgs]]*Table23[[#This Row],[Rate]]</f>
        <v>7000</v>
      </c>
    </row>
    <row r="35" spans="1:16" x14ac:dyDescent="0.3">
      <c r="A35" t="s">
        <v>161</v>
      </c>
      <c r="D35">
        <v>1000</v>
      </c>
      <c r="E35">
        <f>Table2325[[#This Row],[boxes]]*Table2325[[#This Row],[kgs]]*Table2325[[#This Row],[Rate]]</f>
        <v>0</v>
      </c>
      <c r="L35" t="s">
        <v>129</v>
      </c>
      <c r="M35">
        <v>1</v>
      </c>
      <c r="N35">
        <v>30</v>
      </c>
      <c r="O35">
        <v>1340</v>
      </c>
      <c r="P35">
        <f>Table23[[#This Row],[boxes]]*Table23[[#This Row],[kgs]]*Table23[[#This Row],[Rate]]</f>
        <v>40200</v>
      </c>
    </row>
    <row r="36" spans="1:16" x14ac:dyDescent="0.3">
      <c r="A36" t="s">
        <v>162</v>
      </c>
      <c r="B36">
        <v>1</v>
      </c>
      <c r="C36">
        <v>10</v>
      </c>
      <c r="D36">
        <v>1600</v>
      </c>
      <c r="E36">
        <f>Table2325[[#This Row],[boxes]]*Table2325[[#This Row],[kgs]]*Table2325[[#This Row],[Rate]]</f>
        <v>16000</v>
      </c>
      <c r="L36" t="s">
        <v>147</v>
      </c>
      <c r="M36">
        <v>1</v>
      </c>
      <c r="O36">
        <v>1140</v>
      </c>
      <c r="P36">
        <f>Table23[[#This Row],[boxes]]*Table23[[#This Row],[kgs]]*Table23[[#This Row],[Rate]]</f>
        <v>0</v>
      </c>
    </row>
    <row r="37" spans="1:16" x14ac:dyDescent="0.3">
      <c r="A37" t="s">
        <v>114</v>
      </c>
      <c r="B37">
        <v>1</v>
      </c>
      <c r="C37">
        <v>3</v>
      </c>
      <c r="D37">
        <v>1120</v>
      </c>
      <c r="E37">
        <f>Table2325[[#This Row],[boxes]]*Table2325[[#This Row],[kgs]]*Table2325[[#This Row],[Rate]]</f>
        <v>3360</v>
      </c>
      <c r="L37" t="s">
        <v>126</v>
      </c>
      <c r="M37">
        <v>1</v>
      </c>
      <c r="N37">
        <v>28</v>
      </c>
      <c r="O37">
        <v>1140</v>
      </c>
      <c r="P37">
        <f>Table23[[#This Row],[boxes]]*Table23[[#This Row],[kgs]]*Table23[[#This Row],[Rate]]</f>
        <v>31920</v>
      </c>
    </row>
    <row r="38" spans="1:16" x14ac:dyDescent="0.3">
      <c r="A38" t="s">
        <v>188</v>
      </c>
      <c r="B38">
        <v>1</v>
      </c>
      <c r="C38">
        <v>4</v>
      </c>
      <c r="D38">
        <v>920</v>
      </c>
      <c r="E38">
        <f>Table2325[[#This Row],[boxes]]*Table2325[[#This Row],[kgs]]*Table2325[[#This Row],[Rate]]</f>
        <v>3680</v>
      </c>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L40" t="s">
        <v>132</v>
      </c>
      <c r="M40">
        <v>1</v>
      </c>
      <c r="N40">
        <v>30</v>
      </c>
      <c r="O40">
        <v>1450</v>
      </c>
      <c r="P40">
        <f>Table23[[#This Row],[boxes]]*Table23[[#This Row],[kgs]]*Table23[[#This Row],[Rate]]</f>
        <v>43500</v>
      </c>
    </row>
    <row r="41" spans="1:16" x14ac:dyDescent="0.3">
      <c r="E41">
        <f>SUM(Table2325[total])</f>
        <v>280870</v>
      </c>
      <c r="L41" t="s">
        <v>159</v>
      </c>
      <c r="M41">
        <v>1</v>
      </c>
      <c r="N41">
        <v>40</v>
      </c>
      <c r="O41">
        <v>910</v>
      </c>
      <c r="P41">
        <f>Table23[[#This Row],[boxes]]*Table23[[#This Row],[kgs]]*Table23[[#This Row],[Rate]]</f>
        <v>36400</v>
      </c>
    </row>
    <row r="42" spans="1:16" x14ac:dyDescent="0.3">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1" sqref="D1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hidden="1" x14ac:dyDescent="0.3">
      <c r="A5" s="85">
        <v>46008</v>
      </c>
      <c r="B5" s="85" t="s">
        <v>117</v>
      </c>
      <c r="C5" s="82" t="s">
        <v>216</v>
      </c>
      <c r="D5" s="82"/>
      <c r="E5" s="82"/>
      <c r="F5" s="82">
        <f>Table2[[#This Row],[Quantity]]*200*Table2[[#This Row],[Boxes]]</f>
        <v>0</v>
      </c>
      <c r="G5" s="82">
        <f>SUMIFS(Table14[Debit], Table14[Date], Table2[[#This Row],[Date]], Table14[Party], Table2[[#This Row],[Party Name]],Table14[Description],Table2[[#This Row],[Item]])</f>
        <v>0</v>
      </c>
      <c r="H5" s="82">
        <v>0</v>
      </c>
      <c r="J5" s="4" t="s">
        <v>103</v>
      </c>
      <c r="K5">
        <v>0</v>
      </c>
      <c r="L5">
        <v>0</v>
      </c>
      <c r="M5">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Name]],Table14[Description],Table2[[#This Row],[Item]])</f>
        <v>0</v>
      </c>
      <c r="H6" s="82">
        <v>268000</v>
      </c>
      <c r="J6" s="4" t="s">
        <v>116</v>
      </c>
      <c r="K6">
        <v>0</v>
      </c>
      <c r="L6">
        <v>150000</v>
      </c>
      <c r="M6">
        <v>118000</v>
      </c>
    </row>
    <row r="7" spans="1:13" hidden="1" x14ac:dyDescent="0.3">
      <c r="A7" s="85">
        <v>46008</v>
      </c>
      <c r="B7" s="85" t="s">
        <v>165</v>
      </c>
      <c r="C7" s="82" t="s">
        <v>216</v>
      </c>
      <c r="F7" s="82">
        <f>Table2[[#This Row],[Quantity]]*200*Table2[[#This Row],[Boxes]]</f>
        <v>0</v>
      </c>
      <c r="G7" s="82">
        <f>SUMIFS(Table14[Debit], Table14[Date], Table2[[#This Row],[Date]], Table14[Party], Table2[[#This Row],[Party Name]],Table14[Description],Table2[[#This Row],[Item]])</f>
        <v>0</v>
      </c>
      <c r="H7" s="81">
        <v>0</v>
      </c>
      <c r="J7" s="4" t="s">
        <v>117</v>
      </c>
      <c r="K7">
        <v>351000</v>
      </c>
      <c r="L7">
        <v>0</v>
      </c>
      <c r="M7">
        <v>351000</v>
      </c>
    </row>
    <row r="8" spans="1:13" hidden="1" x14ac:dyDescent="0.3">
      <c r="A8" s="85">
        <v>46008</v>
      </c>
      <c r="B8" s="95" t="s">
        <v>194</v>
      </c>
      <c r="C8" s="82" t="s">
        <v>216</v>
      </c>
      <c r="F8" s="82">
        <f>Table2[[#This Row],[Quantity]]*200*Table2[[#This Row],[Boxes]]</f>
        <v>0</v>
      </c>
      <c r="G8" s="82">
        <f>SUMIFS(Table14[Debit], Table14[Date], Table2[[#This Row],[Date]], Table14[Party], Table2[[#This Row],[Party Name]],Table14[Description],Table2[[#This Row],[Item]])</f>
        <v>0</v>
      </c>
      <c r="H8" s="81">
        <v>0</v>
      </c>
      <c r="J8" s="4" t="s">
        <v>165</v>
      </c>
      <c r="K8">
        <v>0</v>
      </c>
      <c r="L8">
        <v>0</v>
      </c>
      <c r="M8">
        <v>0</v>
      </c>
    </row>
    <row r="9" spans="1:13" hidden="1" x14ac:dyDescent="0.3">
      <c r="A9" s="117">
        <v>46008</v>
      </c>
      <c r="B9" s="117" t="s">
        <v>198</v>
      </c>
      <c r="C9" s="88" t="s">
        <v>216</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194</v>
      </c>
      <c r="K9">
        <v>0</v>
      </c>
      <c r="L9">
        <v>0</v>
      </c>
      <c r="M9">
        <v>0</v>
      </c>
    </row>
    <row r="10" spans="1:13" hidden="1" x14ac:dyDescent="0.3">
      <c r="A10" s="1">
        <v>46011</v>
      </c>
      <c r="B10" s="1" t="s">
        <v>117</v>
      </c>
      <c r="C10" t="s">
        <v>61</v>
      </c>
      <c r="D10">
        <v>45</v>
      </c>
      <c r="F10">
        <v>351000</v>
      </c>
      <c r="G10">
        <f>SUMIFS(Table14[Debit], Table14[Date], Table2[[#This Row],[Date]], Table14[Party], Table2[[#This Row],[Party Name]],Table14[Description],Table2[[#This Row],[Item]])</f>
        <v>0</v>
      </c>
      <c r="H10">
        <f>Table2[[#This Row],[Price]]-Table2[[#This Row],[Paid]]</f>
        <v>351000</v>
      </c>
      <c r="J10" s="4" t="s">
        <v>198</v>
      </c>
      <c r="K10">
        <v>0</v>
      </c>
      <c r="L10">
        <v>0</v>
      </c>
      <c r="M10">
        <v>0</v>
      </c>
    </row>
    <row r="11" spans="1:13" x14ac:dyDescent="0.3">
      <c r="A11" s="1">
        <v>46014</v>
      </c>
      <c r="B11" s="1" t="s">
        <v>116</v>
      </c>
      <c r="C11" t="s">
        <v>282</v>
      </c>
      <c r="F11">
        <f>Table2[[#This Row],[Quantity]]*200*Table2[[#This Row],[Boxes]]</f>
        <v>0</v>
      </c>
      <c r="G11">
        <f>SUMIFS(Table14[Debit], Table14[Date], Table2[[#This Row],[Date]], Table14[Party], Table2[[#This Row],[Party Name]],Table14[Description],Table2[[#This Row],[Item]])</f>
        <v>150000</v>
      </c>
      <c r="H11">
        <f>Table2[[#This Row],[Price]]-Table2[[#This Row],[Paid]]</f>
        <v>-150000</v>
      </c>
      <c r="J11" s="4" t="s">
        <v>28</v>
      </c>
      <c r="K11">
        <v>351000</v>
      </c>
      <c r="L11">
        <v>150000</v>
      </c>
      <c r="M11">
        <v>469000</v>
      </c>
    </row>
    <row r="12" spans="1:13" hidden="1"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hidden="1"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150000</v>
      </c>
      <c r="H14">
        <f>SUBTOTAL(109,Table2[Balance])</f>
        <v>118000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872676</v>
      </c>
      <c r="C2" s="32">
        <f>GETPIVOTDATA("Sum of Tiyaar/gaz",$A$3)</f>
        <v>820581.8824</v>
      </c>
      <c r="D2" s="31">
        <f>((B2*48)+((C2/1.0936)*10))/C2</f>
        <v>60.191360587524493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4842</v>
      </c>
      <c r="D19" s="28">
        <f t="shared" si="1"/>
        <v>110.79466881320995</v>
      </c>
      <c r="E19" s="11">
        <f t="shared" si="2"/>
        <v>11213.774399999998</v>
      </c>
      <c r="F19" s="11">
        <f t="shared" si="0"/>
        <v>4842</v>
      </c>
      <c r="G19" s="78">
        <f t="shared" ref="G19:G38" si="6">100- (F19/E19 *100)</f>
        <v>56.820961192156666</v>
      </c>
      <c r="H19" s="28">
        <f t="shared" si="3"/>
        <v>4427.5786393562548</v>
      </c>
      <c r="I19" s="28">
        <f t="shared" si="5"/>
        <v>110.79466881320995</v>
      </c>
    </row>
    <row r="20" spans="1:9" x14ac:dyDescent="0.3">
      <c r="A20" s="16">
        <v>1948</v>
      </c>
      <c r="B20" s="14">
        <v>20882</v>
      </c>
      <c r="C20" s="14">
        <v>3112</v>
      </c>
      <c r="D20" s="28">
        <f t="shared" si="1"/>
        <v>331.23151479136385</v>
      </c>
      <c r="E20" s="11">
        <f>B20 * 1.0936</f>
        <v>22836.555199999999</v>
      </c>
      <c r="F20" s="11">
        <f t="shared" si="0"/>
        <v>3112</v>
      </c>
      <c r="G20" s="78">
        <f t="shared" si="6"/>
        <v>86.372725777835356</v>
      </c>
      <c r="H20" s="28">
        <f t="shared" si="3"/>
        <v>2845.6474030724216</v>
      </c>
      <c r="I20" s="28">
        <f t="shared" si="5"/>
        <v>331.23151479136385</v>
      </c>
    </row>
    <row r="21" spans="1:9" x14ac:dyDescent="0.3">
      <c r="A21" s="16">
        <v>1947</v>
      </c>
      <c r="B21" s="14">
        <v>11427</v>
      </c>
      <c r="C21" s="14">
        <v>6074</v>
      </c>
      <c r="D21" s="28">
        <f t="shared" si="1"/>
        <v>99.446383171318672</v>
      </c>
      <c r="E21" s="11">
        <f t="shared" si="2"/>
        <v>12496.5672</v>
      </c>
      <c r="F21" s="11">
        <f t="shared" si="0"/>
        <v>6074</v>
      </c>
      <c r="G21" s="78">
        <f t="shared" si="6"/>
        <v>51.394651804857254</v>
      </c>
      <c r="H21" s="28">
        <f t="shared" si="3"/>
        <v>5554.1331382589615</v>
      </c>
      <c r="I21" s="28">
        <f t="shared" si="5"/>
        <v>99.446383171318672</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35092</v>
      </c>
      <c r="D32" s="28">
        <f t="shared" si="1"/>
        <v>71.628096146227733</v>
      </c>
      <c r="E32" s="11">
        <f t="shared" si="2"/>
        <v>49956.741599999994</v>
      </c>
      <c r="F32" s="11">
        <f t="shared" si="0"/>
        <v>35092</v>
      </c>
      <c r="G32" s="78">
        <f t="shared" si="6"/>
        <v>29.755226469774399</v>
      </c>
      <c r="H32" s="28">
        <f t="shared" si="3"/>
        <v>32088.514996342357</v>
      </c>
      <c r="I32" s="28">
        <f t="shared" si="5"/>
        <v>71.628096146227733</v>
      </c>
    </row>
    <row r="33" spans="1:9" x14ac:dyDescent="0.3">
      <c r="A33" s="16">
        <v>1989</v>
      </c>
      <c r="B33" s="14">
        <v>61388</v>
      </c>
      <c r="C33" s="14">
        <v>8547</v>
      </c>
      <c r="D33" s="28">
        <f t="shared" ref="D33:D37" si="7">I33</f>
        <v>353.89946394774489</v>
      </c>
      <c r="E33" s="11">
        <f t="shared" ref="E33:E37" si="8">B33 * 1.0936</f>
        <v>67133.916799999992</v>
      </c>
      <c r="F33" s="11">
        <f t="shared" ref="F33:F37" si="9">C33</f>
        <v>8547</v>
      </c>
      <c r="G33" s="78">
        <f t="shared" ref="G33:G37" si="10">100- (F33/E33 *100)</f>
        <v>87.268730311889087</v>
      </c>
      <c r="H33" s="28">
        <f t="shared" ref="H33:H37" si="11">F33/1.0936</f>
        <v>7815.471836137528</v>
      </c>
      <c r="I33" s="28">
        <f t="shared" ref="I33:I37" si="12">((B33*48)+(H33*10))/C33</f>
        <v>353.89946394774489</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28</v>
      </c>
      <c r="B35" s="30">
        <v>80202</v>
      </c>
      <c r="C35" s="30">
        <v>820581.8824</v>
      </c>
      <c r="D35" s="28">
        <f t="shared" si="7"/>
        <v>13.835533319262105</v>
      </c>
      <c r="E35" s="11">
        <f t="shared" si="8"/>
        <v>87708.907199999987</v>
      </c>
      <c r="F35" s="11">
        <f t="shared" si="9"/>
        <v>820581.8824</v>
      </c>
      <c r="G35" s="78">
        <f t="shared" si="10"/>
        <v>-835.57417210643359</v>
      </c>
      <c r="H35" s="28">
        <f t="shared" si="11"/>
        <v>750349.19751280185</v>
      </c>
      <c r="I35" s="28">
        <f t="shared" si="12"/>
        <v>13.835533319262105</v>
      </c>
    </row>
    <row r="36" spans="1:9" x14ac:dyDescent="0.3">
      <c r="D36" s="28" t="e">
        <f t="shared" si="7"/>
        <v>#DIV/0!</v>
      </c>
      <c r="E36" s="11">
        <f t="shared" si="8"/>
        <v>0</v>
      </c>
      <c r="F36" s="11">
        <f t="shared" si="9"/>
        <v>0</v>
      </c>
      <c r="G36" s="78" t="e">
        <f t="shared" si="10"/>
        <v>#DIV/0!</v>
      </c>
      <c r="H36" s="28">
        <f t="shared" si="11"/>
        <v>0</v>
      </c>
      <c r="I36" s="28" t="e">
        <f t="shared" si="12"/>
        <v>#DIV/0!</v>
      </c>
    </row>
    <row r="37" spans="1:9" x14ac:dyDescent="0.3">
      <c r="D37" s="28" t="e">
        <f t="shared" si="7"/>
        <v>#DIV/0!</v>
      </c>
      <c r="E37" s="11">
        <f t="shared" si="8"/>
        <v>0</v>
      </c>
      <c r="F37" s="11">
        <f t="shared" si="9"/>
        <v>0</v>
      </c>
      <c r="G37" s="78" t="e">
        <f t="shared" si="10"/>
        <v>#DIV/0!</v>
      </c>
      <c r="H37" s="28">
        <f t="shared" si="11"/>
        <v>0</v>
      </c>
      <c r="I37" s="28" t="e">
        <f t="shared" si="12"/>
        <v>#DIV/0!</v>
      </c>
    </row>
    <row r="38" spans="1:9" x14ac:dyDescent="0.3">
      <c r="D38" s="28" t="e">
        <f t="shared" si="1"/>
        <v>#DIV/0!</v>
      </c>
      <c r="E38" s="11">
        <f t="shared" si="2"/>
        <v>0</v>
      </c>
      <c r="F38" s="11">
        <f t="shared" si="0"/>
        <v>0</v>
      </c>
      <c r="G38" s="78" t="e">
        <f t="shared" si="6"/>
        <v>#DIV/0!</v>
      </c>
      <c r="H38" s="28">
        <f t="shared" si="3"/>
        <v>0</v>
      </c>
      <c r="I38" s="28" t="e">
        <f t="shared" si="5"/>
        <v>#DIV/0!</v>
      </c>
    </row>
    <row r="39" spans="1: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1:9" x14ac:dyDescent="0.3">
      <c r="D40" s="28" t="e">
        <f t="shared" si="13"/>
        <v>#DIV/0!</v>
      </c>
      <c r="E40" s="11">
        <f t="shared" si="14"/>
        <v>0</v>
      </c>
      <c r="F40" s="11">
        <f t="shared" si="15"/>
        <v>0</v>
      </c>
      <c r="G40" s="78" t="e">
        <f t="shared" si="16"/>
        <v>#DIV/0!</v>
      </c>
      <c r="H40" s="28">
        <f t="shared" si="17"/>
        <v>0</v>
      </c>
      <c r="I40" s="28" t="e">
        <f t="shared" si="18"/>
        <v>#DIV/0!</v>
      </c>
    </row>
    <row r="41" spans="1:9" x14ac:dyDescent="0.3">
      <c r="D41" s="28" t="e">
        <f t="shared" si="13"/>
        <v>#DIV/0!</v>
      </c>
      <c r="E41" s="11">
        <f t="shared" si="14"/>
        <v>0</v>
      </c>
      <c r="F41" s="11">
        <f t="shared" si="15"/>
        <v>0</v>
      </c>
      <c r="G41" s="78" t="e">
        <f t="shared" si="16"/>
        <v>#DIV/0!</v>
      </c>
      <c r="H41" s="28">
        <f t="shared" si="17"/>
        <v>0</v>
      </c>
      <c r="I41" s="28" t="e">
        <f t="shared" si="18"/>
        <v>#DIV/0!</v>
      </c>
    </row>
    <row r="42" spans="1:9" x14ac:dyDescent="0.3">
      <c r="D42" s="28" t="e">
        <f t="shared" si="13"/>
        <v>#DIV/0!</v>
      </c>
      <c r="E42" s="11">
        <f t="shared" si="14"/>
        <v>0</v>
      </c>
      <c r="F42" s="11">
        <f t="shared" si="15"/>
        <v>0</v>
      </c>
      <c r="G42" s="78" t="e">
        <f t="shared" si="16"/>
        <v>#DIV/0!</v>
      </c>
      <c r="H42" s="28">
        <f t="shared" si="17"/>
        <v>0</v>
      </c>
      <c r="I42" s="28" t="e">
        <f t="shared" si="18"/>
        <v>#DIV/0!</v>
      </c>
    </row>
    <row r="43" spans="1:9" x14ac:dyDescent="0.3">
      <c r="D43" s="28" t="e">
        <f t="shared" si="13"/>
        <v>#DIV/0!</v>
      </c>
      <c r="E43" s="11">
        <f t="shared" si="14"/>
        <v>0</v>
      </c>
      <c r="F43" s="11">
        <f t="shared" si="15"/>
        <v>0</v>
      </c>
      <c r="G43" s="78" t="e">
        <f t="shared" si="16"/>
        <v>#DIV/0!</v>
      </c>
      <c r="H43" s="28">
        <f t="shared" si="17"/>
        <v>0</v>
      </c>
      <c r="I43" s="28" t="e">
        <f t="shared" si="18"/>
        <v>#DIV/0!</v>
      </c>
    </row>
    <row r="44" spans="1:9" x14ac:dyDescent="0.3">
      <c r="D44" s="28" t="e">
        <f t="shared" si="13"/>
        <v>#DIV/0!</v>
      </c>
      <c r="E44" s="11">
        <f t="shared" si="14"/>
        <v>0</v>
      </c>
      <c r="F44" s="11">
        <f t="shared" si="15"/>
        <v>0</v>
      </c>
      <c r="G44" s="78" t="e">
        <f t="shared" si="16"/>
        <v>#DIV/0!</v>
      </c>
      <c r="H44" s="28">
        <f t="shared" si="17"/>
        <v>0</v>
      </c>
      <c r="I44" s="28" t="e">
        <f t="shared" si="18"/>
        <v>#DIV/0!</v>
      </c>
    </row>
    <row r="45" spans="1: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1:9" x14ac:dyDescent="0.3">
      <c r="D46" s="28" t="e">
        <f t="shared" si="19"/>
        <v>#DIV/0!</v>
      </c>
      <c r="E46" s="11">
        <f t="shared" si="20"/>
        <v>0</v>
      </c>
      <c r="F46" s="11">
        <f t="shared" si="21"/>
        <v>0</v>
      </c>
      <c r="G46" s="78" t="e">
        <f t="shared" si="22"/>
        <v>#DIV/0!</v>
      </c>
      <c r="H46" s="28">
        <f t="shared" si="23"/>
        <v>0</v>
      </c>
      <c r="I46" s="28" t="e">
        <f t="shared" si="24"/>
        <v>#DIV/0!</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2270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68045</v>
      </c>
    </row>
    <row r="38" spans="2:10" x14ac:dyDescent="0.3">
      <c r="B38" s="1"/>
      <c r="D38">
        <f>SUM(Table5[Amount])</f>
        <v>36865</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U19" sqref="U19"/>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6195971.2158010304</v>
      </c>
    </row>
    <row r="3" spans="1:3" ht="21" x14ac:dyDescent="0.4">
      <c r="A3" s="102" t="str">
        <f>Billing!Q6</f>
        <v>Ejaz Sahab</v>
      </c>
      <c r="B3" s="105">
        <f>Billing!AD6</f>
        <v>4371992</v>
      </c>
      <c r="C3" s="103">
        <f>Billing!AE6</f>
        <v>243937.95610826649</v>
      </c>
    </row>
    <row r="4" spans="1:3" ht="21" x14ac:dyDescent="0.4">
      <c r="A4" s="102" t="str">
        <f>Billing!Q7</f>
        <v>Arshad</v>
      </c>
      <c r="B4" s="105">
        <f>Billing!AD7</f>
        <v>6705301</v>
      </c>
      <c r="C4" s="104">
        <f>Billing!AE7</f>
        <v>223116.15435259789</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10869060</v>
      </c>
      <c r="C6" s="103">
        <f>Billing!AE9</f>
        <v>609704.2384784203</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1300000</v>
      </c>
      <c r="C8" s="104">
        <f>Billing!AE11</f>
        <v>326380.76079005143</v>
      </c>
    </row>
    <row r="9" spans="1:3" ht="21" x14ac:dyDescent="0.4">
      <c r="A9" s="102" t="str">
        <f>Billing!Q12</f>
        <v>Azam</v>
      </c>
      <c r="B9" s="105">
        <f>Billing!AD12</f>
        <v>4330540</v>
      </c>
      <c r="C9" s="103">
        <f>Billing!AE12</f>
        <v>-0.49743964802473783</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2261380</v>
      </c>
      <c r="C12" s="103">
        <f>Billing!AE15</f>
        <v>365265.94001463102</v>
      </c>
    </row>
    <row r="13" spans="1:3" ht="21" x14ac:dyDescent="0.4">
      <c r="A13" s="102" t="str">
        <f>Billing!Q16</f>
        <v>Badshah Fabrics</v>
      </c>
      <c r="B13" s="105">
        <f>Billing!AD16</f>
        <v>5815761</v>
      </c>
      <c r="C13" s="103">
        <f>Billing!AE16</f>
        <v>286606.4103877116</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2300000</v>
      </c>
      <c r="C20" s="103">
        <f>Billing!AE23</f>
        <v>409309.61960497499</v>
      </c>
    </row>
    <row r="21" spans="1:3" ht="21" x14ac:dyDescent="0.4">
      <c r="A21" s="102" t="str">
        <f>Billing!Q24</f>
        <v>Salman Zaffar</v>
      </c>
      <c r="B21" s="105">
        <f>Billing!AD24</f>
        <v>813525</v>
      </c>
      <c r="C21" s="103">
        <f>Billing!AE24</f>
        <v>160168.30651060725</v>
      </c>
    </row>
    <row r="22" spans="1:3" ht="21" x14ac:dyDescent="0.4">
      <c r="A22" s="102" t="str">
        <f>Billing!Q25</f>
        <v>Shahid Qasayi</v>
      </c>
      <c r="B22" s="105">
        <f>Billing!AD25</f>
        <v>2108095</v>
      </c>
      <c r="C22" s="103">
        <f>Billing!AE25</f>
        <v>359767.10680321883</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f>Billing!Q31</f>
        <v>0</v>
      </c>
      <c r="B28" s="105">
        <f>Billing!AD31</f>
        <v>0</v>
      </c>
      <c r="C28" s="103">
        <f>Billing!AE31</f>
        <v>0</v>
      </c>
    </row>
  </sheetData>
  <conditionalFormatting sqref="C2:C28">
    <cfRule type="cellIs" dxfId="5" priority="1" operator="lessThan">
      <formula>10</formula>
    </cfRule>
  </conditionalFormatting>
  <conditionalFormatting sqref="C2:C29">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2025-12-31T22:30:33Z</dcterms:modified>
  <cp:category/>
  <cp:contentStatus/>
</cp:coreProperties>
</file>