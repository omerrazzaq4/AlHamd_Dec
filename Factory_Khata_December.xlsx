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51" documentId="13_ncr:1_{89B07303-4F83-4416-81AD-F450F7417961}" xr6:coauthVersionLast="47" xr6:coauthVersionMax="47" xr10:uidLastSave="{24E46AA3-9A87-45A5-9993-FBFF21EED96D}"/>
  <bookViews>
    <workbookView xWindow="-108" yWindow="-108" windowWidth="23256" windowHeight="12456" tabRatio="597" firstSheet="1" activeTab="1"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19"/>
    <pivotCache cacheId="14" r:id="rId20"/>
    <pivotCache cacheId="20" r:id="rId21"/>
    <pivotCache cacheId="25" r:id="rId22"/>
    <pivotCache cacheId="29"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1" i="1" l="1"/>
  <c r="G100" i="1"/>
  <c r="J69" i="1" a="1"/>
  <c r="J69" i="1" s="1"/>
  <c r="H44" i="6"/>
  <c r="I118" i="1"/>
  <c r="J118" i="1" a="1"/>
  <c r="J118" i="1" s="1"/>
  <c r="I119" i="1"/>
  <c r="J119" i="1" a="1"/>
  <c r="J119" i="1" s="1"/>
  <c r="I120" i="1"/>
  <c r="J120" i="1" a="1"/>
  <c r="J120" i="1" s="1"/>
  <c r="I121" i="1"/>
  <c r="J121" i="1" a="1"/>
  <c r="J121" i="1" s="1"/>
  <c r="I122" i="1"/>
  <c r="J122" i="1" a="1"/>
  <c r="J122" i="1" s="1"/>
  <c r="I123" i="1"/>
  <c r="J123" i="1" s="1" a="1"/>
  <c r="J123" i="1" s="1"/>
  <c r="I124" i="1"/>
  <c r="J124" i="1" a="1"/>
  <c r="J124" i="1" s="1"/>
  <c r="I125" i="1"/>
  <c r="J125" i="1" a="1"/>
  <c r="J125" i="1" s="1"/>
  <c r="I126" i="1"/>
  <c r="J126" i="1" a="1"/>
  <c r="J126" i="1" s="1"/>
  <c r="I127" i="1"/>
  <c r="J127" i="1" s="1" a="1"/>
  <c r="J127" i="1" s="1"/>
  <c r="I128" i="1"/>
  <c r="J128" i="1" a="1"/>
  <c r="J128" i="1" s="1"/>
  <c r="I129" i="1"/>
  <c r="J129" i="1" s="1" a="1"/>
  <c r="J129" i="1" s="1"/>
  <c r="H72" i="6"/>
  <c r="I72" i="6" s="1"/>
  <c r="G72" i="6"/>
  <c r="H82" i="6"/>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H63" i="6"/>
  <c r="G68" i="6"/>
  <c r="G69" i="6"/>
  <c r="I68" i="6"/>
  <c r="G70" i="6"/>
  <c r="G78" i="6"/>
  <c r="G66" i="6"/>
  <c r="G67" i="6"/>
  <c r="I66" i="6"/>
  <c r="G13" i="7" l="1"/>
  <c r="H13" i="7" s="1"/>
  <c r="G14" i="7"/>
  <c r="H14" i="7" s="1"/>
  <c r="G15" i="7"/>
  <c r="H15" i="7" s="1"/>
  <c r="H81" i="6"/>
  <c r="G63" i="6"/>
  <c r="G64" i="6"/>
  <c r="G65" i="6"/>
  <c r="G81" i="6"/>
  <c r="G82" i="6"/>
  <c r="I63" i="6"/>
  <c r="I64" i="6"/>
  <c r="I65" i="6"/>
  <c r="I82" i="6"/>
  <c r="I114" i="1"/>
  <c r="J114" i="1" a="1"/>
  <c r="J114" i="1" s="1"/>
  <c r="I115" i="1"/>
  <c r="J115" i="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D2" i="17"/>
  <c r="B4" i="21"/>
  <c r="H53" i="6"/>
  <c r="I53" i="6" s="1"/>
  <c r="H52" i="6"/>
  <c r="I52" i="6" s="1"/>
  <c r="G54" i="6"/>
  <c r="G55" i="6"/>
  <c r="I54" i="6"/>
  <c r="I55" i="6"/>
  <c r="G51" i="6"/>
  <c r="G52" i="6"/>
  <c r="G53" i="6"/>
  <c r="I51"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C114" i="9"/>
  <c r="D114" i="9"/>
  <c r="S35" i="9" s="1" a="1"/>
  <c r="S35" i="9" s="1"/>
  <c r="E114" i="9"/>
  <c r="T35" i="9" a="1"/>
  <c r="T35" i="9" s="1"/>
  <c r="F114" i="9"/>
  <c r="G114" i="9"/>
  <c r="H114" i="9"/>
  <c r="W35" i="9" s="1" a="1"/>
  <c r="W35" i="9" s="1"/>
  <c r="I114" i="9"/>
  <c r="X35" i="9" s="1" a="1"/>
  <c r="X35" i="9" s="1"/>
  <c r="J114" i="9"/>
  <c r="Y35" i="9"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I66" i="9" s="1" a="1"/>
  <c r="I66" i="9" s="1"/>
  <c r="E16"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s="1"/>
  <c r="H129" i="1" s="1"/>
  <c r="E46" i="2"/>
  <c r="G46" i="2" s="1"/>
  <c r="F46" i="2"/>
  <c r="H46" i="2" s="1"/>
  <c r="I46" i="2" s="1"/>
  <c r="D46" i="2" s="1"/>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F22" i="2"/>
  <c r="H22" i="2" s="1"/>
  <c r="I22" i="2" s="1"/>
  <c r="D22" i="2" s="1"/>
  <c r="E22" i="2"/>
  <c r="F7" i="2"/>
  <c r="H7" i="2" s="1"/>
  <c r="I7" i="2" s="1"/>
  <c r="D7" i="2" s="1"/>
  <c r="E7" i="2"/>
  <c r="E37" i="2"/>
  <c r="F37" i="2"/>
  <c r="H37" i="2" s="1"/>
  <c r="I37" i="2" s="1"/>
  <c r="D37" i="2" s="1"/>
  <c r="E39" i="2"/>
  <c r="G39" i="2"/>
  <c r="H120" i="1" s="1"/>
  <c r="F39" i="2"/>
  <c r="H39" i="2"/>
  <c r="I39" i="2" s="1"/>
  <c r="D39" i="2" s="1"/>
  <c r="E40" i="2"/>
  <c r="F40" i="2"/>
  <c r="H40" i="2" s="1"/>
  <c r="I40" i="2" s="1"/>
  <c r="D40" i="2" s="1"/>
  <c r="E41" i="2"/>
  <c r="F41" i="2"/>
  <c r="H41" i="2" s="1"/>
  <c r="I41" i="2" s="1"/>
  <c r="D41" i="2" s="1"/>
  <c r="E42" i="2"/>
  <c r="F42" i="2"/>
  <c r="H42" i="2" s="1"/>
  <c r="I42" i="2" s="1"/>
  <c r="D42" i="2" s="1"/>
  <c r="E43" i="2"/>
  <c r="F43" i="2"/>
  <c r="H43" i="2" s="1"/>
  <c r="I43" i="2" s="1"/>
  <c r="D43" i="2" s="1"/>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s="1"/>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G47" i="2"/>
  <c r="H65" i="2"/>
  <c r="I65" i="2"/>
  <c r="D65" i="2"/>
  <c r="H88" i="2"/>
  <c r="I88" i="2"/>
  <c r="D88" i="2"/>
  <c r="G48" i="2"/>
  <c r="G62" i="2"/>
  <c r="G52" i="2"/>
  <c r="H78" i="2"/>
  <c r="I78" i="2"/>
  <c r="D78" i="2"/>
  <c r="H86" i="2"/>
  <c r="I86" i="2"/>
  <c r="D86" i="2"/>
  <c r="H48" i="2"/>
  <c r="I48" i="2"/>
  <c r="D48" i="2"/>
  <c r="G54"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s="1" a="1"/>
  <c r="W32" i="9" s="1"/>
  <c r="D111" i="9"/>
  <c r="S32" i="9" s="1" a="1"/>
  <c r="S32" i="9" s="1"/>
  <c r="I111" i="9"/>
  <c r="X32" i="9" s="1" a="1"/>
  <c r="X32" i="9" s="1"/>
  <c r="E111" i="9"/>
  <c r="T32" i="9" s="1" a="1"/>
  <c r="T32" i="9" s="1"/>
  <c r="J111" i="9"/>
  <c r="Y32" i="9" s="1"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G41" i="2" l="1"/>
  <c r="H122" i="1" s="1"/>
  <c r="G38" i="2"/>
  <c r="H119" i="1" s="1"/>
  <c r="H45" i="2"/>
  <c r="I45" i="2" s="1"/>
  <c r="D45" i="2" s="1"/>
  <c r="G43" i="2"/>
  <c r="H126" i="1" s="1"/>
  <c r="G42" i="2"/>
  <c r="G40" i="2"/>
  <c r="H121" i="1" s="1"/>
  <c r="H123" i="1"/>
  <c r="H125" i="1"/>
  <c r="G44" i="2"/>
  <c r="G36" i="2"/>
  <c r="H117" i="1" s="1"/>
  <c r="I81" i="6"/>
  <c r="H83" i="6"/>
  <c r="P56" i="7"/>
  <c r="C5" i="8" s="1"/>
  <c r="E48" i="7"/>
  <c r="H36" i="2"/>
  <c r="I36" i="2" s="1"/>
  <c r="D36" i="2" s="1"/>
  <c r="G37" i="2"/>
  <c r="H118" i="1" s="1"/>
  <c r="N115" i="9"/>
  <c r="N113" i="9"/>
  <c r="X36" i="9" a="1"/>
  <c r="X36" i="9" s="1"/>
  <c r="AC36" i="9" s="1"/>
  <c r="AB34" i="9" a="1"/>
  <c r="AB34" i="9" s="1"/>
  <c r="AC34" i="9" s="1"/>
  <c r="N114" i="9"/>
  <c r="N111" i="9"/>
  <c r="G83" i="6"/>
  <c r="K6" i="6"/>
  <c r="C4" i="8" s="1"/>
  <c r="G35" i="2"/>
  <c r="H115" i="1" s="1"/>
  <c r="G31" i="2"/>
  <c r="H110" i="1" s="1"/>
  <c r="G13" i="2"/>
  <c r="H69" i="1" s="1"/>
  <c r="H34" i="2"/>
  <c r="I34" i="2" s="1"/>
  <c r="D34" i="2" s="1"/>
  <c r="G33" i="2"/>
  <c r="H124" i="1" s="1"/>
  <c r="G32" i="2"/>
  <c r="G27" i="2"/>
  <c r="F88" i="9"/>
  <c r="U9" i="9" s="1" a="1"/>
  <c r="U9" i="9" s="1"/>
  <c r="M75" i="9" a="1"/>
  <c r="M75" i="9" s="1"/>
  <c r="A10" i="20"/>
  <c r="A17" i="20"/>
  <c r="C94" i="9"/>
  <c r="R15" i="9" s="1" a="1"/>
  <c r="R15" i="9" s="1"/>
  <c r="J93" i="1" a="1"/>
  <c r="J93" i="1" s="1"/>
  <c r="J130" i="1" s="1" a="1"/>
  <c r="J130" i="1" s="1"/>
  <c r="I130" i="1" a="1"/>
  <c r="I130" i="1"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AD31" i="9" s="1"/>
  <c r="B28" i="20" s="1"/>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W10" i="9" s="1" a="1"/>
  <c r="W10" i="9" s="1"/>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Z15" i="9" s="1" a="1"/>
  <c r="Z15" i="9" s="1"/>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U23" i="9" s="1" a="1"/>
  <c r="U23" i="9" s="1"/>
  <c r="K63" i="9" a="1"/>
  <c r="K63" i="9" s="1"/>
  <c r="L102" i="9"/>
  <c r="AA23" i="9" s="1" a="1"/>
  <c r="AA23" i="9" s="1"/>
  <c r="J102" i="9"/>
  <c r="Y23" i="9" s="1" a="1"/>
  <c r="Y23" i="9" s="1"/>
  <c r="J59" i="9" a="1"/>
  <c r="J59" i="9" s="1"/>
  <c r="G61" i="9" a="1"/>
  <c r="G61" i="9" s="1"/>
  <c r="I109" i="9"/>
  <c r="X30" i="9" s="1" a="1"/>
  <c r="X30" i="9" s="1"/>
  <c r="G96" i="9"/>
  <c r="V17" i="9" s="1" a="1"/>
  <c r="V17" i="9" s="1"/>
  <c r="D89" i="9"/>
  <c r="S10" i="9" s="1" a="1"/>
  <c r="S10" i="9" s="1"/>
  <c r="I52" i="9" a="1"/>
  <c r="I52" i="9" s="1"/>
  <c r="J95" i="9"/>
  <c r="Y16" i="9" s="1" a="1"/>
  <c r="Y16" i="9" s="1"/>
  <c r="D108" i="9"/>
  <c r="S29" i="9" s="1" a="1"/>
  <c r="S29" i="9" s="1"/>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AA22" i="9" s="1" a="1"/>
  <c r="AA22" i="9" s="1"/>
  <c r="D98" i="9"/>
  <c r="S19" i="9" s="1" a="1"/>
  <c r="S19" i="9" s="1"/>
  <c r="F95" i="9"/>
  <c r="U16" i="9" s="1" a="1"/>
  <c r="U16"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K56" i="9" a="1"/>
  <c r="K56" i="9" s="1"/>
  <c r="B13" i="9"/>
  <c r="G103" i="9"/>
  <c r="V24" i="9" s="1" a="1"/>
  <c r="V24" i="9" s="1"/>
  <c r="G89" i="9"/>
  <c r="V10" i="9" s="1" a="1"/>
  <c r="V10" i="9" s="1"/>
  <c r="E85" i="9"/>
  <c r="T6" i="9" s="1" a="1"/>
  <c r="T6" i="9" s="1"/>
  <c r="B11" i="9"/>
  <c r="F94" i="9"/>
  <c r="U15" i="9" s="1" a="1"/>
  <c r="U15" i="9" s="1"/>
  <c r="D101" i="9"/>
  <c r="S22" i="9" s="1" a="1"/>
  <c r="S22" i="9" s="1"/>
  <c r="I94" i="9"/>
  <c r="X15" i="9" s="1" a="1"/>
  <c r="X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X7" i="9" s="1" a="1"/>
  <c r="X7" i="9" s="1"/>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X29" i="9" s="1" a="1"/>
  <c r="X29" i="9" s="1"/>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T31" i="9" s="1" a="1"/>
  <c r="T31" i="9" s="1"/>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T9" i="9" s="1" a="1"/>
  <c r="T9" i="9" s="1"/>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H65" i="9" a="1"/>
  <c r="H65" i="9" s="1"/>
  <c r="A28" i="20"/>
  <c r="A13" i="20"/>
  <c r="A16" i="20"/>
  <c r="O98" i="9"/>
  <c r="AD19" i="9" s="1"/>
  <c r="B16" i="20" s="1"/>
  <c r="K69" i="9" a="1"/>
  <c r="K69" i="9" s="1"/>
  <c r="A22" i="20"/>
  <c r="A3" i="20"/>
  <c r="G55" i="9" a="1"/>
  <c r="G55" i="9" s="1"/>
  <c r="N78" i="9"/>
  <c r="P78" i="9" s="1"/>
  <c r="G60" i="9" a="1"/>
  <c r="G60" i="9" s="1"/>
  <c r="AC32" i="9"/>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O65" i="9"/>
  <c r="B15" i="9"/>
  <c r="H74" i="9" a="1"/>
  <c r="H74" i="9" s="1"/>
  <c r="K99" i="9"/>
  <c r="Z20" i="9" s="1" a="1"/>
  <c r="Z20" i="9" s="1"/>
  <c r="F101" i="9"/>
  <c r="U22" i="9" s="1" a="1"/>
  <c r="U22" i="9" s="1"/>
  <c r="F103" i="9"/>
  <c r="U24" i="9" s="1" a="1"/>
  <c r="U24" i="9" s="1"/>
  <c r="U27" i="9" a="1"/>
  <c r="U27" i="9" s="1"/>
  <c r="B9" i="9"/>
  <c r="D93" i="9"/>
  <c r="S14" i="9" s="1" a="1"/>
  <c r="S14" i="9" s="1"/>
  <c r="A8" i="20"/>
  <c r="Q5" i="9"/>
  <c r="AC35" i="9"/>
  <c r="A20" i="20"/>
  <c r="J93" i="9"/>
  <c r="Y14" i="9" s="1" a="1"/>
  <c r="Y14" i="9" s="1"/>
  <c r="M90" i="9"/>
  <c r="AB11" i="9" s="1" a="1"/>
  <c r="AB11" i="9" s="1"/>
  <c r="E102" i="9"/>
  <c r="T23" i="9" s="1" a="1"/>
  <c r="T23" i="9" s="1"/>
  <c r="L94" i="9"/>
  <c r="AA15" i="9" s="1" a="1"/>
  <c r="AA15" i="9" s="1"/>
  <c r="J67" i="9" a="1"/>
  <c r="J67" i="9" s="1"/>
  <c r="M96" i="9"/>
  <c r="AB17" i="9" s="1" a="1"/>
  <c r="AB17" i="9" s="1"/>
  <c r="H85" i="9"/>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G22" i="2"/>
  <c r="G12" i="2"/>
  <c r="G6" i="2"/>
  <c r="G17" i="2"/>
  <c r="G29" i="2"/>
  <c r="G11" i="2"/>
  <c r="G15" i="2"/>
  <c r="G8" i="2"/>
  <c r="G9" i="2"/>
  <c r="G30" i="2"/>
  <c r="H108" i="1" s="1"/>
  <c r="G19" i="2"/>
  <c r="G25" i="2"/>
  <c r="G24" i="2"/>
  <c r="H20" i="2"/>
  <c r="I20" i="2" s="1"/>
  <c r="D20" i="2" s="1"/>
  <c r="G26" i="2"/>
  <c r="H19" i="2"/>
  <c r="I19" i="2" s="1"/>
  <c r="D19" i="2" s="1"/>
  <c r="G16" i="2"/>
  <c r="G18" i="2"/>
  <c r="G23" i="2"/>
  <c r="G14" i="2"/>
  <c r="H75" i="1" s="1"/>
  <c r="H30" i="2"/>
  <c r="I30" i="2" s="1"/>
  <c r="D30" i="2" s="1"/>
  <c r="G10" i="2"/>
  <c r="H15" i="2"/>
  <c r="I15" i="2" s="1"/>
  <c r="D15" i="2" s="1"/>
  <c r="G21" i="2"/>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C305" i="17"/>
  <c r="K4" i="17" s="1"/>
  <c r="C16" i="10"/>
  <c r="G14" i="15"/>
  <c r="E38" i="18"/>
  <c r="J37" i="14"/>
  <c r="C12" i="8" s="1"/>
  <c r="D38" i="14"/>
  <c r="C10" i="8" s="1"/>
  <c r="C43" i="12"/>
  <c r="I37" i="12"/>
  <c r="D38" i="18"/>
  <c r="C11" i="8" s="1"/>
  <c r="I83" i="6"/>
  <c r="H16" i="7"/>
  <c r="M74" i="9" a="1"/>
  <c r="M74" i="9" s="1"/>
  <c r="G51" i="9" a="1"/>
  <c r="G51" i="9" s="1"/>
  <c r="G68" i="9" a="1"/>
  <c r="G68" i="9" s="1"/>
  <c r="H51" i="9" a="1"/>
  <c r="H51" i="9" s="1"/>
  <c r="G56" i="9" a="1"/>
  <c r="G56" i="9" s="1"/>
  <c r="H50" i="9" a="1"/>
  <c r="H50" i="9" s="1"/>
  <c r="G59" i="9" a="1"/>
  <c r="G59" i="9" s="1"/>
  <c r="AC33" i="9"/>
  <c r="G69" i="9" a="1"/>
  <c r="G69" i="9" s="1"/>
  <c r="N79" i="9"/>
  <c r="D2" i="2"/>
  <c r="E5" i="8" l="1"/>
  <c r="E13" i="8"/>
  <c r="H74" i="1"/>
  <c r="H127" i="1"/>
  <c r="H128" i="1"/>
  <c r="H77" i="1"/>
  <c r="K130" i="1"/>
  <c r="H97" i="1"/>
  <c r="H81" i="1"/>
  <c r="H94" i="1"/>
  <c r="H86" i="1"/>
  <c r="H99" i="1"/>
  <c r="H79" i="1"/>
  <c r="H111" i="1"/>
  <c r="H114" i="1"/>
  <c r="H91" i="1"/>
  <c r="H112" i="1"/>
  <c r="H116" i="1"/>
  <c r="AD34" i="9"/>
  <c r="AE34" i="9" s="1"/>
  <c r="H101" i="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P102" i="9" s="1"/>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305" i="17"/>
  <c r="F305" i="17" s="1"/>
  <c r="P114" i="9"/>
  <c r="P111" i="9"/>
  <c r="AD15" i="9"/>
  <c r="B12" i="20" s="1"/>
  <c r="AD27" i="9"/>
  <c r="B24" i="20" s="1"/>
  <c r="AD14" i="9"/>
  <c r="AE33" i="9"/>
  <c r="AD29" i="9"/>
  <c r="AD12" i="9"/>
  <c r="B9" i="20" s="1"/>
  <c r="AD36" i="9"/>
  <c r="P115" i="9"/>
  <c r="AD24" i="9"/>
  <c r="B21" i="20" s="1"/>
  <c r="AD21" i="9"/>
  <c r="B18" i="20" s="1"/>
  <c r="AD30" i="9"/>
  <c r="B27" i="20" s="1"/>
  <c r="F38" i="18"/>
  <c r="E11" i="8"/>
  <c r="C14" i="8"/>
  <c r="C4" i="10" s="1"/>
  <c r="C15" i="10" s="1"/>
  <c r="C17" i="10" s="1"/>
  <c r="AC7" i="9"/>
  <c r="AE7" i="9" s="1"/>
  <c r="C4" i="20" s="1"/>
  <c r="E14" i="8" l="1"/>
  <c r="N84" i="9"/>
  <c r="P84" i="9" s="1"/>
  <c r="E14" i="19"/>
  <c r="AC5" i="9"/>
  <c r="AE5" i="9" s="1"/>
  <c r="C2" i="20" s="1"/>
  <c r="E12" i="19"/>
  <c r="N49" i="9"/>
  <c r="P49" i="9" s="1"/>
  <c r="E2" i="9"/>
  <c r="C2"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C21" i="9" l="1"/>
  <c r="E16" i="19"/>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<sst xmlns="http://schemas.openxmlformats.org/spreadsheetml/2006/main" count="1810" uniqueCount="409">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</sst>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0" fontId="0" fillId="0" borderId="0" xfId="0" applyNumberFormat="1"/>
  </cellXfs>
  <cellStyles count="2">
    <cellStyle name="Comma" xfId="1" builtinId="3"/>
    <cellStyle name="Normal" xfId="0" builtinId="0"/>
  </cellStyles>
  <dxfs count="151">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165" formatCode="_-* #,##0.0_-;\-* #,##0.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107</xdr:row>
      <xdr:rowOff>59124</xdr:rowOff>
    </xdr:from>
    <xdr:to>
      <xdr:col>11</xdr:col>
      <xdr:colOff>66829</xdr:colOff>
      <xdr:row>120</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126758564817" createdVersion="8" refreshedVersion="8" minRefreshableVersion="3" recordCount="128" xr:uid="{46CBB50D-3613-4E5B-8212-DD0313DCD05A}">
  <cacheSource type="worksheet">
    <worksheetSource name="Table1"/>
  </cacheSource>
  <cacheFields count="14">
    <cacheField name="Date" numFmtId="0">
      <sharedItems containsSemiMixedTypes="0" containsNonDate="0" containsDate="1" containsString="0" minDate="2025-11-18T00:00:00" maxDate="2026-01-06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24"/>
    </cacheField>
    <cacheField name="Quality" numFmtId="0">
      <sharedItems/>
    </cacheField>
    <cacheField name="Shipment Number" numFmtId="164">
      <sharedItems containsBlank="1" containsMixedTypes="1" containsNumber="1" containsInteger="1" minValue="1558" maxValue="17000" count="361">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0.1052719730907512" maxValue="86.372725777835356"/>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1267591435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12675949074" createdVersion="8" refreshedVersion="8" minRefreshableVersion="3" recordCount="8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6">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126759722225"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4T00:00:00" count="60">
        <d v="2025-12-17T00:00:00"/>
        <d v="2025-12-18T00:00:00"/>
        <d v="2025-12-22T00:00:00"/>
        <d v="2025-12-26T00:00:00"/>
        <d v="2025-12-25T00:00:00"/>
        <d v="2025-12-27T00:00:00"/>
        <d v="2025-12-29T00:00:00"/>
        <d v="2026-01-02T00:00:00"/>
        <d v="2026-01-03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700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07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12676006944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55679.29992684716"/>
    </cacheField>
    <cacheField name="Rate" numFmtId="0">
      <sharedItems containsString="0" containsBlank="1" containsNumber="1" minValue="10" maxValue="12"/>
    </cacheField>
    <cacheField name="Total" numFmtId="164">
      <sharedItems containsSemiMixedTypes="0" containsString="0" containsNumber="1" minValue="0" maxValue="3203438.1858083396"/>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126760300926" createdVersion="8" refreshedVersion="8" minRefreshableVersion="3" recordCount="303"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61388"/>
    <n v="8547"/>
    <n v="30.424139948289138"/>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61388"/>
    <n v="37510"/>
    <n v="30.424139948289138"/>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27.456463976391206"/>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61388"/>
    <n v="652"/>
    <n v="30.424139948289138"/>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24735"/>
    <n v="41.003999423312742"/>
    <n v="22617.95903438186"/>
    <n v="226179.59034381859"/>
    <m/>
  </r>
  <r>
    <d v="2026-01-05T00:00:00"/>
    <x v="2"/>
    <n v="1323"/>
    <s v="Chamki"/>
    <x v="40"/>
    <n v="51009"/>
    <n v="8175"/>
    <n v="41.003999423312742"/>
    <n v="7475.3108997805421"/>
    <n v="74753.108997805422"/>
    <m/>
  </r>
  <r>
    <d v="2026-01-05T00:00:00"/>
    <x v="10"/>
    <n v="1324"/>
    <s v="Chamki"/>
    <x v="41"/>
    <n v="25470"/>
    <n v="13785"/>
    <n v="50.509786891588107"/>
    <n v="12605.15727871251"/>
    <n v="126051.572787125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m/>
    <m/>
    <m/>
    <m/>
    <x v="5"/>
    <n v="0"/>
    <n v="0"/>
    <m/>
  </r>
  <r>
    <x v="9"/>
    <m/>
    <m/>
    <m/>
    <m/>
    <x v="5"/>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55679.29992684716"/>
    <n v="10"/>
    <n v="3203438.1858083396"/>
  </r>
  <r>
    <x v="1"/>
    <n v="34084.674469641555"/>
    <n v="10"/>
    <n v="409016.09363569866"/>
  </r>
  <r>
    <x v="2"/>
    <n v="96228.968544257514"/>
    <n v="10"/>
    <n v="987944.40380395029"/>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89813.460131675209"/>
    <m/>
    <n v="898134.60131675215"/>
  </r>
  <r>
    <x v="11"/>
    <n v="125616.31309436724"/>
    <m/>
    <n v="791980.614484272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5T00:00:00"/>
    <x v="3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0">
      <pivotArea field="0" grandRow="1" outline="0" collapsedLevelsAreSubtotals="1" axis="axisRow" fieldPosition="0">
        <references count="1">
          <reference field="4294967294" count="1" selected="0">
            <x v="1"/>
          </reference>
        </references>
      </pivotArea>
    </format>
    <format dxfId="149">
      <pivotArea field="0" grandRow="1" outline="0" collapsedLevelsAreSubtotals="1" axis="axisRow" fieldPosition="0">
        <references count="1">
          <reference field="4294967294" count="1" selected="0">
            <x v="0"/>
          </reference>
        </references>
      </pivotArea>
    </format>
    <format dxfId="148">
      <pivotArea collapsedLevelsAreSubtotals="1" fieldPosition="0">
        <references count="2">
          <reference field="4294967294" count="1" selected="0">
            <x v="1"/>
          </reference>
          <reference field="0" count="0"/>
        </references>
      </pivotArea>
    </format>
    <format dxfId="14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6" firstHeaderRow="0" firstDataRow="1" firstDataCol="1" rowPageCount="1" colPageCount="1"/>
  <pivotFields count="9">
    <pivotField axis="axisRow" numFmtId="14" showAll="0">
      <items count="157">
        <item m="1" x="140"/>
        <item m="1" x="141"/>
        <item m="1" x="142"/>
        <item m="1" x="143"/>
        <item m="1" x="144"/>
        <item m="1" x="145"/>
        <item m="1" x="146"/>
        <item m="1" x="155"/>
        <item m="1" x="136"/>
        <item m="1" x="147"/>
        <item m="1" x="148"/>
        <item m="1" x="149"/>
        <item m="1" x="150"/>
        <item m="1" x="151"/>
        <item m="1" x="152"/>
        <item m="1" x="153"/>
        <item m="1" x="107"/>
        <item m="1" x="108"/>
        <item m="1" x="154"/>
        <item m="1" x="109"/>
        <item m="1" x="106"/>
        <item m="1" x="110"/>
        <item m="1" x="112"/>
        <item m="1" x="113"/>
        <item m="1" x="114"/>
        <item m="1" x="116"/>
        <item m="1" x="117"/>
        <item m="1" x="118"/>
        <item m="1" x="111"/>
        <item m="1" x="115"/>
        <item m="1" x="119"/>
        <item m="1" x="120"/>
        <item m="1" x="121"/>
        <item m="1" x="122"/>
        <item m="1" x="105"/>
        <item m="1" x="123"/>
        <item m="1" x="137"/>
        <item m="1" x="138"/>
        <item m="1" x="139"/>
        <item m="1" x="124"/>
        <item m="1" x="125"/>
        <item m="1" x="126"/>
        <item m="1" x="127"/>
        <item m="1" x="128"/>
        <item m="1" x="129"/>
        <item m="1" x="130"/>
        <item m="1" x="131"/>
        <item m="1" x="132"/>
        <item m="1" x="133"/>
        <item m="1" x="134"/>
        <item m="1" x="135"/>
        <item m="1" x="76"/>
        <item m="1" x="77"/>
        <item m="1" x="78"/>
        <item m="1" x="79"/>
        <item m="1" x="80"/>
        <item m="1" x="81"/>
        <item m="1" x="82"/>
        <item m="1" x="83"/>
        <item m="1" x="85"/>
        <item m="1" x="86"/>
        <item m="1" x="87"/>
        <item m="1" x="84"/>
        <item m="1" x="88"/>
        <item m="1" x="89"/>
        <item m="1" x="90"/>
        <item m="1" x="91"/>
        <item m="1" x="92"/>
        <item m="1" x="93"/>
        <item m="1" x="94"/>
        <item m="1" x="95"/>
        <item m="1" x="96"/>
        <item m="1" x="97"/>
        <item m="1" x="98"/>
        <item m="1" x="99"/>
        <item m="1" x="100"/>
        <item m="1" x="101"/>
        <item m="1" x="102"/>
        <item m="1" x="103"/>
        <item m="1" x="104"/>
        <item m="1" x="22"/>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23"/>
        <item m="1" x="26"/>
        <item m="1" x="24"/>
        <item m="1" x="25"/>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x="0"/>
        <item x="1"/>
        <item x="2"/>
        <item x="3"/>
        <item x="4"/>
        <item x="5"/>
        <item x="6"/>
        <item x="7"/>
        <item x="9"/>
        <item x="8"/>
        <item x="10"/>
        <item x="11"/>
        <item x="13"/>
        <item x="14"/>
        <item x="15"/>
        <item x="12"/>
        <item x="16"/>
        <item x="17"/>
        <item x="18"/>
        <item x="19"/>
        <item x="20"/>
        <item x="21"/>
        <item t="default"/>
      </items>
    </pivotField>
    <pivotField axis="axisPage" showAll="0">
      <items count="13">
        <item x="1"/>
        <item x="0"/>
        <item x="9"/>
        <item m="1" x="11"/>
        <item x="2"/>
        <item x="3"/>
        <item x="4"/>
        <item m="1" x="10"/>
        <item x="5"/>
        <item x="6"/>
        <item x="7"/>
        <item x="8"/>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8">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4">
      <pivotArea dataOnly="0" labelOnly="1" outline="0" fieldPosition="0">
        <references count="1">
          <reference field="1" count="1">
            <x v="1"/>
          </reference>
        </references>
      </pivotArea>
    </format>
    <format dxfId="12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79">
        <item x="15"/>
        <item x="19"/>
        <item m="1" x="37"/>
        <item m="1" x="64"/>
        <item m="1" x="68"/>
        <item m="1" x="38"/>
        <item x="5"/>
        <item x="16"/>
        <item x="9"/>
        <item x="26"/>
        <item x="4"/>
        <item m="1" x="76"/>
        <item x="29"/>
        <item x="17"/>
        <item x="24"/>
        <item m="1" x="74"/>
        <item x="2"/>
        <item x="31"/>
        <item x="1"/>
        <item x="28"/>
        <item x="34"/>
        <item x="22"/>
        <item m="1" x="77"/>
        <item x="30"/>
        <item x="8"/>
        <item m="1" x="75"/>
        <item m="1" x="67"/>
        <item m="1" x="46"/>
        <item m="1" x="69"/>
        <item m="1" x="70"/>
        <item m="1" x="71"/>
        <item m="1" x="72"/>
        <item m="1" x="49"/>
        <item m="1" x="73"/>
        <item x="32"/>
        <item x="12"/>
        <item m="1" x="56"/>
        <item x="14"/>
        <item m="1" x="63"/>
        <item m="1" x="59"/>
        <item x="23"/>
        <item x="13"/>
        <item m="1" x="45"/>
        <item m="1" x="65"/>
        <item x="6"/>
        <item m="1" x="66"/>
        <item m="1" x="53"/>
        <item m="1" x="42"/>
        <item x="7"/>
        <item m="1" x="54"/>
        <item m="1" x="55"/>
        <item m="1" x="57"/>
        <item m="1" x="58"/>
        <item m="1" x="60"/>
        <item x="33"/>
        <item m="1" x="39"/>
        <item m="1" x="61"/>
        <item m="1" x="62"/>
        <item m="1" x="36"/>
        <item m="1" x="41"/>
        <item m="1" x="35"/>
        <item x="18"/>
        <item m="1" x="40"/>
        <item m="1" x="43"/>
        <item m="1" x="52"/>
        <item x="3"/>
        <item m="1" x="47"/>
        <item m="1" x="48"/>
        <item x="21"/>
        <item m="1" x="44"/>
        <item x="10"/>
        <item m="1" x="50"/>
        <item x="11"/>
        <item m="1" x="51"/>
        <item x="0"/>
        <item x="20"/>
        <item x="25"/>
        <item x="27"/>
        <item t="default"/>
      </items>
    </pivotField>
    <pivotField dataField="1" showAll="0"/>
    <pivotField dataField="1" showAll="0"/>
    <pivotField showAll="0"/>
    <pivotField showAll="0"/>
    <pivotField showAll="0"/>
  </pivotFields>
  <rowFields count="1">
    <field x="1"/>
  </rowFields>
  <rowItems count="36">
    <i>
      <x/>
    </i>
    <i>
      <x v="1"/>
    </i>
    <i>
      <x v="6"/>
    </i>
    <i>
      <x v="7"/>
    </i>
    <i>
      <x v="8"/>
    </i>
    <i>
      <x v="9"/>
    </i>
    <i>
      <x v="10"/>
    </i>
    <i>
      <x v="12"/>
    </i>
    <i>
      <x v="13"/>
    </i>
    <i>
      <x v="14"/>
    </i>
    <i>
      <x v="16"/>
    </i>
    <i>
      <x v="17"/>
    </i>
    <i>
      <x v="18"/>
    </i>
    <i>
      <x v="19"/>
    </i>
    <i>
      <x v="20"/>
    </i>
    <i>
      <x v="21"/>
    </i>
    <i>
      <x v="23"/>
    </i>
    <i>
      <x v="24"/>
    </i>
    <i>
      <x v="34"/>
    </i>
    <i>
      <x v="35"/>
    </i>
    <i>
      <x v="37"/>
    </i>
    <i>
      <x v="40"/>
    </i>
    <i>
      <x v="41"/>
    </i>
    <i>
      <x v="44"/>
    </i>
    <i>
      <x v="48"/>
    </i>
    <i>
      <x v="54"/>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10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61">
        <item m="1" x="55"/>
        <item m="1" x="56"/>
        <item m="1" x="57"/>
        <item m="1" x="58"/>
        <item m="1" x="59"/>
        <item m="1" x="54"/>
        <item m="1" x="42"/>
        <item m="1" x="43"/>
        <item m="1" x="47"/>
        <item m="1" x="48"/>
        <item m="1" x="44"/>
        <item m="1" x="49"/>
        <item m="1" x="50"/>
        <item m="1" x="51"/>
        <item m="1" x="52"/>
        <item m="1" x="53"/>
        <item m="1" x="41"/>
        <item m="1" x="45"/>
        <item m="1" x="46"/>
        <item m="1" x="34"/>
        <item m="1" x="35"/>
        <item m="1" x="36"/>
        <item m="1" x="37"/>
        <item m="1" x="38"/>
        <item m="1" x="39"/>
        <item m="1" x="40"/>
        <item m="1" x="10"/>
        <item m="1" x="26"/>
        <item m="1" x="27"/>
        <item m="1" x="28"/>
        <item m="1" x="29"/>
        <item m="1" x="30"/>
        <item m="1" x="31"/>
        <item m="1" x="32"/>
        <item m="1" x="33"/>
        <item m="1" x="11"/>
        <item m="1" x="12"/>
        <item m="1" x="13"/>
        <item m="1" x="14"/>
        <item m="1" x="15"/>
        <item m="1" x="16"/>
        <item m="1" x="17"/>
        <item m="1" x="19"/>
        <item m="1" x="20"/>
        <item m="1" x="18"/>
        <item m="1" x="21"/>
        <item m="1" x="22"/>
        <item m="1" x="23"/>
        <item m="1" x="24"/>
        <item m="1" x="25"/>
        <item x="0"/>
        <item x="1"/>
        <item x="2"/>
        <item x="3"/>
        <item x="4"/>
        <item x="5"/>
        <item x="6"/>
        <item x="7"/>
        <item x="8"/>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1">
    <i>
      <x v="50"/>
    </i>
    <i>
      <x v="51"/>
    </i>
    <i>
      <x v="52"/>
    </i>
    <i>
      <x v="53"/>
    </i>
    <i>
      <x v="54"/>
    </i>
    <i>
      <x v="55"/>
    </i>
    <i>
      <x v="56"/>
    </i>
    <i>
      <x v="57"/>
    </i>
    <i>
      <x v="58"/>
    </i>
    <i>
      <x v="5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6"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2">
        <item m="1" x="344"/>
        <item m="1" x="345"/>
        <item m="1" x="343"/>
        <item m="1" x="342"/>
        <item m="1" x="346"/>
        <item m="1" x="348"/>
        <item m="1" x="347"/>
        <item m="1" x="349"/>
        <item m="1" x="350"/>
        <item m="1" x="351"/>
        <item m="1" x="352"/>
        <item m="1" x="353"/>
        <item m="1" x="354"/>
        <item m="1" x="355"/>
        <item m="1" x="280"/>
        <item m="1" x="302"/>
        <item m="1" x="356"/>
        <item m="1" x="357"/>
        <item m="1" x="358"/>
        <item m="1" x="310"/>
        <item m="1" x="309"/>
        <item m="1" x="359"/>
        <item m="1" x="360"/>
        <item m="1" x="319"/>
        <item m="1" x="311"/>
        <item m="1" x="312"/>
        <item m="1" x="313"/>
        <item m="1" x="314"/>
        <item m="1" x="315"/>
        <item m="1" x="316"/>
        <item m="1" x="317"/>
        <item m="1" x="318"/>
        <item m="1" x="320"/>
        <item m="1" x="340"/>
        <item m="1" x="321"/>
        <item m="1" x="341"/>
        <item m="1" x="322"/>
        <item m="1" x="323"/>
        <item m="1" x="324"/>
        <item m="1" x="325"/>
        <item m="1" x="326"/>
        <item m="1" x="257"/>
        <item m="1" x="327"/>
        <item m="1" x="328"/>
        <item m="1" x="329"/>
        <item m="1" x="330"/>
        <item m="1" x="331"/>
        <item m="1" x="332"/>
        <item m="1" x="333"/>
        <item m="1" x="334"/>
        <item m="1" x="335"/>
        <item m="1" x="336"/>
        <item m="1" x="337"/>
        <item m="1" x="338"/>
        <item m="1" x="339"/>
        <item x="0"/>
        <item m="1" x="256"/>
        <item m="1" x="258"/>
        <item m="1" x="259"/>
        <item m="1" x="260"/>
        <item m="1" x="261"/>
        <item m="1" x="262"/>
        <item m="1" x="263"/>
        <item m="1" x="264"/>
        <item m="1" x="265"/>
        <item m="1" x="266"/>
        <item m="1" x="267"/>
        <item m="1" x="268"/>
        <item m="1" x="269"/>
        <item m="1" x="270"/>
        <item x="6"/>
        <item m="1" x="271"/>
        <item m="1" x="272"/>
        <item m="1" x="273"/>
        <item m="1" x="274"/>
        <item m="1" x="275"/>
        <item m="1" x="276"/>
        <item m="1" x="277"/>
        <item m="1" x="278"/>
        <item m="1" x="279"/>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3"/>
        <item m="1" x="304"/>
        <item m="1" x="305"/>
        <item m="1" x="306"/>
        <item m="1" x="307"/>
        <item m="1" x="308"/>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24"/>
        <item m="1" x="225"/>
        <item m="1" x="226"/>
        <item m="1" x="227"/>
        <item m="1" x="228"/>
        <item m="1" x="229"/>
        <item m="1" x="230"/>
        <item m="1" x="231"/>
        <item m="1" x="232"/>
        <item m="1" x="233"/>
        <item m="1" x="234"/>
        <item m="1" x="235"/>
        <item m="1" x="255"/>
        <item m="1" x="236"/>
        <item m="1" x="237"/>
        <item m="1" x="238"/>
        <item m="1" x="239"/>
        <item m="1" x="240"/>
        <item m="1" x="241"/>
        <item m="1" x="242"/>
        <item m="1" x="243"/>
        <item m="1" x="244"/>
        <item m="1" x="245"/>
        <item m="1" x="246"/>
        <item m="1" x="247"/>
        <item m="1" x="248"/>
        <item m="1" x="249"/>
        <item m="1" x="250"/>
        <item m="1" x="251"/>
        <item m="1" x="252"/>
        <item m="1" x="253"/>
        <item m="1" x="254"/>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51"/>
        <item m="1" x="174"/>
        <item m="1" x="42"/>
        <item m="1" x="43"/>
        <item m="1" x="44"/>
        <item m="1" x="45"/>
        <item m="1" x="46"/>
        <item m="1" x="47"/>
        <item m="1" x="48"/>
        <item m="1" x="49"/>
        <item m="1" x="50"/>
        <item m="1" x="52"/>
        <item m="1" x="53"/>
        <item m="1" x="54"/>
        <item m="1" x="55"/>
        <item m="1" x="56"/>
        <item m="1" x="57"/>
        <item m="1" x="58"/>
        <item m="1" x="59"/>
        <item m="1" x="60"/>
        <item m="1" x="61"/>
        <item m="1" x="62"/>
        <item m="1" x="63"/>
        <item m="1" x="64"/>
        <item m="1" x="65"/>
        <item x="3"/>
        <item m="1" x="66"/>
        <item m="1" x="67"/>
        <item m="1" x="68"/>
        <item m="1" x="69"/>
        <item m="1" x="70"/>
        <item m="1" x="71"/>
        <item m="1" x="72"/>
        <item m="1" x="73"/>
        <item m="1" x="74"/>
        <item m="1" x="75"/>
        <item m="1" x="76"/>
        <item m="1" x="77"/>
        <item m="1" x="78"/>
        <item m="1" x="79"/>
        <item m="1" x="80"/>
        <item m="1" x="81"/>
        <item m="1" x="82"/>
        <item m="1" x="83"/>
        <item m="1" x="84"/>
        <item m="1" x="85"/>
        <item m="1" x="86"/>
        <item m="1" x="87"/>
        <item x="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x="4"/>
        <item m="1" x="117"/>
        <item m="1" x="118"/>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3">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7">
      <pivotArea type="all" dataOnly="0" outline="0" fieldPosition="0"/>
    </format>
    <format dxfId="56">
      <pivotArea outline="0" collapsedLevelsAreSubtotals="1" fieldPosition="0"/>
    </format>
    <format dxfId="55">
      <pivotArea field="4" type="button" dataOnly="0" labelOnly="1" outline="0" axis="axisRow" fieldPosition="0"/>
    </format>
    <format dxfId="54">
      <pivotArea dataOnly="0" labelOnly="1" fieldPosition="0">
        <references count="1">
          <reference field="4" count="0"/>
        </references>
      </pivotArea>
    </format>
    <format dxfId="53">
      <pivotArea dataOnly="0" labelOnly="1" grandRow="1" outline="0" fieldPosition="0"/>
    </format>
    <format dxfId="52">
      <pivotArea dataOnly="0" labelOnly="1" outline="0" fieldPosition="0">
        <references count="1">
          <reference field="4294967294" count="2">
            <x v="0"/>
            <x v="1"/>
          </reference>
        </references>
      </pivotArea>
    </format>
    <format dxfId="51">
      <pivotArea grandRow="1" outline="0" collapsedLevelsAreSubtotals="1" fieldPosition="0"/>
    </format>
    <format dxfId="50">
      <pivotArea field="4" type="button" dataOnly="0" labelOnly="1" outline="0" axis="axisRow" fieldPosition="0"/>
    </format>
    <format dxfId="4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1">
        <i x="6" s="1"/>
        <i x="27" s="1"/>
        <i x="22" s="1"/>
        <i x="5" s="1"/>
        <i x="4" s="1"/>
        <i x="3" s="1"/>
        <i x="23" s="1"/>
        <i x="16" s="1"/>
        <i x="15" s="1"/>
        <i x="2" s="1"/>
        <i x="14" s="1"/>
        <i x="7" s="1"/>
        <i x="1" s="1"/>
        <i x="10" s="1"/>
        <i x="9" s="1"/>
        <i x="39" s="1"/>
        <i x="13" s="1"/>
        <i x="11" s="1"/>
        <i x="18" s="1"/>
        <i x="19" s="1"/>
        <i x="17" s="1"/>
        <i x="12" s="1"/>
        <i x="8" s="1"/>
        <i x="29" s="1"/>
        <i x="28" s="1"/>
        <i x="41" s="1"/>
        <i x="26" s="1"/>
        <i x="21" s="1"/>
        <i x="25" s="1"/>
        <i x="40" s="1"/>
        <i x="24" s="1"/>
        <i x="30" s="1"/>
        <i x="35" s="1"/>
        <i x="32" s="1"/>
        <i x="33" s="1"/>
        <i x="34" s="1"/>
        <i x="38" s="1"/>
        <i x="36" s="1"/>
        <i x="37" s="1"/>
        <i x="31" s="1"/>
        <i x="20" s="1"/>
        <i x="315" s="1" nd="1"/>
        <i x="344" s="1" nd="1"/>
        <i x="345" s="1" nd="1"/>
        <i x="353" s="1" nd="1"/>
        <i x="343" s="1" nd="1"/>
        <i x="342" s="1" nd="1"/>
        <i x="346" s="1" nd="1"/>
        <i x="357" s="1" nd="1"/>
        <i x="349" s="1" nd="1"/>
        <i x="350" s="1" nd="1"/>
        <i x="347" s="1" nd="1"/>
        <i x="348" s="1" nd="1"/>
        <i x="358" s="1" nd="1"/>
        <i x="351" s="1" nd="1"/>
        <i x="352" s="1" nd="1"/>
        <i x="355" s="1" nd="1"/>
        <i x="356" s="1" nd="1"/>
        <i x="354" s="1" nd="1"/>
        <i x="310" s="1" nd="1"/>
        <i x="360" s="1" nd="1"/>
        <i x="309" s="1" nd="1"/>
        <i x="359" s="1" nd="1"/>
        <i x="312" s="1" nd="1"/>
        <i x="273" s="1" nd="1"/>
        <i x="311" s="1" nd="1"/>
        <i x="313" s="1" nd="1"/>
        <i x="319" s="1" nd="1"/>
        <i x="314" s="1" nd="1"/>
        <i x="316" s="1" nd="1"/>
        <i x="332" s="1" nd="1"/>
        <i x="256" s="1" nd="1"/>
        <i x="320" s="1" nd="1"/>
        <i x="261" s="1" nd="1"/>
        <i x="326" s="1" nd="1"/>
        <i x="321" s="1" nd="1"/>
        <i x="324" s="1" nd="1"/>
        <i x="329" s="1" nd="1"/>
        <i x="340" s="1" nd="1"/>
        <i x="322" s="1" nd="1"/>
        <i x="334" s="1" nd="1"/>
        <i x="337" s="1" nd="1"/>
        <i x="328" s="1" nd="1"/>
        <i x="317" s="1" nd="1"/>
        <i x="325" s="1" nd="1"/>
        <i x="318" s="1" nd="1"/>
        <i x="323" s="1" nd="1"/>
        <i x="257" s="1" nd="1"/>
        <i x="327" s="1" nd="1"/>
        <i x="333" s="1" nd="1"/>
        <i x="330" s="1" nd="1"/>
        <i x="335" s="1" nd="1"/>
        <i x="331" s="1" nd="1"/>
        <i x="297" s="1" nd="1"/>
        <i x="336" s="1" nd="1"/>
        <i x="338" s="1" nd="1"/>
        <i x="259" s="1" nd="1"/>
        <i x="266" s="1" nd="1"/>
        <i x="339" s="1" nd="1"/>
        <i x="263" s="1" nd="1"/>
        <i x="264" s="1" nd="1"/>
        <i x="258" s="1" nd="1"/>
        <i x="262" s="1" nd="1"/>
        <i x="150" s="1" nd="1"/>
        <i x="260" s="1" nd="1"/>
        <i x="269" s="1" nd="1"/>
        <i x="265" s="1" nd="1"/>
        <i x="267" s="1" nd="1"/>
        <i x="270" s="1" nd="1"/>
        <i x="277" s="1" nd="1"/>
        <i x="268" s="1" nd="1"/>
        <i x="276" s="1" nd="1"/>
        <i x="281" s="1" nd="1"/>
        <i x="275" s="1" nd="1"/>
        <i x="278" s="1" nd="1"/>
        <i x="288" s="1" nd="1"/>
        <i x="274" s="1" nd="1"/>
        <i x="271" s="1" nd="1"/>
        <i x="272" s="1" nd="1"/>
        <i x="287" s="1" nd="1"/>
        <i x="146" s="1" nd="1"/>
        <i x="280" s="1" nd="1"/>
        <i x="291" s="1" nd="1"/>
        <i x="286" s="1" nd="1"/>
        <i x="279" s="1" nd="1"/>
        <i x="303" s="1" nd="1"/>
        <i x="284" s="1" nd="1"/>
        <i x="294" s="1" nd="1"/>
        <i x="292" s="1" nd="1"/>
        <i x="282" s="1" nd="1"/>
        <i x="290" s="1" nd="1"/>
        <i x="289" s="1" nd="1"/>
        <i x="285" s="1" nd="1"/>
        <i x="295" s="1" nd="1"/>
        <i x="293" s="1" nd="1"/>
        <i x="296" s="1" nd="1"/>
        <i x="283" s="1" nd="1"/>
        <i x="225" s="1" nd="1"/>
        <i x="298" s="1" nd="1"/>
        <i x="299" s="1" nd="1"/>
        <i x="184" s="1" nd="1"/>
        <i x="186" s="1" nd="1"/>
        <i x="306" s="1" nd="1"/>
        <i x="180" s="1" nd="1"/>
        <i x="226" s="1" nd="1"/>
        <i x="300" s="1" nd="1"/>
        <i x="301" s="1" nd="1"/>
        <i x="183" s="1" nd="1"/>
        <i x="308" s="1" nd="1"/>
        <i x="182" s="1" nd="1"/>
        <i x="197" s="1" nd="1"/>
        <i x="307" s="1" nd="1"/>
        <i x="302" s="1" nd="1"/>
        <i x="201" s="1" nd="1"/>
        <i x="305" s="1" nd="1"/>
        <i x="304" s="1" nd="1"/>
        <i x="222" s="1" nd="1"/>
        <i x="175" s="1" nd="1"/>
        <i x="187" s="1" nd="1"/>
        <i x="223" s="1" nd="1"/>
        <i x="221" s="1" nd="1"/>
        <i x="179" s="1" nd="1"/>
        <i x="181" s="1" nd="1"/>
        <i x="185" s="1" nd="1"/>
        <i x="176" s="1" nd="1"/>
        <i x="211" s="1" nd="1"/>
        <i x="216" s="1" nd="1"/>
        <i x="177" s="1" nd="1"/>
        <i x="178" s="1" nd="1"/>
        <i x="188" s="1" nd="1"/>
        <i x="191" s="1" nd="1"/>
        <i x="198" s="1" nd="1"/>
        <i x="190" s="1" nd="1"/>
        <i x="193" s="1" nd="1"/>
        <i x="192" s="1" nd="1"/>
        <i x="234" s="1" nd="1"/>
        <i x="189" s="1" nd="1"/>
        <i x="214" s="1" nd="1"/>
        <i x="229" s="1" nd="1"/>
        <i x="194" s="1" nd="1"/>
        <i x="219" s="1" nd="1"/>
        <i x="231" s="1" nd="1"/>
        <i x="203" s="1" nd="1"/>
        <i x="243" s="1" nd="1"/>
        <i x="202" s="1" nd="1"/>
        <i x="199" s="1" nd="1"/>
        <i x="195" s="1" nd="1"/>
        <i x="196" s="1" nd="1"/>
        <i x="215" s="1" nd="1"/>
        <i x="204" s="1" nd="1"/>
        <i x="127" s="1" nd="1"/>
        <i x="205" s="1" nd="1"/>
        <i x="200" s="1" nd="1"/>
        <i x="207" s="1" nd="1"/>
        <i x="208" s="1" nd="1"/>
        <i x="236" s="1" nd="1"/>
        <i x="206" s="1" nd="1"/>
        <i x="224" s="1" nd="1"/>
        <i x="212" s="1" nd="1"/>
        <i x="209" s="1" nd="1"/>
        <i x="213" s="1" nd="1"/>
        <i x="210" s="1" nd="1"/>
        <i x="217" s="1" nd="1"/>
        <i x="235" s="1" nd="1"/>
        <i x="230" s="1" nd="1"/>
        <i x="249" s="1" nd="1"/>
        <i x="218" s="1" nd="1"/>
        <i x="120" s="1" nd="1"/>
        <i x="228" s="1" nd="1"/>
        <i x="220" s="1" nd="1"/>
        <i x="244" s="1" nd="1"/>
        <i x="227" s="1" nd="1"/>
        <i x="242" s="1" nd="1"/>
        <i x="128" s="1" nd="1"/>
        <i x="233" s="1" nd="1"/>
        <i x="232" s="1" nd="1"/>
        <i x="248" s="1" nd="1"/>
        <i x="245" s="1" nd="1"/>
        <i x="139" s="1" nd="1"/>
        <i x="253" s="1" nd="1"/>
        <i x="237" s="1" nd="1"/>
        <i x="246" s="1" nd="1"/>
        <i x="251" s="1" nd="1"/>
        <i x="130" s="1" nd="1"/>
        <i x="156" s="1" nd="1"/>
        <i x="255" s="1" nd="1"/>
        <i x="252" s="1" nd="1"/>
        <i x="121" s="1" nd="1"/>
        <i x="141" s="1" nd="1"/>
        <i x="247" s="1" nd="1"/>
        <i x="123" s="1" nd="1"/>
        <i x="238" s="1" nd="1"/>
        <i x="241" s="1" nd="1"/>
        <i x="138" s="1" nd="1"/>
        <i x="250" s="1" nd="1"/>
        <i x="239" s="1" nd="1"/>
        <i x="240" s="1" nd="1"/>
        <i x="125" s="1" nd="1"/>
        <i x="143" s="1" nd="1"/>
        <i x="144" s="1" nd="1"/>
        <i x="157" s="1" nd="1"/>
        <i x="254" s="1" nd="1"/>
        <i x="119" s="1" nd="1"/>
        <i x="142" s="1" nd="1"/>
        <i x="135" s="1" nd="1"/>
        <i x="122" s="1" nd="1"/>
        <i x="126" s="1" nd="1"/>
        <i x="132" s="1" nd="1"/>
        <i x="124" s="1" nd="1"/>
        <i x="148" s="1" nd="1"/>
        <i x="152" s="1" nd="1"/>
        <i x="153" s="1" nd="1"/>
        <i x="145" s="1" nd="1"/>
        <i x="129" s="1" nd="1"/>
        <i x="131" s="1" nd="1"/>
        <i x="133" s="1" nd="1"/>
        <i x="136" s="1" nd="1"/>
        <i x="149" s="1" nd="1"/>
        <i x="134" s="1" nd="1"/>
        <i x="155" s="1" nd="1"/>
        <i x="87" s="1" nd="1"/>
        <i x="66" s="1" nd="1"/>
        <i x="170" s="1" nd="1"/>
        <i x="137" s="1" nd="1"/>
        <i x="158" s="1" nd="1"/>
        <i x="154" s="1" nd="1"/>
        <i x="140" s="1" nd="1"/>
        <i x="162" s="1" nd="1"/>
        <i x="98" s="1" nd="1"/>
        <i x="61" s="1" nd="1"/>
        <i x="147" s="1" nd="1"/>
        <i x="171" s="1" nd="1"/>
        <i x="151" s="1" nd="1"/>
        <i x="174" s="1" nd="1"/>
        <i x="161" s="1" nd="1"/>
        <i x="166" s="1" nd="1"/>
        <i x="43" s="1" nd="1"/>
        <i x="163" s="1" nd="1"/>
        <i x="165" s="1" nd="1"/>
        <i x="83" s="1" nd="1"/>
        <i x="51" s="1" nd="1"/>
        <i x="160" s="1" nd="1"/>
        <i x="48" s="1" nd="1"/>
        <i x="159" s="1" nd="1"/>
        <i x="60" s="1" nd="1"/>
        <i x="44" s="1" nd="1"/>
        <i x="42" s="1" nd="1"/>
        <i x="164" s="1" nd="1"/>
        <i x="58" s="1" nd="1"/>
        <i x="52" s="1" nd="1"/>
        <i x="63" s="1" nd="1"/>
        <i x="80" s="1" nd="1"/>
        <i x="57" s="1" nd="1"/>
        <i x="68" s="1" nd="1"/>
        <i x="62" s="1" nd="1"/>
        <i x="59" s="1" nd="1"/>
        <i x="172" s="1" nd="1"/>
        <i x="116" s="1" nd="1"/>
        <i x="70" s="1" nd="1"/>
        <i x="71" s="1" nd="1"/>
        <i x="168" s="1" nd="1"/>
        <i x="167" s="1" nd="1"/>
        <i x="45" s="1" nd="1"/>
        <i x="47" s="1" nd="1"/>
        <i x="78" s="1" nd="1"/>
        <i x="54" s="1" nd="1"/>
        <i x="173" s="1" nd="1"/>
        <i x="112" s="1" nd="1"/>
        <i x="103" s="1" nd="1"/>
        <i x="91" s="1" nd="1"/>
        <i x="65" s="1" nd="1"/>
        <i x="50" s="1" nd="1"/>
        <i x="81" s="1" nd="1"/>
        <i x="100" s="1" nd="1"/>
        <i x="92" s="1" nd="1"/>
        <i x="88" s="1" nd="1"/>
        <i x="56" s="1" nd="1"/>
        <i x="76" s="1" nd="1"/>
        <i x="75" s="1" nd="1"/>
        <i x="90" s="1" nd="1"/>
        <i x="77" s="1" nd="1"/>
        <i x="169" s="1" nd="1"/>
        <i x="53" s="1" nd="1"/>
        <i x="49" s="1" nd="1"/>
        <i x="79" s="1" nd="1"/>
        <i x="46" s="1" nd="1"/>
        <i x="84" s="1" nd="1"/>
        <i x="85" s="1" nd="1"/>
        <i x="89" s="1" nd="1"/>
        <i x="69" s="1" nd="1"/>
        <i x="64" s="1" nd="1"/>
        <i x="97" s="1" nd="1"/>
        <i x="96" s="1" nd="1"/>
        <i x="101" s="1" nd="1"/>
        <i x="55" s="1" nd="1"/>
        <i x="99" s="1" nd="1"/>
        <i x="86" s="1" nd="1"/>
        <i x="67" s="1" nd="1"/>
        <i x="72" s="1" nd="1"/>
        <i x="73" s="1" nd="1"/>
        <i x="82" s="1" nd="1"/>
        <i x="74" s="1" nd="1"/>
        <i x="93" s="1" nd="1"/>
        <i x="104" s="1" nd="1"/>
        <i x="94" s="1" nd="1"/>
        <i x="110" s="1" nd="1"/>
        <i x="107" s="1" nd="1"/>
        <i x="105" s="1" nd="1"/>
        <i x="117" s="1" nd="1"/>
        <i x="111" s="1" nd="1"/>
        <i x="118" s="1" nd="1"/>
        <i x="113" s="1" nd="1"/>
        <i x="114" s="1" nd="1"/>
        <i x="95" s="1" nd="1"/>
        <i x="108" s="1" nd="1"/>
        <i x="115" s="1" nd="1"/>
        <i x="106" s="1" nd="1"/>
        <i x="109" s="1" nd="1"/>
        <i x="102" s="1" nd="1"/>
        <i x="34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6">
      <calculatedColumnFormula>B49</calculatedColumnFormula>
    </tableColumn>
    <tableColumn id="2" xr3:uid="{7EDCC2ED-0339-42B3-9633-FFEA7A3DD9F3}" name="Tiyaar" dataDxfId="145">
      <calculatedColumnFormula>SUMIFS(ledger!G:G, ledger!B:B, B2, ledger!E:E, "&lt;&gt;*RD*") / 1.0936</calculatedColumnFormula>
    </tableColumn>
    <tableColumn id="3" xr3:uid="{CC1535DD-3FE7-4F55-8040-E7643388A78E}" name="Rate"/>
    <tableColumn id="4" xr3:uid="{059CB70B-ADAD-4985-84AA-0D530BAC5567}" name="Total" dataDxfId="14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7" totalsRowDxfId="35" dataCellStyle="Comma">
      <totalsRowFormula>SUM(Table12[Amount])</totalsRowFormula>
    </tableColumn>
    <tableColumn id="3" xr3:uid="{12F975D1-A51D-47BD-82DF-F0C35A709016}" name="Description"/>
    <tableColumn id="4" xr3:uid="{96712812-B120-49C2-B905-59FC86A743E8}" name="cost per meter" totalsRowFunction="custom" dataDxfId="136" totalsRowDxfId="3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5" dataDxfId="134" headerRowCellStyle="Comma" dataCellStyle="Comma">
  <autoFilter ref="B2:C5" xr:uid="{136E8F7F-D03F-4198-8335-91A003EA9E45}"/>
  <tableColumns count="2">
    <tableColumn id="1" xr3:uid="{279FA697-9952-479A-AC05-0D4992B41374}" name="Column1" dataDxfId="133" dataCellStyle="Comma"/>
    <tableColumn id="2" xr3:uid="{8A64998B-65EF-41CD-BCB0-3DDB7B359C54}" name="Column2" dataDxfId="13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1"/>
    <tableColumn id="2" xr3:uid="{51D27FA2-8DDF-4369-BAF7-7D1FE90E16A0}" name="Column2" dataDxfId="13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9" totalsRowDxfId="12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0" totalsRowCount="1" headerRowDxfId="126" dataDxfId="125" headerRowCellStyle="Comma" dataCellStyle="Comma">
  <autoFilter ref="A1:K129" xr:uid="{11DACEC6-751B-4B1D-817F-5C5BCD38EF6D}"/>
  <tableColumns count="11">
    <tableColumn id="1" xr3:uid="{2FCE3FA8-A48C-4685-8919-AE44C6C71FD9}" name="Date" dataDxfId="33" dataCellStyle="Comma"/>
    <tableColumn id="2" xr3:uid="{5780FD5F-0890-44E6-B59C-8E37A559FE36}" name="Party Name" dataDxfId="32" dataCellStyle="Comma"/>
    <tableColumn id="3" xr3:uid="{5B3ECD85-9174-40AC-BFBD-49CAC97A83D3}" name="Bill Number" dataDxfId="31" dataCellStyle="Comma"/>
    <tableColumn id="4" xr3:uid="{11B50761-04B6-4262-AD4D-7182450037D1}" name="Quality" dataDxfId="30" dataCellStyle="Comma"/>
    <tableColumn id="5" xr3:uid="{2C556969-B713-4967-BD24-466AACCBE5F5}" name="Shipment Number" dataDxfId="29" totalsRowDxfId="22" dataCellStyle="Comma"/>
    <tableColumn id="6" xr3:uid="{F4E1FD2B-9017-4DEB-B772-BF447ECE56F7}" name="Kora/metre" dataDxfId="28" totalsRowDxfId="21" dataCellStyle="Comma"/>
    <tableColumn id="7" xr3:uid="{52ACC1DA-7A76-4A90-B809-3A1AE728E7EA}" name="Tiyaar/gaz" dataDxfId="27" totalsRowDxfId="20" dataCellStyle="Comma"/>
    <tableColumn id="8" xr3:uid="{31A0FF5E-56F0-44D1-9865-73256B964660}" name="shortage %" dataDxfId="26" totalsRowDxfId="19" dataCellStyle="Comma">
      <calculatedColumnFormula>_xlfn.XLOOKUP(Table1[[#This Row],[Shipment Number]], 'pivot '!A:A,'pivot '!G:G, "NF")</calculatedColumnFormula>
    </tableColumn>
    <tableColumn id="9" xr3:uid="{F99075E0-AC8E-094D-BB85-272AD2C6C568}" name="tiyar/meters" totalsRowFunction="custom" dataDxfId="25" totalsRowDxfId="18"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24" totalsRowDxfId="17"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23" totalsRowDxfId="16"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83" totalsRowCount="1" headerRowDxfId="122" headerRowBorderDxfId="121" tableBorderDxfId="120">
  <autoFilter ref="A1:I82" xr:uid="{F8E8C957-ABE7-4E4F-8D4E-7D44E26B334F}">
    <filterColumn colId="4">
      <filters>
        <filter val="720"/>
      </filters>
    </filterColumn>
  </autoFilter>
  <tableColumns count="9">
    <tableColumn id="1" xr3:uid="{C2E817D6-AB98-4DDD-8890-736B27F261CD}" name="Date" dataDxfId="119" totalsRowDxfId="118"/>
    <tableColumn id="2" xr3:uid="{CFB51890-CCDC-463C-81C9-3F8BD7469CB9}" name="Party Name"/>
    <tableColumn id="3" xr3:uid="{A113D971-1C9D-4733-99C4-BD0CC4333209}" name="Vehicle Number"/>
    <tableColumn id="4" xr3:uid="{49780304-3DD1-4AE9-98EE-2BC7EB8F3B57}" name="Weight" dataDxfId="117" totalsRowDxfId="116" dataCellStyle="Comma"/>
    <tableColumn id="5" xr3:uid="{FCAF1BC6-1D8C-42AD-8BBC-F924BF2DC7FE}" name="Rate" dataDxfId="115" totalsRowDxfId="114" dataCellStyle="Comma"/>
    <tableColumn id="6" xr3:uid="{8C70A624-4134-410C-9C45-9FDEB51D51BF}" name="Rent" dataDxfId="113" totalsRowDxfId="112" dataCellStyle="Comma"/>
    <tableColumn id="7" xr3:uid="{EBCE10AE-9634-4982-9C95-37ABC8A7078C}" name="Total" totalsRowFunction="sum" dataDxfId="111" totalsRowDxfId="110" dataCellStyle="Comma">
      <calculatedColumnFormula>D2*E2</calculatedColumnFormula>
    </tableColumn>
    <tableColumn id="9" xr3:uid="{D4788559-C94A-44D9-B9AE-E72B214355AC}" name="Paid" totalsRowFunction="sum" dataDxfId="109" totalsRowDxfId="108" dataCellStyle="Comma"/>
    <tableColumn id="8" xr3:uid="{E26F5BF0-1875-4FC6-994D-49F202ED562B}" name="balance" totalsRowFunction="sum" dataDxfId="107" totalsRowDxfId="106"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05" totalsRowCount="1">
  <autoFilter ref="A1:G304" xr:uid="{CB032221-B416-47A8-9A76-693DE76CFD04}"/>
  <tableColumns count="7">
    <tableColumn id="1" xr3:uid="{554B1EED-65B6-4E9A-B646-82727FAC40DE}" name="Date" dataDxfId="104" totalsRowDxfId="103"/>
    <tableColumn id="2" xr3:uid="{32259059-42CF-4947-83DE-115AA430BE2B}" name="Party"/>
    <tableColumn id="3" xr3:uid="{A1320223-D55D-483C-91C3-AB19B95CC9D8}" name="Debit" totalsRowFunction="sum" dataDxfId="102" totalsRowDxfId="101" dataCellStyle="Comma"/>
    <tableColumn id="4" xr3:uid="{E9745767-9FF0-4B1C-9052-FF335D1D7588}" name="Credit" totalsRowFunction="sum" dataDxfId="100" totalsRowDxfId="99" dataCellStyle="Comma"/>
    <tableColumn id="5" xr3:uid="{5C88A48E-2467-4E6D-B626-2442B7FD0BE4}" name="Description"/>
    <tableColumn id="6" xr3:uid="{63CA4666-144E-4BE6-8B7C-7CB992BD3041}" name="Mode" totalsRowFunction="custom" dataDxfId="98" totalsRowDxfId="9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6" tableBorderDxfId="95" totalsRowBorderDxfId="94">
  <autoFilter ref="J3:K6" xr:uid="{DCE01694-23ED-48BF-8B92-4186B9ED10A8}"/>
  <tableColumns count="2">
    <tableColumn id="1" xr3:uid="{C8484DAF-2989-4C2F-9AEC-A6917E1C57F6}" name="Type" dataDxfId="93"/>
    <tableColumn id="2" xr3:uid="{B07B7A2A-4D4E-4654-BED6-FE2F0A7BEC34}" name="Amount" dataDxfId="9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1" headerRowBorderDxfId="90" tableBorderDxfId="89" totalsRowBorderDxfId="88">
  <autoFilter ref="M3:O6" xr:uid="{D166BDD1-ACD7-45D7-8AE9-7350373F8CEB}"/>
  <tableColumns count="3">
    <tableColumn id="1" xr3:uid="{64F0205E-DEA7-4571-BA86-E4374A5FEE28}" name="Type" totalsRowLabel="Total" dataDxfId="87" totalsRowDxfId="86"/>
    <tableColumn id="2" xr3:uid="{15FA05F9-789C-4459-9BE0-5C1EC84D3365}" name="amount" totalsRowFunction="custom" dataDxfId="85" totalsRowDxfId="84">
      <totalsRowFormula>SUM(N5:N6)</totalsRowFormula>
    </tableColumn>
    <tableColumn id="3" xr3:uid="{3681D409-90C6-44D0-BDE2-4B5943A516F0}" name="Actual" totalsRowFunction="custom" totalsRowDxfId="8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2" totalsRowDxfId="81"/>
    <tableColumn id="2" xr3:uid="{5B9D0FEE-4304-4C5C-A05C-5B27CF7841D3}" name="Type"/>
    <tableColumn id="3" xr3:uid="{6A91CA0D-C802-4C6F-9F39-CA53687E8EDE}" name="Description"/>
    <tableColumn id="4" xr3:uid="{A251D40C-AB87-4BB4-85F8-444B20E32FDF}" name="Total" totalsRowFunction="custom" dataDxfId="80" totalsRowDxfId="7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78" headerRowBorderDxfId="77">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6"/>
    <tableColumn id="4" xr3:uid="{1889A312-9B41-4EC4-BD8F-05252F27084A}" name="Price" totalsRowFunction="sum"/>
    <tableColumn id="6" xr3:uid="{8B974B20-F003-4E67-8660-024FA4F324A9}" name="Party"/>
    <tableColumn id="7" xr3:uid="{0A5A5C21-FD61-47DA-9F54-66A6479FA557}" name="Paid" dataDxfId="75">
      <calculatedColumnFormula>SUMIFS(Table14[Debit], Table14[Date], Table8[[#This Row],[Date]], Table14[Party], Table8[[#This Row],[Party]])</calculatedColumnFormula>
    </tableColumn>
    <tableColumn id="8" xr3:uid="{8DCB3B43-2161-4081-82EC-CDB0F4DE4E6F}" name="Balance" totalsRowFunction="sum" dataDxfId="7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3" headerRowBorderDxfId="72">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71" totalsRowDxfId="70"/>
    <tableColumn id="8" xr3:uid="{477ACFD5-62AF-4F69-974B-E9B974C11D7D}" name="Party Name" dataDxfId="6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8">
      <calculatedColumnFormula>Table2[[#This Row],[Quantity]]*200*Table2[[#This Row],[Boxes]]</calculatedColumnFormula>
    </tableColumn>
    <tableColumn id="6" xr3:uid="{30432929-CBD4-4BA8-B63F-CD0F6CF6405F}" name="Paid" totalsRowFunction="sum" dataDxfId="6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5" totalsRowDxfId="6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3" totalsRowDxfId="62"/>
    <tableColumn id="2" xr3:uid="{053BFC14-4828-417C-9F9F-95B6E232A945}" name="Amount" totalsRowFunction="custom" dataDxfId="61" totalsRowDxfId="6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9" totalsRowDxfId="5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48" totalsRowDxfId="4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6" totalsRowDxfId="4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4">
      <calculatedColumnFormula>Billing!Q5</calculatedColumnFormula>
    </tableColumn>
    <tableColumn id="2" xr3:uid="{7093A59E-B58F-487D-888A-9AA8156B5F9A}" name="Amount Paid" dataDxfId="4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2"/>
    <tableColumn id="2" xr3:uid="{F72CFEEB-BA11-4A49-BD19-88592EB6A27C}" name="Credit" dataDxfId="41"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355679.29992684716</v>
      </c>
      <c r="D2">
        <v>10</v>
      </c>
      <c r="E2" s="14">
        <f>(SUMIFS(ledger!G:G, ledger!B:B, B2, ledger!E:E, "&lt;&gt;*RD*",ledger!D:D, "Silky") / 1.0936)*12 + (SUMIFS(ledger!G:G, ledger!B:B, B2, ledger!E:E, "&lt;&gt;*RD*",ledger!D:D, "Chamki") / 1.0936)*10</f>
        <v>3203438.1858083396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96228.968544257514</v>
      </c>
      <c r="D4">
        <v>10</v>
      </c>
      <c r="E4" s="14">
        <f>(SUMIFS(ledger!G:G, ledger!B:B, B4, ledger!E:E, "&lt;&gt;*RD*",ledger!D:D, "Silky") / 1.0936)*12 + (SUMIFS(ledger!G:G, ledger!B:B, B4, ledger!E:E, "&lt;&gt;*RD*",ledger!D:D, "Chamki") / 1.0936)*10</f>
        <v>987944.40380395029</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2923909.8824</v>
      </c>
      <c r="S5" s="22" cm="1">
        <f t="array" ref="S5">_xlfn.BYROW(B49, _xlfn.LAMBDA(_xlpm.party, SUMIFS(ledger!G:G, ledger!B:B, _xlpm.party, ledger!E:E, "&lt;&gt;*RD*") / 1.0936 ))+_xlfn.IFNA(D84,0)</f>
        <v>2673655.7081199712</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319932.33357717632</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4070764.4476956846</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27607998.193123635</v>
      </c>
      <c r="AD5" s="22">
        <f>(SUMIF(Table14[Party],Q5,Table14[Credit]))+_xlfn.IFNA(O84,0)</f>
        <v>19750734</v>
      </c>
      <c r="AE5" s="33">
        <f>AC5-AD5</f>
        <v>7857264.1931236349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762384</v>
      </c>
      <c r="S7" s="22" cm="1">
        <f t="array" ref="S7">_xlfn.BYROW(B51, _xlfn.LAMBDA(_xlpm.party, SUMIFS(ledger!G:G, ledger!B:B, _xlpm.party, ledger!E:E, "&lt;&gt;*RD*") / 1.0936 ))+_xlfn.IFNA(D86,0)</f>
        <v>697132.40673006582</v>
      </c>
      <c r="T7" s="22" cm="1">
        <f t="array" ref="T7">(_xlfn.BYROW(B51,_xlfn.LAMBDA(_xlpm.party,SUMIFS(ledger!G:G,ledger!B:B,_xlpm.party,ledger!E:E,"&lt;&gt;*RD*",ledger!D:D,"Chamki")+SUMIFS(ledger!G:G, ledger!B:B, _xlpm.party, ledger!E:E, "&lt;&gt;*RD*", ledger!D:D, "Crinkle")))/1.0936)+_xlfn.IFNA(E86,0)</f>
        <v>606192.39209948794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6061923.9209948797</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7229349.853694221</v>
      </c>
      <c r="AD7" s="22">
        <f>(SUMIF(Table14[Party],Q7,Table14[Credit]))+_xlfn.IFNA(O86,0)</f>
        <v>6955301</v>
      </c>
      <c r="AE7" s="33">
        <f t="shared" si="2"/>
        <v>274048.853694221</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89813.460131675209</v>
      </c>
      <c r="E12" s="14">
        <f>(SUMIFS(ledger!G:G, ledger!B:B, B12, ledger!E:E, "&lt;&gt;*RD*",ledger!D:D, "Silky") / 1.0936)*12 + (SUMIFS(ledger!G:G, ledger!B:B, B12, ledger!E:E, "&lt;&gt;*RD*",ledger!D:D, "Chamki") / 1.0936)*10</f>
        <v>898134.60131675215</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125616.31309436724</v>
      </c>
      <c r="E13" s="14">
        <f>(SUMIFS(ledger!G:G, ledger!B:B, B13, ledger!E:E, "&lt;&gt;*RD*",ledger!D:D, "Silky") / 1.0936)*12 + (SUMIFS(ledger!G:G, ledger!B:B, B13, ledger!E:E, "&lt;&gt;*RD*",ledger!D:D, "Chamki") / 1.0936)*10</f>
        <v>791980.6144842722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301035</v>
      </c>
      <c r="S15" s="22" cm="1">
        <f t="array" ref="S15">_xlfn.BYROW(B59, _xlfn.LAMBDA(_xlpm.party, SUMIFS(ledger!G:G, ledger!B:B, _xlpm.party, ledger!E:E, "&lt;&gt;*RD*") / 1.0936 ))+_xlfn.IFNA(D94,0)</f>
        <v>275269.75128017558</v>
      </c>
      <c r="T15" s="22" cm="1">
        <f t="array" ref="T15">(_xlfn.BYROW(B59,_xlfn.LAMBDA(_xlpm.party,SUMIFS(ledger!G:G,ledger!B:B,_xlpm.party,ledger!E:E,"&lt;&gt;*RD*",ledger!D:D,"Chamki")+SUMIFS(ledger!G:G, ledger!B:B, _xlpm.party, ledger!E:E, "&lt;&gt;*RD*", ledger!D:D, "Crinkle")))/1.0936)+_xlfn.IFNA(E94,0)</f>
        <v>275269.75128017558</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2752697.5128017562</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2752697.5128017562</v>
      </c>
      <c r="AD15" s="22">
        <f>(SUMIF(Table14[Party],Q15,Table14[Credit]))+_xlfn.IFNA(O94,0)</f>
        <v>2411380</v>
      </c>
      <c r="AE15" s="33">
        <f t="shared" si="2"/>
        <v>341317.51280175615</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654782</v>
      </c>
      <c r="S16" s="22" cm="1">
        <f t="array" ref="S16">_xlfn.BYROW(B60, _xlfn.LAMBDA(_xlpm.party, SUMIFS(ledger!G:G, ledger!B:B, _xlpm.party, ledger!E:E, "&lt;&gt;*RD*") / 1.0936 ))+_xlfn.IFNA(D95,0)</f>
        <v>598739.94147768838</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6322304.3160204832</v>
      </c>
      <c r="AD16" s="22">
        <f>(SUMIF(Table14[Party],Q16,Table14[Credit]))+_xlfn.IFNA(O95,0)</f>
        <v>6065761</v>
      </c>
      <c r="AE16" s="33">
        <f t="shared" si="2"/>
        <v>256543.31602048315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10105350.97293343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10105350.97293343</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996025</v>
      </c>
      <c r="AE24" s="33">
        <f t="shared" si="2"/>
        <v>100107.95537673752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388970.8824</v>
      </c>
      <c r="D49" s="22" cm="1">
        <f t="array" ref="D49:D74">_xlfn.BYROW(_xlfn.ANCHORARRAY(B49), _xlfn.LAMBDA(_xlpm.party, SUMIFS(ledger!G:G, ledger!B:B, _xlpm.party, ledger!E:E, "&lt;&gt;*RD*") / 1.0936 ))</f>
        <v>355679.29992684716</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37463.423555230438</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487024.50621799566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3669183.269934163</v>
      </c>
      <c r="O49" s="22">
        <f>(SUMIF(Table14[Party],B49,Table14[Credit]))</f>
        <v>0</v>
      </c>
      <c r="P49" s="37">
        <f>N49-O49</f>
        <v>3669183.269934163</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105236</v>
      </c>
      <c r="D51" s="22">
        <v>96228.968544257514</v>
      </c>
      <c r="E51" s="63">
        <v>83401.609363569863</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834016.09363569866</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1000771.762984638</v>
      </c>
      <c r="O51" s="22">
        <f>(SUMIF(Table14[Party],B51,Table14[Credit]))</f>
        <v>952366</v>
      </c>
      <c r="P51" s="37">
        <f>N51-O51</f>
        <v>48405.762984637986</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355679.29992684716</v>
      </c>
      <c r="W58" s="18">
        <v>3203438.1858083396</v>
      </c>
    </row>
    <row r="59" spans="1:23" x14ac:dyDescent="0.3">
      <c r="B59" s="24" t="str">
        <v>Hafiz Qureshi</v>
      </c>
      <c r="C59" s="22">
        <v>98220</v>
      </c>
      <c r="D59" s="22">
        <v>89813.460131675209</v>
      </c>
      <c r="E59" s="63">
        <v>89813.460131675209</v>
      </c>
      <c r="F59" s="63">
        <v>0</v>
      </c>
      <c r="G59" s="22" cm="1">
        <f t="array" ref="G59">(_xlfn.BYROW(B59,_xlfn.LAMBDA(_xlpm.party,
(SUMIFS(ledger!J:J,ledger!B:B,_xlpm.party,ledger!E:E,"&lt;&gt;*RD*",ledger!D:D,"Chamki",ledger!C:C,"&lt;&gt;November Closing CF")+
SUMIFS(ledger!J:J,ledger!B:B,_xlpm.party,ledger!E:E,"&lt;&gt;*RD*",ledger!D:D,"Crinkle",ledger!C:C,"&lt;&gt;November Closing CF")
))))</f>
        <v>898134.60131675226</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898134.60131675226</v>
      </c>
      <c r="O59" s="22">
        <f>SUMIF(Table14[Party], B59, Table14[Credit])</f>
        <v>605400</v>
      </c>
      <c r="P59" s="37">
        <f t="shared" si="6"/>
        <v>292734.60131675226</v>
      </c>
      <c r="Q59" s="21">
        <v>10</v>
      </c>
      <c r="R59" s="21">
        <v>12</v>
      </c>
      <c r="U59" s="4" t="s">
        <v>22</v>
      </c>
      <c r="V59" s="5">
        <v>34084.674469641555</v>
      </c>
      <c r="W59" s="18">
        <v>409016.09363569866</v>
      </c>
    </row>
    <row r="60" spans="1:23" x14ac:dyDescent="0.3">
      <c r="B60" s="24" t="str">
        <v>Badshah Fabrics</v>
      </c>
      <c r="C60" s="22">
        <v>137374</v>
      </c>
      <c r="D60" s="22">
        <v>125616.31309436724</v>
      </c>
      <c r="E60" s="63">
        <v>125616.31309436724</v>
      </c>
      <c r="F60" s="63">
        <v>0</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1302581.3825896124</v>
      </c>
      <c r="O60" s="22">
        <f>SUMIF(Table14[Party], B60, Table14[Credit])</f>
        <v>1140000</v>
      </c>
      <c r="P60" s="37">
        <f t="shared" si="6"/>
        <v>162581.38258961239</v>
      </c>
      <c r="Q60" s="21">
        <v>10</v>
      </c>
      <c r="R60" s="21">
        <v>12</v>
      </c>
      <c r="U60" s="4" t="s">
        <v>9</v>
      </c>
      <c r="V60" s="5">
        <v>96228.968544257514</v>
      </c>
      <c r="W60" s="18">
        <v>987944.40380395029</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996025</v>
      </c>
      <c r="P68" s="37">
        <f t="shared" si="6"/>
        <v>-613417.09948792984</v>
      </c>
      <c r="Q68" s="21">
        <v>10</v>
      </c>
      <c r="R68" s="21">
        <v>12</v>
      </c>
      <c r="U68" s="4" t="s">
        <v>27</v>
      </c>
      <c r="V68" s="5">
        <v>89813.460131675209</v>
      </c>
      <c r="W68" s="18">
        <v>898134.60131675215</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125616.31309436724</v>
      </c>
      <c r="W69" s="18">
        <v>791980.6144842722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851601.94074615964</v>
      </c>
      <c r="W75" s="14">
        <v>7556392.6481346022</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abSelected="1" topLeftCell="A5" zoomScale="105" workbookViewId="0">
      <selection activeCell="I18" sqref="I1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191698.97585954645</v>
      </c>
      <c r="E12" s="92">
        <f ca="1">Table21[[#This Row],[gazana]]*Table21[[#This Row],[Rate]]</f>
        <v>1916989.7585954645</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1916989.7585954645</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2005.8778346739709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0" priority="1" operator="lessThan">
      <formula>20000</formula>
    </cfRule>
    <cfRule type="cellIs" dxfId="3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5443770</v>
      </c>
      <c r="D4" t="s">
        <v>190</v>
      </c>
      <c r="E4" s="43">
        <f ca="1">Table12[[#This Row],[Amount]]/Table1[[#Totals],[tiyar/meters]]</f>
        <v>5.5688820313915377</v>
      </c>
    </row>
    <row r="5" spans="1:5" x14ac:dyDescent="0.3">
      <c r="B5" t="s">
        <v>48</v>
      </c>
      <c r="C5" s="11">
        <f>SUM(Table8[Price])+Dyes!P56</f>
        <v>1264660</v>
      </c>
      <c r="E5" s="43">
        <f ca="1">Table12[[#This Row],[Amount]]/Table1[[#Totals],[tiyar/meters]]</f>
        <v>1.29372518490304</v>
      </c>
    </row>
    <row r="6" spans="1:5" x14ac:dyDescent="0.3">
      <c r="B6" t="s">
        <v>49</v>
      </c>
      <c r="C6" s="11">
        <f>SUM(Table2[Price])+Finish!K30</f>
        <v>457600</v>
      </c>
      <c r="D6" t="s">
        <v>189</v>
      </c>
      <c r="E6" s="43">
        <f ca="1">Table12[[#This Row],[Amount]]/Table1[[#Totals],[tiyar/meters]]</f>
        <v>0.46811684137367443</v>
      </c>
    </row>
    <row r="7" spans="1:5" x14ac:dyDescent="0.3">
      <c r="B7" t="s">
        <v>50</v>
      </c>
      <c r="C7" s="11">
        <f>SUMIFS(Table14[Debit], Table14[Party],Table12[[#This Row],[Type]])</f>
        <v>31855</v>
      </c>
      <c r="E7" s="43">
        <f ca="1">Table12[[#This Row],[Amount]]/Table1[[#Totals],[tiyar/meters]]</f>
        <v>3.2587110974559436E-2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225300</v>
      </c>
      <c r="E9" s="43">
        <f ca="1">Table12[[#This Row],[Amount]]/Table1[[#Totals],[tiyar/meters]]</f>
        <v>0.23047798155919766</v>
      </c>
    </row>
    <row r="10" spans="1:5" x14ac:dyDescent="0.3">
      <c r="B10" t="s">
        <v>53</v>
      </c>
      <c r="C10" s="11">
        <f>Table5[[#Totals],[Amount]]</f>
        <v>75460</v>
      </c>
      <c r="E10" s="43">
        <f ca="1">Table12[[#This Row],[Amount]]/Table1[[#Totals],[tiyar/meters]]</f>
        <v>7.7194267591908811E-2</v>
      </c>
    </row>
    <row r="11" spans="1:5" x14ac:dyDescent="0.3">
      <c r="B11" t="s">
        <v>54</v>
      </c>
      <c r="C11" s="11">
        <f>Table13[[#Totals],[Debit]]</f>
        <v>109468</v>
      </c>
      <c r="E11" s="43">
        <f ca="1">Table12[[#This Row],[Amount]]/Table1[[#Totals],[tiyar/meters]]</f>
        <v>0.11198386012127053</v>
      </c>
    </row>
    <row r="12" spans="1:5" x14ac:dyDescent="0.3">
      <c r="B12" t="s">
        <v>55</v>
      </c>
      <c r="C12" s="11">
        <f>Table15[[#Totals],[Amount]]</f>
        <v>86455</v>
      </c>
      <c r="E12" s="43">
        <f ca="1">Table12[[#This Row],[Amount]]/Table1[[#Totals],[tiyar/meters]]</f>
        <v>8.8441961365736496E-2</v>
      </c>
    </row>
    <row r="13" spans="1:5" x14ac:dyDescent="0.3">
      <c r="C13" s="11"/>
      <c r="E13" s="43">
        <f ca="1">Table12[[#This Row],[Amount]]/Table1[[#Totals],[tiyar/meters]]</f>
        <v>0</v>
      </c>
    </row>
    <row r="14" spans="1:5" x14ac:dyDescent="0.3">
      <c r="C14" s="14">
        <f>SUM(Table12[Amount])</f>
        <v>7694568</v>
      </c>
      <c r="E14" s="43">
        <f ca="1">SUM(Table12[cost per meter])</f>
        <v>7.8714092392809256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10105350.97293343</v>
      </c>
    </row>
    <row r="4" spans="1:3" x14ac:dyDescent="0.3">
      <c r="B4" s="11" t="s">
        <v>44</v>
      </c>
      <c r="C4" s="11">
        <f>Table12[[#Totals],[Amount]]</f>
        <v>7694568</v>
      </c>
    </row>
    <row r="5" spans="1:3" x14ac:dyDescent="0.3">
      <c r="A5" s="6"/>
      <c r="B5" s="15" t="s">
        <v>68</v>
      </c>
      <c r="C5" s="15">
        <f>C3-C4</f>
        <v>2410782.9729334302</v>
      </c>
    </row>
    <row r="10" spans="1:3" ht="15" thickBot="1" x14ac:dyDescent="0.35">
      <c r="B10" t="s">
        <v>66</v>
      </c>
      <c r="C10" s="14" t="s">
        <v>67</v>
      </c>
    </row>
    <row r="11" spans="1:3" x14ac:dyDescent="0.3">
      <c r="B11" s="56" t="s">
        <v>0</v>
      </c>
      <c r="C11" s="57">
        <f>C3</f>
        <v>10105350.97293343</v>
      </c>
    </row>
    <row r="12" spans="1:3" x14ac:dyDescent="0.3">
      <c r="B12" s="58" t="s">
        <v>69</v>
      </c>
      <c r="C12" s="59">
        <f>SUM(Table14[Credit])</f>
        <v>21978070</v>
      </c>
    </row>
    <row r="13" spans="1:3" ht="15" thickBot="1" x14ac:dyDescent="0.35">
      <c r="B13" s="74" t="s">
        <v>93</v>
      </c>
      <c r="C13" s="73">
        <f>(C11-C12)</f>
        <v>-11872719.02706657</v>
      </c>
    </row>
    <row r="14" spans="1:3" ht="15" thickBot="1" x14ac:dyDescent="0.35">
      <c r="B14" s="58"/>
      <c r="C14" s="59"/>
    </row>
    <row r="15" spans="1:3" x14ac:dyDescent="0.3">
      <c r="B15" s="56" t="s">
        <v>44</v>
      </c>
      <c r="C15" s="57">
        <f>C4</f>
        <v>7694568</v>
      </c>
    </row>
    <row r="16" spans="1:3" x14ac:dyDescent="0.3">
      <c r="B16" s="58" t="s">
        <v>70</v>
      </c>
      <c r="C16" s="59">
        <f>SUM(Table14[Debit])</f>
        <v>21940564</v>
      </c>
    </row>
    <row r="17" spans="2:6" ht="15" thickBot="1" x14ac:dyDescent="0.35">
      <c r="B17" s="74" t="s">
        <v>71</v>
      </c>
      <c r="C17" s="73">
        <f>C15-C16</f>
        <v>-14245996</v>
      </c>
    </row>
    <row r="18" spans="2:6" ht="15" thickBot="1" x14ac:dyDescent="0.35">
      <c r="B18" s="58"/>
      <c r="C18" s="59"/>
    </row>
    <row r="19" spans="2:6" ht="15" thickBot="1" x14ac:dyDescent="0.35">
      <c r="B19" s="75" t="s">
        <v>72</v>
      </c>
      <c r="C19" s="76">
        <f>Table18[[#Totals],[amount]]</f>
        <v>87506</v>
      </c>
    </row>
    <row r="20" spans="2:6" ht="15" thickBot="1" x14ac:dyDescent="0.35">
      <c r="B20" s="71"/>
      <c r="C20" s="72"/>
    </row>
    <row r="21" spans="2:6" ht="15" thickBot="1" x14ac:dyDescent="0.35">
      <c r="B21" s="60" t="s">
        <v>73</v>
      </c>
      <c r="C21" s="61">
        <f>(C13-C17)+C19</f>
        <v>2460782.9729334302</v>
      </c>
      <c r="E21" s="79" t="s">
        <v>74</v>
      </c>
      <c r="F21" s="80">
        <f>C5*0.05</f>
        <v>120539.14864667151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109468</v>
      </c>
      <c r="E38">
        <f>SUBTOTAL(109,Table13[Credit])</f>
        <v>0</v>
      </c>
      <c r="F38">
        <f>Table13[[#Totals],[Debit]]-Table13[[#Totals],[Credit]]</f>
        <v>109468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3" zoomScale="137" zoomScaleNormal="82" workbookViewId="0">
      <selection activeCell="G102" sqref="G10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30.424139948289138</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v>61388</v>
      </c>
      <c r="G116" s="11">
        <v>37510</v>
      </c>
      <c r="H116" s="120">
        <f>_xlfn.XLOOKUP(Table1[[#This Row],[Shipment Number]], 'pivot '!A:A,'pivot '!G:G, "NF")</f>
        <v>30.424139948289138</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27.456463976391206</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v>61388</v>
      </c>
      <c r="G124" s="11">
        <v>652</v>
      </c>
      <c r="H124" s="120">
        <f>_xlfn.XLOOKUP(Table1[[#This Row],[Shipment Number]], 'pivot '!A:A,'pivot '!G:G, "NF")</f>
        <v>30.424139948289138</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24735</v>
      </c>
      <c r="H127" s="120">
        <f>_xlfn.XLOOKUP(Table1[[#This Row],[Shipment Number]], 'pivot '!A:A,'pivot '!G:G, "NF")</f>
        <v>41.003999423312742</v>
      </c>
      <c r="I127" s="121">
        <f>Table1[[#This Row],[Tiyaar/gaz]]/1.0936</f>
        <v>22617.95903438186</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41.003999423312742</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50.509786891588107</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c r="B130"/>
      <c r="C130"/>
      <c r="D130"/>
      <c r="E130" s="14"/>
      <c r="F130" s="14"/>
      <c r="G130" s="14"/>
      <c r="H130" s="43"/>
      <c r="I130" s="94" cm="1">
        <f t="array" aca="1" ref="I130" ca="1">SUMPRODUCT( SUBTOTAL(109, OFFSET(Table1[tiyar/meters], ROW(Table1[tiyar/meters])-MIN(ROW(Table1[tiyar/meters])), 0, 1)), --(Table1[Bill Number]&lt;&gt;"November Closing CF") )</f>
        <v>977533.72567666427</v>
      </c>
      <c r="J130" s="43" cm="1">
        <f t="array" aca="1" ref="J130" ca="1">SUMPRODUCT( SUBTOTAL(109, OFFSET(Table1[billing], ROW(Table1[billing])-MIN(ROW(Table1[billing])), 0, 1)), --(Table1[Bill Number]&lt;&gt;"November Closing CF") )</f>
        <v>10105350.97293343</v>
      </c>
      <c r="K130" s="14">
        <f>SUMIFS(Table1[billing], Table1[Bill Number], "&lt;&gt;November Closing CF")</f>
        <v>10105350.97293343</v>
      </c>
      <c r="P130"/>
      <c r="Q130"/>
    </row>
    <row r="131" spans="1:17" x14ac:dyDescent="0.3">
      <c r="O131"/>
      <c r="P131"/>
      <c r="Q131"/>
    </row>
    <row r="132" spans="1:17" x14ac:dyDescent="0.3">
      <c r="M132"/>
      <c r="N132"/>
    </row>
    <row r="163" spans="12:12" x14ac:dyDescent="0.3">
      <c r="L163"/>
    </row>
  </sheetData>
  <phoneticPr fontId="7" alignment="center"/>
  <conditionalFormatting sqref="H2:H130">
    <cfRule type="cellIs" dxfId="3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3"/>
  <sheetViews>
    <sheetView zoomScale="145" zoomScaleNormal="90" workbookViewId="0">
      <selection activeCell="E34" sqref="E3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hidden="1" x14ac:dyDescent="0.3">
      <c r="A2" s="85">
        <v>46008</v>
      </c>
      <c r="B2" s="82" t="s">
        <v>94</v>
      </c>
      <c r="C2" s="82" t="s">
        <v>95</v>
      </c>
      <c r="D2" s="83"/>
      <c r="E2" s="83"/>
      <c r="F2" s="83"/>
      <c r="G2" s="83">
        <f>D2*E2</f>
        <v>0</v>
      </c>
      <c r="H2" s="11"/>
      <c r="I2" s="84">
        <v>1546255</v>
      </c>
    </row>
    <row r="3" spans="1:16" hidden="1" x14ac:dyDescent="0.3">
      <c r="A3" s="85">
        <v>46008</v>
      </c>
      <c r="B3" s="82" t="s">
        <v>96</v>
      </c>
      <c r="C3" s="82" t="s">
        <v>95</v>
      </c>
      <c r="D3" s="83"/>
      <c r="E3" s="83"/>
      <c r="F3" s="83"/>
      <c r="G3" s="83">
        <f>D3*E3</f>
        <v>0</v>
      </c>
      <c r="H3" s="11">
        <v>0</v>
      </c>
      <c r="I3" s="84">
        <v>0</v>
      </c>
    </row>
    <row r="4" spans="1:16" hidden="1" x14ac:dyDescent="0.3">
      <c r="A4" s="85">
        <v>46008</v>
      </c>
      <c r="B4" s="82" t="s">
        <v>149</v>
      </c>
      <c r="C4" s="82" t="s">
        <v>95</v>
      </c>
      <c r="D4" s="11"/>
      <c r="E4" s="11"/>
      <c r="F4" s="11"/>
      <c r="G4" s="11">
        <f>D4*E4</f>
        <v>0</v>
      </c>
      <c r="H4" s="11">
        <v>0</v>
      </c>
      <c r="I4" s="87">
        <v>136060</v>
      </c>
    </row>
    <row r="5" spans="1:16" hidden="1" x14ac:dyDescent="0.3">
      <c r="A5" s="85">
        <v>46008</v>
      </c>
      <c r="B5" s="82" t="s">
        <v>169</v>
      </c>
      <c r="C5" s="82" t="s">
        <v>95</v>
      </c>
      <c r="D5" s="11"/>
      <c r="E5" s="11"/>
      <c r="F5" s="11"/>
      <c r="G5" s="11">
        <f t="shared" ref="G5:G6" si="0">D5*E5</f>
        <v>0</v>
      </c>
      <c r="H5" s="11"/>
      <c r="I5" s="87">
        <v>650823</v>
      </c>
    </row>
    <row r="6" spans="1:16" ht="15" hidden="1" thickTop="1" x14ac:dyDescent="0.3">
      <c r="A6" s="85">
        <v>46008</v>
      </c>
      <c r="B6" s="82" t="s">
        <v>172</v>
      </c>
      <c r="C6" s="82" t="s">
        <v>95</v>
      </c>
      <c r="D6" s="11"/>
      <c r="E6" s="11"/>
      <c r="F6" s="11"/>
      <c r="G6" s="11">
        <f t="shared" si="0"/>
        <v>0</v>
      </c>
      <c r="H6" s="11"/>
      <c r="I6" s="11">
        <v>97520</v>
      </c>
      <c r="K6" s="17">
        <f>SUM(Table3[Total])</f>
        <v>4871670</v>
      </c>
      <c r="L6" s="3" t="s">
        <v>2</v>
      </c>
      <c r="M6" t="s">
        <v>87</v>
      </c>
    </row>
    <row r="7" spans="1:16" hidden="1" x14ac:dyDescent="0.3">
      <c r="A7" s="85">
        <v>46008</v>
      </c>
      <c r="B7" s="82" t="s">
        <v>182</v>
      </c>
      <c r="C7" s="82" t="s">
        <v>95</v>
      </c>
      <c r="D7" s="11"/>
      <c r="E7" s="11"/>
      <c r="F7" s="11"/>
      <c r="G7" s="11">
        <f>D7*E7</f>
        <v>0</v>
      </c>
      <c r="H7" s="11"/>
      <c r="I7" s="11">
        <v>326400</v>
      </c>
    </row>
    <row r="8" spans="1:16" hidden="1"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hidden="1"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hidden="1"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hidden="1"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hidden="1"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hidden="1"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hidden="1"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hidden="1"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hidden="1"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hidden="1"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hidden="1"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hidden="1"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hidden="1"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hidden="1"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hidden="1"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hidden="1"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hidden="1"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hidden="1"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hidden="1"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hidden="1"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hidden="1"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hidden="1"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hidden="1"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hidden="1"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hidden="1"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hidden="1"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hidden="1"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hidden="1"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hidden="1"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hidden="1" x14ac:dyDescent="0.3">
      <c r="A38" s="1"/>
      <c r="D38" s="11"/>
      <c r="E38" s="11"/>
      <c r="F38" s="11"/>
      <c r="G38" s="11">
        <f t="shared" si="6"/>
        <v>0</v>
      </c>
      <c r="H38" s="11"/>
      <c r="I38" s="11">
        <f>(D38*E38)-Table3[[#This Row],[Paid]]</f>
        <v>0</v>
      </c>
      <c r="L38" s="26">
        <v>46017</v>
      </c>
      <c r="M38" s="14"/>
      <c r="N38" s="14">
        <v>0</v>
      </c>
      <c r="O38" s="14">
        <v>601866</v>
      </c>
      <c r="P38" s="14">
        <v>-601866</v>
      </c>
    </row>
    <row r="39" spans="1:16" hidden="1"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hidden="1"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805</v>
      </c>
      <c r="N40" s="14">
        <v>662560</v>
      </c>
      <c r="O40" s="14">
        <v>185000</v>
      </c>
      <c r="P40" s="14">
        <v>477560</v>
      </c>
    </row>
    <row r="41" spans="1:16" hidden="1"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hidden="1"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hidden="1" x14ac:dyDescent="0.3">
      <c r="A43" s="1">
        <v>46018</v>
      </c>
      <c r="B43" t="s">
        <v>200</v>
      </c>
      <c r="D43" s="11">
        <v>244</v>
      </c>
      <c r="E43" s="11">
        <v>850</v>
      </c>
      <c r="F43" s="11"/>
      <c r="G43" s="11">
        <f t="shared" si="5"/>
        <v>207400</v>
      </c>
      <c r="H43" s="11"/>
      <c r="I43" s="11">
        <f>(D43*E43)-Table3[[#This Row],[Paid]]</f>
        <v>207400</v>
      </c>
      <c r="L43" s="42" t="s">
        <v>334</v>
      </c>
      <c r="M43" s="14">
        <v>108</v>
      </c>
      <c r="N43" s="14">
        <v>83700</v>
      </c>
      <c r="O43" s="14">
        <v>0</v>
      </c>
      <c r="P43" s="14">
        <v>83700</v>
      </c>
    </row>
    <row r="44" spans="1:16" hidden="1"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hidden="1"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hidden="1"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hidden="1"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hidden="1" x14ac:dyDescent="0.3">
      <c r="A48" s="1">
        <v>46383</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hidden="1" x14ac:dyDescent="0.3">
      <c r="A49" s="1">
        <v>46383</v>
      </c>
      <c r="B49" t="s">
        <v>169</v>
      </c>
      <c r="D49" s="11">
        <v>90</v>
      </c>
      <c r="E49" s="11">
        <v>775</v>
      </c>
      <c r="F49" s="11"/>
      <c r="G49" s="11">
        <f t="shared" si="8"/>
        <v>69750</v>
      </c>
      <c r="H49" s="11"/>
      <c r="I49" s="11">
        <f>(D49*E49)-Table3[[#This Row],[Paid]]</f>
        <v>69750</v>
      </c>
      <c r="L49" s="42" t="s">
        <v>103</v>
      </c>
      <c r="M49" s="14"/>
      <c r="N49" s="14">
        <v>0</v>
      </c>
      <c r="O49" s="14">
        <v>495251</v>
      </c>
      <c r="P49" s="14">
        <v>-495251</v>
      </c>
    </row>
    <row r="50" spans="1:16" hidden="1" x14ac:dyDescent="0.3">
      <c r="A50" s="1">
        <v>46383</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hidden="1" x14ac:dyDescent="0.3">
      <c r="A51" s="1">
        <v>46018</v>
      </c>
      <c r="B51" t="s">
        <v>169</v>
      </c>
      <c r="C51" t="s">
        <v>334</v>
      </c>
      <c r="D51" s="11">
        <v>108</v>
      </c>
      <c r="E51" s="11">
        <v>775</v>
      </c>
      <c r="F51" s="11"/>
      <c r="G51" s="11">
        <f t="shared" ref="G51:G53" si="9">D51*E51</f>
        <v>83700</v>
      </c>
      <c r="H51" s="11"/>
      <c r="I51" s="11">
        <f>(D51*E51)-Table3[[#This Row],[Paid]]</f>
        <v>83700</v>
      </c>
      <c r="L51" s="42" t="s">
        <v>103</v>
      </c>
      <c r="M51" s="14">
        <v>135</v>
      </c>
      <c r="N51" s="14">
        <v>95850</v>
      </c>
      <c r="O51" s="14"/>
      <c r="P51" s="14">
        <v>95850</v>
      </c>
    </row>
    <row r="52" spans="1:16" hidden="1"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hidden="1"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hidden="1"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hidden="1"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hidden="1"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hidden="1"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hidden="1"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hidden="1"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hidden="1"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hidden="1"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hidden="1"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hidden="1"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hidden="1"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hidden="1"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hidden="1" x14ac:dyDescent="0.3">
      <c r="A66" s="1">
        <v>46023</v>
      </c>
      <c r="B66" t="s">
        <v>200</v>
      </c>
      <c r="D66" s="11">
        <v>228</v>
      </c>
      <c r="E66" s="11">
        <v>820</v>
      </c>
      <c r="F66" s="11"/>
      <c r="G66" s="11">
        <f t="shared" ref="G66:G67" si="13">D66*E66</f>
        <v>186960</v>
      </c>
      <c r="H66" s="11"/>
      <c r="I66" s="11">
        <f>(D66*E66)-Table3[[#This Row],[Paid]]</f>
        <v>186960</v>
      </c>
      <c r="L66" s="26" t="s">
        <v>28</v>
      </c>
      <c r="M66" s="14">
        <v>6219</v>
      </c>
      <c r="N66" s="14">
        <v>4871670</v>
      </c>
      <c r="O66" s="14">
        <v>4186876</v>
      </c>
      <c r="P66" s="14">
        <v>4006222</v>
      </c>
    </row>
    <row r="67" spans="1:16" hidden="1"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row>
    <row r="68" spans="1:16" hidden="1" x14ac:dyDescent="0.3">
      <c r="A68" s="1">
        <v>46024</v>
      </c>
      <c r="B68" t="s">
        <v>200</v>
      </c>
      <c r="D68" s="11">
        <v>244</v>
      </c>
      <c r="E68" s="11">
        <v>850</v>
      </c>
      <c r="F68" s="11"/>
      <c r="G68" s="11">
        <f t="shared" ref="G68:G69" si="14">D68*E68</f>
        <v>207400</v>
      </c>
      <c r="H68" s="11"/>
      <c r="I68" s="11">
        <f>(D68*E68)-Table3[[#This Row],[Paid]]</f>
        <v>207400</v>
      </c>
    </row>
    <row r="69" spans="1:16" hidden="1"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hidden="1"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hidden="1"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hidden="1"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hidden="1"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hidden="1" x14ac:dyDescent="0.3">
      <c r="A74" s="1">
        <v>46022</v>
      </c>
      <c r="B74" t="s">
        <v>169</v>
      </c>
      <c r="D74" s="11">
        <v>135</v>
      </c>
      <c r="E74" s="11">
        <v>580</v>
      </c>
      <c r="F74" s="11"/>
      <c r="G74" s="11">
        <f t="shared" si="16"/>
        <v>78300</v>
      </c>
      <c r="H74" s="11"/>
      <c r="I74" s="11">
        <f>(D74*E74)-Table3[[#This Row],[Paid]]</f>
        <v>78300</v>
      </c>
    </row>
    <row r="75" spans="1:16" hidden="1"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hidden="1"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hidden="1" x14ac:dyDescent="0.3">
      <c r="A77" s="1">
        <v>46025</v>
      </c>
      <c r="B77" t="s">
        <v>169</v>
      </c>
      <c r="D77" s="11">
        <v>106</v>
      </c>
      <c r="E77" s="11">
        <v>775</v>
      </c>
      <c r="F77" s="11"/>
      <c r="G77" s="11">
        <f t="shared" si="17"/>
        <v>82150</v>
      </c>
      <c r="H77" s="11"/>
      <c r="I77" s="11">
        <f>(D77*E77)-Table3[[#This Row],[Paid]]</f>
        <v>82150</v>
      </c>
    </row>
    <row r="78" spans="1:16" hidden="1"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hidden="1" x14ac:dyDescent="0.3">
      <c r="A79" s="1">
        <v>46026</v>
      </c>
      <c r="B79" t="s">
        <v>169</v>
      </c>
      <c r="D79" s="11">
        <v>35</v>
      </c>
      <c r="E79" s="11">
        <v>580</v>
      </c>
      <c r="F79" s="11"/>
      <c r="G79" s="11">
        <f t="shared" ref="G79:G80" si="18">D79*E79</f>
        <v>20300</v>
      </c>
      <c r="H79" s="11"/>
      <c r="I79" s="11">
        <f>(D79*E79)-Table3[[#This Row],[Paid]]</f>
        <v>20300</v>
      </c>
    </row>
    <row r="80" spans="1:16" hidden="1"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hidden="1"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hidden="1"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c r="D83" s="14"/>
      <c r="E83" s="14"/>
      <c r="F83" s="14"/>
      <c r="G83" s="14">
        <f>SUBTOTAL(109,Table3[Total])</f>
        <v>39600</v>
      </c>
      <c r="H83" s="14">
        <f>SUBTOTAL(109,Table3[Paid])</f>
        <v>0</v>
      </c>
      <c r="I83" s="14">
        <f>SUBTOTAL(109,Table3[balance])</f>
        <v>39600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293" zoomScale="158" workbookViewId="0">
      <selection activeCell="B304" sqref="B30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21940564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21978070</v>
      </c>
      <c r="M5" s="45" t="s">
        <v>108</v>
      </c>
      <c r="N5" s="46">
        <f>(SUMIFS(Table14[Credit],Table14[Mode],"Bank")-SUMIFS(Table14[Debit],Table14[Mode],"Bank")-SUMIFS(Table14[Withdrawal],Table14[Mode],"Transfer"))</f>
        <v>698422</v>
      </c>
      <c r="O5">
        <v>360000</v>
      </c>
    </row>
    <row r="6" spans="1:16" x14ac:dyDescent="0.3">
      <c r="A6" s="38">
        <v>46009</v>
      </c>
      <c r="B6" t="s">
        <v>177</v>
      </c>
      <c r="C6" s="96">
        <v>3600</v>
      </c>
      <c r="D6" s="96"/>
      <c r="E6" t="s">
        <v>218</v>
      </c>
      <c r="F6" s="111" t="s">
        <v>108</v>
      </c>
      <c r="J6" s="52" t="s">
        <v>43</v>
      </c>
      <c r="K6" s="53">
        <f>(K5-K4)</f>
        <v>37506</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87506</v>
      </c>
      <c r="O7" s="90">
        <f>SUM(O5,O6)</f>
        <v>410000</v>
      </c>
      <c r="P7" s="14">
        <f>Table18[[#Totals],[amount]]-Table18[[#Totals],[Actual]]</f>
        <v>-322494</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180300</v>
      </c>
    </row>
    <row r="165" spans="1:12" x14ac:dyDescent="0.3">
      <c r="A165" s="38">
        <v>46018</v>
      </c>
      <c r="B165" t="s">
        <v>54</v>
      </c>
      <c r="C165" s="11">
        <v>2500</v>
      </c>
      <c r="D165" s="11"/>
      <c r="E165" t="s">
        <v>236</v>
      </c>
      <c r="F165" s="111" t="s">
        <v>108</v>
      </c>
      <c r="J165" s="4" t="s">
        <v>9</v>
      </c>
      <c r="K165" s="14">
        <v>952366</v>
      </c>
      <c r="L165" s="14"/>
    </row>
    <row r="166" spans="1:12" x14ac:dyDescent="0.3">
      <c r="A166" s="38">
        <v>46018</v>
      </c>
      <c r="B166" t="s">
        <v>55</v>
      </c>
      <c r="C166" s="11">
        <v>1000</v>
      </c>
      <c r="D166" s="11"/>
      <c r="F166" s="111" t="s">
        <v>108</v>
      </c>
      <c r="J166" s="4" t="s">
        <v>94</v>
      </c>
      <c r="K166" s="14"/>
      <c r="L166" s="14">
        <v>715235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86455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109468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370511</v>
      </c>
      <c r="L176" s="14">
        <v>113043</v>
      </c>
    </row>
    <row r="177" spans="1:12" x14ac:dyDescent="0.3">
      <c r="A177" s="116">
        <v>46020</v>
      </c>
      <c r="B177" t="s">
        <v>54</v>
      </c>
      <c r="C177" s="11">
        <v>7950</v>
      </c>
      <c r="D177" s="11"/>
      <c r="E177" t="s">
        <v>236</v>
      </c>
      <c r="F177" s="111" t="s">
        <v>108</v>
      </c>
      <c r="J177" s="4" t="s">
        <v>326</v>
      </c>
      <c r="K177" s="14">
        <v>408088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605400</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152</v>
      </c>
      <c r="K184" s="14">
        <v>1007920</v>
      </c>
      <c r="L184" s="14"/>
    </row>
    <row r="185" spans="1:12" x14ac:dyDescent="0.3">
      <c r="A185" s="116">
        <v>46021</v>
      </c>
      <c r="B185" t="s">
        <v>224</v>
      </c>
      <c r="C185" s="11"/>
      <c r="D185" s="11">
        <v>68900</v>
      </c>
      <c r="E185" t="s">
        <v>352</v>
      </c>
      <c r="F185" s="111" t="s">
        <v>108</v>
      </c>
      <c r="J185" s="4" t="s">
        <v>166</v>
      </c>
      <c r="K185" s="14">
        <v>1140000</v>
      </c>
      <c r="L185" s="14"/>
    </row>
    <row r="186" spans="1:12" x14ac:dyDescent="0.3">
      <c r="A186" s="38">
        <v>46021</v>
      </c>
      <c r="B186" t="s">
        <v>192</v>
      </c>
      <c r="C186" s="96"/>
      <c r="D186" s="96">
        <v>194000</v>
      </c>
      <c r="F186" s="111" t="s">
        <v>108</v>
      </c>
      <c r="J186" s="4" t="s">
        <v>169</v>
      </c>
      <c r="K186" s="14"/>
      <c r="L186" s="14">
        <v>1340800</v>
      </c>
    </row>
    <row r="187" spans="1:12" x14ac:dyDescent="0.3">
      <c r="A187" s="116">
        <v>46021</v>
      </c>
      <c r="B187" t="s">
        <v>199</v>
      </c>
      <c r="C187" s="11"/>
      <c r="D187" s="11">
        <v>100000</v>
      </c>
      <c r="E187" t="s">
        <v>338</v>
      </c>
      <c r="F187" s="111" t="s">
        <v>108</v>
      </c>
      <c r="J187" s="4" t="s">
        <v>192</v>
      </c>
      <c r="K187" s="14">
        <v>6493700</v>
      </c>
      <c r="L187" s="14">
        <v>13287982</v>
      </c>
    </row>
    <row r="188" spans="1:12" x14ac:dyDescent="0.3">
      <c r="A188" s="38">
        <v>46021</v>
      </c>
      <c r="B188" t="s">
        <v>199</v>
      </c>
      <c r="C188" s="96"/>
      <c r="D188" s="96">
        <v>100000</v>
      </c>
      <c r="E188" t="s">
        <v>225</v>
      </c>
      <c r="F188" s="111" t="s">
        <v>108</v>
      </c>
      <c r="J188" s="4" t="s">
        <v>198</v>
      </c>
      <c r="K188" s="14"/>
      <c r="L188" s="14">
        <v>750250</v>
      </c>
    </row>
    <row r="189" spans="1:12" x14ac:dyDescent="0.3">
      <c r="A189" s="116">
        <v>46021</v>
      </c>
      <c r="B189" t="s">
        <v>339</v>
      </c>
      <c r="C189" s="11"/>
      <c r="D189" s="11">
        <v>84970</v>
      </c>
      <c r="F189" s="111" t="s">
        <v>108</v>
      </c>
      <c r="J189" s="4" t="s">
        <v>179</v>
      </c>
      <c r="K189" s="14">
        <v>409310</v>
      </c>
      <c r="L189" s="14"/>
    </row>
    <row r="190" spans="1:12" x14ac:dyDescent="0.3">
      <c r="A190" s="38">
        <v>46021</v>
      </c>
      <c r="B190" t="s">
        <v>222</v>
      </c>
      <c r="C190" s="11">
        <f>883+150+150</f>
        <v>1183</v>
      </c>
      <c r="D190" s="11"/>
      <c r="F190" s="111" t="s">
        <v>108</v>
      </c>
      <c r="J190" s="4" t="s">
        <v>51</v>
      </c>
      <c r="K190" s="14"/>
      <c r="L190" s="14">
        <v>2047865</v>
      </c>
    </row>
    <row r="191" spans="1:12" x14ac:dyDescent="0.3">
      <c r="A191" s="116">
        <v>46021</v>
      </c>
      <c r="B191" t="s">
        <v>229</v>
      </c>
      <c r="C191" s="11">
        <v>200401</v>
      </c>
      <c r="D191" s="11"/>
      <c r="E191" t="s">
        <v>340</v>
      </c>
      <c r="F191" s="111" t="s">
        <v>108</v>
      </c>
      <c r="J191" s="4" t="s">
        <v>219</v>
      </c>
      <c r="K191" s="14"/>
      <c r="L191" s="14">
        <v>13400</v>
      </c>
    </row>
    <row r="192" spans="1:12" x14ac:dyDescent="0.3">
      <c r="A192" s="38">
        <v>46021</v>
      </c>
      <c r="B192" t="s">
        <v>341</v>
      </c>
      <c r="C192" s="11"/>
      <c r="D192" s="11">
        <v>239960</v>
      </c>
      <c r="F192" s="111" t="s">
        <v>108</v>
      </c>
      <c r="J192" s="4" t="s">
        <v>199</v>
      </c>
      <c r="K192" s="14">
        <v>993570</v>
      </c>
      <c r="L192" s="14"/>
    </row>
    <row r="193" spans="1:12" x14ac:dyDescent="0.3">
      <c r="A193" s="116">
        <v>46021</v>
      </c>
      <c r="B193" t="s">
        <v>169</v>
      </c>
      <c r="C193" s="11">
        <v>250000</v>
      </c>
      <c r="D193" s="11"/>
      <c r="F193" s="111" t="s">
        <v>108</v>
      </c>
      <c r="J193" s="4" t="s">
        <v>229</v>
      </c>
      <c r="K193" s="14"/>
      <c r="L193" s="14">
        <v>1856991</v>
      </c>
    </row>
    <row r="194" spans="1:12" x14ac:dyDescent="0.3">
      <c r="A194" s="38">
        <v>46021</v>
      </c>
      <c r="B194" t="s">
        <v>326</v>
      </c>
      <c r="C194" s="11"/>
      <c r="D194" s="11">
        <v>60000</v>
      </c>
      <c r="E194" t="s">
        <v>342</v>
      </c>
      <c r="F194" s="111" t="s">
        <v>108</v>
      </c>
      <c r="J194" s="4" t="s">
        <v>202</v>
      </c>
      <c r="K194" s="14"/>
      <c r="L194" s="14">
        <v>127000</v>
      </c>
    </row>
    <row r="195" spans="1:12" x14ac:dyDescent="0.3">
      <c r="A195" s="116">
        <v>46021</v>
      </c>
      <c r="B195" t="s">
        <v>192</v>
      </c>
      <c r="C195" s="11">
        <v>60000</v>
      </c>
      <c r="D195" s="11"/>
      <c r="E195" t="s">
        <v>343</v>
      </c>
      <c r="F195" s="111" t="s">
        <v>108</v>
      </c>
      <c r="J195" s="4" t="s">
        <v>216</v>
      </c>
      <c r="K195" s="14">
        <v>6866546</v>
      </c>
      <c r="L195" s="14"/>
    </row>
    <row r="196" spans="1:12" x14ac:dyDescent="0.3">
      <c r="A196" s="38">
        <v>46021</v>
      </c>
      <c r="B196" t="s">
        <v>256</v>
      </c>
      <c r="C196" s="11">
        <v>11850</v>
      </c>
      <c r="D196" s="11"/>
      <c r="E196" t="s">
        <v>294</v>
      </c>
      <c r="F196" s="111" t="s">
        <v>108</v>
      </c>
      <c r="J196" s="4" t="s">
        <v>256</v>
      </c>
      <c r="K196" s="14"/>
      <c r="L196" s="14">
        <v>66850</v>
      </c>
    </row>
    <row r="197" spans="1:12" x14ac:dyDescent="0.3">
      <c r="A197" s="116">
        <v>46021</v>
      </c>
      <c r="B197" t="s">
        <v>202</v>
      </c>
      <c r="C197" s="11">
        <v>27000</v>
      </c>
      <c r="D197" s="11"/>
      <c r="E197" t="s">
        <v>230</v>
      </c>
      <c r="F197" s="111" t="s">
        <v>108</v>
      </c>
      <c r="J197" s="4" t="s">
        <v>286</v>
      </c>
      <c r="K197" s="14">
        <v>996025</v>
      </c>
      <c r="L197" s="14"/>
    </row>
    <row r="198" spans="1:12" x14ac:dyDescent="0.3">
      <c r="A198" s="38">
        <v>46021</v>
      </c>
      <c r="B198" t="s">
        <v>233</v>
      </c>
      <c r="C198" s="11">
        <v>1300</v>
      </c>
      <c r="D198" s="11"/>
      <c r="E198" t="s">
        <v>344</v>
      </c>
      <c r="F198" s="111" t="s">
        <v>108</v>
      </c>
      <c r="J198" s="4" t="s">
        <v>302</v>
      </c>
      <c r="K198" s="14"/>
      <c r="L198" s="14">
        <v>162500</v>
      </c>
    </row>
    <row r="199" spans="1:12" x14ac:dyDescent="0.3">
      <c r="A199" s="116">
        <v>46021</v>
      </c>
      <c r="B199" t="s">
        <v>233</v>
      </c>
      <c r="C199" s="11">
        <v>60000</v>
      </c>
      <c r="D199" s="11"/>
      <c r="E199" t="s">
        <v>290</v>
      </c>
      <c r="F199" s="111" t="s">
        <v>108</v>
      </c>
      <c r="J199" s="4" t="s">
        <v>28</v>
      </c>
      <c r="K199" s="14">
        <v>21978070</v>
      </c>
      <c r="L199" s="14">
        <v>21940564</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46027</v>
      </c>
      <c r="C304" s="11"/>
      <c r="D304" s="11"/>
      <c r="F304" s="111"/>
    </row>
    <row r="305" spans="1:6" x14ac:dyDescent="0.3">
      <c r="A305" s="38"/>
      <c r="C305" s="14">
        <f>SUBTOTAL(109,Table14[Debit])</f>
        <v>21940564</v>
      </c>
      <c r="D305" s="14">
        <f>SUBTOTAL(109,Table14[Credit])</f>
        <v>21978070</v>
      </c>
      <c r="F305" s="54">
        <f>(Table14[[#Totals],[Credit]]-Table14[[#Totals],[Debit]])</f>
        <v>37506</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4"/>
      <c r="M10" s="134">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4">
        <v>183750</v>
      </c>
      <c r="M11" s="134">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4">
        <v>111250</v>
      </c>
      <c r="M12" s="134">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4">
        <v>84000</v>
      </c>
      <c r="M13" s="134">
        <v>34000</v>
      </c>
    </row>
    <row r="14" spans="1:14" x14ac:dyDescent="0.3">
      <c r="G14">
        <f>SUMIFS(Table14[Debit], Table14[Date], Table8[[#This Row],[Date]], Table14[Party], Table8[[#This Row],[Party]])</f>
        <v>0</v>
      </c>
      <c r="H14">
        <f>Table8[[#This Row],[Price]]-Table8[[#This Row],[Paid]]</f>
        <v>0</v>
      </c>
      <c r="K14" s="26">
        <v>46016</v>
      </c>
      <c r="L14" s="134">
        <v>162500</v>
      </c>
      <c r="M14" s="134">
        <v>0</v>
      </c>
    </row>
    <row r="15" spans="1:14" x14ac:dyDescent="0.3">
      <c r="G15">
        <f>SUMIFS(Table14[Debit], Table14[Date], Table8[[#This Row],[Date]], Table14[Party], Table8[[#This Row],[Party]])</f>
        <v>0</v>
      </c>
      <c r="H15">
        <f>Table8[[#This Row],[Price]]-Table8[[#This Row],[Paid]]</f>
        <v>0</v>
      </c>
      <c r="K15" s="26">
        <v>46018</v>
      </c>
      <c r="L15" s="134">
        <v>111000</v>
      </c>
      <c r="M15" s="134">
        <v>27000</v>
      </c>
    </row>
    <row r="16" spans="1:14" x14ac:dyDescent="0.3">
      <c r="E16">
        <f>SUBTOTAL(109,Table8[Price])</f>
        <v>1019750</v>
      </c>
      <c r="H16">
        <f>SUBTOTAL(109,Table8[Balance])</f>
        <v>107000</v>
      </c>
      <c r="K16" s="26">
        <v>46020</v>
      </c>
      <c r="L16" s="134">
        <v>180250</v>
      </c>
      <c r="M16" s="134">
        <v>19250</v>
      </c>
    </row>
    <row r="17" spans="1:13" x14ac:dyDescent="0.3">
      <c r="K17" s="26">
        <v>46024</v>
      </c>
      <c r="L17" s="134"/>
      <c r="M17" s="134">
        <v>-80250</v>
      </c>
    </row>
    <row r="18" spans="1:13" x14ac:dyDescent="0.3">
      <c r="K18" s="26">
        <v>46025</v>
      </c>
      <c r="L18" s="134">
        <v>187000</v>
      </c>
      <c r="M18" s="134">
        <v>107000</v>
      </c>
    </row>
    <row r="19" spans="1:13" x14ac:dyDescent="0.3">
      <c r="K19" s="4" t="s">
        <v>103</v>
      </c>
      <c r="L19" s="134"/>
      <c r="M19" s="134">
        <v>0</v>
      </c>
    </row>
    <row r="20" spans="1:13" x14ac:dyDescent="0.3">
      <c r="K20" s="4" t="s">
        <v>28</v>
      </c>
      <c r="L20" s="134">
        <v>1019750</v>
      </c>
      <c r="M20" s="134">
        <v>107000</v>
      </c>
    </row>
    <row r="21" spans="1:13" x14ac:dyDescent="0.3">
      <c r="A21" t="s">
        <v>57</v>
      </c>
      <c r="B21" t="s">
        <v>156</v>
      </c>
      <c r="C21" t="s">
        <v>157</v>
      </c>
      <c r="D21" t="s">
        <v>4</v>
      </c>
      <c r="E21" t="s">
        <v>158</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34">
        <v>0</v>
      </c>
      <c r="L5" s="134">
        <v>0</v>
      </c>
      <c r="M5" s="134">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34">
        <v>0</v>
      </c>
      <c r="L6" s="134">
        <v>150000</v>
      </c>
      <c r="M6" s="134">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34">
        <v>351000</v>
      </c>
      <c r="L7" s="134">
        <v>0</v>
      </c>
      <c r="M7" s="134">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34">
        <v>0</v>
      </c>
      <c r="L8" s="134">
        <v>0</v>
      </c>
      <c r="M8" s="134">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34">
        <v>0</v>
      </c>
      <c r="L9" s="134">
        <v>0</v>
      </c>
      <c r="M9" s="134">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34">
        <v>0</v>
      </c>
      <c r="L10" s="134">
        <v>0</v>
      </c>
      <c r="M10" s="134">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34">
        <v>351000</v>
      </c>
      <c r="L11" s="134">
        <v>150000</v>
      </c>
      <c r="M11" s="134">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1113614</v>
      </c>
      <c r="C2" s="32">
        <f>GETPIVOTDATA("Sum of Tiyaar/gaz",$A$3)</f>
        <v>1069030.8824</v>
      </c>
      <c r="D2" s="31">
        <f>((B2*48)+((C2/1.0936)*10))/C2</f>
        <v>59.14591458276346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61388</v>
      </c>
      <c r="C33" s="14">
        <v>46709</v>
      </c>
      <c r="D33" s="28">
        <f t="shared" ref="D33:D37" si="7">I33</f>
        <v>72.228827200013754</v>
      </c>
      <c r="E33" s="11">
        <f t="shared" ref="E33:E37" si="8">B33 * 1.0936</f>
        <v>67133.916799999992</v>
      </c>
      <c r="F33" s="11">
        <f t="shared" ref="F33:F37" si="9">C33</f>
        <v>46709</v>
      </c>
      <c r="G33" s="78">
        <f t="shared" ref="G33:G37" si="10">100- (F33/E33 *100)</f>
        <v>30.424139948289138</v>
      </c>
      <c r="H33" s="28">
        <f t="shared" ref="H33:H37" si="11">F33/1.0936</f>
        <v>42711.228968544259</v>
      </c>
      <c r="I33" s="28">
        <f t="shared" ref="I33:I37" si="12">((B33*48)+(H33*10))/C33</f>
        <v>72.228827200013754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9524</v>
      </c>
      <c r="D39" s="28">
        <f t="shared" ref="D39:D44" si="13">I39</f>
        <v>69.648101112593693</v>
      </c>
      <c r="E39" s="11">
        <f t="shared" ref="E39:E44" si="14">B39 * 1.0936</f>
        <v>13128.668</v>
      </c>
      <c r="F39" s="11">
        <f t="shared" ref="F39:F44" si="15">C39</f>
        <v>9524</v>
      </c>
      <c r="G39" s="78">
        <f t="shared" ref="G39:G44" si="16">100- (F39/E39 *100)</f>
        <v>27.456463976391206</v>
      </c>
      <c r="H39" s="28">
        <f t="shared" ref="H39:H44" si="17">F39/1.0936</f>
        <v>8708.8514996342365</v>
      </c>
      <c r="I39" s="28">
        <f t="shared" ref="I39:I44" si="18">((B39*48)+(H39*10))/C39</f>
        <v>69.648101112593693</v>
      </c>
    </row>
    <row r="40" spans="1:9" x14ac:dyDescent="0.3">
      <c r="A40" s="16">
        <v>2008</v>
      </c>
      <c r="B40" s="14"/>
      <c r="C40" s="14">
        <v>6008</v>
      </c>
      <c r="D40" s="28">
        <f t="shared" si="13"/>
        <v>9.144111192392101</v>
      </c>
      <c r="E40" s="11">
        <f t="shared" si="14"/>
        <v>0</v>
      </c>
      <c r="F40" s="11">
        <f t="shared" si="15"/>
        <v>6008</v>
      </c>
      <c r="G40" s="78" t="e">
        <f t="shared" si="16"/>
        <v>#DIV/0!</v>
      </c>
      <c r="H40" s="28">
        <f t="shared" si="17"/>
        <v>5493.7820043891743</v>
      </c>
      <c r="I40" s="28">
        <f t="shared" si="18"/>
        <v>9.144111192392101</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32910</v>
      </c>
      <c r="D44" s="28">
        <f t="shared" si="13"/>
        <v>83.54192340752428</v>
      </c>
      <c r="E44" s="11">
        <f t="shared" si="14"/>
        <v>55783.442399999993</v>
      </c>
      <c r="F44" s="11">
        <f t="shared" si="15"/>
        <v>32910</v>
      </c>
      <c r="G44" s="78">
        <f t="shared" si="16"/>
        <v>41.003999423312742</v>
      </c>
      <c r="H44" s="28">
        <f t="shared" si="17"/>
        <v>30093.269934162403</v>
      </c>
      <c r="I44" s="28">
        <f t="shared" si="18"/>
        <v>83.54192340752428</v>
      </c>
    </row>
    <row r="45" spans="1:9" x14ac:dyDescent="0.3">
      <c r="A45" s="16">
        <v>1991</v>
      </c>
      <c r="B45" s="14">
        <v>25470</v>
      </c>
      <c r="C45" s="14">
        <v>13785</v>
      </c>
      <c r="D45" s="28">
        <f t="shared" ref="D45:D58" si="19">I45</f>
        <v>97.831815218507444</v>
      </c>
      <c r="E45" s="11">
        <f t="shared" ref="E45:E58" si="20">B45 * 1.0936</f>
        <v>27853.991999999998</v>
      </c>
      <c r="F45" s="11">
        <f t="shared" ref="F45:F58" si="21">C45</f>
        <v>13785</v>
      </c>
      <c r="G45" s="78">
        <f t="shared" ref="G45:G58" si="22">100- (F45/E45 *100)</f>
        <v>50.509786891588107</v>
      </c>
      <c r="H45" s="28">
        <f t="shared" ref="H45:H58" si="23">F45/1.0936</f>
        <v>12605.15727871251</v>
      </c>
      <c r="I45" s="28">
        <f t="shared" ref="I45:I58" si="24">((B45*48)+(H45*10))/C45</f>
        <v>97.831815218507444</v>
      </c>
    </row>
    <row r="46" spans="1:9" x14ac:dyDescent="0.3">
      <c r="A46" s="16" t="s">
        <v>28</v>
      </c>
      <c r="B46" s="30">
        <v>80202</v>
      </c>
      <c r="C46" s="30">
        <v>1069030.8824</v>
      </c>
      <c r="D46" s="28">
        <f t="shared" si="19"/>
        <v>12.745219507764</v>
      </c>
      <c r="E46" s="11">
        <f t="shared" si="20"/>
        <v>87708.907199999987</v>
      </c>
      <c r="F46" s="11">
        <f t="shared" si="21"/>
        <v>1069030.8824</v>
      </c>
      <c r="G46" s="78">
        <f t="shared" si="22"/>
        <v>-1118.8395871383063</v>
      </c>
      <c r="H46" s="28">
        <f t="shared" si="23"/>
        <v>977533.72567666427</v>
      </c>
      <c r="I46" s="28">
        <f t="shared" si="24"/>
        <v>12.745219507764</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86455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7857264.1931236349</v>
      </c>
    </row>
    <row r="3" spans="1:3" ht="21" x14ac:dyDescent="0.4">
      <c r="A3" s="102" t="str">
        <f>Billing!Q6</f>
        <v>Ejaz Sahab</v>
      </c>
      <c r="B3" s="105">
        <f>Billing!AD6</f>
        <v>4371992</v>
      </c>
      <c r="C3" s="103">
        <f>Billing!AE6</f>
        <v>243937.95610826649</v>
      </c>
    </row>
    <row r="4" spans="1:3" ht="21" x14ac:dyDescent="0.4">
      <c r="A4" s="102" t="str">
        <f>Billing!Q7</f>
        <v>Arshad</v>
      </c>
      <c r="B4" s="105">
        <f>Billing!AD7</f>
        <v>6955301</v>
      </c>
      <c r="C4" s="104">
        <f>Billing!AE7</f>
        <v>274048.853694221</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2411380</v>
      </c>
      <c r="C12" s="103">
        <f>Billing!AE15</f>
        <v>341317.51280175615</v>
      </c>
    </row>
    <row r="13" spans="1:3" ht="21" x14ac:dyDescent="0.4">
      <c r="A13" s="102" t="str">
        <f>Billing!Q16</f>
        <v>Badshah Fabrics</v>
      </c>
      <c r="B13" s="105">
        <f>Billing!AD16</f>
        <v>6065761</v>
      </c>
      <c r="C13" s="103">
        <f>Billing!AE16</f>
        <v>256543.31602048315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996025</v>
      </c>
      <c r="C21" s="103">
        <f>Billing!AE24</f>
        <v>100107.95537673752</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37" priority="1" operator="lessThan">
      <formula>10</formula>
    </cfRule>
  </conditionalFormatting>
  <conditionalFormatting sqref="C2:C29">
    <cfRule type="cellIs" dxfId="3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2026-01-05T22:02:47Z</dcterms:modified>
  <cp:category/>
  <cp:contentStatus/>
</cp:coreProperties>
</file>