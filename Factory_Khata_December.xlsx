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682" documentId="13_ncr:1_{89B07303-4F83-4416-81AD-F450F7417961}" xr6:coauthVersionLast="47" xr6:coauthVersionMax="47" xr10:uidLastSave="{6F0E24AF-EF8E-4071-AA01-BDB215DF2992}"/>
  <bookViews>
    <workbookView xWindow="-108" yWindow="-108" windowWidth="23256" windowHeight="12456" tabRatio="597" firstSheet="8"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5" l="1"/>
  <c r="F20" i="15"/>
  <c r="G17" i="15"/>
  <c r="H17" i="15" s="1"/>
  <c r="G18" i="15"/>
  <c r="H18" i="15" s="1"/>
  <c r="G19" i="15"/>
  <c r="H19" i="15" s="1"/>
  <c r="G20" i="15"/>
  <c r="H20" i="15" s="1"/>
  <c r="I182" i="1"/>
  <c r="J182" i="1" a="1"/>
  <c r="J182" i="1"/>
  <c r="I183" i="1"/>
  <c r="J183" i="1" a="1"/>
  <c r="J183" i="1"/>
  <c r="I184" i="1"/>
  <c r="J184" i="1" a="1"/>
  <c r="J184" i="1"/>
  <c r="I185" i="1"/>
  <c r="J185" i="1" a="1"/>
  <c r="J185" i="1"/>
  <c r="I186" i="1"/>
  <c r="J186" i="1" a="1"/>
  <c r="J186" i="1"/>
  <c r="I187" i="1"/>
  <c r="J187" i="1" a="1"/>
  <c r="J187" i="1"/>
  <c r="I188" i="1"/>
  <c r="J188" i="1" a="1"/>
  <c r="J188" i="1"/>
  <c r="I189" i="1"/>
  <c r="J189" i="1" a="1"/>
  <c r="J189" i="1"/>
  <c r="I190" i="1"/>
  <c r="J190" i="1" a="1"/>
  <c r="J190" i="1"/>
  <c r="I191" i="1"/>
  <c r="J191" i="1" a="1"/>
  <c r="J191" i="1"/>
  <c r="H192" i="1"/>
  <c r="H193" i="1"/>
  <c r="H194" i="1"/>
  <c r="H188" i="1"/>
  <c r="I177" i="1"/>
  <c r="J177" i="1" a="1"/>
  <c r="J177" i="1" s="1"/>
  <c r="I178" i="1"/>
  <c r="J178" i="1" a="1"/>
  <c r="J178" i="1" s="1"/>
  <c r="I179" i="1"/>
  <c r="J179" i="1" s="1" a="1"/>
  <c r="J179" i="1" s="1"/>
  <c r="I180" i="1"/>
  <c r="J180" i="1" s="1" a="1"/>
  <c r="J180" i="1" s="1"/>
  <c r="I181" i="1"/>
  <c r="J181" i="1" a="1"/>
  <c r="J181" i="1" s="1"/>
  <c r="I175" i="1"/>
  <c r="J175" i="1" a="1"/>
  <c r="J175" i="1" s="1"/>
  <c r="I176" i="1"/>
  <c r="J176" i="1" s="1" a="1"/>
  <c r="J176" i="1" s="1"/>
  <c r="H182" i="1"/>
  <c r="G116" i="6"/>
  <c r="G117" i="6"/>
  <c r="G118" i="6"/>
  <c r="G119" i="6"/>
  <c r="G120" i="6"/>
  <c r="G121" i="6"/>
  <c r="I116" i="6"/>
  <c r="I117" i="6"/>
  <c r="I118" i="6"/>
  <c r="I119" i="6"/>
  <c r="I120" i="6"/>
  <c r="I121" i="6"/>
  <c r="H113" i="6"/>
  <c r="I113" i="6" s="1"/>
  <c r="H114" i="6"/>
  <c r="I114" i="6" s="1"/>
  <c r="H115" i="6"/>
  <c r="I115" i="6" s="1"/>
  <c r="G115" i="6"/>
  <c r="G114" i="6"/>
  <c r="G113" i="6"/>
  <c r="C5" i="8"/>
  <c r="I167" i="1"/>
  <c r="J167" i="1" s="1" a="1"/>
  <c r="J167" i="1" s="1"/>
  <c r="I168" i="1"/>
  <c r="J168" i="1" s="1" a="1"/>
  <c r="J168" i="1" s="1"/>
  <c r="I169" i="1"/>
  <c r="J169" i="1" a="1"/>
  <c r="J169" i="1" s="1"/>
  <c r="I170" i="1"/>
  <c r="J170" i="1" s="1" a="1"/>
  <c r="J170" i="1" s="1"/>
  <c r="I171" i="1"/>
  <c r="J171" i="1" s="1" a="1"/>
  <c r="J171" i="1" s="1"/>
  <c r="I172" i="1"/>
  <c r="J172" i="1" s="1" a="1"/>
  <c r="J172" i="1" s="1"/>
  <c r="I173" i="1"/>
  <c r="J173" i="1" s="1" a="1"/>
  <c r="J173" i="1" s="1"/>
  <c r="I174" i="1"/>
  <c r="J174" i="1" s="1" a="1"/>
  <c r="J174" i="1" s="1"/>
  <c r="G14" i="15"/>
  <c r="H14" i="15" s="1"/>
  <c r="G15" i="15"/>
  <c r="H15" i="15" s="1"/>
  <c r="G16" i="15"/>
  <c r="H16" i="15" s="1"/>
  <c r="I164" i="1"/>
  <c r="J164" i="1" s="1" a="1"/>
  <c r="J164" i="1" s="1"/>
  <c r="I165" i="1"/>
  <c r="J165" i="1" a="1"/>
  <c r="J165" i="1" s="1"/>
  <c r="I166" i="1"/>
  <c r="J166" i="1" a="1"/>
  <c r="J166" i="1" s="1"/>
  <c r="H108" i="6"/>
  <c r="I108" i="6" s="1"/>
  <c r="G111" i="6"/>
  <c r="G112" i="6"/>
  <c r="H110" i="6"/>
  <c r="I110" i="6" s="1"/>
  <c r="H111" i="6"/>
  <c r="I111" i="6" s="1"/>
  <c r="H112" i="6"/>
  <c r="I112" i="6" s="1"/>
  <c r="H109" i="6"/>
  <c r="I109" i="6" s="1"/>
  <c r="H107" i="6"/>
  <c r="I107" i="6" s="1"/>
  <c r="I161" i="1"/>
  <c r="J161" i="1" s="1" a="1"/>
  <c r="J161" i="1" s="1"/>
  <c r="I162" i="1"/>
  <c r="J162" i="1" s="1" a="1"/>
  <c r="J162" i="1" s="1"/>
  <c r="I163" i="1"/>
  <c r="J163" i="1" s="1" a="1"/>
  <c r="J163" i="1" s="1"/>
  <c r="H106" i="6"/>
  <c r="I106" i="6" s="1"/>
  <c r="H103" i="6"/>
  <c r="I103" i="6" s="1"/>
  <c r="H104" i="6"/>
  <c r="I104" i="6" s="1"/>
  <c r="H105" i="6"/>
  <c r="I105" i="6" s="1"/>
  <c r="G103" i="6"/>
  <c r="G104" i="6"/>
  <c r="G105" i="6"/>
  <c r="G106" i="6"/>
  <c r="G107" i="6"/>
  <c r="G108" i="6"/>
  <c r="G109" i="6"/>
  <c r="G110" i="6"/>
  <c r="H102" i="6"/>
  <c r="I102" i="6" s="1"/>
  <c r="I159" i="1"/>
  <c r="J159" i="1" s="1" a="1"/>
  <c r="J159" i="1" s="1"/>
  <c r="I160" i="1"/>
  <c r="J160" i="1" s="1" a="1"/>
  <c r="J160" i="1" s="1"/>
  <c r="C420" i="17"/>
  <c r="G19" i="7"/>
  <c r="H19" i="7" s="1"/>
  <c r="G20" i="7"/>
  <c r="H20" i="7" s="1"/>
  <c r="G21" i="7"/>
  <c r="H21" i="7" s="1"/>
  <c r="G22" i="7"/>
  <c r="H22" i="7" s="1"/>
  <c r="G23" i="7"/>
  <c r="H23" i="7" s="1"/>
  <c r="G5" i="15"/>
  <c r="G6" i="15"/>
  <c r="G7" i="15"/>
  <c r="G8" i="15"/>
  <c r="G9" i="15"/>
  <c r="G10" i="15"/>
  <c r="H10" i="15" s="1"/>
  <c r="G11" i="15"/>
  <c r="G12" i="15"/>
  <c r="G13" i="15"/>
  <c r="G99" i="6"/>
  <c r="G100" i="6"/>
  <c r="G101" i="6"/>
  <c r="G102" i="6"/>
  <c r="I99" i="6"/>
  <c r="I100" i="6"/>
  <c r="I101" i="6"/>
  <c r="H98" i="6"/>
  <c r="I98" i="6" s="1"/>
  <c r="H97" i="6"/>
  <c r="I97" i="6" s="1"/>
  <c r="H94" i="6"/>
  <c r="I94" i="6" s="1"/>
  <c r="H95" i="6"/>
  <c r="I95" i="6" s="1"/>
  <c r="H96" i="6"/>
  <c r="I96" i="6" s="1"/>
  <c r="H93" i="6"/>
  <c r="I93" i="6"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J155" i="1" a="1"/>
  <c r="J155" i="1" s="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J137" i="1" s="1" a="1"/>
  <c r="J137" i="1" s="1"/>
  <c r="I138" i="1"/>
  <c r="J138" i="1" s="1" a="1"/>
  <c r="J138" i="1" s="1"/>
  <c r="I139" i="1"/>
  <c r="J139" i="1" s="1" a="1"/>
  <c r="J139" i="1" s="1"/>
  <c r="I140" i="1"/>
  <c r="J140" i="1" s="1" a="1"/>
  <c r="J140" i="1" s="1"/>
  <c r="I141" i="1"/>
  <c r="J141" i="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c r="J100" i="1" a="1"/>
  <c r="J100" i="1" s="1"/>
  <c r="I69" i="1"/>
  <c r="J69" i="1" a="1"/>
  <c r="J69" i="1" s="1"/>
  <c r="H44" i="6"/>
  <c r="I44" i="6"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C599" i="17" s="1"/>
  <c r="K4" i="17" s="1"/>
  <c r="O112" i="9"/>
  <c r="AD33" i="9"/>
  <c r="B21" i="21"/>
  <c r="D3" i="17"/>
  <c r="D2" i="17"/>
  <c r="B4" i="21"/>
  <c r="H53" i="6"/>
  <c r="I53" i="6" s="1"/>
  <c r="H52" i="6"/>
  <c r="I52" i="6" s="1"/>
  <c r="G54" i="6"/>
  <c r="G55" i="6"/>
  <c r="I54" i="6"/>
  <c r="I55" i="6"/>
  <c r="G51" i="6"/>
  <c r="G52" i="6"/>
  <c r="G53" i="6"/>
  <c r="I94" i="1"/>
  <c r="J94" i="1" a="1"/>
  <c r="J94" i="1" s="1"/>
  <c r="I95" i="1"/>
  <c r="J95" i="1" s="1" a="1"/>
  <c r="J95" i="1" s="1"/>
  <c r="I99" i="1"/>
  <c r="J99" i="1" s="1" a="1"/>
  <c r="J99" i="1" s="1"/>
  <c r="I102" i="1"/>
  <c r="J102" i="1" s="1" a="1"/>
  <c r="J102" i="1" s="1"/>
  <c r="G98" i="1"/>
  <c r="I98" i="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a="1"/>
  <c r="J81" i="1" s="1"/>
  <c r="I82" i="1"/>
  <c r="J82" i="1" a="1"/>
  <c r="J82" i="1" s="1"/>
  <c r="I83" i="1"/>
  <c r="J83" i="1" s="1" a="1"/>
  <c r="J83" i="1" s="1"/>
  <c r="I84" i="1"/>
  <c r="J84" i="1" s="1" a="1"/>
  <c r="J84" i="1" s="1"/>
  <c r="I85" i="1"/>
  <c r="J85" i="1" s="1" a="1"/>
  <c r="J85" i="1" s="1"/>
  <c r="I86" i="1"/>
  <c r="J86" i="1" s="1" a="1"/>
  <c r="J86" i="1" s="1"/>
  <c r="I87" i="1"/>
  <c r="J87" i="1" s="1" a="1"/>
  <c r="J87" i="1" s="1"/>
  <c r="I88" i="1"/>
  <c r="I89" i="1"/>
  <c r="J89" i="1" a="1"/>
  <c r="J89" i="1" s="1"/>
  <c r="I90" i="1"/>
  <c r="J90" i="1" s="1" a="1"/>
  <c r="J90" i="1" s="1"/>
  <c r="I91" i="1"/>
  <c r="J91" i="1" s="1" a="1"/>
  <c r="J91" i="1" s="1"/>
  <c r="I92" i="1"/>
  <c r="J92" i="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a="1"/>
  <c r="J73" i="1" s="1"/>
  <c r="I74" i="1"/>
  <c r="J74" i="1" s="1" a="1"/>
  <c r="J74" i="1" s="1"/>
  <c r="I75" i="1"/>
  <c r="J75" i="1" s="1" a="1"/>
  <c r="J75" i="1" s="1"/>
  <c r="I76" i="1"/>
  <c r="J76" i="1" s="1" a="1"/>
  <c r="J76" i="1" s="1"/>
  <c r="C106" i="17"/>
  <c r="C7" i="8"/>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21" i="15" s="1"/>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c r="K27" i="15"/>
  <c r="K26" i="15"/>
  <c r="K25" i="15"/>
  <c r="K30" i="15" s="1"/>
  <c r="C6" i="8" s="1"/>
  <c r="B49" i="9" a="1"/>
  <c r="H65" i="9" s="1" a="1"/>
  <c r="H65" i="9" s="1"/>
  <c r="E24" i="7"/>
  <c r="F11" i="15"/>
  <c r="F12" i="15"/>
  <c r="F13" i="15"/>
  <c r="O77" i="9"/>
  <c r="O78" i="9"/>
  <c r="I36" i="12"/>
  <c r="J35" i="14"/>
  <c r="J36" i="14"/>
  <c r="D35" i="14"/>
  <c r="D36" i="14"/>
  <c r="D35" i="18"/>
  <c r="D36" i="18"/>
  <c r="D37" i="18"/>
  <c r="E35" i="18"/>
  <c r="E36" i="18"/>
  <c r="E37" i="18"/>
  <c r="J25" i="15"/>
  <c r="J27" i="15"/>
  <c r="J30" i="15" s="1"/>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G74" i="2" s="1"/>
  <c r="F74" i="2"/>
  <c r="H74" i="2"/>
  <c r="I74" i="2" s="1"/>
  <c r="D74" i="2" s="1"/>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3"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s="1"/>
  <c r="F56" i="2"/>
  <c r="E57" i="2"/>
  <c r="F57" i="2"/>
  <c r="H57" i="2"/>
  <c r="I57" i="2" s="1"/>
  <c r="D57" i="2" s="1"/>
  <c r="E58" i="2"/>
  <c r="F58" i="2"/>
  <c r="F27" i="2"/>
  <c r="H27" i="2" s="1"/>
  <c r="I27" i="2" s="1"/>
  <c r="D27" i="2" s="1"/>
  <c r="E27" i="2"/>
  <c r="E59" i="2"/>
  <c r="F59" i="2"/>
  <c r="F28" i="2"/>
  <c r="H28" i="2" s="1"/>
  <c r="I28" i="2" s="1"/>
  <c r="D28" i="2" s="1"/>
  <c r="E28" i="2"/>
  <c r="E60" i="2"/>
  <c r="F60" i="2"/>
  <c r="H60" i="2"/>
  <c r="I60" i="2"/>
  <c r="D60" i="2" s="1"/>
  <c r="E61" i="2"/>
  <c r="F61" i="2"/>
  <c r="H61" i="2"/>
  <c r="I61" i="2" s="1"/>
  <c r="D61" i="2" s="1"/>
  <c r="E62" i="2"/>
  <c r="F62" i="2"/>
  <c r="H62" i="2" s="1"/>
  <c r="I62" i="2" s="1"/>
  <c r="D62" i="2" s="1"/>
  <c r="E63" i="2"/>
  <c r="G63" i="2" s="1"/>
  <c r="H168" i="1" s="1"/>
  <c r="F63" i="2"/>
  <c r="H63" i="2"/>
  <c r="I63" i="2" s="1"/>
  <c r="D63" i="2" s="1"/>
  <c r="E64" i="2"/>
  <c r="F64" i="2"/>
  <c r="H64" i="2" s="1"/>
  <c r="I64" i="2" s="1"/>
  <c r="D64" i="2" s="1"/>
  <c r="E65" i="2"/>
  <c r="F65" i="2"/>
  <c r="G65" i="2"/>
  <c r="E66" i="2"/>
  <c r="F66" i="2"/>
  <c r="G66" i="2" s="1"/>
  <c r="H66" i="2"/>
  <c r="I66" i="2" s="1"/>
  <c r="D66" i="2" s="1"/>
  <c r="E67" i="2"/>
  <c r="F67" i="2"/>
  <c r="H67" i="2" s="1"/>
  <c r="I67" i="2" s="1"/>
  <c r="D67" i="2" s="1"/>
  <c r="E68" i="2"/>
  <c r="F68" i="2"/>
  <c r="G68" i="2" s="1"/>
  <c r="E69" i="2"/>
  <c r="F69" i="2"/>
  <c r="H69" i="2" s="1"/>
  <c r="I69" i="2" s="1"/>
  <c r="D69" i="2" s="1"/>
  <c r="E70" i="2"/>
  <c r="G70" i="2" s="1"/>
  <c r="F70" i="2"/>
  <c r="H70" i="2"/>
  <c r="I70" i="2" s="1"/>
  <c r="D70" i="2" s="1"/>
  <c r="E71" i="2"/>
  <c r="F71" i="2"/>
  <c r="H71" i="2"/>
  <c r="I71" i="2"/>
  <c r="D71" i="2" s="1"/>
  <c r="E72" i="2"/>
  <c r="F72" i="2"/>
  <c r="H72" i="2"/>
  <c r="I72" i="2" s="1"/>
  <c r="D72" i="2" s="1"/>
  <c r="E73" i="2"/>
  <c r="F73" i="2"/>
  <c r="H73" i="2"/>
  <c r="I73" i="2" s="1"/>
  <c r="D73" i="2" s="1"/>
  <c r="E45" i="2"/>
  <c r="G45" i="2" s="1"/>
  <c r="F45" i="2"/>
  <c r="H45" i="2"/>
  <c r="I45" i="2" s="1"/>
  <c r="D45" i="2" s="1"/>
  <c r="E46" i="2"/>
  <c r="F46" i="2"/>
  <c r="E47" i="2"/>
  <c r="F47" i="2"/>
  <c r="H47" i="2"/>
  <c r="I47" i="2" s="1"/>
  <c r="D47" i="2" s="1"/>
  <c r="E48" i="2"/>
  <c r="G48" i="2" s="1"/>
  <c r="H141" i="1" s="1"/>
  <c r="F48" i="2"/>
  <c r="F20" i="2"/>
  <c r="E20" i="2"/>
  <c r="E49" i="2"/>
  <c r="F49" i="2"/>
  <c r="H49" i="2"/>
  <c r="I49" i="2" s="1"/>
  <c r="D49" i="2" s="1"/>
  <c r="F21" i="2"/>
  <c r="H21" i="2" s="1"/>
  <c r="I21" i="2" s="1"/>
  <c r="D21" i="2" s="1"/>
  <c r="E21" i="2"/>
  <c r="E50" i="2"/>
  <c r="F50" i="2"/>
  <c r="E51" i="2"/>
  <c r="F51" i="2"/>
  <c r="H51" i="2"/>
  <c r="I51" i="2" s="1"/>
  <c r="D51" i="2" s="1"/>
  <c r="E52" i="2"/>
  <c r="F52" i="2"/>
  <c r="H52" i="2"/>
  <c r="I52" i="2"/>
  <c r="D52" i="2" s="1"/>
  <c r="E53" i="2"/>
  <c r="F53" i="2"/>
  <c r="H53" i="2"/>
  <c r="I53" i="2" s="1"/>
  <c r="D53" i="2" s="1"/>
  <c r="E54" i="2"/>
  <c r="F54" i="2"/>
  <c r="F24" i="2"/>
  <c r="H24" i="2" s="1"/>
  <c r="I24" i="2" s="1"/>
  <c r="D24" i="2" s="1"/>
  <c r="E24" i="2"/>
  <c r="E55" i="2"/>
  <c r="F55" i="2"/>
  <c r="H55" i="2"/>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c r="D6" i="2" s="1"/>
  <c r="E6" i="2"/>
  <c r="F5" i="2"/>
  <c r="H5" i="2"/>
  <c r="I5" i="2" s="1"/>
  <c r="D5" i="2" s="1"/>
  <c r="E5" i="2"/>
  <c r="E34" i="2"/>
  <c r="F34" i="2"/>
  <c r="H34" i="2" s="1"/>
  <c r="I34" i="2" s="1"/>
  <c r="D34" i="2" s="1"/>
  <c r="F18" i="2"/>
  <c r="H18" i="2"/>
  <c r="I18" i="2" s="1"/>
  <c r="D18" i="2" s="1"/>
  <c r="E18" i="2"/>
  <c r="E35" i="2"/>
  <c r="F35" i="2"/>
  <c r="H35" i="2"/>
  <c r="I35" i="2" s="1"/>
  <c r="D35" i="2" s="1"/>
  <c r="E36" i="2"/>
  <c r="F36" i="2"/>
  <c r="H36" i="2" s="1"/>
  <c r="I36" i="2" s="1"/>
  <c r="D36" i="2" s="1"/>
  <c r="F22" i="2"/>
  <c r="H22" i="2" s="1"/>
  <c r="I22" i="2" s="1"/>
  <c r="D22" i="2" s="1"/>
  <c r="E22" i="2"/>
  <c r="F7" i="2"/>
  <c r="H7" i="2" s="1"/>
  <c r="I7" i="2" s="1"/>
  <c r="D7" i="2" s="1"/>
  <c r="E7" i="2"/>
  <c r="E37" i="2"/>
  <c r="F37" i="2"/>
  <c r="H37" i="2"/>
  <c r="I37" i="2" s="1"/>
  <c r="D37" i="2" s="1"/>
  <c r="E39" i="2"/>
  <c r="F39" i="2"/>
  <c r="H39" i="2" s="1"/>
  <c r="I39" i="2" s="1"/>
  <c r="D39" i="2" s="1"/>
  <c r="E40" i="2"/>
  <c r="F40" i="2"/>
  <c r="E41" i="2"/>
  <c r="G41" i="2" s="1"/>
  <c r="H122" i="1" s="1"/>
  <c r="F41" i="2"/>
  <c r="H41" i="2"/>
  <c r="I41" i="2" s="1"/>
  <c r="D41" i="2" s="1"/>
  <c r="E42" i="2"/>
  <c r="F42" i="2"/>
  <c r="H42" i="2" s="1"/>
  <c r="I42" i="2" s="1"/>
  <c r="D42" i="2" s="1"/>
  <c r="E43" i="2"/>
  <c r="G43" i="2" s="1"/>
  <c r="H126" i="1" s="1"/>
  <c r="F43" i="2"/>
  <c r="H43" i="2"/>
  <c r="I43" i="2" s="1"/>
  <c r="D43" i="2" s="1"/>
  <c r="E44" i="2"/>
  <c r="F44" i="2"/>
  <c r="H44" i="2" s="1"/>
  <c r="I44" i="2" s="1"/>
  <c r="D44" i="2" s="1"/>
  <c r="F19" i="2"/>
  <c r="H19" i="2"/>
  <c r="I19" i="2"/>
  <c r="D19" i="2" s="1"/>
  <c r="E19" i="2"/>
  <c r="F38" i="2"/>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c r="I15" i="2"/>
  <c r="D15" i="2" s="1"/>
  <c r="E15" i="2"/>
  <c r="F16" i="2"/>
  <c r="H16" i="2"/>
  <c r="I16" i="2" s="1"/>
  <c r="D16" i="2" s="1"/>
  <c r="E16" i="2"/>
  <c r="F26" i="2"/>
  <c r="H26" i="2" s="1"/>
  <c r="I26" i="2" s="1"/>
  <c r="D26" i="2" s="1"/>
  <c r="E26" i="2"/>
  <c r="F29" i="2"/>
  <c r="H29" i="2"/>
  <c r="I29" i="2" s="1"/>
  <c r="D29" i="2" s="1"/>
  <c r="E29" i="2"/>
  <c r="F30" i="2"/>
  <c r="F31" i="2"/>
  <c r="H31" i="2"/>
  <c r="I31" i="2" s="1"/>
  <c r="D31" i="2" s="1"/>
  <c r="E31" i="2"/>
  <c r="G31" i="2" s="1"/>
  <c r="H110" i="1" s="1"/>
  <c r="H43" i="1"/>
  <c r="F32" i="2"/>
  <c r="H32" i="2"/>
  <c r="I32" i="2" s="1"/>
  <c r="D32" i="2" s="1"/>
  <c r="F14" i="2"/>
  <c r="H14" i="2"/>
  <c r="I14" i="2" s="1"/>
  <c r="D14" i="2" s="1"/>
  <c r="E14" i="2"/>
  <c r="E30" i="2"/>
  <c r="E32" i="2"/>
  <c r="G32" i="2" s="1"/>
  <c r="N4" i="17"/>
  <c r="F12" i="2"/>
  <c r="E12" i="2"/>
  <c r="F11" i="2"/>
  <c r="E11" i="2"/>
  <c r="E17" i="2"/>
  <c r="F17" i="2"/>
  <c r="H17" i="2" s="1"/>
  <c r="I17" i="2" s="1"/>
  <c r="D17" i="2" s="1"/>
  <c r="F9" i="2"/>
  <c r="E9" i="2"/>
  <c r="G9" i="2" s="1"/>
  <c r="E8" i="2"/>
  <c r="G8" i="2" s="1"/>
  <c r="F8" i="2"/>
  <c r="E10" i="2"/>
  <c r="E4" i="2"/>
  <c r="C8" i="8"/>
  <c r="F10" i="2"/>
  <c r="H10" i="2"/>
  <c r="I10" i="2" s="1"/>
  <c r="D10" i="2" s="1"/>
  <c r="F4" i="2"/>
  <c r="N3" i="7"/>
  <c r="N5" i="7"/>
  <c r="E6" i="11"/>
  <c r="D6" i="11"/>
  <c r="F3" i="2"/>
  <c r="J15" i="14"/>
  <c r="H94" i="2"/>
  <c r="I94" i="2"/>
  <c r="D94" i="2"/>
  <c r="G91" i="2"/>
  <c r="H98" i="2"/>
  <c r="I98" i="2"/>
  <c r="D98" i="2"/>
  <c r="H93" i="2"/>
  <c r="I93" i="2"/>
  <c r="D93" i="2"/>
  <c r="H95" i="2"/>
  <c r="I95" i="2"/>
  <c r="D95" i="2"/>
  <c r="H97" i="2"/>
  <c r="I97" i="2"/>
  <c r="D97" i="2"/>
  <c r="H82" i="2"/>
  <c r="I82" i="2"/>
  <c r="D82" i="2"/>
  <c r="B2" i="2"/>
  <c r="G72" i="2"/>
  <c r="H184" i="1" s="1"/>
  <c r="G71" i="2"/>
  <c r="H77" i="2"/>
  <c r="I77" i="2"/>
  <c r="D77" i="2"/>
  <c r="G76" i="2"/>
  <c r="G82" i="2"/>
  <c r="G77" i="2"/>
  <c r="H89" i="2"/>
  <c r="I89" i="2"/>
  <c r="D89" i="2"/>
  <c r="H81" i="2"/>
  <c r="I81" i="2"/>
  <c r="D81" i="2"/>
  <c r="G84" i="2"/>
  <c r="G73" i="2"/>
  <c r="H189" i="1" s="1"/>
  <c r="H75" i="2"/>
  <c r="I75" i="2"/>
  <c r="D75" i="2"/>
  <c r="G86" i="2"/>
  <c r="G79" i="2"/>
  <c r="G80" i="2"/>
  <c r="H90" i="2"/>
  <c r="I90" i="2"/>
  <c r="D90" i="2"/>
  <c r="G85" i="2"/>
  <c r="G92" i="2"/>
  <c r="G88" i="2"/>
  <c r="G83" i="2"/>
  <c r="H88" i="2"/>
  <c r="I88" i="2"/>
  <c r="D88" i="2"/>
  <c r="H78" i="2"/>
  <c r="I78" i="2"/>
  <c r="D78" i="2"/>
  <c r="H86" i="2"/>
  <c r="I86" i="2"/>
  <c r="D86"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X36" i="9" a="1"/>
  <c r="X36" i="9"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2" i="2"/>
  <c r="H123" i="1"/>
  <c r="Y33" i="9" a="1"/>
  <c r="Y33" i="9" s="1"/>
  <c r="W34" i="9" a="1"/>
  <c r="W34" i="9" s="1"/>
  <c r="V35" i="9" a="1"/>
  <c r="V35" i="9" s="1"/>
  <c r="AA35" i="9" a="1"/>
  <c r="AA35" i="9" s="1"/>
  <c r="N112" i="9"/>
  <c r="P112" i="9"/>
  <c r="G7" i="2"/>
  <c r="H63" i="1" s="1"/>
  <c r="G34" i="2"/>
  <c r="H113" i="1"/>
  <c r="G67" i="2"/>
  <c r="H185" i="1" s="1"/>
  <c r="H174" i="1"/>
  <c r="H175" i="1"/>
  <c r="H68" i="2"/>
  <c r="I68" i="2"/>
  <c r="D68" i="2"/>
  <c r="H65" i="2"/>
  <c r="I65" i="2"/>
  <c r="D65" i="2" s="1"/>
  <c r="G49" i="2"/>
  <c r="H143" i="1" s="1"/>
  <c r="G30" i="2"/>
  <c r="H108" i="1"/>
  <c r="G59" i="2"/>
  <c r="H186" i="1" s="1"/>
  <c r="G22" i="2"/>
  <c r="H87" i="1" s="1"/>
  <c r="G62" i="2"/>
  <c r="H166" i="1" s="1"/>
  <c r="G64" i="2"/>
  <c r="G61" i="2"/>
  <c r="G60" i="2"/>
  <c r="H164" i="1" s="1"/>
  <c r="H162" i="1"/>
  <c r="H171" i="1"/>
  <c r="G53" i="2"/>
  <c r="H149" i="1"/>
  <c r="N113" i="9"/>
  <c r="G15" i="2"/>
  <c r="H76" i="1" s="1"/>
  <c r="G57" i="2"/>
  <c r="H160" i="1" s="1"/>
  <c r="G17" i="2"/>
  <c r="H81" i="1"/>
  <c r="G26" i="2"/>
  <c r="H99" i="1" s="1"/>
  <c r="G14" i="2"/>
  <c r="H82" i="1"/>
  <c r="G50" i="2"/>
  <c r="H144" i="1"/>
  <c r="P113" i="9"/>
  <c r="N115" i="9"/>
  <c r="P115" i="9"/>
  <c r="N114" i="9"/>
  <c r="P114" i="9"/>
  <c r="J88" i="1" a="1"/>
  <c r="J88" i="1" s="1"/>
  <c r="G11" i="2"/>
  <c r="H77" i="1" s="1"/>
  <c r="G40" i="2"/>
  <c r="H121" i="1" s="1"/>
  <c r="G23" i="2"/>
  <c r="H91" i="1"/>
  <c r="G47" i="2"/>
  <c r="H137" i="1"/>
  <c r="H59" i="2"/>
  <c r="I59" i="2"/>
  <c r="D59" i="2"/>
  <c r="G29" i="2"/>
  <c r="H109" i="1"/>
  <c r="G28" i="2"/>
  <c r="H102" i="1"/>
  <c r="G58" i="2"/>
  <c r="G21" i="2"/>
  <c r="H86" i="1" s="1"/>
  <c r="G5" i="2"/>
  <c r="H96" i="1" s="1"/>
  <c r="G6" i="2"/>
  <c r="H103" i="1"/>
  <c r="G16" i="2"/>
  <c r="H79" i="1"/>
  <c r="G20" i="2"/>
  <c r="H85" i="1"/>
  <c r="H11" i="2"/>
  <c r="I11" i="2"/>
  <c r="G19" i="2"/>
  <c r="H140" i="1" s="1"/>
  <c r="G44" i="2"/>
  <c r="H127" i="1" s="1"/>
  <c r="H128" i="1"/>
  <c r="H58" i="2"/>
  <c r="I58" i="2"/>
  <c r="D58" i="2" s="1"/>
  <c r="G37" i="2"/>
  <c r="H118" i="1" s="1"/>
  <c r="G24" i="2"/>
  <c r="H100" i="1" s="1"/>
  <c r="H101" i="1"/>
  <c r="G27" i="2"/>
  <c r="H97" i="1"/>
  <c r="G12" i="2"/>
  <c r="H74" i="1"/>
  <c r="G25" i="2"/>
  <c r="H95" i="1" s="1"/>
  <c r="H56" i="2"/>
  <c r="I56" i="2" s="1"/>
  <c r="D56" i="2" s="1"/>
  <c r="G51" i="2"/>
  <c r="H147" i="1"/>
  <c r="G55" i="2"/>
  <c r="H156" i="1" s="1"/>
  <c r="C88" i="9"/>
  <c r="E65" i="7"/>
  <c r="G122" i="6"/>
  <c r="K6" i="6"/>
  <c r="C4" i="8"/>
  <c r="H20" i="2"/>
  <c r="I20" i="2"/>
  <c r="D20" i="2"/>
  <c r="G18" i="2"/>
  <c r="H83" i="1" s="1"/>
  <c r="H93" i="1"/>
  <c r="H70" i="1"/>
  <c r="H125" i="1"/>
  <c r="G4" i="2"/>
  <c r="H40" i="2"/>
  <c r="I40" i="2" s="1"/>
  <c r="D40" i="2" s="1"/>
  <c r="G54" i="2"/>
  <c r="H157" i="1" s="1"/>
  <c r="G39" i="2"/>
  <c r="H131" i="1" s="1"/>
  <c r="G10" i="2"/>
  <c r="H60" i="1"/>
  <c r="G46" i="2"/>
  <c r="H133" i="1"/>
  <c r="H8" i="2"/>
  <c r="I8" i="2" s="1"/>
  <c r="D8" i="2" s="1"/>
  <c r="G38" i="2"/>
  <c r="H190" i="1" s="1"/>
  <c r="H138" i="1"/>
  <c r="H48" i="2"/>
  <c r="I48" i="2" s="1"/>
  <c r="D48" i="2" s="1"/>
  <c r="H9" i="2"/>
  <c r="I9" i="2"/>
  <c r="D9" i="2" s="1"/>
  <c r="H12" i="2"/>
  <c r="I12" i="2"/>
  <c r="D12" i="2" s="1"/>
  <c r="H25" i="2"/>
  <c r="I25" i="2" s="1"/>
  <c r="D25" i="2" s="1"/>
  <c r="H54" i="2"/>
  <c r="I54" i="2" s="1"/>
  <c r="D54" i="2" s="1"/>
  <c r="H46" i="2"/>
  <c r="I46" i="2"/>
  <c r="D46" i="2" s="1"/>
  <c r="H4" i="2"/>
  <c r="I4" i="2"/>
  <c r="D4" i="2" s="1"/>
  <c r="G33" i="2"/>
  <c r="G35" i="2"/>
  <c r="H115" i="1"/>
  <c r="G52" i="2"/>
  <c r="H154" i="1" s="1"/>
  <c r="H50" i="2"/>
  <c r="I50" i="2" s="1"/>
  <c r="D50" i="2" s="1"/>
  <c r="H30" i="2"/>
  <c r="I30" i="2"/>
  <c r="D30" i="2" s="1"/>
  <c r="C12" i="10"/>
  <c r="D599" i="17"/>
  <c r="K5" i="17" s="1"/>
  <c r="N6" i="17"/>
  <c r="H146" i="1"/>
  <c r="H75" i="1"/>
  <c r="H179" i="1"/>
  <c r="H165" i="1"/>
  <c r="H161" i="1"/>
  <c r="H68" i="1"/>
  <c r="H172" i="1"/>
  <c r="H92" i="1"/>
  <c r="H153" i="1"/>
  <c r="H105" i="1"/>
  <c r="H88" i="1"/>
  <c r="H107" i="1"/>
  <c r="H169" i="1"/>
  <c r="H80" i="1"/>
  <c r="H167" i="1"/>
  <c r="H106" i="1"/>
  <c r="H145" i="1"/>
  <c r="H170" i="1"/>
  <c r="H89" i="1"/>
  <c r="H104" i="1"/>
  <c r="H65" i="1"/>
  <c r="H84" i="1"/>
  <c r="H61" i="1"/>
  <c r="H98" i="1"/>
  <c r="H139" i="1"/>
  <c r="H150" i="1"/>
  <c r="H120" i="1"/>
  <c r="H119" i="1"/>
  <c r="H124" i="1"/>
  <c r="H116" i="1"/>
  <c r="H112" i="1"/>
  <c r="C2" i="2"/>
  <c r="H13" i="15" l="1"/>
  <c r="H12" i="15"/>
  <c r="H11" i="15"/>
  <c r="H111" i="1"/>
  <c r="H114" i="1"/>
  <c r="H176" i="1"/>
  <c r="H177" i="1"/>
  <c r="H66" i="1"/>
  <c r="H64" i="1"/>
  <c r="H72" i="1"/>
  <c r="H181" i="1"/>
  <c r="H183" i="1"/>
  <c r="H73" i="1"/>
  <c r="H71" i="1"/>
  <c r="H134" i="1"/>
  <c r="H132" i="1"/>
  <c r="H129" i="1"/>
  <c r="H159" i="1"/>
  <c r="H152" i="1"/>
  <c r="H191" i="1"/>
  <c r="H178" i="1"/>
  <c r="H94" i="1"/>
  <c r="H187" i="1"/>
  <c r="G13" i="2"/>
  <c r="H151" i="1"/>
  <c r="H173" i="1"/>
  <c r="H180" i="1"/>
  <c r="G36" i="2"/>
  <c r="H117" i="1" s="1"/>
  <c r="H130" i="1"/>
  <c r="H62" i="1"/>
  <c r="G69" i="2"/>
  <c r="H155" i="1" s="1"/>
  <c r="H163" i="1"/>
  <c r="H90" i="1"/>
  <c r="H78" i="1"/>
  <c r="H148" i="1"/>
  <c r="H136" i="1"/>
  <c r="H158" i="1"/>
  <c r="H135" i="1"/>
  <c r="H142" i="1"/>
  <c r="K59" i="9" a="1"/>
  <c r="K59" i="9" s="1"/>
  <c r="L71" i="9" a="1"/>
  <c r="L71" i="9" s="1"/>
  <c r="K70" i="9" a="1"/>
  <c r="K70" i="9" s="1"/>
  <c r="J97" i="9"/>
  <c r="Y18" i="9" s="1" a="1"/>
  <c r="Y18" i="9" s="1"/>
  <c r="H90" i="9"/>
  <c r="E90" i="9"/>
  <c r="T11" i="9" s="1" a="1"/>
  <c r="T11" i="9" s="1"/>
  <c r="M52" i="9" a="1"/>
  <c r="M52" i="9" s="1"/>
  <c r="M71" i="9" a="1"/>
  <c r="M71" i="9" s="1"/>
  <c r="O88" i="9"/>
  <c r="AD9" i="9" s="1"/>
  <c r="B6" i="20" s="1"/>
  <c r="M87" i="9"/>
  <c r="AB8" i="9" s="1" a="1"/>
  <c r="AB8" i="9" s="1"/>
  <c r="A15" i="20"/>
  <c r="D101" i="9"/>
  <c r="S22" i="9" s="1" a="1"/>
  <c r="S22" i="9" s="1"/>
  <c r="O109" i="9"/>
  <c r="AD30" i="9" s="1"/>
  <c r="M91" i="9"/>
  <c r="AB12" i="9" s="1" a="1"/>
  <c r="AB12" i="9" s="1"/>
  <c r="K74" i="9" a="1"/>
  <c r="K74" i="9" s="1"/>
  <c r="A25" i="20"/>
  <c r="G54" i="9" a="1"/>
  <c r="G54" i="9" s="1"/>
  <c r="J65" i="9" a="1"/>
  <c r="J65" i="9" s="1"/>
  <c r="M99" i="9"/>
  <c r="I65" i="9" a="1"/>
  <c r="I65" i="9" s="1"/>
  <c r="B14" i="9"/>
  <c r="E14" i="9" s="1"/>
  <c r="K53" i="9" a="1"/>
  <c r="K53" i="9" s="1"/>
  <c r="H64" i="9" a="1"/>
  <c r="H64" i="9" s="1"/>
  <c r="H85" i="9"/>
  <c r="W6" i="9" s="1" a="1"/>
  <c r="W6" i="9" s="1"/>
  <c r="I71" i="9" a="1"/>
  <c r="I71" i="9" s="1"/>
  <c r="B15" i="9"/>
  <c r="K107" i="9"/>
  <c r="Z28" i="9" s="1" a="1"/>
  <c r="Z28" i="9" s="1"/>
  <c r="H67" i="9" a="1"/>
  <c r="H67" i="9" s="1"/>
  <c r="I61" i="9" a="1"/>
  <c r="I61" i="9" s="1"/>
  <c r="L86" i="9"/>
  <c r="AA7" i="9" s="1" a="1"/>
  <c r="AA7" i="9" s="1"/>
  <c r="I57" i="9" a="1"/>
  <c r="I57" i="9" s="1"/>
  <c r="K91" i="9"/>
  <c r="Z12" i="9" s="1" a="1"/>
  <c r="Z12" i="9" s="1"/>
  <c r="I106" i="9"/>
  <c r="X27" i="9" s="1" a="1"/>
  <c r="X27" i="9" s="1"/>
  <c r="J94" i="9"/>
  <c r="Y15" i="9" s="1" a="1"/>
  <c r="Y15" i="9" s="1"/>
  <c r="O96" i="9"/>
  <c r="AD17" i="9" s="1"/>
  <c r="B14" i="20" s="1"/>
  <c r="I103" i="9"/>
  <c r="X24" i="9" s="1" a="1"/>
  <c r="X24" i="9" s="1"/>
  <c r="G111" i="9"/>
  <c r="G98" i="9"/>
  <c r="H92" i="9"/>
  <c r="W13" i="9" s="1" a="1"/>
  <c r="W13" i="9" s="1"/>
  <c r="O51" i="9"/>
  <c r="I110" i="9"/>
  <c r="X31" i="9" s="1" a="1"/>
  <c r="X31" i="9" s="1"/>
  <c r="D109" i="9"/>
  <c r="S30" i="9" s="1" a="1"/>
  <c r="S30" i="9" s="1"/>
  <c r="I91" i="9"/>
  <c r="X12" i="9" s="1" a="1"/>
  <c r="X12" i="9" s="1"/>
  <c r="B6" i="9"/>
  <c r="C6" i="9" s="1"/>
  <c r="D100" i="9"/>
  <c r="S21" i="9" s="1" a="1"/>
  <c r="S21" i="9" s="1"/>
  <c r="I102" i="9"/>
  <c r="X23" i="9" s="1" a="1"/>
  <c r="X23" i="9" s="1"/>
  <c r="D87" i="9"/>
  <c r="S8" i="9" s="1" a="1"/>
  <c r="S8" i="9" s="1"/>
  <c r="C99" i="9"/>
  <c r="R20" i="9" s="1" a="1"/>
  <c r="R20" i="9" s="1"/>
  <c r="J108" i="9"/>
  <c r="Y29" i="9" s="1" a="1"/>
  <c r="Y29" i="9" s="1"/>
  <c r="G63" i="9" a="1"/>
  <c r="G63" i="9" s="1"/>
  <c r="K103" i="9"/>
  <c r="Z24" i="9" s="1" a="1"/>
  <c r="Z24" i="9" s="1"/>
  <c r="G105" i="9"/>
  <c r="C106" i="9"/>
  <c r="R27" i="9" s="1" a="1"/>
  <c r="R27" i="9" s="1"/>
  <c r="R23" i="9" a="1"/>
  <c r="R23" i="9" s="1"/>
  <c r="B9" i="9"/>
  <c r="C9" i="9" s="1"/>
  <c r="J71" i="9" a="1"/>
  <c r="J71" i="9" s="1"/>
  <c r="G101" i="9"/>
  <c r="V22" i="9" s="1" a="1"/>
  <c r="V22" i="9" s="1"/>
  <c r="A9" i="20"/>
  <c r="H98" i="9"/>
  <c r="W19" i="9" s="1" a="1"/>
  <c r="W19" i="9" s="1"/>
  <c r="C96" i="9"/>
  <c r="R17" i="9" s="1" a="1"/>
  <c r="R17" i="9" s="1"/>
  <c r="J69" i="9" a="1"/>
  <c r="J69" i="9" s="1"/>
  <c r="C102" i="9"/>
  <c r="A17" i="20"/>
  <c r="A26" i="20"/>
  <c r="K90" i="9"/>
  <c r="Z11" i="9" s="1" a="1"/>
  <c r="Z11" i="9" s="1"/>
  <c r="A18" i="20"/>
  <c r="K104" i="9"/>
  <c r="Z25" i="9" s="1" a="1"/>
  <c r="Z25" i="9" s="1"/>
  <c r="H100" i="9"/>
  <c r="W21" i="9" s="1" a="1"/>
  <c r="W21" i="9" s="1"/>
  <c r="G87" i="9"/>
  <c r="V8" i="9" s="1" a="1"/>
  <c r="V8" i="9" s="1"/>
  <c r="D107" i="9"/>
  <c r="S28" i="9" s="1" a="1"/>
  <c r="S28" i="9" s="1"/>
  <c r="K100" i="9"/>
  <c r="Z21" i="9" s="1" a="1"/>
  <c r="Z21" i="9" s="1"/>
  <c r="B10" i="9"/>
  <c r="E10" i="9" s="1"/>
  <c r="E103" i="9"/>
  <c r="T24" i="9" s="1" a="1"/>
  <c r="T24" i="9" s="1"/>
  <c r="M103" i="9"/>
  <c r="AB24" i="9" s="1" a="1"/>
  <c r="AB24" i="9" s="1"/>
  <c r="K89" i="9"/>
  <c r="Z10" i="9" s="1" a="1"/>
  <c r="Z10" i="9" s="1"/>
  <c r="H54" i="9" a="1"/>
  <c r="H54" i="9" s="1"/>
  <c r="E95" i="9"/>
  <c r="T16" i="9" s="1" a="1"/>
  <c r="T16" i="9" s="1"/>
  <c r="F104" i="9"/>
  <c r="U25" i="9" s="1" a="1"/>
  <c r="U25" i="9" s="1"/>
  <c r="K52" i="9" a="1"/>
  <c r="K52" i="9" s="1"/>
  <c r="J92" i="9"/>
  <c r="Y13" i="9" s="1" a="1"/>
  <c r="Y13" i="9" s="1"/>
  <c r="D99" i="9"/>
  <c r="S20" i="9" s="1" a="1"/>
  <c r="S20" i="9" s="1"/>
  <c r="E89" i="9"/>
  <c r="T10" i="9" s="1" a="1"/>
  <c r="T10" i="9" s="1"/>
  <c r="C109" i="9"/>
  <c r="R30" i="9" s="1" a="1"/>
  <c r="R30" i="9" s="1"/>
  <c r="I98" i="9"/>
  <c r="X19" i="9" s="1" a="1"/>
  <c r="X19" i="9" s="1"/>
  <c r="D97" i="9"/>
  <c r="I56" i="9" a="1"/>
  <c r="I56" i="9" s="1"/>
  <c r="J66" i="9" a="1"/>
  <c r="J66" i="9" s="1"/>
  <c r="M63" i="9" a="1"/>
  <c r="M63" i="9" s="1"/>
  <c r="M101" i="9"/>
  <c r="AB22" i="9" s="1" a="1"/>
  <c r="AB22" i="9" s="1"/>
  <c r="C110" i="9"/>
  <c r="R31" i="9" s="1" a="1"/>
  <c r="R31" i="9" s="1"/>
  <c r="J72" i="9" a="1"/>
  <c r="J72" i="9" s="1"/>
  <c r="D96" i="9"/>
  <c r="S17" i="9" s="1" a="1"/>
  <c r="S17" i="9" s="1"/>
  <c r="G52" i="9" a="1"/>
  <c r="G52" i="9" s="1"/>
  <c r="G92" i="9"/>
  <c r="V13" i="9" s="1" a="1"/>
  <c r="V13" i="9" s="1"/>
  <c r="M105" i="9"/>
  <c r="AB26" i="9" s="1" a="1"/>
  <c r="AB26" i="9" s="1"/>
  <c r="F103" i="9"/>
  <c r="U24" i="9" s="1" a="1"/>
  <c r="U24" i="9" s="1"/>
  <c r="L108" i="9"/>
  <c r="AA29" i="9" s="1" a="1"/>
  <c r="AA29" i="9" s="1"/>
  <c r="D91" i="9"/>
  <c r="S12" i="9" s="1" a="1"/>
  <c r="S12" i="9" s="1"/>
  <c r="G106" i="9"/>
  <c r="H88" i="9"/>
  <c r="W9" i="9" s="1" a="1"/>
  <c r="W9" i="9" s="1"/>
  <c r="M109" i="9"/>
  <c r="J68" i="9" a="1"/>
  <c r="J68" i="9" s="1"/>
  <c r="J91" i="9"/>
  <c r="Y12" i="9" s="1" a="1"/>
  <c r="Y12" i="9" s="1"/>
  <c r="L102" i="9"/>
  <c r="AA23" i="9" s="1" a="1"/>
  <c r="AA23" i="9" s="1"/>
  <c r="F110" i="9"/>
  <c r="U31" i="9" s="1" a="1"/>
  <c r="U31" i="9" s="1"/>
  <c r="M104" i="9"/>
  <c r="AB25" i="9" s="1" a="1"/>
  <c r="AB25" i="9" s="1"/>
  <c r="W11" i="9" a="1"/>
  <c r="W11" i="9" s="1"/>
  <c r="M62" i="9" a="1"/>
  <c r="M62" i="9" s="1"/>
  <c r="O72" i="9"/>
  <c r="J60" i="9" a="1"/>
  <c r="J60" i="9" s="1"/>
  <c r="G71" i="9" a="1"/>
  <c r="G71" i="9" s="1"/>
  <c r="M97" i="9"/>
  <c r="AB18" i="9" s="1" a="1"/>
  <c r="AB18" i="9" s="1"/>
  <c r="G110" i="9"/>
  <c r="V31" i="9" s="1" a="1"/>
  <c r="V31" i="9" s="1"/>
  <c r="B8" i="9"/>
  <c r="J99" i="9"/>
  <c r="Y20" i="9" s="1" a="1"/>
  <c r="Y20" i="9" s="1"/>
  <c r="B16" i="9"/>
  <c r="H71" i="9" a="1"/>
  <c r="H71" i="9" s="1"/>
  <c r="I66" i="9" a="1"/>
  <c r="I66" i="9" s="1"/>
  <c r="K88" i="9"/>
  <c r="Z9" i="9" s="1" a="1"/>
  <c r="Z9" i="9" s="1"/>
  <c r="I89" i="9"/>
  <c r="X10" i="9" s="1" a="1"/>
  <c r="X10" i="9" s="1"/>
  <c r="I99" i="9"/>
  <c r="X20" i="9" s="1" a="1"/>
  <c r="X20" i="9" s="1"/>
  <c r="F98" i="9"/>
  <c r="U19" i="9" s="1" a="1"/>
  <c r="U19" i="9" s="1"/>
  <c r="C91" i="9"/>
  <c r="J98" i="9"/>
  <c r="Y19" i="9" s="1" a="1"/>
  <c r="Y19" i="9" s="1"/>
  <c r="AC34" i="9"/>
  <c r="AE34" i="9" s="1"/>
  <c r="D102" i="9"/>
  <c r="S23" i="9" s="1" a="1"/>
  <c r="S23" i="9" s="1"/>
  <c r="F87" i="9"/>
  <c r="U8" i="9" s="1" a="1"/>
  <c r="U8" i="9" s="1"/>
  <c r="O97" i="9"/>
  <c r="AD18" i="9" s="1"/>
  <c r="B15" i="20" s="1"/>
  <c r="F91" i="9"/>
  <c r="U12" i="9" s="1" a="1"/>
  <c r="U12" i="9" s="1"/>
  <c r="H99" i="9"/>
  <c r="W20" i="9" s="1" a="1"/>
  <c r="W20" i="9" s="1"/>
  <c r="L104" i="9"/>
  <c r="AA25" i="9" s="1" a="1"/>
  <c r="AA25" i="9" s="1"/>
  <c r="I105" i="9"/>
  <c r="X26" i="9" s="1" a="1"/>
  <c r="X26" i="9" s="1"/>
  <c r="M58" i="9" a="1"/>
  <c r="M58" i="9" s="1"/>
  <c r="B7" i="9"/>
  <c r="M102" i="9"/>
  <c r="AB23" i="9" s="1" a="1"/>
  <c r="AB23" i="9" s="1"/>
  <c r="J95" i="9"/>
  <c r="Y16" i="9" s="1" a="1"/>
  <c r="Y16" i="9" s="1"/>
  <c r="L103" i="9"/>
  <c r="G64" i="9" a="1"/>
  <c r="G64" i="9" s="1"/>
  <c r="O108" i="9"/>
  <c r="AD29" i="9" s="1"/>
  <c r="B26" i="20" s="1"/>
  <c r="L57" i="9" a="1"/>
  <c r="L57" i="9" s="1"/>
  <c r="M53" i="9" a="1"/>
  <c r="M53" i="9" s="1"/>
  <c r="M51" i="9" a="1"/>
  <c r="M51" i="9" s="1"/>
  <c r="L95" i="9"/>
  <c r="AA16" i="9" s="1" a="1"/>
  <c r="AA16" i="9" s="1"/>
  <c r="I92" i="9"/>
  <c r="H107" i="9"/>
  <c r="L110" i="9"/>
  <c r="F109" i="9"/>
  <c r="U30" i="9" s="1" a="1"/>
  <c r="U30" i="9" s="1"/>
  <c r="D94" i="9"/>
  <c r="S15" i="9" s="1" a="1"/>
  <c r="S15" i="9" s="1"/>
  <c r="J74" i="9" a="1"/>
  <c r="J74" i="9" s="1"/>
  <c r="I68" i="9" a="1"/>
  <c r="I68" i="9" s="1"/>
  <c r="M92" i="9"/>
  <c r="AB13" i="9" s="1" a="1"/>
  <c r="AB13" i="9" s="1"/>
  <c r="O104" i="9"/>
  <c r="AD25" i="9" s="1"/>
  <c r="B22" i="20" s="1"/>
  <c r="H95" i="9"/>
  <c r="W16" i="9" s="1" a="1"/>
  <c r="W16" i="9" s="1"/>
  <c r="V32" i="9" a="1"/>
  <c r="V32" i="9" s="1"/>
  <c r="J102" i="9"/>
  <c r="Y23" i="9" s="1" a="1"/>
  <c r="Y23" i="9" s="1"/>
  <c r="J86" i="9"/>
  <c r="Y7" i="9" s="1" a="1"/>
  <c r="Y7" i="9" s="1"/>
  <c r="O98" i="9"/>
  <c r="AD19" i="9" s="1"/>
  <c r="B16" i="20" s="1"/>
  <c r="K50" i="9" a="1"/>
  <c r="K50" i="9" s="1"/>
  <c r="D98" i="9"/>
  <c r="S19" i="9" s="1" a="1"/>
  <c r="S19" i="9" s="1"/>
  <c r="G97" i="9"/>
  <c r="V18" i="9" s="1" a="1"/>
  <c r="V18" i="9" s="1"/>
  <c r="K102" i="9"/>
  <c r="Z23" i="9" s="1" a="1"/>
  <c r="Z23" i="9" s="1"/>
  <c r="F92" i="9"/>
  <c r="U13" i="9" s="1" a="1"/>
  <c r="U13" i="9" s="1"/>
  <c r="O50" i="9"/>
  <c r="O70" i="9"/>
  <c r="H75" i="9" a="1"/>
  <c r="H75" i="9" s="1"/>
  <c r="F95" i="9"/>
  <c r="U16" i="9" s="1" a="1"/>
  <c r="U16" i="9" s="1"/>
  <c r="H94" i="9"/>
  <c r="W15" i="9" s="1" a="1"/>
  <c r="W15" i="9" s="1"/>
  <c r="H109" i="9"/>
  <c r="W30" i="9" s="1" a="1"/>
  <c r="W30" i="9" s="1"/>
  <c r="E85" i="9"/>
  <c r="T6" i="9" s="1" a="1"/>
  <c r="T6" i="9" s="1"/>
  <c r="F101" i="9"/>
  <c r="U22" i="9" s="1" a="1"/>
  <c r="U22" i="9" s="1"/>
  <c r="I59" i="9" a="1"/>
  <c r="I59" i="9" s="1"/>
  <c r="L92" i="9"/>
  <c r="AA13" i="9" s="1" a="1"/>
  <c r="AA13" i="9" s="1"/>
  <c r="O55" i="9"/>
  <c r="L93" i="9"/>
  <c r="AA14" i="9" s="1" a="1"/>
  <c r="AA14" i="9" s="1"/>
  <c r="G68" i="9" a="1"/>
  <c r="G68" i="9" s="1"/>
  <c r="I86" i="9"/>
  <c r="X7" i="9" s="1" a="1"/>
  <c r="X7" i="9" s="1"/>
  <c r="O85" i="9"/>
  <c r="AD6" i="9" s="1"/>
  <c r="B3" i="20" s="1"/>
  <c r="O101" i="9"/>
  <c r="AD22" i="9" s="1"/>
  <c r="B19" i="20" s="1"/>
  <c r="M75" i="9" a="1"/>
  <c r="M75" i="9" s="1"/>
  <c r="G55" i="9" a="1"/>
  <c r="G55" i="9" s="1"/>
  <c r="L87" i="9"/>
  <c r="AA8" i="9" s="1" a="1"/>
  <c r="AA8" i="9" s="1"/>
  <c r="O74" i="9"/>
  <c r="M65" i="9" a="1"/>
  <c r="M65" i="9" s="1"/>
  <c r="D108" i="9"/>
  <c r="S29" i="9" s="1" a="1"/>
  <c r="S29" i="9" s="1"/>
  <c r="L64" i="9" a="1"/>
  <c r="L64" i="9" s="1"/>
  <c r="G103" i="9"/>
  <c r="V24" i="9" s="1" a="1"/>
  <c r="V24" i="9" s="1"/>
  <c r="O67" i="9"/>
  <c r="G73" i="9" a="1"/>
  <c r="G73" i="9" s="1"/>
  <c r="L56" i="9" a="1"/>
  <c r="L56" i="9" s="1"/>
  <c r="E86" i="9"/>
  <c r="T7" i="9" s="1" a="1"/>
  <c r="T7" i="9" s="1"/>
  <c r="I54" i="9" a="1"/>
  <c r="I54" i="9" s="1"/>
  <c r="M67" i="9" a="1"/>
  <c r="M67" i="9" s="1"/>
  <c r="K106" i="9"/>
  <c r="Z27" i="9" s="1" a="1"/>
  <c r="Z27" i="9" s="1"/>
  <c r="I107" i="9"/>
  <c r="X28" i="9" s="1" a="1"/>
  <c r="X28" i="9" s="1"/>
  <c r="M76" i="9" a="1"/>
  <c r="M76" i="9" s="1"/>
  <c r="K92" i="9"/>
  <c r="Z13" i="9" s="1" a="1"/>
  <c r="Z13" i="9" s="1"/>
  <c r="M73" i="9" a="1"/>
  <c r="M73" i="9" s="1"/>
  <c r="C90" i="9"/>
  <c r="R11" i="9" s="1" a="1"/>
  <c r="R11" i="9" s="1"/>
  <c r="E104" i="9"/>
  <c r="T25" i="9" s="1" a="1"/>
  <c r="T25" i="9" s="1"/>
  <c r="K55" i="9" a="1"/>
  <c r="K55" i="9" s="1"/>
  <c r="K73" i="9" a="1"/>
  <c r="K73" i="9" s="1"/>
  <c r="O86" i="9"/>
  <c r="AD7" i="9" s="1"/>
  <c r="B4" i="20" s="1"/>
  <c r="G76" i="9" a="1"/>
  <c r="G76" i="9" s="1"/>
  <c r="K93" i="9"/>
  <c r="Z14" i="9" s="1" a="1"/>
  <c r="Z14" i="9" s="1"/>
  <c r="I58" i="9" a="1"/>
  <c r="I58" i="9" s="1"/>
  <c r="C86" i="9"/>
  <c r="R7" i="9" s="1" a="1"/>
  <c r="R7" i="9" s="1"/>
  <c r="H91" i="9"/>
  <c r="W12" i="9" s="1" a="1"/>
  <c r="W12" i="9" s="1"/>
  <c r="L91" i="9"/>
  <c r="AA12" i="9" s="1" a="1"/>
  <c r="AA12" i="9" s="1"/>
  <c r="I100" i="9"/>
  <c r="X21" i="9" s="1" a="1"/>
  <c r="X21" i="9" s="1"/>
  <c r="I85" i="9"/>
  <c r="L50" i="9" a="1"/>
  <c r="L50" i="9" s="1"/>
  <c r="I62" i="9" a="1"/>
  <c r="I62" i="9" s="1"/>
  <c r="O105" i="9"/>
  <c r="AD26" i="9" s="1"/>
  <c r="B23" i="20" s="1"/>
  <c r="L72" i="9" a="1"/>
  <c r="L72" i="9" s="1"/>
  <c r="I63" i="9" a="1"/>
  <c r="I63" i="9" s="1"/>
  <c r="K62" i="9" a="1"/>
  <c r="K62" i="9" s="1"/>
  <c r="K57" i="9" a="1"/>
  <c r="K57" i="9" s="1"/>
  <c r="L99" i="9"/>
  <c r="AA20" i="9" s="1" a="1"/>
  <c r="AA20" i="9" s="1"/>
  <c r="I88" i="9"/>
  <c r="X9" i="9" s="1" a="1"/>
  <c r="X9" i="9" s="1"/>
  <c r="G95" i="9"/>
  <c r="K110" i="9"/>
  <c r="Z31" i="9" s="1" a="1"/>
  <c r="Z31" i="9" s="1"/>
  <c r="M74" i="9" a="1"/>
  <c r="M74" i="9" s="1"/>
  <c r="G74" i="9" a="1"/>
  <c r="G74" i="9" s="1"/>
  <c r="B3" i="9"/>
  <c r="O63" i="9"/>
  <c r="E101" i="9"/>
  <c r="T22" i="9" s="1" a="1"/>
  <c r="T22" i="9" s="1"/>
  <c r="I90" i="9"/>
  <c r="X11" i="9" s="1" a="1"/>
  <c r="X11" i="9" s="1"/>
  <c r="L88" i="9"/>
  <c r="AA9" i="9" s="1" a="1"/>
  <c r="AA9" i="9" s="1"/>
  <c r="D93" i="9"/>
  <c r="S14" i="9" s="1" a="1"/>
  <c r="S14" i="9" s="1"/>
  <c r="J56" i="9" a="1"/>
  <c r="J56" i="9" s="1"/>
  <c r="J106" i="9"/>
  <c r="Y27" i="9" s="1" a="1"/>
  <c r="Y27" i="9" s="1"/>
  <c r="K101" i="9"/>
  <c r="Z22" i="9" s="1" a="1"/>
  <c r="Z22" i="9" s="1"/>
  <c r="G62" i="9" a="1"/>
  <c r="G62" i="9" s="1"/>
  <c r="O110" i="9"/>
  <c r="AD31" i="9" s="1"/>
  <c r="B28" i="20" s="1"/>
  <c r="H76" i="9" a="1"/>
  <c r="H76" i="9" s="1"/>
  <c r="K85" i="9"/>
  <c r="Z6" i="9" s="1" a="1"/>
  <c r="Z6" i="9" s="1"/>
  <c r="C105" i="9"/>
  <c r="R26" i="9" s="1" a="1"/>
  <c r="R26" i="9" s="1"/>
  <c r="M61" i="9" a="1"/>
  <c r="M61" i="9" s="1"/>
  <c r="O75" i="9"/>
  <c r="O59" i="9"/>
  <c r="E108" i="9"/>
  <c r="T29" i="9" s="1" a="1"/>
  <c r="T29" i="9" s="1"/>
  <c r="L65" i="9" a="1"/>
  <c r="L65" i="9" s="1"/>
  <c r="J67" i="9" a="1"/>
  <c r="J67" i="9" s="1"/>
  <c r="J52" i="9" a="1"/>
  <c r="J52" i="9" s="1"/>
  <c r="H111" i="9"/>
  <c r="W32" i="9" s="1" a="1"/>
  <c r="W32" i="9" s="1"/>
  <c r="G86" i="9"/>
  <c r="H106" i="9"/>
  <c r="W27" i="9" s="1" a="1"/>
  <c r="W27" i="9" s="1"/>
  <c r="C89" i="9"/>
  <c r="R10" i="9" s="1" a="1"/>
  <c r="R10" i="9" s="1"/>
  <c r="K87" i="9"/>
  <c r="Z8" i="9" s="1" a="1"/>
  <c r="Z8" i="9" s="1"/>
  <c r="O95" i="9"/>
  <c r="AD16" i="9" s="1"/>
  <c r="B13" i="20" s="1"/>
  <c r="M107" i="9"/>
  <c r="AB28" i="9" s="1" a="1"/>
  <c r="AB28" i="9" s="1"/>
  <c r="I95" i="9"/>
  <c r="X16" i="9" s="1" a="1"/>
  <c r="X16" i="9" s="1"/>
  <c r="L109" i="9"/>
  <c r="AA30" i="9" s="1" a="1"/>
  <c r="AA30" i="9" s="1"/>
  <c r="G93" i="9"/>
  <c r="V14" i="9" s="1" a="1"/>
  <c r="V14" i="9" s="1"/>
  <c r="H87" i="9"/>
  <c r="W8" i="9" s="1" a="1"/>
  <c r="W8" i="9" s="1"/>
  <c r="B18" i="9"/>
  <c r="G61" i="9" a="1"/>
  <c r="G61" i="9" s="1"/>
  <c r="C92" i="9"/>
  <c r="R13" i="9" s="1" a="1"/>
  <c r="R13" i="9" s="1"/>
  <c r="K86" i="9"/>
  <c r="Z7" i="9" s="1" a="1"/>
  <c r="Z7" i="9" s="1"/>
  <c r="G58" i="9" a="1"/>
  <c r="G58" i="9" s="1"/>
  <c r="J61" i="9" a="1"/>
  <c r="J61" i="9" s="1"/>
  <c r="O87" i="9"/>
  <c r="AD8" i="9" s="1"/>
  <c r="B5" i="20" s="1"/>
  <c r="B12" i="9"/>
  <c r="I51" i="9" a="1"/>
  <c r="I51" i="9" s="1"/>
  <c r="I50" i="9" a="1"/>
  <c r="I50" i="9" s="1"/>
  <c r="K108" i="9"/>
  <c r="Z29" i="9" s="1" a="1"/>
  <c r="Z29" i="9" s="1"/>
  <c r="L59" i="9" a="1"/>
  <c r="L59" i="9" s="1"/>
  <c r="O69" i="9"/>
  <c r="B11" i="9"/>
  <c r="O111" i="9"/>
  <c r="AD32" i="9" s="1"/>
  <c r="B13" i="9"/>
  <c r="K111" i="9"/>
  <c r="Z32" i="9" s="1" a="1"/>
  <c r="Z32" i="9" s="1"/>
  <c r="I111" i="9"/>
  <c r="X32" i="9" s="1" a="1"/>
  <c r="X32" i="9" s="1"/>
  <c r="G100" i="9"/>
  <c r="V21" i="9" s="1" a="1"/>
  <c r="V21" i="9" s="1"/>
  <c r="M88" i="9"/>
  <c r="AB9" i="9" s="1" a="1"/>
  <c r="AB9" i="9" s="1"/>
  <c r="AB30" i="9" a="1"/>
  <c r="AB30" i="9" s="1"/>
  <c r="H62" i="9" a="1"/>
  <c r="H62" i="9" s="1"/>
  <c r="M86" i="9"/>
  <c r="AB7" i="9" s="1" a="1"/>
  <c r="AB7" i="9" s="1"/>
  <c r="K67" i="9" a="1"/>
  <c r="K67" i="9" s="1"/>
  <c r="H89" i="9"/>
  <c r="W10" i="9" s="1" a="1"/>
  <c r="W10" i="9" s="1"/>
  <c r="B17" i="9"/>
  <c r="L70" i="9" a="1"/>
  <c r="L70" i="9" s="1"/>
  <c r="I101" i="9"/>
  <c r="X22" i="9" s="1" a="1"/>
  <c r="X22" i="9" s="1"/>
  <c r="M64" i="9" a="1"/>
  <c r="M64" i="9" s="1"/>
  <c r="B49" i="9"/>
  <c r="E49" i="9" s="1" a="1"/>
  <c r="E49" i="9" s="1"/>
  <c r="J93" i="9"/>
  <c r="Y14" i="9" s="1" a="1"/>
  <c r="Y14" i="9" s="1"/>
  <c r="M110" i="9"/>
  <c r="AB31" i="9" s="1" a="1"/>
  <c r="AB31" i="9" s="1"/>
  <c r="K99" i="9"/>
  <c r="Z20" i="9" s="1" a="1"/>
  <c r="Z20" i="9" s="1"/>
  <c r="O107" i="9"/>
  <c r="AD28" i="9" s="1"/>
  <c r="B25" i="20" s="1"/>
  <c r="L75" i="9" a="1"/>
  <c r="L75" i="9" s="1"/>
  <c r="H86" i="9"/>
  <c r="G70" i="9" a="1"/>
  <c r="G70" i="9" s="1"/>
  <c r="O58" i="9"/>
  <c r="M89" i="9"/>
  <c r="AB10" i="9" s="1" a="1"/>
  <c r="AB10" i="9" s="1"/>
  <c r="O61" i="9"/>
  <c r="L63" i="9" a="1"/>
  <c r="L63" i="9" s="1"/>
  <c r="K75" i="9" a="1"/>
  <c r="K75" i="9" s="1"/>
  <c r="S18" i="9" a="1"/>
  <c r="S18" i="9" s="1"/>
  <c r="I64" i="9" a="1"/>
  <c r="I64" i="9" s="1"/>
  <c r="M66" i="9" a="1"/>
  <c r="M66" i="9" s="1"/>
  <c r="I96" i="9"/>
  <c r="X17" i="9" s="1" a="1"/>
  <c r="X17" i="9" s="1"/>
  <c r="F86" i="9"/>
  <c r="U7" i="9" s="1" a="1"/>
  <c r="U7" i="9" s="1"/>
  <c r="L58" i="9" a="1"/>
  <c r="L58" i="9" s="1"/>
  <c r="F111" i="9"/>
  <c r="U32" i="9" s="1" a="1"/>
  <c r="U32" i="9" s="1"/>
  <c r="C94" i="9"/>
  <c r="R15" i="9" s="1" a="1"/>
  <c r="R15" i="9" s="1"/>
  <c r="F93" i="9"/>
  <c r="U14" i="9" s="1" a="1"/>
  <c r="U14" i="9" s="1"/>
  <c r="L73" i="9" a="1"/>
  <c r="L73" i="9" s="1"/>
  <c r="H69" i="9" a="1"/>
  <c r="H69" i="9" s="1"/>
  <c r="L111" i="9"/>
  <c r="AA32" i="9" s="1" a="1"/>
  <c r="AA32" i="9" s="1"/>
  <c r="O60" i="9"/>
  <c r="D104" i="9"/>
  <c r="S25" i="9" s="1" a="1"/>
  <c r="S25" i="9" s="1"/>
  <c r="F99" i="9"/>
  <c r="U20" i="9" s="1" a="1"/>
  <c r="U20" i="9" s="1"/>
  <c r="O53" i="9"/>
  <c r="H108" i="9"/>
  <c r="W29" i="9" s="1" a="1"/>
  <c r="W29" i="9" s="1"/>
  <c r="G72" i="9" a="1"/>
  <c r="G72" i="9" s="1"/>
  <c r="D105" i="9"/>
  <c r="S26" i="9" s="1" a="1"/>
  <c r="S26" i="9" s="1"/>
  <c r="G94" i="9"/>
  <c r="J96" i="9"/>
  <c r="Y17" i="9" s="1" a="1"/>
  <c r="Y17" i="9" s="1"/>
  <c r="K96" i="9"/>
  <c r="Z17" i="9" s="1" a="1"/>
  <c r="Z17" i="9" s="1"/>
  <c r="F89" i="9"/>
  <c r="U10" i="9" s="1" a="1"/>
  <c r="U10" i="9" s="1"/>
  <c r="L51" i="9" a="1"/>
  <c r="L51" i="9" s="1"/>
  <c r="D85" i="9"/>
  <c r="S6" i="9" s="1" a="1"/>
  <c r="S6" i="9" s="1"/>
  <c r="I72" i="9" a="1"/>
  <c r="I72" i="9" s="1"/>
  <c r="H68" i="9" a="1"/>
  <c r="H68" i="9" s="1"/>
  <c r="M100" i="9"/>
  <c r="AB21" i="9" s="1" a="1"/>
  <c r="AB21" i="9" s="1"/>
  <c r="M54" i="9" a="1"/>
  <c r="M54" i="9" s="1"/>
  <c r="O54" i="9"/>
  <c r="E111" i="9"/>
  <c r="T32" i="9" s="1" a="1"/>
  <c r="T32" i="9" s="1"/>
  <c r="O103" i="9"/>
  <c r="AD24" i="9" s="1"/>
  <c r="B21" i="20" s="1"/>
  <c r="M57" i="9" a="1"/>
  <c r="M57" i="9" s="1"/>
  <c r="K94" i="9"/>
  <c r="Z15" i="9" s="1" a="1"/>
  <c r="Z15" i="9" s="1"/>
  <c r="H74" i="9" a="1"/>
  <c r="H74" i="9" s="1"/>
  <c r="J105" i="9"/>
  <c r="Y26" i="9" s="1" a="1"/>
  <c r="Y26" i="9" s="1"/>
  <c r="H63" i="9" a="1"/>
  <c r="H63" i="9" s="1"/>
  <c r="J89" i="9"/>
  <c r="Y10" i="9" s="1" a="1"/>
  <c r="Y10" i="9" s="1"/>
  <c r="L53" i="9" a="1"/>
  <c r="L53" i="9" s="1"/>
  <c r="H104" i="9"/>
  <c r="W25" i="9" s="1" a="1"/>
  <c r="W25" i="9" s="1"/>
  <c r="E98" i="9"/>
  <c r="T19" i="9" s="1" a="1"/>
  <c r="T19" i="9" s="1"/>
  <c r="L100" i="9"/>
  <c r="AA21" i="9" s="1" a="1"/>
  <c r="AA21" i="9" s="1"/>
  <c r="H56" i="9" a="1"/>
  <c r="H56" i="9" s="1"/>
  <c r="M106" i="9"/>
  <c r="AB27" i="9" s="1" a="1"/>
  <c r="AB27" i="9" s="1"/>
  <c r="L52" i="9" a="1"/>
  <c r="L52" i="9" s="1"/>
  <c r="F107" i="9"/>
  <c r="U28" i="9" s="1" a="1"/>
  <c r="U28" i="9" s="1"/>
  <c r="K97" i="9"/>
  <c r="Z18" i="9" s="1" a="1"/>
  <c r="Z18" i="9" s="1"/>
  <c r="I69" i="9" a="1"/>
  <c r="I69" i="9" s="1"/>
  <c r="G108" i="9"/>
  <c r="V29" i="9" s="1" a="1"/>
  <c r="V29" i="9" s="1"/>
  <c r="M69" i="9" a="1"/>
  <c r="M69" i="9" s="1"/>
  <c r="O106" i="9"/>
  <c r="AD27" i="9" s="1"/>
  <c r="B24" i="20" s="1"/>
  <c r="M108" i="9"/>
  <c r="AB29" i="9" s="1" a="1"/>
  <c r="AB29" i="9" s="1"/>
  <c r="H93" i="9"/>
  <c r="W14" i="9" s="1" a="1"/>
  <c r="W14" i="9" s="1"/>
  <c r="J73" i="9" a="1"/>
  <c r="J73" i="9" s="1"/>
  <c r="M70" i="9" a="1"/>
  <c r="M70" i="9" s="1"/>
  <c r="D95" i="9"/>
  <c r="S16" i="9" s="1" a="1"/>
  <c r="S16" i="9" s="1"/>
  <c r="D106" i="9"/>
  <c r="S27" i="9" s="1" a="1"/>
  <c r="S27" i="9" s="1"/>
  <c r="O102" i="9"/>
  <c r="AD23" i="9" s="1"/>
  <c r="B20" i="20" s="1"/>
  <c r="G57" i="9" a="1"/>
  <c r="G57" i="9" s="1"/>
  <c r="E109" i="9"/>
  <c r="T30" i="9" s="1" a="1"/>
  <c r="T30" i="9" s="1"/>
  <c r="L62" i="9" a="1"/>
  <c r="L62" i="9" s="1"/>
  <c r="H102" i="9"/>
  <c r="W23" i="9" s="1" a="1"/>
  <c r="W23" i="9" s="1"/>
  <c r="K56" i="9" a="1"/>
  <c r="K56" i="9" s="1"/>
  <c r="H96" i="9"/>
  <c r="I104" i="9"/>
  <c r="X25" i="9" s="1" a="1"/>
  <c r="X25" i="9" s="1"/>
  <c r="E107" i="9"/>
  <c r="T28" i="9" s="1" a="1"/>
  <c r="T28" i="9" s="1"/>
  <c r="L105" i="9"/>
  <c r="AA26" i="9" s="1" a="1"/>
  <c r="AA26" i="9" s="1"/>
  <c r="L101" i="9"/>
  <c r="AA22" i="9" s="1" a="1"/>
  <c r="AA22" i="9" s="1"/>
  <c r="L55" i="9" a="1"/>
  <c r="L55" i="9" s="1"/>
  <c r="J70" i="9" a="1"/>
  <c r="J70" i="9" s="1"/>
  <c r="G50" i="9" a="1"/>
  <c r="G50" i="9" s="1"/>
  <c r="J63" i="9" a="1"/>
  <c r="J63" i="9" s="1"/>
  <c r="H101" i="9"/>
  <c r="W22" i="9" s="1" a="1"/>
  <c r="W22" i="9" s="1"/>
  <c r="O99" i="9"/>
  <c r="AD20" i="9" s="1"/>
  <c r="B17" i="20" s="1"/>
  <c r="G90" i="9"/>
  <c r="E97" i="9"/>
  <c r="T18" i="9" s="1" a="1"/>
  <c r="T18" i="9" s="1"/>
  <c r="E93" i="9"/>
  <c r="T14" i="9" s="1" a="1"/>
  <c r="T14" i="9" s="1"/>
  <c r="J58" i="9" a="1"/>
  <c r="J58" i="9" s="1"/>
  <c r="J55" i="9" a="1"/>
  <c r="J55" i="9" s="1"/>
  <c r="J85" i="9"/>
  <c r="Y6" i="9" s="1" a="1"/>
  <c r="Y6" i="9" s="1"/>
  <c r="F102" i="9"/>
  <c r="U23" i="9" s="1" a="1"/>
  <c r="U23" i="9" s="1"/>
  <c r="E88" i="9"/>
  <c r="T9" i="9" s="1" a="1"/>
  <c r="T9" i="9" s="1"/>
  <c r="D92" i="9"/>
  <c r="S13" i="9" s="1" a="1"/>
  <c r="S13" i="9" s="1"/>
  <c r="E102" i="9"/>
  <c r="T23" i="9" s="1" a="1"/>
  <c r="T23" i="9" s="1"/>
  <c r="F100" i="9"/>
  <c r="U21" i="9" s="1" a="1"/>
  <c r="U21" i="9" s="1"/>
  <c r="E91" i="9"/>
  <c r="T12" i="9" s="1" a="1"/>
  <c r="T12" i="9" s="1"/>
  <c r="G53" i="9" a="1"/>
  <c r="G53" i="9" s="1"/>
  <c r="W17" i="9" a="1"/>
  <c r="W17" i="9" s="1"/>
  <c r="K95" i="9"/>
  <c r="Z16" i="9" s="1" a="1"/>
  <c r="Z16" i="9" s="1"/>
  <c r="L89" i="9"/>
  <c r="AA10" i="9" s="1" a="1"/>
  <c r="AA10" i="9" s="1"/>
  <c r="H110" i="9"/>
  <c r="W31" i="9" s="1" a="1"/>
  <c r="W31" i="9" s="1"/>
  <c r="G89" i="9"/>
  <c r="K66" i="9" a="1"/>
  <c r="K66" i="9" s="1"/>
  <c r="L60" i="9" a="1"/>
  <c r="L60" i="9" s="1"/>
  <c r="M85" i="9"/>
  <c r="AB6" i="9" s="1" a="1"/>
  <c r="AB6" i="9" s="1"/>
  <c r="E100" i="9"/>
  <c r="T21" i="9" s="1" a="1"/>
  <c r="T21" i="9" s="1"/>
  <c r="O68" i="9"/>
  <c r="O89" i="9"/>
  <c r="AD10" i="9" s="1"/>
  <c r="B7" i="20" s="1"/>
  <c r="J76" i="9" a="1"/>
  <c r="J76" i="9" s="1"/>
  <c r="E105" i="9"/>
  <c r="T26" i="9" s="1" a="1"/>
  <c r="T26" i="9" s="1"/>
  <c r="K58" i="9" a="1"/>
  <c r="K58" i="9" s="1"/>
  <c r="B5" i="9"/>
  <c r="E5" i="9" s="1"/>
  <c r="C108" i="9"/>
  <c r="R29" i="9" s="1" a="1"/>
  <c r="R29" i="9" s="1"/>
  <c r="H61" i="9" a="1"/>
  <c r="H61" i="9" s="1"/>
  <c r="H97" i="9"/>
  <c r="W18" i="9" s="1" a="1"/>
  <c r="W18" i="9" s="1"/>
  <c r="H73" i="9" a="1"/>
  <c r="H73" i="9" s="1"/>
  <c r="L74" i="9" a="1"/>
  <c r="L74" i="9" s="1"/>
  <c r="O57" i="9"/>
  <c r="K63" i="9" a="1"/>
  <c r="K63" i="9" s="1"/>
  <c r="F88" i="9"/>
  <c r="U9" i="9" s="1" a="1"/>
  <c r="U9" i="9" s="1"/>
  <c r="J107" i="9"/>
  <c r="Y28" i="9" s="1" a="1"/>
  <c r="Y28" i="9" s="1"/>
  <c r="L97" i="9"/>
  <c r="AA18" i="9" s="1" a="1"/>
  <c r="AA18" i="9" s="1"/>
  <c r="J103" i="9"/>
  <c r="Y24" i="9" s="1" a="1"/>
  <c r="Y24" i="9" s="1"/>
  <c r="I93" i="9"/>
  <c r="X14" i="9" s="1" a="1"/>
  <c r="X14" i="9" s="1"/>
  <c r="J54" i="9" a="1"/>
  <c r="J54" i="9" s="1"/>
  <c r="O92" i="9"/>
  <c r="AD13" i="9" s="1"/>
  <c r="B10" i="20" s="1"/>
  <c r="J111" i="9"/>
  <c r="Y32" i="9" s="1" a="1"/>
  <c r="Y32" i="9" s="1"/>
  <c r="F106" i="9"/>
  <c r="U27" i="9" s="1" a="1"/>
  <c r="U27" i="9" s="1"/>
  <c r="M94" i="9"/>
  <c r="AB15" i="9" s="1" a="1"/>
  <c r="AB15" i="9" s="1"/>
  <c r="I60" i="9" a="1"/>
  <c r="I60" i="9" s="1"/>
  <c r="H70" i="9" a="1"/>
  <c r="H70" i="9" s="1"/>
  <c r="I97" i="9"/>
  <c r="X18" i="9" s="1" a="1"/>
  <c r="X18" i="9" s="1"/>
  <c r="J62" i="9" a="1"/>
  <c r="J62" i="9" s="1"/>
  <c r="G91" i="9"/>
  <c r="W28" i="9" a="1"/>
  <c r="W28" i="9" s="1"/>
  <c r="I76" i="9" a="1"/>
  <c r="I76" i="9" s="1"/>
  <c r="M111" i="9"/>
  <c r="AB32" i="9" s="1" a="1"/>
  <c r="AB32" i="9" s="1"/>
  <c r="O76" i="9"/>
  <c r="E96" i="9"/>
  <c r="T17" i="9" s="1" a="1"/>
  <c r="T17" i="9" s="1"/>
  <c r="K71" i="9" a="1"/>
  <c r="K71" i="9" s="1"/>
  <c r="M95" i="9"/>
  <c r="AB16" i="9" s="1" a="1"/>
  <c r="AB16" i="9" s="1"/>
  <c r="G85" i="9"/>
  <c r="V6" i="9" s="1" a="1"/>
  <c r="V6" i="9" s="1"/>
  <c r="J90" i="9"/>
  <c r="Y11" i="9" s="1" a="1"/>
  <c r="Y11" i="9" s="1"/>
  <c r="L67" i="9" a="1"/>
  <c r="L67" i="9" s="1"/>
  <c r="J88" i="9"/>
  <c r="Y9" i="9" s="1" a="1"/>
  <c r="Y9" i="9" s="1"/>
  <c r="M59" i="9" a="1"/>
  <c r="M59" i="9" s="1"/>
  <c r="I55" i="9" a="1"/>
  <c r="I55" i="9" s="1"/>
  <c r="K54" i="9" a="1"/>
  <c r="K54" i="9" s="1"/>
  <c r="I52" i="9" a="1"/>
  <c r="I52" i="9" s="1"/>
  <c r="C95" i="9"/>
  <c r="R16" i="9" s="1" a="1"/>
  <c r="R16" i="9" s="1"/>
  <c r="I109" i="9"/>
  <c r="X30" i="9" s="1" a="1"/>
  <c r="X30" i="9" s="1"/>
  <c r="G107" i="9"/>
  <c r="I67" i="9" a="1"/>
  <c r="I67" i="9" s="1"/>
  <c r="G66" i="9" a="1"/>
  <c r="G66" i="9" s="1"/>
  <c r="K61" i="9" a="1"/>
  <c r="K61" i="9" s="1"/>
  <c r="J87" i="9"/>
  <c r="Y8" i="9" s="1" a="1"/>
  <c r="Y8" i="9" s="1"/>
  <c r="M98" i="9"/>
  <c r="AB19" i="9" s="1" a="1"/>
  <c r="AB19" i="9" s="1"/>
  <c r="J50" i="9" a="1"/>
  <c r="J50" i="9" s="1"/>
  <c r="E92" i="9"/>
  <c r="T13" i="9" s="1" a="1"/>
  <c r="T13" i="9" s="1"/>
  <c r="B4" i="9"/>
  <c r="K105" i="9"/>
  <c r="Z26" i="9" s="1" a="1"/>
  <c r="Z26" i="9" s="1"/>
  <c r="R9" i="9" a="1"/>
  <c r="R9" i="9" s="1"/>
  <c r="K64" i="9" a="1"/>
  <c r="K64" i="9" s="1"/>
  <c r="M90" i="9"/>
  <c r="AB11" i="9" s="1" a="1"/>
  <c r="AB11" i="9" s="1"/>
  <c r="G104" i="9"/>
  <c r="V19" i="9" a="1"/>
  <c r="V19" i="9" s="1"/>
  <c r="M96" i="9"/>
  <c r="AB17" i="9" s="1" a="1"/>
  <c r="AB17" i="9" s="1"/>
  <c r="C111" i="9"/>
  <c r="R32" i="9" s="1" a="1"/>
  <c r="R32" i="9" s="1"/>
  <c r="M56" i="9" a="1"/>
  <c r="M56" i="9" s="1"/>
  <c r="AB20" i="9" a="1"/>
  <c r="AB20" i="9" s="1"/>
  <c r="C87" i="9"/>
  <c r="R8" i="9" s="1" a="1"/>
  <c r="R8" i="9" s="1"/>
  <c r="J57" i="9" a="1"/>
  <c r="J57" i="9" s="1"/>
  <c r="H103" i="9"/>
  <c r="W24" i="9" s="1" a="1"/>
  <c r="W24" i="9" s="1"/>
  <c r="D90" i="9"/>
  <c r="S11" i="9" s="1" a="1"/>
  <c r="S11" i="9" s="1"/>
  <c r="K51" i="9" a="1"/>
  <c r="K51" i="9" s="1"/>
  <c r="G96" i="9"/>
  <c r="V17" i="9" s="1" a="1"/>
  <c r="V17" i="9" s="1"/>
  <c r="L54" i="9" a="1"/>
  <c r="L54" i="9" s="1"/>
  <c r="L61" i="9" a="1"/>
  <c r="L61" i="9" s="1"/>
  <c r="L69" i="9" a="1"/>
  <c r="L69" i="9" s="1"/>
  <c r="J59" i="9" a="1"/>
  <c r="J59" i="9" s="1"/>
  <c r="M50" i="9" a="1"/>
  <c r="M50" i="9" s="1"/>
  <c r="O73" i="9"/>
  <c r="I108" i="9"/>
  <c r="X29" i="9" s="1" a="1"/>
  <c r="X29" i="9" s="1"/>
  <c r="L66" i="9" a="1"/>
  <c r="L66" i="9" s="1"/>
  <c r="L90" i="9"/>
  <c r="AA11" i="9" s="1" a="1"/>
  <c r="AA11" i="9" s="1"/>
  <c r="G65" i="9" a="1"/>
  <c r="G65" i="9" s="1"/>
  <c r="K72" i="9" a="1"/>
  <c r="K72" i="9" s="1"/>
  <c r="L94" i="9"/>
  <c r="AA15" i="9" s="1" a="1"/>
  <c r="AA15" i="9" s="1"/>
  <c r="O100" i="9"/>
  <c r="AD21" i="9" s="1"/>
  <c r="B18" i="20" s="1"/>
  <c r="M55" i="9" a="1"/>
  <c r="M55" i="9" s="1"/>
  <c r="C97" i="9"/>
  <c r="R18" i="9" s="1" a="1"/>
  <c r="R18" i="9" s="1"/>
  <c r="O66" i="9"/>
  <c r="O94" i="9"/>
  <c r="AD15" i="9" s="1"/>
  <c r="B12" i="20" s="1"/>
  <c r="D86" i="9"/>
  <c r="S7" i="9" s="1" a="1"/>
  <c r="S7" i="9" s="1"/>
  <c r="O93" i="9"/>
  <c r="AD14" i="9" s="1"/>
  <c r="B11" i="20" s="1"/>
  <c r="I87" i="9"/>
  <c r="X8" i="9" s="1" a="1"/>
  <c r="X8" i="9" s="1"/>
  <c r="M68" i="9" a="1"/>
  <c r="M68" i="9" s="1"/>
  <c r="C103" i="9"/>
  <c r="R24" i="9" s="1" a="1"/>
  <c r="R24" i="9" s="1"/>
  <c r="D88" i="9"/>
  <c r="S9" i="9" s="1" a="1"/>
  <c r="S9" i="9" s="1"/>
  <c r="M72" i="9" a="1"/>
  <c r="M72" i="9" s="1"/>
  <c r="O90" i="9"/>
  <c r="AD11" i="9" s="1"/>
  <c r="B8" i="20" s="1"/>
  <c r="F97" i="9"/>
  <c r="U18" i="9" s="1" a="1"/>
  <c r="U18" i="9" s="1"/>
  <c r="H66" i="9" a="1"/>
  <c r="H66" i="9" s="1"/>
  <c r="I75" i="9" a="1"/>
  <c r="I75" i="9" s="1"/>
  <c r="L96" i="9"/>
  <c r="AA17" i="9" s="1" a="1"/>
  <c r="AA17" i="9" s="1"/>
  <c r="AA31" i="9" a="1"/>
  <c r="AA31" i="9" s="1"/>
  <c r="F96" i="9"/>
  <c r="U17" i="9" s="1" a="1"/>
  <c r="U17" i="9" s="1"/>
  <c r="H59" i="9" a="1"/>
  <c r="H59" i="9" s="1"/>
  <c r="E94" i="9"/>
  <c r="T15" i="9" s="1" a="1"/>
  <c r="T15" i="9" s="1"/>
  <c r="L76" i="9" a="1"/>
  <c r="L76" i="9" s="1"/>
  <c r="D111" i="9"/>
  <c r="S32" i="9" s="1" a="1"/>
  <c r="S32" i="9" s="1"/>
  <c r="D89" i="9"/>
  <c r="S10" i="9" s="1" a="1"/>
  <c r="S10" i="9" s="1"/>
  <c r="K98" i="9"/>
  <c r="Z19" i="9" s="1" a="1"/>
  <c r="Z19" i="9" s="1"/>
  <c r="C101" i="9"/>
  <c r="R22" i="9" s="1" a="1"/>
  <c r="R22" i="9" s="1"/>
  <c r="F94" i="9"/>
  <c r="U15" i="9" s="1" a="1"/>
  <c r="U15" i="9" s="1"/>
  <c r="L98" i="9"/>
  <c r="AA19" i="9" s="1" a="1"/>
  <c r="AA19" i="9" s="1"/>
  <c r="C85" i="9"/>
  <c r="R6" i="9" s="1" a="1"/>
  <c r="R6" i="9" s="1"/>
  <c r="G99" i="9"/>
  <c r="O91" i="9"/>
  <c r="AD12" i="9" s="1"/>
  <c r="B9" i="20" s="1"/>
  <c r="I94" i="9"/>
  <c r="X15" i="9" s="1" a="1"/>
  <c r="X15" i="9" s="1"/>
  <c r="J110" i="9"/>
  <c r="Y31" i="9" s="1" a="1"/>
  <c r="Y31" i="9" s="1"/>
  <c r="J64" i="9" a="1"/>
  <c r="J64" i="9" s="1"/>
  <c r="H72" i="9" a="1"/>
  <c r="H72" i="9" s="1"/>
  <c r="E87" i="9"/>
  <c r="T8" i="9" s="1" a="1"/>
  <c r="T8" i="9" s="1"/>
  <c r="G109" i="9"/>
  <c r="V30" i="9" s="1" a="1"/>
  <c r="V30" i="9" s="1"/>
  <c r="F85" i="9"/>
  <c r="U6" i="9" s="1" a="1"/>
  <c r="U6" i="9" s="1"/>
  <c r="O71" i="9"/>
  <c r="D103" i="9"/>
  <c r="S24" i="9" s="1" a="1"/>
  <c r="S24" i="9" s="1"/>
  <c r="F105" i="9"/>
  <c r="U26" i="9" s="1" a="1"/>
  <c r="U26" i="9" s="1"/>
  <c r="H55" i="9" a="1"/>
  <c r="H55" i="9" s="1"/>
  <c r="K68" i="9" a="1"/>
  <c r="K68" i="9" s="1"/>
  <c r="O62" i="9"/>
  <c r="C15" i="9"/>
  <c r="E15" i="9"/>
  <c r="V26" i="9" a="1"/>
  <c r="V26" i="9" s="1"/>
  <c r="V27" i="9" a="1"/>
  <c r="V27" i="9" s="1"/>
  <c r="A28" i="20"/>
  <c r="A5" i="20"/>
  <c r="A20" i="20"/>
  <c r="A3" i="20"/>
  <c r="A27" i="20"/>
  <c r="A4" i="20"/>
  <c r="A10" i="20"/>
  <c r="A23" i="20"/>
  <c r="A16" i="20"/>
  <c r="A21" i="20"/>
  <c r="A22" i="20"/>
  <c r="A14" i="20"/>
  <c r="Q5" i="9"/>
  <c r="D12" i="19" s="1" a="1"/>
  <c r="D12" i="19" s="1"/>
  <c r="A11" i="20"/>
  <c r="A7" i="20"/>
  <c r="A24" i="20"/>
  <c r="A8" i="20"/>
  <c r="H58" i="9" a="1"/>
  <c r="H58" i="9" s="1"/>
  <c r="I70" i="9" a="1"/>
  <c r="I70" i="9" s="1"/>
  <c r="D110" i="9"/>
  <c r="S31" i="9" s="1" a="1"/>
  <c r="S31" i="9" s="1"/>
  <c r="O65" i="9"/>
  <c r="E106" i="9"/>
  <c r="T27" i="9" s="1" a="1"/>
  <c r="T27" i="9" s="1"/>
  <c r="K76" i="9" a="1"/>
  <c r="K76" i="9" s="1"/>
  <c r="J75" i="9" a="1"/>
  <c r="J75" i="9" s="1"/>
  <c r="J104" i="9"/>
  <c r="Y25" i="9" s="1" a="1"/>
  <c r="Y25" i="9" s="1"/>
  <c r="F90" i="9"/>
  <c r="U11" i="9" s="1" a="1"/>
  <c r="U11" i="9" s="1"/>
  <c r="I73" i="9" a="1"/>
  <c r="I73" i="9" s="1"/>
  <c r="J100" i="9"/>
  <c r="Y21" i="9" s="1" a="1"/>
  <c r="Y21" i="9" s="1"/>
  <c r="A19" i="20"/>
  <c r="L106" i="9"/>
  <c r="AA27" i="9" s="1" a="1"/>
  <c r="AA27" i="9" s="1"/>
  <c r="C93" i="9"/>
  <c r="R14" i="9" s="1" a="1"/>
  <c r="R14" i="9" s="1"/>
  <c r="A6" i="20"/>
  <c r="M60" i="9" a="1"/>
  <c r="M60" i="9" s="1"/>
  <c r="I74" i="9" a="1"/>
  <c r="I74" i="9" s="1"/>
  <c r="C100" i="9"/>
  <c r="R21" i="9" s="1" a="1"/>
  <c r="R21" i="9" s="1"/>
  <c r="G88" i="9"/>
  <c r="J101" i="9"/>
  <c r="Y22" i="9" s="1" a="1"/>
  <c r="Y22" i="9" s="1"/>
  <c r="J51" i="9" a="1"/>
  <c r="J51" i="9" s="1"/>
  <c r="C98" i="9"/>
  <c r="R19" i="9" s="1" a="1"/>
  <c r="R19" i="9" s="1"/>
  <c r="L85" i="9"/>
  <c r="AA6" i="9" s="1" a="1"/>
  <c r="AA6" i="9" s="1"/>
  <c r="O56" i="9"/>
  <c r="I53" i="9" a="1"/>
  <c r="I53" i="9" s="1"/>
  <c r="AC36" i="9"/>
  <c r="G102" i="9"/>
  <c r="V23" i="9" s="1" a="1"/>
  <c r="V23" i="9" s="1"/>
  <c r="H52" i="9" a="1"/>
  <c r="H52" i="9" s="1"/>
  <c r="K109" i="9"/>
  <c r="C104" i="9"/>
  <c r="R25" i="9" s="1" a="1"/>
  <c r="R25" i="9" s="1"/>
  <c r="K60" i="9" a="1"/>
  <c r="K60" i="9" s="1"/>
  <c r="C107" i="9"/>
  <c r="R28" i="9" s="1" a="1"/>
  <c r="R28" i="9" s="1"/>
  <c r="K65" i="9" a="1"/>
  <c r="K65" i="9" s="1"/>
  <c r="E99" i="9"/>
  <c r="T20" i="9" s="1" a="1"/>
  <c r="T20" i="9" s="1"/>
  <c r="K69" i="9" a="1"/>
  <c r="K69" i="9" s="1"/>
  <c r="H53" i="9" a="1"/>
  <c r="H53" i="9" s="1"/>
  <c r="A12" i="20"/>
  <c r="O52" i="9"/>
  <c r="E110" i="9"/>
  <c r="T31" i="9" s="1" a="1"/>
  <c r="T31" i="9" s="1"/>
  <c r="M93" i="9"/>
  <c r="AB14" i="9" s="1" a="1"/>
  <c r="AB14" i="9" s="1"/>
  <c r="F108" i="9"/>
  <c r="U29" i="9" s="1" a="1"/>
  <c r="U29" i="9" s="1"/>
  <c r="L107" i="9"/>
  <c r="AA28" i="9" s="1" a="1"/>
  <c r="AA28" i="9" s="1"/>
  <c r="R12" i="9" a="1"/>
  <c r="R12" i="9" s="1"/>
  <c r="H105" i="9"/>
  <c r="W26" i="9" s="1" a="1"/>
  <c r="W26" i="9" s="1"/>
  <c r="J109" i="9"/>
  <c r="Y30" i="9" s="1" a="1"/>
  <c r="Y30" i="9" s="1"/>
  <c r="N79" i="9"/>
  <c r="AC35" i="9"/>
  <c r="AE35" i="9" s="1"/>
  <c r="AC33" i="9"/>
  <c r="AE33" i="9" s="1"/>
  <c r="W7" i="9" a="1"/>
  <c r="W7" i="9" s="1"/>
  <c r="N77" i="9"/>
  <c r="P77" i="9" s="1"/>
  <c r="G75" i="9" a="1"/>
  <c r="G75" i="9" s="1"/>
  <c r="H51" i="9" a="1"/>
  <c r="H51" i="9" s="1"/>
  <c r="N78" i="9"/>
  <c r="P78" i="9" s="1"/>
  <c r="G69" i="9" a="1"/>
  <c r="G69" i="9" s="1"/>
  <c r="H50" i="9" a="1"/>
  <c r="H50" i="9" s="1"/>
  <c r="G67" i="9" a="1"/>
  <c r="G67" i="9" s="1"/>
  <c r="H60" i="9" a="1"/>
  <c r="H60" i="9" s="1"/>
  <c r="L68" i="9" a="1"/>
  <c r="L68" i="9" s="1"/>
  <c r="AA24" i="9" a="1"/>
  <c r="AA24" i="9" s="1"/>
  <c r="K195" i="1"/>
  <c r="G59" i="9" a="1"/>
  <c r="G59" i="9" s="1"/>
  <c r="J53" i="9" a="1"/>
  <c r="J53" i="9" s="1"/>
  <c r="E9" i="9"/>
  <c r="H57" i="9" a="1"/>
  <c r="H57" i="9" s="1"/>
  <c r="J195" i="1" a="1"/>
  <c r="J195" i="1" s="1"/>
  <c r="G51" i="9" a="1"/>
  <c r="G51" i="9" s="1"/>
  <c r="I195" i="1" a="1"/>
  <c r="I195" i="1" s="1"/>
  <c r="E13" i="8" s="1"/>
  <c r="G60" i="9" a="1"/>
  <c r="G60" i="9" s="1"/>
  <c r="G56" i="9" a="1"/>
  <c r="G56" i="9" s="1"/>
  <c r="C16" i="10"/>
  <c r="C9" i="8"/>
  <c r="N5" i="17"/>
  <c r="N7" i="17" s="1"/>
  <c r="C19" i="10" s="1"/>
  <c r="K6" i="17"/>
  <c r="B27" i="20"/>
  <c r="F599" i="17"/>
  <c r="E38" i="18"/>
  <c r="G21" i="15"/>
  <c r="C43" i="12"/>
  <c r="I37" i="12"/>
  <c r="J37" i="14"/>
  <c r="C12" i="8" s="1"/>
  <c r="D38" i="18"/>
  <c r="D38" i="14"/>
  <c r="C10" i="8" s="1"/>
  <c r="I122" i="6"/>
  <c r="H24" i="7"/>
  <c r="H9" i="15"/>
  <c r="H21" i="15" s="1"/>
  <c r="H122" i="6"/>
  <c r="D2" i="2"/>
  <c r="H69" i="1" l="1"/>
  <c r="H67" i="1"/>
  <c r="F49" i="9" a="1"/>
  <c r="F49" i="9" s="1"/>
  <c r="C12" i="19" a="1"/>
  <c r="C12" i="19" s="1"/>
  <c r="E12" i="19" s="1"/>
  <c r="G49" i="9" a="1"/>
  <c r="G49" i="9" s="1"/>
  <c r="D49" i="9" a="1"/>
  <c r="D49" i="9" s="1"/>
  <c r="C10" i="9"/>
  <c r="C5" i="9"/>
  <c r="C14" i="9"/>
  <c r="N103" i="9"/>
  <c r="E6" i="9"/>
  <c r="N91" i="9"/>
  <c r="P91" i="9" s="1"/>
  <c r="V12" i="9" a="1"/>
  <c r="V12" i="9" s="1"/>
  <c r="AC12" i="9" s="1"/>
  <c r="AE12" i="9" s="1"/>
  <c r="C9" i="20" s="1"/>
  <c r="H49" i="9" a="1"/>
  <c r="H49" i="9" s="1"/>
  <c r="N90" i="9"/>
  <c r="P90" i="9" s="1"/>
  <c r="N95" i="9"/>
  <c r="P95" i="9" s="1"/>
  <c r="N85" i="9"/>
  <c r="P85" i="9" s="1"/>
  <c r="C14" i="19" a="1"/>
  <c r="C14" i="19" s="1"/>
  <c r="N104" i="9"/>
  <c r="P104" i="9" s="1"/>
  <c r="E16" i="9"/>
  <c r="C16" i="9"/>
  <c r="P103" i="9"/>
  <c r="N87" i="9"/>
  <c r="P87" i="9" s="1"/>
  <c r="N71" i="9"/>
  <c r="P71" i="9" s="1"/>
  <c r="C8" i="9"/>
  <c r="E8" i="9"/>
  <c r="N100" i="9"/>
  <c r="P100" i="9" s="1"/>
  <c r="V25" i="9" a="1"/>
  <c r="V25" i="9" s="1"/>
  <c r="AC25" i="9" s="1"/>
  <c r="AE25" i="9" s="1"/>
  <c r="C22" i="20" s="1"/>
  <c r="N93" i="9"/>
  <c r="P93" i="9" s="1"/>
  <c r="N108" i="9"/>
  <c r="P108" i="9" s="1"/>
  <c r="N66" i="9"/>
  <c r="P66" i="9" s="1"/>
  <c r="N58" i="9"/>
  <c r="P58" i="9" s="1"/>
  <c r="N55" i="9"/>
  <c r="P55" i="9" s="1"/>
  <c r="N63" i="9"/>
  <c r="P63" i="9" s="1"/>
  <c r="N56" i="9"/>
  <c r="P56" i="9" s="1"/>
  <c r="N54" i="9"/>
  <c r="P54" i="9" s="1"/>
  <c r="N64" i="9"/>
  <c r="P64" i="9" s="1"/>
  <c r="N52" i="9"/>
  <c r="P52" i="9" s="1"/>
  <c r="N53" i="9"/>
  <c r="P53" i="9" s="1"/>
  <c r="AC29" i="9"/>
  <c r="AE29" i="9" s="1"/>
  <c r="C26" i="20" s="1"/>
  <c r="N65" i="9"/>
  <c r="P65" i="9" s="1"/>
  <c r="AC19" i="9"/>
  <c r="AE19" i="9" s="1"/>
  <c r="C16" i="20" s="1"/>
  <c r="N73" i="9"/>
  <c r="P73" i="9" s="1"/>
  <c r="AC23" i="9"/>
  <c r="AE23" i="9" s="1"/>
  <c r="C20" i="20" s="1"/>
  <c r="AC27" i="9"/>
  <c r="AE27" i="9" s="1"/>
  <c r="C24" i="20" s="1"/>
  <c r="AC22" i="9"/>
  <c r="AE22" i="9" s="1"/>
  <c r="C19" i="20" s="1"/>
  <c r="AC21" i="9"/>
  <c r="AE21" i="9" s="1"/>
  <c r="C18" i="20" s="1"/>
  <c r="N92" i="9"/>
  <c r="P92" i="9" s="1"/>
  <c r="N51" i="9"/>
  <c r="P51" i="9" s="1"/>
  <c r="N75" i="9"/>
  <c r="P75" i="9" s="1"/>
  <c r="N106" i="9"/>
  <c r="P106" i="9" s="1"/>
  <c r="N89" i="9"/>
  <c r="P89" i="9" s="1"/>
  <c r="N96" i="9"/>
  <c r="P96" i="9" s="1"/>
  <c r="E11" i="9"/>
  <c r="C11" i="9"/>
  <c r="X6" i="9" a="1"/>
  <c r="X6" i="9" s="1"/>
  <c r="AC6" i="9" s="1"/>
  <c r="AE6" i="9" s="1"/>
  <c r="C3" i="20" s="1"/>
  <c r="AC32" i="9"/>
  <c r="AE32" i="9" s="1"/>
  <c r="AC18" i="9"/>
  <c r="AE18" i="9" s="1"/>
  <c r="C15" i="20" s="1"/>
  <c r="AC8" i="9"/>
  <c r="AE8" i="9" s="1"/>
  <c r="C5" i="20" s="1"/>
  <c r="N59" i="9"/>
  <c r="P59" i="9" s="1"/>
  <c r="N68" i="9"/>
  <c r="P68" i="9" s="1"/>
  <c r="N70" i="9"/>
  <c r="P70" i="9" s="1"/>
  <c r="N60" i="9"/>
  <c r="P60" i="9" s="1"/>
  <c r="V11" i="9" a="1"/>
  <c r="V11" i="9" s="1"/>
  <c r="AC11" i="9" s="1"/>
  <c r="AE11" i="9" s="1"/>
  <c r="C8" i="20" s="1"/>
  <c r="N88" i="9"/>
  <c r="P88" i="9" s="1"/>
  <c r="N110" i="9"/>
  <c r="P110" i="9" s="1"/>
  <c r="N86" i="9"/>
  <c r="P86" i="9" s="1"/>
  <c r="AC24" i="9"/>
  <c r="AE24" i="9" s="1"/>
  <c r="C21" i="20" s="1"/>
  <c r="AC17" i="9"/>
  <c r="AE17" i="9" s="1"/>
  <c r="C14" i="20" s="1"/>
  <c r="N101" i="9"/>
  <c r="P101" i="9" s="1"/>
  <c r="N76" i="9"/>
  <c r="P76" i="9" s="1"/>
  <c r="X13" i="9" a="1"/>
  <c r="X13" i="9" s="1"/>
  <c r="AC13" i="9" s="1"/>
  <c r="AE13" i="9" s="1"/>
  <c r="C10" i="20" s="1"/>
  <c r="V7" i="9" a="1"/>
  <c r="V7" i="9" s="1"/>
  <c r="AC7" i="9" s="1"/>
  <c r="AE7" i="9" s="1"/>
  <c r="C4" i="20" s="1"/>
  <c r="E7" i="9" a="1"/>
  <c r="E7" i="9" s="1"/>
  <c r="C7" i="9"/>
  <c r="C13" i="9"/>
  <c r="E13" i="9"/>
  <c r="A2" i="20"/>
  <c r="D10" i="19" a="1"/>
  <c r="D10" i="19" s="1"/>
  <c r="D8" i="19" a="1"/>
  <c r="D8" i="19" s="1"/>
  <c r="AC14" i="9"/>
  <c r="AE14" i="9" s="1"/>
  <c r="C11" i="20" s="1"/>
  <c r="N67" i="9"/>
  <c r="P67" i="9" s="1"/>
  <c r="V28" i="9" a="1"/>
  <c r="V28" i="9" s="1"/>
  <c r="AC28" i="9" s="1"/>
  <c r="AE28" i="9" s="1"/>
  <c r="C25" i="20" s="1"/>
  <c r="N107" i="9"/>
  <c r="P107" i="9" s="1"/>
  <c r="N94" i="9"/>
  <c r="P94" i="9" s="1"/>
  <c r="V16" i="9" a="1"/>
  <c r="V16" i="9" s="1"/>
  <c r="AC16" i="9" s="1"/>
  <c r="AE16" i="9" s="1"/>
  <c r="C13" i="20" s="1"/>
  <c r="N97" i="9"/>
  <c r="P97" i="9" s="1"/>
  <c r="AC26" i="9"/>
  <c r="AE26" i="9" s="1"/>
  <c r="C23" i="20" s="1"/>
  <c r="E18" i="19" a="1"/>
  <c r="E18" i="19" s="1"/>
  <c r="N102" i="9"/>
  <c r="P102" i="9" s="1"/>
  <c r="N109" i="9"/>
  <c r="P109" i="9" s="1"/>
  <c r="Z30" i="9" a="1"/>
  <c r="Z30" i="9" s="1"/>
  <c r="AC30" i="9" s="1"/>
  <c r="AE30" i="9" s="1"/>
  <c r="C27" i="20" s="1"/>
  <c r="I49" i="9" a="1"/>
  <c r="I49" i="9" s="1"/>
  <c r="L84" i="9"/>
  <c r="AA5" i="9" s="1" a="1"/>
  <c r="AA5" i="9" s="1"/>
  <c r="J49" i="9" a="1"/>
  <c r="J49" i="9" s="1"/>
  <c r="C84" i="9"/>
  <c r="R5" i="9" s="1" a="1"/>
  <c r="R5" i="9" s="1"/>
  <c r="O84" i="9"/>
  <c r="AD5" i="9" s="1"/>
  <c r="B2" i="20" s="1"/>
  <c r="F84" i="9"/>
  <c r="U5" i="9" s="1" a="1"/>
  <c r="U5" i="9" s="1"/>
  <c r="D84" i="9"/>
  <c r="S5" i="9" s="1" a="1"/>
  <c r="S5" i="9" s="1"/>
  <c r="B2" i="9"/>
  <c r="G84" i="9"/>
  <c r="H84" i="9"/>
  <c r="W5" i="9" s="1" a="1"/>
  <c r="W5" i="9" s="1"/>
  <c r="K84" i="9"/>
  <c r="Z5" i="9" s="1" a="1"/>
  <c r="Z5" i="9" s="1"/>
  <c r="M49" i="9" a="1"/>
  <c r="M49" i="9" s="1"/>
  <c r="K49" i="9" a="1"/>
  <c r="K49" i="9" s="1"/>
  <c r="J84" i="9"/>
  <c r="Y5" i="9" s="1" a="1"/>
  <c r="Y5" i="9" s="1"/>
  <c r="L49" i="9" a="1"/>
  <c r="L49" i="9" s="1"/>
  <c r="O49" i="9"/>
  <c r="M84" i="9"/>
  <c r="AB5" i="9" s="1" a="1"/>
  <c r="AB5" i="9" s="1"/>
  <c r="E84" i="9"/>
  <c r="T5" i="9" s="1" a="1"/>
  <c r="T5" i="9" s="1"/>
  <c r="C49" i="9" a="1"/>
  <c r="C49" i="9" s="1"/>
  <c r="I84" i="9"/>
  <c r="X5" i="9" s="1" a="1"/>
  <c r="X5" i="9" s="1"/>
  <c r="N61" i="9"/>
  <c r="P61" i="9" s="1"/>
  <c r="E12" i="9"/>
  <c r="C12" i="9"/>
  <c r="E18" i="9"/>
  <c r="C18" i="9"/>
  <c r="N74" i="9"/>
  <c r="P74" i="9" s="1"/>
  <c r="N72" i="9"/>
  <c r="P72" i="9" s="1"/>
  <c r="V10" i="9" a="1"/>
  <c r="V10" i="9" s="1"/>
  <c r="AC10" i="9" s="1"/>
  <c r="AE10" i="9" s="1"/>
  <c r="C7" i="20" s="1"/>
  <c r="E17" i="9"/>
  <c r="C17" i="9"/>
  <c r="V20" i="9" a="1"/>
  <c r="V20" i="9" s="1"/>
  <c r="AC20" i="9" s="1"/>
  <c r="AE20" i="9" s="1"/>
  <c r="C17" i="20" s="1"/>
  <c r="N99" i="9"/>
  <c r="P99" i="9" s="1"/>
  <c r="AC31" i="9"/>
  <c r="AE31" i="9" s="1"/>
  <c r="N57" i="9"/>
  <c r="P57" i="9" s="1"/>
  <c r="E4" i="9"/>
  <c r="C4" i="9"/>
  <c r="N98" i="9"/>
  <c r="P98" i="9" s="1"/>
  <c r="N111" i="9"/>
  <c r="P111" i="9" s="1"/>
  <c r="N105" i="9"/>
  <c r="P105" i="9" s="1"/>
  <c r="E3" i="9"/>
  <c r="C3" i="9"/>
  <c r="N50" i="9"/>
  <c r="P50" i="9" s="1"/>
  <c r="N69" i="9"/>
  <c r="P69" i="9" s="1"/>
  <c r="V15" i="9" a="1"/>
  <c r="V15" i="9" s="1"/>
  <c r="AC15" i="9" s="1"/>
  <c r="AE15" i="9" s="1"/>
  <c r="C12" i="20" s="1"/>
  <c r="V9" i="9" a="1"/>
  <c r="V9" i="9" s="1"/>
  <c r="AC9" i="9" s="1"/>
  <c r="AE9" i="9" s="1"/>
  <c r="C6" i="20" s="1"/>
  <c r="D14" i="19" a="1"/>
  <c r="D14" i="19" s="1"/>
  <c r="N62" i="9"/>
  <c r="P62" i="9" s="1"/>
  <c r="E4" i="8"/>
  <c r="E8" i="8"/>
  <c r="E5" i="8"/>
  <c r="E6" i="8"/>
  <c r="E9" i="8"/>
  <c r="E7" i="8"/>
  <c r="E12" i="8"/>
  <c r="E10" i="8"/>
  <c r="P7" i="17"/>
  <c r="F38" i="18"/>
  <c r="C11" i="8"/>
  <c r="E14" i="19" l="1"/>
  <c r="E16" i="19" s="1"/>
  <c r="N49" i="9"/>
  <c r="N84" i="9"/>
  <c r="P84" i="9" s="1"/>
  <c r="V5" i="9" a="1"/>
  <c r="V5" i="9" s="1"/>
  <c r="AC5" i="9" s="1"/>
  <c r="AE5" i="9" s="1"/>
  <c r="C2" i="20" s="1"/>
  <c r="C2" i="9"/>
  <c r="E2" i="9"/>
  <c r="C28" i="20"/>
  <c r="E20" i="19" a="1"/>
  <c r="E20" i="19" s="1"/>
  <c r="C21" i="9"/>
  <c r="C23" i="9"/>
  <c r="C3" i="10" s="1"/>
  <c r="C11" i="10" s="1"/>
  <c r="C13" i="10" s="1"/>
  <c r="P49" i="9"/>
  <c r="C14" i="8"/>
  <c r="C4" i="10" s="1"/>
  <c r="E11" i="8"/>
  <c r="E14" i="8" s="1"/>
  <c r="C15" i="10" l="1"/>
  <c r="C17" i="10" s="1"/>
  <c r="C21" i="10" s="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<sst xmlns="http://schemas.openxmlformats.org/spreadsheetml/2006/main" count="2879" uniqueCount="577">
  <si>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</si>
  <si>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</si>
  <si>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</si>
  <si>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</si>
  <si>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</si>
  <si>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</si>
  <si>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</si>
  <si>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</si>
  <si>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</si>
  <si>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</si>
  <si>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</si>
  <si>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</si>
  <si>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</si>
  <si>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</si>
  <si>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</si>
  <si>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</si>
  <si>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</si>
  <si>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</si>
  <si>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</si>
  <si>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</si>
  <si>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</si>
  <si>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</si>
  <si>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</si>
  <si>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</si>
  <si>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</si>
  <si>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</si>
  <si>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</si>
  <si>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</si>
  <si>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</si>
  <si>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</si>
  <si>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</si>
  <si>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</si>
  <si>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</si>
  <si>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</si>
  <si>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</si>
  <si>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</si>
  <si>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</si>
  <si>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</si>
  <si>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</si>
  <si>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</si>
  <si>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</si>
  <si>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</si>
  <si>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</si>
  <si>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</si>
  <si>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</si>
  <si>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</si>
  <si>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</si>
  <si>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</si>
  <si>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</si>
  <si>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</si>
  <si>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</si>
  <si>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</si>
  <si>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</si>
  <si>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</si>
  <si>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</si>
  <si>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</si>
  <si>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</si>
  <si>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</si>
  <si>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</si>
  <si>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</si>
  <si>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</si>
  <si>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</si>
  <si>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</si>
  <si>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</si>
  <si>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</si>
  <si>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</si>
  <si>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</si>
  <si>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</si>
  <si>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</si>
  <si>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</si>
  <si>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</si>
  <si>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</si>
  <si>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</si>
  <si>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</si>
  <si>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</si>
  <si>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</si>
  <si>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</si>
  <si>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</si>
  <si>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</si>
  <si>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</si>
  <si>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</si>
  <si>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</si>
  <si>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</si>
  <si>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</si>
  <si>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</si>
  <si>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</si>
  <si>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</si>
  <si>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</si>
  <si>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</si>
  <si>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</si>
  <si>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</si>
  <si>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</si>
  <si>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</si>
  <si>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</si>
  <si>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</si>
  <si>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</si>
  <si>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</si>
  <si>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</si>
  <si>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</si>
  <si>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</si>
  <si>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</si>
  <si>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</si>
  <si>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</si>
  <si>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</si>
  <si>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</si>
  <si>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</si>
  <si>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</si>
  <si>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</si>
  <si>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</si>
  <si>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</si>
  <si>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</si>
  <si>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</si>
  <si>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</si>
  <si>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</si>
  <si>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</si>
  <si>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</si>
  <si>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</si>
  <si>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</si>
  <si>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</si>
  <si>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</si>
  <si>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</si>
  <si>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</si>
  <si>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</si>
  <si>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</si>
  <si>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</si>
  <si>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</si>
  <si>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</si>
  <si>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</si>
  <si>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</si>
  <si>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</si>
  <si>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</si>
  <si>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</si>
  <si>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</si>
  <si>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</si>
  <si>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</si>
  <si>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</si>
  <si>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</si>
  <si>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</si>
  <si>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</si>
  <si>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</si>
  <si>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</si>
  <si>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</si>
  <si>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</si>
  <si>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</si>
  <si>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</si>
  <si>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</si>
  <si>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</si>
  <si>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</si>
  <si>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</si>
  <si>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</si>
  <si>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</si>
  <si>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</si>
  <si>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</si>
  <si>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</si>
  <si>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</si>
  <si>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</si>
  <si>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</si>
  <si>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</si>
  <si>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</si>
  <si>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</si>
  <si>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</si>
  <si>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</si>
  <si>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</si>
  <si>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</si>
  <si>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</si>
  <si>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</si>
  <si>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</si>
  <si>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</si>
  <si>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</si>
  <si>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</si>
  <si>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</si>
  <si>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</si>
  <si>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</si>
  <si>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</si>
  <si>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</si>
  <si>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</si>
  <si>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</si>
  <si>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</si>
  <si>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</si>
  <si>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</si>
  <si>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</si>
  <si>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</si>
  <si>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</si>
  <si>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</si>
  <si>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</si>
  <si>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</si>
  <si>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</si>
  <si>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</si>
  <si>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</si>
  <si>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</si>
  <si>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</si>
  <si>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</si>
  <si>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</si>
  <si>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</si>
  <si>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</si>
  <si>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</si>
  <si>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</si>
  <si>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</si>
  <si>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</si>
  <si>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</si>
  <si>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</si>
  <si>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</si>
  <si>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</si>
  <si>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</si>
  <si>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</si>
  <si>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</si>
  <si>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</si>
  <si>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</si>
  <si>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</si>
  <si>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</si>
  <si>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</si>
  <si>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</si>
  <si>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</si>
  <si>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</si>
  <si>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</si>
  <si>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</si>
  <si>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</si>
  <si>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</si>
  <si>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</si>
  <si>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</si>
  <si>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</si>
  <si>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</si>
  <si>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</si>
  <si>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</si>
  <si>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</si>
  <si>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</si>
  <si>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</si>
  <si>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</si>
  <si>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</si>
  <si>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</si>
  <si>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</si>
  <si>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</si>
  <si>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</si>
  <si>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</si>
  <si>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</si>
  <si>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</si>
  <si>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</si>
  <si>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</si>
  <si>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</si>
  <si>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</si>
  <si>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</si>
  <si>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</si>
  <si>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</si>
  <si>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</si>
  <si>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</si>
  <si>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</si>
  <si>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</si>
  <si>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</si>
  <si>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</si>
  <si>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</si>
  <si>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</si>
  <si>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</si>
  <si>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</si>
  <si>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</si>
  <si>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</si>
  <si>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</si>
  <si>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</si>
  <si>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</si>
  <si>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</si>
  <si>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</si>
  <si>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</si>
  <si>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</si>
  <si>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</si>
  <si>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</si>
  <si>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</si>
  <si>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</si>
  <si>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</si>
  <si>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</si>
  <si>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</si>
  <si>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</si>
  <si>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</si>
  <si>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</si>
  <si>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</si>
  <si>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</si>
  <si>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</si>
  <si>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</si>
  <si>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</si>
  <si>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</si>
  <si>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</si>
  <si>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</si>
  <si>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</si>
  <si>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</si>
  <si>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</si>
  <si>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</si>
  <si>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</si>
  <si>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</si>
  <si>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</si>
  <si>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</si>
  <si>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</si>
  <si>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</si>
  <si>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</si>
  <si>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</si>
  <si>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</si>
  <si>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</si>
  <si>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</si>
  <si>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</si>
  <si>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</si>
  <si>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</si>
  <si>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</si>
  <si>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</si>
  <si>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</si>
  <si>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</si>
  <si>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</si>
  <si>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</si>
  <si>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</si>
  <si>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</si>
  <si>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</si>
  <si>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</si>
  <si>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</si>
  <si>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</si>
  <si>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</si>
  <si>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</si>
  <si>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</si>
  <si>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</si>
  <si>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</si>
  <si>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</si>
  <si>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</si>
  <si>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</si>
  <si>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</si>
  <si>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</si>
  <si>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</si>
  <si>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</si>
  <si>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</si>
  <si>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</si>
  <si>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</si>
  <si>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</si>
  <si>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</si>
  <si>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</si>
  <si>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</si>
  <si>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</si>
  <si>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</si>
  <si>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</si>
  <si>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</si>
  <si>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</si>
  <si>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</si>
  <si>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</si>
  <si>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</si>
  <si>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</si>
  <si>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</si>
  <si>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</si>
  <si>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</si>
  <si>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</si>
  <si>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</si>
  <si>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</si>
  <si>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</si>
  <si>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</si>
  <si>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</si>
  <si>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</si>
  <si>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</si>
  <si>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</si>
  <si>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</si>
  <si>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</si>
  <si>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</si>
  <si>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</si>
  <si>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</si>
  <si>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</si>
  <si>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</si>
  <si>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</si>
  <si>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</si>
  <si>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</si>
  <si>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</si>
  <si>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</si>
  <si>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</si>
  <si>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</si>
  <si>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</si>
  <si>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</si>
  <si>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</si>
  <si>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</si>
  <si>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</si>
  <si>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</si>
  <si>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</si>
  <si>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</si>
  <si>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</si>
  <si>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</si>
  <si>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</si>
  <si>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</si>
  <si>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</si>
  <si>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</si>
  <si>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</si>
  <si>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</si>
  <si>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</si>
  <si>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</si>
  <si>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</si>
  <si>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</si>
  <si>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</si>
  <si>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</si>
  <si>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</si>
  <si>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</si>
  <si>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</si>
  <si>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</si>
  <si>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</si>
  <si>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</si>
  <si>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</si>
  <si>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</si>
  <si>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</si>
  <si>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</si>
  <si>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</si>
  <si>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</si>
  <si>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</si>
  <si>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</si>
  <si>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</si>
  <si>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</si>
  <si>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</si>
  <si>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</si>
  <si>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</si>
  <si>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</si>
  <si>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</si>
  <si>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</si>
  <si>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</si>
  <si>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</si>
  <si>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</si>
  <si>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</si>
  <si>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</si>
  <si>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</si>
  <si>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</si>
  <si>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</si>
  <si>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</si>
  <si>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</si>
  <si>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</si>
  <si>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</si>
  <si>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</si>
  <si>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</si>
  <si>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</si>
  <si>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</si>
  <si>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</si>
  <si>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</si>
  <si>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</si>
  <si>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</si>
  <si>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</si>
  <si>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</si>
  <si>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</si>
  <si>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</si>
  <si>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</si>
  <si>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</si>
  <si>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</si>
  <si>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</si>
  <si>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</si>
  <si>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</si>
  <si>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</si>
  <si>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</si>
  <si>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</si>
  <si>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</si>
  <si>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</si>
  <si>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</si>
  <si>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</si>
  <si>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</si>
  <si>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</si>
  <si>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</si>
  <si>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</si>
  <si>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</si>
  <si>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</si>
  <si>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</si>
  <si>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</si>
  <si>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</si>
  <si>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</si>
  <si>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</si>
  <si>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</si>
  <si>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</si>
  <si>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</si>
  <si>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</si>
  <si>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</si>
  <si>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</si>
  <si>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</si>
  <si>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</si>
  <si>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</si>
  <si>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</si>
  <si>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</si>
  <si>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</si>
  <si>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</si>
  <si>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</si>
  <si>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</si>
  <si>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</si>
  <si>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</si>
  <si>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</si>
  <si>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</si>
  <si>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</si>
  <si>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</si>
  <si>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</si>
  <si>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</si>
  <si>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</si>
  <si>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</si>
  <si>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</si>
  <si>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</si>
  <si>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</si>
  <si>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</si>
  <si>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</si>
  <si>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</si>
  <si>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</si>
  <si>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</si>
  <si>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</si>
  <si>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</si>
  <si>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</si>
  <si>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</si>
  <si>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</si>
  <si>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</si>
  <si>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</si>
  <si>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</si>
  <si>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</si>
  <si>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</si>
  <si>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</si>
  <si>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</si>
  <si>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</si>
  <si>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</si>
  <si>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</si>
  <si>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</si>
  <si>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</si>
  <si>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</si>
  <si>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</si>
  <si>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</si>
  <si>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</si>
  <si>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</si>
  <si>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</si>
  <si>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</si>
  <si>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</si>
  <si>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</si>
  <si>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</si>
  <si>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</si>
  <si>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</si>
  <si>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</si>
  <si>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</si>
  <si>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</si>
  <si>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</si>
  <si>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</si>
  <si>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</si>
  <si>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</si>
  <si>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</si>
  <si>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</si>
  <si>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</si>
  <si>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</si>
  <si>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</si>
  <si>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</si>
  <si>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</si>
  <si>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</si>
  <si>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</si>
  <si>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</si>
  <si>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</si>
  <si>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</si>
  <si>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</si>
  <si>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</si>
  <si>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</si>
  <si>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altaf</t>
  </si>
  <si>
    <t>ABL</t>
  </si>
  <si>
    <t>TID:783321</t>
  </si>
  <si>
    <t>TID:484646</t>
  </si>
  <si>
    <t>Padel</t>
  </si>
  <si>
    <t>crayons</t>
  </si>
  <si>
    <t>Nadeem silai</t>
  </si>
  <si>
    <t>Shahid qasai</t>
  </si>
  <si>
    <t>5k*6</t>
  </si>
  <si>
    <t>chakki</t>
  </si>
  <si>
    <t>salary</t>
  </si>
  <si>
    <t>akhtar khan</t>
  </si>
  <si>
    <t>welding plant</t>
  </si>
  <si>
    <t>master waheed</t>
  </si>
  <si>
    <t>TID:823354</t>
  </si>
  <si>
    <t>coil + flexible pipe</t>
  </si>
  <si>
    <t>150K+200K</t>
  </si>
  <si>
    <t>Bank Deposit</t>
  </si>
  <si>
    <t>TID:417059</t>
  </si>
  <si>
    <t>TID:804281</t>
  </si>
  <si>
    <t>TID:853603</t>
  </si>
  <si>
    <t>LESCO</t>
  </si>
  <si>
    <t>fire extinguishers x3</t>
  </si>
  <si>
    <t>2017-b</t>
  </si>
  <si>
    <t>2017-a</t>
  </si>
  <si>
    <t>Amp meter</t>
  </si>
  <si>
    <t>karaya</t>
  </si>
  <si>
    <t>imtiaz opt</t>
  </si>
  <si>
    <t>rashan</t>
  </si>
  <si>
    <t>boiler chemicals</t>
  </si>
  <si>
    <t>TID:638585</t>
  </si>
  <si>
    <t>Salman zaffar</t>
  </si>
  <si>
    <t>TID:115665</t>
  </si>
  <si>
    <t>Rashan bill Nill</t>
  </si>
  <si>
    <t>TID:282717</t>
  </si>
  <si>
    <t>naeem driver//mali</t>
  </si>
  <si>
    <t>grocceries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</si>
</sst>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566203</xdr:colOff>
      <xdr:row>7</xdr:row>
      <xdr:rowOff>43181</xdr:rowOff>
    </xdr:from>
    <xdr:to>
      <xdr:col>13</xdr:col>
      <xdr:colOff>451645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264492</xdr:colOff>
      <xdr:row>12</xdr:row>
      <xdr:rowOff>138748</xdr:rowOff>
    </xdr:from>
    <xdr:to>
      <xdr:col>14</xdr:col>
      <xdr:colOff>587388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5.317292361113" createdVersion="8" refreshedVersion="8" minRefreshableVersion="3" recordCount="193" xr:uid="{46CBB50D-3613-4E5B-8212-DD0313DCD05A}">
  <cacheSource type="worksheet">
    <worksheetSource name="Table1"/>
  </cacheSource>
  <cacheFields count="14">
    <cacheField name="Date" numFmtId="0">
      <sharedItems containsSemiMixedTypes="0" containsNonDate="0" containsDate="1" containsString="0" minDate="2025-11-18T00:00:00" maxDate="2026-01-23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84"/>
    </cacheField>
    <cacheField name="Quality" numFmtId="0">
      <sharedItems containsBlank="1"/>
    </cacheField>
    <cacheField name="Shipment Number" numFmtId="164">
      <sharedItems containsBlank="1" containsMixedTypes="1" containsNumber="1" containsInteger="1" minValue="1558" maxValue="17000" count="390">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s v="2017-a"/>
        <n v="2018"/>
        <n v="2030"/>
        <n v="2037"/>
        <n v="2026"/>
        <n v="2016"/>
        <n v="2012"/>
        <n v="2014"/>
        <n v="2013"/>
        <n v="2031"/>
        <n v="2019"/>
        <s v="2017-b"/>
        <n v="2039"/>
        <n v="2023"/>
        <n v="2024"/>
        <n v="2025"/>
        <n v="204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75.735069703407845"/>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5.317292824075" createdVersion="8" refreshedVersion="8" minRefreshableVersion="3" recordCount="12" xr:uid="{376A650C-1F79-4049-BC45-E34989F046B2}">
  <cacheSource type="worksheet">
    <worksheetSource name="Table2"/>
  </cacheSource>
  <cacheFields count="8">
    <cacheField name="Date" numFmtId="14">
      <sharedItems containsSemiMixedTypes="0" containsNonDate="0" containsDate="1" containsString="0" minDate="2025-12-17T00:00:00" maxDate="2026-01-21T00:00:00"/>
    </cacheField>
    <cacheField name="Party Name" numFmtId="14">
      <sharedItems containsBlank="1" count="8">
        <s v="Finish"/>
        <s v="Faysal Akraam"/>
        <s v="AS Traders"/>
        <s v="Abid ghafoor"/>
        <s v="Madina Dyes"/>
        <m u="1"/>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5.317293171298"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9">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01-15T00:00:00"/>
        <d v="2026-01-16T00:00:00"/>
        <d v="2026-01-18T00:00:00"/>
        <d v="2026-01-19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7">
        <s v="Closing Balance CF"/>
        <s v="TKL 364"/>
        <n v="9662"/>
        <s v="LES 9718"/>
        <s v="APL"/>
        <m/>
        <n v="2223"/>
        <s v="LEI 2223"/>
        <s v="-"/>
        <s v="LEJ 9662"/>
        <s v="C 8947"/>
        <s v="IDS 2165"/>
        <s v="TLH 569"/>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emiMixedTypes="0" containsString="0"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5.317293518521"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7T00:00:00" count="65">
        <d v="2025-12-17T00:00:00"/>
        <d v="2025-12-18T00:00:00"/>
        <d v="2025-12-22T00:00:00"/>
        <d v="2025-12-26T00:00:00"/>
        <d v="2025-12-25T00:00:00"/>
        <d v="2025-12-27T00:00:00"/>
        <d v="2025-12-29T00:00:00"/>
        <d v="2026-01-02T00:00:00"/>
        <d v="2026-01-03T00:00:00"/>
        <d v="2026-01-06T00:00:00"/>
        <d v="2026-01-07T00:00:00"/>
        <d v="2026-01-09T00:00:00"/>
        <d v="2026-01-12T00:00:00"/>
        <d v="2026-01-1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5.317293749998"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611583.65252377477"/>
    </cacheField>
    <cacheField name="Rate" numFmtId="0">
      <sharedItems containsString="0" containsBlank="1" containsNumber="1" minValue="10" maxValue="12"/>
    </cacheField>
    <cacheField name="Total" numFmtId="164">
      <sharedItems containsSemiMixedTypes="0" containsString="0" containsNumber="1" minValue="0" maxValue="5983423.555230431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45.317294097222" createdVersion="8" refreshedVersion="8" minRefreshableVersion="3" recordCount="597" xr:uid="{B5BDFB73-D93A-4A7A-8149-666BC190B09B}">
  <cacheSource type="worksheet">
    <worksheetSource name="Table14"/>
  </cacheSource>
  <cacheFields count="7">
    <cacheField name="Date" numFmtId="14">
      <sharedItems containsSemiMixedTypes="0" containsNonDate="0" containsDate="1" containsString="0" minDate="2025-01-03T00:00:00" maxDate="2026-01-23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4.2921083841370802"/>
    <n v="15149.963423555231"/>
    <n v="151499.63423555231"/>
    <m/>
  </r>
  <r>
    <d v="2026-01-10T00:00:00"/>
    <x v="1"/>
    <n v="1341"/>
    <s v="Silky"/>
    <x v="45"/>
    <n v="45911"/>
    <n v="17676"/>
    <n v="2.924358102156134"/>
    <n v="16163.130943672277"/>
    <n v="210120.7022677396"/>
    <m/>
  </r>
  <r>
    <d v="2026-01-10T00:00:00"/>
    <x v="19"/>
    <n v="1342"/>
    <s v="Kataan"/>
    <x v="47"/>
    <n v="32275"/>
    <n v="12698"/>
    <n v="4.292108384137080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1.9053819660576892"/>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1.9053819660576892"/>
    <n v="5536.7593269934168"/>
    <n v="55367.593269934165"/>
    <m/>
  </r>
  <r>
    <d v="2026-01-15T00:00:00"/>
    <x v="7"/>
    <n v="1357"/>
    <s v="Silky"/>
    <x v="57"/>
    <n v="70035"/>
    <n v="48955"/>
    <n v="12.373993795243663"/>
    <n v="44764.996342355524"/>
    <n v="581944.95245062176"/>
    <m/>
  </r>
  <r>
    <d v="2026-01-16T00:00:00"/>
    <x v="19"/>
    <n v="1358"/>
    <s v="Kataan"/>
    <x v="58"/>
    <n v="29033"/>
    <n v="26454"/>
    <n v="2.703860105611966"/>
    <n v="24189.831748354063"/>
    <n v="241898.31748354062"/>
    <m/>
  </r>
  <r>
    <d v="2026-01-16T00:00:00"/>
    <x v="19"/>
    <n v="1359"/>
    <s v="Kataan"/>
    <x v="59"/>
    <n v="28546"/>
    <n v="2148"/>
    <n v="51.639933205512669"/>
    <n v="1964.1550841258231"/>
    <n v="19641.550841258231"/>
    <m/>
  </r>
  <r>
    <d v="2026-01-16T00:00:00"/>
    <x v="7"/>
    <n v="1360"/>
    <s v="Silky"/>
    <x v="57"/>
    <n v="70035"/>
    <n v="18158"/>
    <n v="12.373993795243663"/>
    <n v="16603.877103145576"/>
    <n v="215850.4023408925"/>
    <m/>
  </r>
  <r>
    <d v="2026-01-17T00:00:00"/>
    <x v="19"/>
    <n v="1361"/>
    <s v="Kataan"/>
    <x v="60"/>
    <n v="28559"/>
    <n v="29748"/>
    <n v="4.751910167974998"/>
    <n v="27201.901975128021"/>
    <n v="272019.0197512802"/>
    <m/>
  </r>
  <r>
    <d v="2026-01-17T00:00:00"/>
    <x v="19"/>
    <n v="1362"/>
    <s v="Kataan"/>
    <x v="58"/>
    <n v="29033"/>
    <n v="4438"/>
    <n v="2.703860105611966"/>
    <n v="4058.1565471836143"/>
    <n v="40581.56547183614"/>
    <m/>
  </r>
  <r>
    <d v="2026-01-17T00:00:00"/>
    <x v="19"/>
    <n v="1363"/>
    <s v="Kataan"/>
    <x v="47"/>
    <n v="32275"/>
    <n v="4515"/>
    <n v="4.2921083841370802"/>
    <n v="4128.5662033650333"/>
    <n v="41285.662033650333"/>
    <m/>
  </r>
  <r>
    <d v="2026-01-17T00:00:00"/>
    <x v="19"/>
    <n v="1364"/>
    <s v="Kataan"/>
    <x v="61"/>
    <n v="26975"/>
    <n v="11059"/>
    <n v="3.8029333020563456"/>
    <n v="10112.472567666424"/>
    <n v="101124.72567666424"/>
    <m/>
  </r>
  <r>
    <d v="2026-01-17T00:00:00"/>
    <x v="19"/>
    <n v="1365"/>
    <s v="Kataan"/>
    <x v="61"/>
    <n v="26975"/>
    <n v="17319"/>
    <n v="3.8029333020563456"/>
    <n v="15836.686174103879"/>
    <n v="158366.8617410388"/>
    <m/>
  </r>
  <r>
    <d v="2026-01-17T00:00:00"/>
    <x v="19"/>
    <n v="1366"/>
    <s v="Kataan"/>
    <x v="59"/>
    <n v="28546"/>
    <n v="12949"/>
    <n v="51.639933205512669"/>
    <n v="11840.709583028531"/>
    <n v="118407.09583028531"/>
    <m/>
  </r>
  <r>
    <d v="2026-01-17T00:00:00"/>
    <x v="18"/>
    <n v="1367"/>
    <s v="Chamki"/>
    <x v="62"/>
    <n v="36016"/>
    <n v="17259"/>
    <n v="1.7470127070241261"/>
    <n v="15781.821506949525"/>
    <n v="157818.21506949526"/>
    <m/>
  </r>
  <r>
    <d v="2026-01-19T00:00:00"/>
    <x v="18"/>
    <n v="1368"/>
    <s v="Chamki"/>
    <x v="62"/>
    <n v="36016"/>
    <n v="21440"/>
    <n v="1.7470127070241261"/>
    <n v="19604.974396488662"/>
    <n v="196049.74396488661"/>
    <m/>
  </r>
  <r>
    <d v="2026-01-19T00:00:00"/>
    <x v="5"/>
    <n v="1369"/>
    <s v="Chamki"/>
    <x v="63"/>
    <n v="52178"/>
    <n v="24313"/>
    <n v="0.57807578542899307"/>
    <n v="22232.077542062914"/>
    <n v="222320.77542062913"/>
    <m/>
  </r>
  <r>
    <d v="2026-01-20T00:00:00"/>
    <x v="5"/>
    <n v="1370"/>
    <s v="Chamki"/>
    <x v="63"/>
    <n v="52178"/>
    <n v="32419"/>
    <n v="0.57807578542899307"/>
    <n v="29644.294074615951"/>
    <n v="296442.94074615953"/>
    <m/>
  </r>
  <r>
    <d v="2026-01-20T00:00:00"/>
    <x v="0"/>
    <n v="1371"/>
    <s v="Chamki"/>
    <x v="64"/>
    <n v="57352"/>
    <n v="15219"/>
    <n v="75.735069703407845"/>
    <n v="13916.422823701538"/>
    <n v="139164.22823701537"/>
    <m/>
  </r>
  <r>
    <d v="2026-01-20T00:00:00"/>
    <x v="20"/>
    <n v="1372"/>
    <s v="Chamki"/>
    <x v="54"/>
    <n v="23397"/>
    <n v="22238"/>
    <n v="1.9053819660576892"/>
    <n v="20334.674469641552"/>
    <n v="203346.74469641552"/>
    <m/>
  </r>
  <r>
    <d v="2026-01-20T00:00:00"/>
    <x v="8"/>
    <n v="1373"/>
    <s v="Silky"/>
    <x v="65"/>
    <n v="31746"/>
    <n v="18900"/>
    <n v="45.560479576573208"/>
    <n v="17282.370153621068"/>
    <n v="224670.81199707388"/>
    <m/>
  </r>
  <r>
    <d v="2026-01-20T00:00:00"/>
    <x v="7"/>
    <n v="1374"/>
    <s v="Silky"/>
    <x v="66"/>
    <n v="20503"/>
    <n v="11000"/>
    <n v="50.941216838358734"/>
    <n v="10058.52231163131"/>
    <n v="130760.79005120703"/>
    <m/>
  </r>
  <r>
    <d v="2026-01-21T00:00:00"/>
    <x v="7"/>
    <n v="1375"/>
    <s v="Silky"/>
    <x v="67"/>
    <n v="16895"/>
    <n v="18197"/>
    <s v="NF"/>
    <m/>
    <m/>
    <m/>
  </r>
  <r>
    <d v="2026-01-21T00:00:00"/>
    <x v="7"/>
    <n v="1376"/>
    <s v="Silky"/>
    <x v="66"/>
    <n v="20503"/>
    <n v="10968"/>
    <n v="50.941216838358734"/>
    <m/>
    <m/>
    <m/>
  </r>
  <r>
    <d v="2026-01-21T00:00:00"/>
    <x v="7"/>
    <n v="1377"/>
    <s v="Silky"/>
    <x v="68"/>
    <n v="6991"/>
    <n v="7531"/>
    <s v="NF"/>
    <m/>
    <m/>
    <m/>
  </r>
  <r>
    <d v="2026-01-21T00:00:00"/>
    <x v="8"/>
    <n v="1378"/>
    <s v="Silky"/>
    <x v="65"/>
    <n v="31746"/>
    <n v="15139"/>
    <n v="45.560479576573208"/>
    <m/>
    <m/>
    <m/>
  </r>
  <r>
    <d v="2026-01-21T00:00:00"/>
    <x v="8"/>
    <n v="1379"/>
    <s v="Silky"/>
    <x v="56"/>
    <n v="14961"/>
    <n v="1686"/>
    <n v="12.6600167506964"/>
    <m/>
    <m/>
    <m/>
  </r>
  <r>
    <d v="2026-01-22T00:00:00"/>
    <x v="7"/>
    <n v="1380"/>
    <s v="Silky"/>
    <x v="57"/>
    <n v="70035"/>
    <n v="8408"/>
    <n v="12.373993795243663"/>
    <m/>
    <m/>
    <m/>
  </r>
  <r>
    <d v="2026-01-22T00:00:00"/>
    <x v="0"/>
    <n v="1381"/>
    <s v="Silky"/>
    <x v="69"/>
    <n v="50350"/>
    <n v="38195"/>
    <s v="NF"/>
    <m/>
    <m/>
    <m/>
  </r>
  <r>
    <d v="2026-01-22T00:00:00"/>
    <x v="0"/>
    <n v="1382"/>
    <s v="Silky"/>
    <x v="69"/>
    <n v="50350"/>
    <n v="16019"/>
    <s v="NF"/>
    <m/>
    <m/>
    <m/>
  </r>
  <r>
    <d v="2026-01-22T00:00:00"/>
    <x v="0"/>
    <n v="1383"/>
    <s v="Silky"/>
    <x v="34"/>
    <n v="24208"/>
    <n v="980"/>
    <n v="40.854885554165762"/>
    <m/>
    <m/>
    <m/>
  </r>
  <r>
    <d v="2026-01-22T00:00:00"/>
    <x v="0"/>
    <n v="1384"/>
    <s v="Chamki"/>
    <x v="64"/>
    <n v="57352"/>
    <n v="34000"/>
    <n v="75.735069703407845"/>
    <m/>
    <m/>
    <m/>
  </r>
  <r>
    <d v="2026-01-22T00:00:00"/>
    <x v="27"/>
    <m/>
    <m/>
    <x v="0"/>
    <m/>
    <m/>
    <e v="#DIV/0!"/>
    <m/>
    <m/>
    <m/>
  </r>
  <r>
    <d v="2026-01-22T00:00:00"/>
    <x v="27"/>
    <m/>
    <m/>
    <x v="0"/>
    <m/>
    <m/>
    <e v="#DIV/0!"/>
    <m/>
    <m/>
    <m/>
  </r>
  <r>
    <d v="2026-01-22T00:00:00"/>
    <x v="27"/>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m/>
    <m/>
    <m/>
    <n v="38750"/>
    <n v="38750"/>
    <n v="0"/>
  </r>
  <r>
    <d v="2026-01-20T00:00:00"/>
    <x v="4"/>
    <s v="BP26"/>
    <m/>
    <m/>
    <n v="12300"/>
    <n v="123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580"/>
    <m/>
    <n v="143260"/>
    <m/>
    <n v="143260"/>
  </r>
  <r>
    <x v="26"/>
    <x v="3"/>
    <x v="5"/>
    <n v="138"/>
    <n v="580"/>
    <m/>
    <n v="80040"/>
    <m/>
    <n v="8004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30"/>
    <x v="0"/>
    <x v="12"/>
    <n v="522"/>
    <n v="850"/>
    <n v="95200"/>
    <n v="443700"/>
    <n v="95200"/>
    <n v="348500"/>
  </r>
  <r>
    <x v="30"/>
    <x v="6"/>
    <x v="5"/>
    <n v="213"/>
    <n v="830"/>
    <m/>
    <n v="176790"/>
    <n v="170000"/>
    <n v="6790"/>
  </r>
  <r>
    <x v="30"/>
    <x v="10"/>
    <x v="5"/>
    <n v="220"/>
    <n v="820"/>
    <m/>
    <n v="180400"/>
    <n v="100000"/>
    <n v="80400"/>
  </r>
  <r>
    <x v="31"/>
    <x v="6"/>
    <x v="5"/>
    <m/>
    <m/>
    <m/>
    <n v="0"/>
    <n v="100000"/>
    <n v="-100000"/>
  </r>
  <r>
    <x v="31"/>
    <x v="3"/>
    <x v="5"/>
    <m/>
    <m/>
    <m/>
    <n v="0"/>
    <n v="125000"/>
    <n v="-125000"/>
  </r>
  <r>
    <x v="31"/>
    <x v="10"/>
    <x v="5"/>
    <n v="216"/>
    <n v="820"/>
    <m/>
    <n v="177120"/>
    <n v="50000"/>
    <n v="127120"/>
  </r>
  <r>
    <x v="32"/>
    <x v="10"/>
    <x v="5"/>
    <n v="214"/>
    <n v="820"/>
    <m/>
    <n v="175480"/>
    <n v="100200"/>
    <n v="75280"/>
  </r>
  <r>
    <x v="32"/>
    <x v="3"/>
    <x v="5"/>
    <n v="141"/>
    <n v="580"/>
    <m/>
    <n v="81780"/>
    <n v="0"/>
    <n v="81780"/>
  </r>
  <r>
    <x v="33"/>
    <x v="6"/>
    <x v="5"/>
    <n v="220"/>
    <n v="850"/>
    <n v="66300"/>
    <n v="187000"/>
    <n v="105999"/>
    <n v="81001"/>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r>
    <x v="14"/>
    <m/>
    <m/>
    <m/>
    <m/>
    <x v="6"/>
    <n v="0"/>
    <n v="0"/>
    <m/>
  </r>
  <r>
    <x v="14"/>
    <m/>
    <m/>
    <m/>
    <m/>
    <x v="6"/>
    <n v="0"/>
    <n v="0"/>
    <m/>
  </r>
  <r>
    <x v="14"/>
    <m/>
    <m/>
    <m/>
    <m/>
    <x v="6"/>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11583.65252377477"/>
    <n v="10"/>
    <n v="5983423.5552304313"/>
  </r>
  <r>
    <x v="1"/>
    <n v="78653.072421360645"/>
    <n v="10"/>
    <n v="943836.86905632773"/>
  </r>
  <r>
    <x v="2"/>
    <n v="152184.52816386247"/>
    <n v="10"/>
    <n v="1619019.7512801758"/>
  </r>
  <r>
    <x v="3"/>
    <n v="8092.5384052670088"/>
    <n v="10.5"/>
    <n v="84971.653255303594"/>
  </r>
  <r>
    <x v="4"/>
    <n v="23995.976591075349"/>
    <n v="10"/>
    <n v="0"/>
  </r>
  <r>
    <x v="5"/>
    <n v="51876.371616678865"/>
    <n v="10"/>
    <n v="518763.71616678865"/>
  </r>
  <r>
    <x v="6"/>
    <n v="23250.731528895394"/>
    <n v="10"/>
    <n v="232507.31528895395"/>
  </r>
  <r>
    <x v="7"/>
    <n v="207510.97293343089"/>
    <n v="10"/>
    <n v="2300451.7190929041"/>
  </r>
  <r>
    <x v="8"/>
    <n v="69882.040965618144"/>
    <n v="10"/>
    <n v="838584.49158741767"/>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7">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d v="2026-01-16T00:00:00"/>
    <x v="21"/>
    <m/>
    <n v="100000"/>
    <m/>
    <s v="Bank"/>
    <m/>
  </r>
  <r>
    <d v="2026-01-16T00:00:00"/>
    <x v="6"/>
    <n v="100000"/>
    <m/>
    <s v="Shahid qasai"/>
    <s v="Bank"/>
    <m/>
  </r>
  <r>
    <d v="2026-01-17T00:00:00"/>
    <x v="21"/>
    <m/>
    <n v="100000"/>
    <m/>
    <s v="Bank"/>
    <m/>
  </r>
  <r>
    <d v="2026-01-17T00:00:00"/>
    <x v="6"/>
    <n v="100000"/>
    <m/>
    <s v="Shahid qasai"/>
    <s v="Bank"/>
    <m/>
  </r>
  <r>
    <d v="2026-01-19T00:00:00"/>
    <x v="6"/>
    <m/>
    <n v="30000"/>
    <s v="5k*6"/>
    <s v="Bank"/>
    <m/>
  </r>
  <r>
    <d v="2026-01-19T00:00:00"/>
    <x v="4"/>
    <n v="5000"/>
    <m/>
    <s v="chakki"/>
    <s v="Bank"/>
    <m/>
  </r>
  <r>
    <d v="2026-01-19T00:00:00"/>
    <x v="4"/>
    <n v="3330"/>
    <m/>
    <s v="akhtar khan"/>
    <s v="Bank"/>
    <m/>
  </r>
  <r>
    <d v="2026-01-19T00:00:00"/>
    <x v="2"/>
    <n v="10000"/>
    <m/>
    <s v="mazdoor"/>
    <s v="Bank"/>
    <m/>
  </r>
  <r>
    <d v="2026-01-19T00:00:00"/>
    <x v="17"/>
    <n v="2400"/>
    <m/>
    <s v="puncture"/>
    <s v="Bank"/>
    <m/>
  </r>
  <r>
    <d v="2026-01-19T00:00:00"/>
    <x v="10"/>
    <n v="5000"/>
    <m/>
    <s v="unloading"/>
    <s v="Bank"/>
    <m/>
  </r>
  <r>
    <d v="2026-01-19T00:00:00"/>
    <x v="13"/>
    <n v="1000"/>
    <m/>
    <s v="unloading"/>
    <s v="Bank"/>
    <m/>
  </r>
  <r>
    <d v="2026-01-19T00:00:00"/>
    <x v="5"/>
    <n v="1000"/>
    <m/>
    <s v="unloading"/>
    <s v="Bank"/>
    <m/>
  </r>
  <r>
    <d v="2026-01-19T00:00:00"/>
    <x v="34"/>
    <n v="1000"/>
    <m/>
    <s v="unloading"/>
    <s v="Bank"/>
    <m/>
  </r>
  <r>
    <d v="2026-01-19T00:00:00"/>
    <x v="4"/>
    <n v="2000"/>
    <m/>
    <s v="ali hasnain helper stenter"/>
    <s v="Bank"/>
    <m/>
  </r>
  <r>
    <d v="2026-01-19T00:00:00"/>
    <x v="9"/>
    <n v="4000"/>
    <m/>
    <s v="welding plant"/>
    <s v="Bank"/>
    <m/>
  </r>
  <r>
    <d v="2026-01-19T00:00:00"/>
    <x v="9"/>
    <n v="140000"/>
    <m/>
    <s v="High Temp oil Boiler"/>
    <s v="Bank"/>
    <m/>
  </r>
  <r>
    <d v="2026-01-19T00:00:00"/>
    <x v="15"/>
    <n v="15000"/>
    <m/>
    <s v="Waqas ADM"/>
    <s v="Bank"/>
    <m/>
  </r>
  <r>
    <d v="2026-01-19T00:00:00"/>
    <x v="17"/>
    <n v="5000"/>
    <m/>
    <s v="kora karaya"/>
    <s v="Bank"/>
    <m/>
  </r>
  <r>
    <d v="2026-01-19T00:00:00"/>
    <x v="15"/>
    <n v="10000"/>
    <m/>
    <s v="master waheed"/>
    <s v="Bank"/>
    <m/>
  </r>
  <r>
    <d v="2026-01-19T00:00:00"/>
    <x v="10"/>
    <n v="100999"/>
    <m/>
    <s v="TID:823354"/>
    <s v="Bank"/>
    <m/>
  </r>
  <r>
    <d v="2026-01-19T00:00:00"/>
    <x v="1"/>
    <n v="2000"/>
    <m/>
    <m/>
    <s v="Bank"/>
    <m/>
  </r>
  <r>
    <d v="2026-01-20T00:00:00"/>
    <x v="1"/>
    <m/>
    <n v="9800"/>
    <m/>
    <s v="Bank"/>
    <m/>
  </r>
  <r>
    <d v="2026-01-20T00:00:00"/>
    <x v="9"/>
    <n v="9800"/>
    <m/>
    <s v="coil + flexible pipe"/>
    <s v="Bank"/>
    <m/>
  </r>
  <r>
    <d v="2026-01-20T00:00:00"/>
    <x v="39"/>
    <m/>
    <n v="350000"/>
    <s v="150K+200K"/>
    <s v="Bank"/>
    <m/>
  </r>
  <r>
    <d v="2026-01-20T00:00:00"/>
    <x v="6"/>
    <m/>
    <n v="650000"/>
    <m/>
    <s v="Bank"/>
    <m/>
  </r>
  <r>
    <d v="2026-01-20T00:00:00"/>
    <x v="6"/>
    <m/>
    <n v="200000"/>
    <m/>
    <s v="Bank"/>
    <m/>
  </r>
  <r>
    <d v="2026-01-20T00:00:00"/>
    <x v="6"/>
    <m/>
    <n v="249000"/>
    <m/>
    <s v="Bank"/>
    <m/>
  </r>
  <r>
    <d v="2026-01-20T00:00:00"/>
    <x v="6"/>
    <m/>
    <n v="360000"/>
    <s v="Bank Deposit"/>
    <s v="Bank"/>
    <m/>
  </r>
  <r>
    <d v="2026-01-20T00:00:00"/>
    <x v="39"/>
    <m/>
    <n v="100000"/>
    <s v="TID:417059"/>
    <s v="Bank"/>
    <m/>
  </r>
  <r>
    <d v="2026-01-20T00:00:00"/>
    <x v="7"/>
    <n v="12300"/>
    <m/>
    <s v="BP26"/>
    <s v="Bank"/>
    <m/>
  </r>
  <r>
    <d v="2026-01-20T00:00:00"/>
    <x v="6"/>
    <m/>
    <n v="190000"/>
    <s v="TID:804281"/>
    <s v="Bank"/>
    <m/>
  </r>
  <r>
    <d v="2026-01-20T00:00:00"/>
    <x v="6"/>
    <m/>
    <n v="60000"/>
    <s v="TID:853603"/>
    <s v="Bank"/>
    <m/>
  </r>
  <r>
    <d v="2026-01-20T00:00:00"/>
    <x v="19"/>
    <m/>
    <n v="100000"/>
    <s v="UBL"/>
    <s v="Bank"/>
    <m/>
  </r>
  <r>
    <d v="2026-01-20T00:00:00"/>
    <x v="21"/>
    <m/>
    <n v="100000"/>
    <m/>
    <s v="Bank"/>
    <m/>
  </r>
  <r>
    <d v="2026-01-20T00:00:00"/>
    <x v="6"/>
    <n v="100000"/>
    <m/>
    <s v="Shahid qasai"/>
    <s v="Bank"/>
    <m/>
  </r>
  <r>
    <d v="2026-01-20T00:00:00"/>
    <x v="18"/>
    <n v="2185118"/>
    <m/>
    <s v="LESCO"/>
    <s v="Bank"/>
    <m/>
  </r>
  <r>
    <d v="2026-01-20T00:00:00"/>
    <x v="16"/>
    <n v="8000"/>
    <m/>
    <s v="fire extinguishers x3"/>
    <s v="Bank"/>
    <m/>
  </r>
  <r>
    <d v="2026-01-20T00:00:00"/>
    <x v="16"/>
    <n v="2000"/>
    <m/>
    <s v="medicine"/>
    <s v="Bank"/>
    <m/>
  </r>
  <r>
    <d v="2026-01-20T00:00:00"/>
    <x v="9"/>
    <n v="1650"/>
    <m/>
    <m/>
    <s v="Bank"/>
    <m/>
  </r>
  <r>
    <d v="2026-01-20T00:00:00"/>
    <x v="9"/>
    <n v="2100"/>
    <m/>
    <m/>
    <s v="Bank"/>
    <m/>
  </r>
  <r>
    <d v="2026-01-20T00:00:00"/>
    <x v="9"/>
    <n v="1430"/>
    <m/>
    <m/>
    <s v="Bank"/>
    <m/>
  </r>
  <r>
    <d v="2026-01-20T00:00:00"/>
    <x v="9"/>
    <n v="1500"/>
    <m/>
    <m/>
    <s v="Bank"/>
    <m/>
  </r>
  <r>
    <d v="2026-01-20T00:00:00"/>
    <x v="17"/>
    <n v="5000"/>
    <m/>
    <s v="petrol"/>
    <s v="Bank"/>
    <m/>
  </r>
  <r>
    <d v="2026-01-21T00:00:00"/>
    <x v="6"/>
    <m/>
    <n v="15000"/>
    <s v="Cash"/>
    <s v="Bank"/>
    <m/>
  </r>
  <r>
    <d v="2026-01-21T00:00:00"/>
    <x v="9"/>
    <n v="4180"/>
    <m/>
    <s v="Amp meter"/>
    <s v="Bank"/>
    <m/>
  </r>
  <r>
    <d v="2026-01-21T00:00:00"/>
    <x v="2"/>
    <n v="6600"/>
    <m/>
    <s v="mazdoor"/>
    <s v="Bank"/>
    <m/>
  </r>
  <r>
    <d v="2026-01-21T00:00:00"/>
    <x v="17"/>
    <n v="1000"/>
    <m/>
    <s v="karaya"/>
    <s v="Bank"/>
    <m/>
  </r>
  <r>
    <d v="2026-01-21T00:00:00"/>
    <x v="15"/>
    <n v="1000"/>
    <m/>
    <s v="imtiaz opt"/>
    <s v="Bank"/>
    <m/>
  </r>
  <r>
    <d v="2026-01-21T00:00:00"/>
    <x v="17"/>
    <n v="2000"/>
    <m/>
    <s v="raksha karaya"/>
    <s v="Bank"/>
    <m/>
  </r>
  <r>
    <d v="2026-01-21T00:00:00"/>
    <x v="6"/>
    <m/>
    <n v="4180"/>
    <s v="Amp meter"/>
    <s v="Bank"/>
    <m/>
  </r>
  <r>
    <d v="2026-01-21T00:00:00"/>
    <x v="6"/>
    <m/>
    <n v="15513"/>
    <s v="diesel"/>
    <s v="Bank"/>
    <m/>
  </r>
  <r>
    <d v="2026-01-21T00:00:00"/>
    <x v="9"/>
    <n v="15513"/>
    <m/>
    <s v="diesel"/>
    <s v="Bank"/>
    <m/>
  </r>
  <r>
    <d v="2026-01-21T00:00:00"/>
    <x v="26"/>
    <n v="20000"/>
    <m/>
    <s v="atta"/>
    <s v="Bank"/>
    <m/>
  </r>
  <r>
    <d v="2026-01-21T00:00:00"/>
    <x v="15"/>
    <n v="3000"/>
    <m/>
    <s v="khubaib"/>
    <s v="Bank"/>
    <m/>
  </r>
  <r>
    <d v="2026-01-21T00:00:00"/>
    <x v="9"/>
    <n v="25500"/>
    <m/>
    <s v="boiler chemicals"/>
    <s v="Bank"/>
    <m/>
  </r>
  <r>
    <d v="2026-01-21T00:00:00"/>
    <x v="37"/>
    <n v="49200"/>
    <m/>
    <s v="BP26"/>
    <s v="Bank"/>
    <m/>
  </r>
  <r>
    <d v="2026-01-21T00:00:00"/>
    <x v="6"/>
    <m/>
    <n v="49200"/>
    <s v="BP26"/>
    <s v="Bank"/>
    <m/>
  </r>
  <r>
    <d v="2026-01-21T00:00:00"/>
    <x v="6"/>
    <m/>
    <n v="25500"/>
    <s v="boiler chemicals"/>
    <s v="Bank"/>
    <m/>
  </r>
  <r>
    <d v="2026-01-21T00:00:00"/>
    <x v="25"/>
    <m/>
    <n v="300000"/>
    <s v="TID:638585"/>
    <s v="Bank"/>
    <m/>
  </r>
  <r>
    <d v="2026-01-21T00:00:00"/>
    <x v="6"/>
    <n v="300000"/>
    <m/>
    <s v="Salman zaffar"/>
    <s v="Bank"/>
    <m/>
  </r>
  <r>
    <d v="2026-01-22T00:00:00"/>
    <x v="17"/>
    <n v="11100"/>
    <m/>
    <s v="raksha karaya"/>
    <s v="Bank"/>
    <m/>
  </r>
  <r>
    <d v="2026-01-22T00:00:00"/>
    <x v="6"/>
    <m/>
    <n v="118500"/>
    <s v="TID:115665"/>
    <s v="Bank"/>
    <m/>
  </r>
  <r>
    <d v="2026-01-22T00:00:00"/>
    <x v="15"/>
    <n v="100000"/>
    <m/>
    <s v="khalid sahab"/>
    <s v="Bank"/>
    <m/>
  </r>
  <r>
    <d v="2026-01-22T00:00:00"/>
    <x v="26"/>
    <n v="25950"/>
    <m/>
    <s v="Rashan bill Nill"/>
    <s v="Bank"/>
    <m/>
  </r>
  <r>
    <d v="2026-01-22T00:00:00"/>
    <x v="39"/>
    <m/>
    <n v="100000"/>
    <s v="TID:282717"/>
    <s v="Bank"/>
    <m/>
  </r>
  <r>
    <d v="2026-01-22T00:00:00"/>
    <x v="16"/>
    <n v="500"/>
    <m/>
    <s v="medicine"/>
    <s v="Bank"/>
    <m/>
  </r>
  <r>
    <d v="2026-01-22T00:00:00"/>
    <x v="15"/>
    <n v="10000"/>
    <m/>
    <s v="iqbal Fitter"/>
    <s v="Bank"/>
    <m/>
  </r>
  <r>
    <d v="2026-01-22T00:00:00"/>
    <x v="15"/>
    <n v="10000"/>
    <m/>
    <s v="Master Tanveer"/>
    <s v="Bank"/>
    <m/>
  </r>
  <r>
    <d v="2026-01-22T00:00:00"/>
    <x v="2"/>
    <n v="1000"/>
    <m/>
    <s v="naeem driver//mali"/>
    <s v="Bank"/>
    <m/>
  </r>
  <r>
    <d v="2026-01-22T00:00:00"/>
    <x v="4"/>
    <n v="50000"/>
    <m/>
    <s v="Ashfaq Sahab theka"/>
    <s v="Bank"/>
    <m/>
  </r>
  <r>
    <d v="2026-01-22T00:00:00"/>
    <x v="2"/>
    <n v="4000"/>
    <m/>
    <s v="grocceries"/>
    <s v="Bank"/>
    <m/>
  </r>
  <r>
    <d v="2026-01-22T00:00:00"/>
    <x v="17"/>
    <n v="500"/>
    <m/>
    <s v="bike"/>
    <s v="Bank"/>
    <m/>
  </r>
  <r>
    <d v="2026-01-22T00:00:00"/>
    <x v="40"/>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170">
        <item m="1" x="153"/>
        <item m="1" x="154"/>
        <item m="1" x="155"/>
        <item m="1" x="156"/>
        <item m="1" x="157"/>
        <item m="1" x="158"/>
        <item m="1" x="159"/>
        <item m="1" x="168"/>
        <item m="1" x="149"/>
        <item m="1" x="160"/>
        <item m="1" x="161"/>
        <item m="1" x="162"/>
        <item m="1" x="163"/>
        <item m="1" x="164"/>
        <item m="1" x="165"/>
        <item m="1" x="166"/>
        <item m="1" x="120"/>
        <item m="1" x="121"/>
        <item m="1" x="167"/>
        <item m="1" x="122"/>
        <item m="1" x="119"/>
        <item m="1" x="123"/>
        <item m="1" x="125"/>
        <item m="1" x="126"/>
        <item m="1" x="127"/>
        <item m="1" x="129"/>
        <item m="1" x="130"/>
        <item m="1" x="131"/>
        <item m="1" x="124"/>
        <item m="1" x="128"/>
        <item m="1" x="132"/>
        <item m="1" x="133"/>
        <item m="1" x="134"/>
        <item m="1" x="135"/>
        <item m="1" x="118"/>
        <item m="1" x="136"/>
        <item m="1" x="150"/>
        <item m="1" x="151"/>
        <item m="1" x="152"/>
        <item m="1" x="137"/>
        <item m="1" x="138"/>
        <item m="1" x="139"/>
        <item m="1" x="140"/>
        <item m="1" x="141"/>
        <item m="1" x="142"/>
        <item m="1" x="143"/>
        <item m="1" x="144"/>
        <item m="1" x="145"/>
        <item m="1" x="146"/>
        <item m="1" x="147"/>
        <item m="1" x="148"/>
        <item m="1" x="89"/>
        <item m="1" x="90"/>
        <item m="1" x="91"/>
        <item m="1" x="92"/>
        <item m="1" x="93"/>
        <item m="1" x="94"/>
        <item m="1" x="95"/>
        <item m="1" x="96"/>
        <item m="1" x="98"/>
        <item m="1" x="99"/>
        <item m="1" x="100"/>
        <item m="1" x="97"/>
        <item m="1" x="101"/>
        <item m="1" x="102"/>
        <item m="1" x="103"/>
        <item m="1" x="104"/>
        <item m="1" x="105"/>
        <item m="1" x="106"/>
        <item m="1" x="107"/>
        <item m="1" x="108"/>
        <item m="1" x="109"/>
        <item m="1" x="110"/>
        <item m="1" x="111"/>
        <item m="1" x="112"/>
        <item m="1" x="113"/>
        <item m="1" x="114"/>
        <item m="1" x="115"/>
        <item m="1" x="116"/>
        <item m="1" x="117"/>
        <item m="1" x="35"/>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36"/>
        <item m="1" x="39"/>
        <item m="1" x="37"/>
        <item m="1" x="38"/>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x="0"/>
        <item x="1"/>
        <item x="2"/>
        <item x="3"/>
        <item x="4"/>
        <item x="5"/>
        <item x="6"/>
        <item x="7"/>
        <item x="9"/>
        <item x="8"/>
        <item x="10"/>
        <item x="11"/>
        <item x="12"/>
        <item x="13"/>
        <item x="14"/>
        <item m="1" x="34"/>
        <item x="15"/>
        <item x="16"/>
        <item x="17"/>
        <item x="18"/>
        <item x="19"/>
        <item x="20"/>
        <item x="21"/>
        <item x="22"/>
        <item x="23"/>
        <item x="24"/>
        <item x="25"/>
        <item x="26"/>
        <item x="27"/>
        <item x="28"/>
        <item x="29"/>
        <item x="30"/>
        <item x="31"/>
        <item x="32"/>
        <item x="33"/>
        <item t="default"/>
      </items>
    </pivotField>
    <pivotField axis="axisPage" showAll="0">
      <items count="14">
        <item x="1"/>
        <item x="0"/>
        <item x="9"/>
        <item m="1" x="12"/>
        <item x="2"/>
        <item x="3"/>
        <item x="4"/>
        <item m="1" x="11"/>
        <item x="5"/>
        <item x="6"/>
        <item x="7"/>
        <item x="8"/>
        <item x="10"/>
        <item t="default"/>
      </items>
    </pivotField>
    <pivotField axis="axisRow" showAll="0">
      <items count="68">
        <item m="1" x="57"/>
        <item m="1" x="41"/>
        <item m="1" x="53"/>
        <item m="1" x="23"/>
        <item m="1" x="58"/>
        <item m="1" x="59"/>
        <item m="1" x="54"/>
        <item m="1" x="55"/>
        <item m="1" x="56"/>
        <item m="1" x="34"/>
        <item m="1" x="60"/>
        <item m="1" x="61"/>
        <item m="1" x="62"/>
        <item m="1" x="63"/>
        <item m="1" x="64"/>
        <item m="1" x="65"/>
        <item m="1" x="30"/>
        <item m="1" x="31"/>
        <item m="1" x="66"/>
        <item m="1" x="32"/>
        <item x="0"/>
        <item m="1" x="33"/>
        <item m="1" x="35"/>
        <item m="1" x="36"/>
        <item m="1" x="37"/>
        <item m="1" x="38"/>
        <item m="1" x="39"/>
        <item m="1" x="40"/>
        <item m="1" x="42"/>
        <item m="1" x="43"/>
        <item m="1" x="25"/>
        <item m="1" x="44"/>
        <item m="1" x="45"/>
        <item m="1" x="46"/>
        <item m="1" x="29"/>
        <item m="1" x="47"/>
        <item m="1" x="48"/>
        <item m="1" x="27"/>
        <item m="1" x="49"/>
        <item m="1" x="50"/>
        <item m="1" x="51"/>
        <item m="1" x="52"/>
        <item m="1" x="15"/>
        <item m="1" x="16"/>
        <item m="1" x="17"/>
        <item m="1" x="18"/>
        <item m="1" x="19"/>
        <item m="1" x="20"/>
        <item m="1" x="21"/>
        <item m="1" x="22"/>
        <item m="1" x="24"/>
        <item m="1" x="26"/>
        <item m="1" x="28"/>
        <item m="1" x="14"/>
        <item x="5"/>
        <item x="1"/>
        <item x="2"/>
        <item m="1" x="13"/>
        <item x="3"/>
        <item x="4"/>
        <item x="6"/>
        <item x="7"/>
        <item x="8"/>
        <item x="9"/>
        <item x="10"/>
        <item x="11"/>
        <item x="1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x v="165"/>
    </i>
    <i r="1">
      <x v="54"/>
    </i>
    <i r="1">
      <x v="66"/>
    </i>
    <i>
      <x v="166"/>
    </i>
    <i r="1">
      <x v="54"/>
    </i>
    <i>
      <x v="167"/>
    </i>
    <i r="1">
      <x v="54"/>
    </i>
    <i>
      <x v="16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5" firstHeaderRow="0" firstDataRow="1" firstDataCol="1" rowPageCount="1" colPageCount="1"/>
  <pivotFields count="9">
    <pivotField axis="axisRow" showAll="0">
      <items count="66">
        <item m="1" x="60"/>
        <item m="1" x="61"/>
        <item m="1" x="62"/>
        <item m="1" x="63"/>
        <item m="1" x="64"/>
        <item m="1" x="59"/>
        <item m="1" x="47"/>
        <item m="1" x="48"/>
        <item m="1" x="52"/>
        <item m="1" x="53"/>
        <item m="1" x="49"/>
        <item m="1" x="54"/>
        <item m="1" x="55"/>
        <item m="1" x="56"/>
        <item m="1" x="57"/>
        <item m="1" x="58"/>
        <item m="1" x="46"/>
        <item m="1" x="50"/>
        <item m="1" x="51"/>
        <item m="1" x="39"/>
        <item m="1" x="40"/>
        <item m="1" x="41"/>
        <item m="1" x="42"/>
        <item m="1" x="43"/>
        <item m="1" x="44"/>
        <item m="1" x="45"/>
        <item m="1" x="15"/>
        <item m="1" x="31"/>
        <item m="1" x="32"/>
        <item m="1" x="33"/>
        <item m="1" x="34"/>
        <item m="1" x="35"/>
        <item m="1" x="36"/>
        <item m="1" x="37"/>
        <item m="1" x="38"/>
        <item m="1" x="16"/>
        <item m="1" x="17"/>
        <item m="1" x="18"/>
        <item m="1" x="19"/>
        <item m="1" x="20"/>
        <item m="1" x="21"/>
        <item m="1" x="22"/>
        <item m="1" x="24"/>
        <item m="1" x="25"/>
        <item m="1" x="23"/>
        <item m="1" x="26"/>
        <item m="1" x="27"/>
        <item m="1" x="28"/>
        <item m="1" x="29"/>
        <item m="1" x="30"/>
        <item x="0"/>
        <item x="1"/>
        <item x="2"/>
        <item x="3"/>
        <item x="4"/>
        <item x="5"/>
        <item x="6"/>
        <item x="7"/>
        <item x="8"/>
        <item x="9"/>
        <item x="10"/>
        <item x="11"/>
        <item x="12"/>
        <item x="14"/>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6">
    <i>
      <x v="50"/>
    </i>
    <i>
      <x v="51"/>
    </i>
    <i>
      <x v="52"/>
    </i>
    <i>
      <x v="53"/>
    </i>
    <i>
      <x v="54"/>
    </i>
    <i>
      <x v="55"/>
    </i>
    <i>
      <x v="56"/>
    </i>
    <i>
      <x v="57"/>
    </i>
    <i>
      <x v="58"/>
    </i>
    <i>
      <x v="59"/>
    </i>
    <i>
      <x v="60"/>
    </i>
    <i>
      <x v="61"/>
    </i>
    <i>
      <x v="62"/>
    </i>
    <i>
      <x v="63"/>
    </i>
    <i>
      <x v="6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4"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91">
        <item m="1" x="373"/>
        <item m="1" x="374"/>
        <item m="1" x="372"/>
        <item m="1" x="371"/>
        <item m="1" x="375"/>
        <item m="1" x="377"/>
        <item m="1" x="376"/>
        <item m="1" x="378"/>
        <item m="1" x="379"/>
        <item m="1" x="380"/>
        <item m="1" x="381"/>
        <item m="1" x="382"/>
        <item m="1" x="383"/>
        <item m="1" x="384"/>
        <item m="1" x="309"/>
        <item m="1" x="331"/>
        <item m="1" x="385"/>
        <item m="1" x="386"/>
        <item m="1" x="387"/>
        <item m="1" x="339"/>
        <item m="1" x="338"/>
        <item m="1" x="388"/>
        <item m="1" x="389"/>
        <item m="1" x="348"/>
        <item m="1" x="340"/>
        <item m="1" x="341"/>
        <item m="1" x="342"/>
        <item m="1" x="343"/>
        <item m="1" x="344"/>
        <item m="1" x="345"/>
        <item m="1" x="346"/>
        <item m="1" x="347"/>
        <item m="1" x="349"/>
        <item m="1" x="369"/>
        <item m="1" x="350"/>
        <item m="1" x="370"/>
        <item m="1" x="351"/>
        <item m="1" x="352"/>
        <item m="1" x="353"/>
        <item m="1" x="354"/>
        <item m="1" x="355"/>
        <item m="1" x="286"/>
        <item m="1" x="356"/>
        <item m="1" x="357"/>
        <item m="1" x="358"/>
        <item m="1" x="359"/>
        <item m="1" x="360"/>
        <item m="1" x="361"/>
        <item m="1" x="362"/>
        <item m="1" x="363"/>
        <item m="1" x="364"/>
        <item m="1" x="365"/>
        <item m="1" x="366"/>
        <item m="1" x="367"/>
        <item m="1" x="368"/>
        <item x="0"/>
        <item m="1" x="285"/>
        <item m="1" x="287"/>
        <item m="1" x="288"/>
        <item m="1" x="289"/>
        <item m="1" x="290"/>
        <item m="1" x="291"/>
        <item m="1" x="292"/>
        <item m="1" x="293"/>
        <item m="1" x="294"/>
        <item m="1" x="295"/>
        <item m="1" x="296"/>
        <item m="1" x="297"/>
        <item m="1" x="298"/>
        <item m="1" x="299"/>
        <item x="6"/>
        <item m="1" x="300"/>
        <item m="1" x="301"/>
        <item m="1" x="302"/>
        <item m="1" x="303"/>
        <item m="1" x="304"/>
        <item m="1" x="305"/>
        <item m="1" x="306"/>
        <item m="1" x="307"/>
        <item m="1" x="308"/>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2"/>
        <item m="1" x="333"/>
        <item m="1" x="334"/>
        <item m="1" x="335"/>
        <item m="1" x="336"/>
        <item m="1" x="337"/>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x="24"/>
        <item m="1" x="254"/>
        <item m="1" x="255"/>
        <item m="1" x="256"/>
        <item m="1" x="257"/>
        <item m="1" x="258"/>
        <item m="1" x="259"/>
        <item m="1" x="260"/>
        <item m="1" x="261"/>
        <item m="1" x="262"/>
        <item m="1" x="263"/>
        <item m="1" x="264"/>
        <item m="1" x="284"/>
        <item m="1" x="265"/>
        <item m="1" x="266"/>
        <item m="1" x="267"/>
        <item m="1" x="268"/>
        <item m="1" x="269"/>
        <item m="1" x="270"/>
        <item m="1" x="271"/>
        <item m="1" x="272"/>
        <item m="1" x="273"/>
        <item m="1" x="274"/>
        <item m="1" x="275"/>
        <item m="1" x="276"/>
        <item m="1" x="277"/>
        <item m="1" x="278"/>
        <item m="1" x="279"/>
        <item m="1" x="280"/>
        <item m="1" x="281"/>
        <item m="1" x="282"/>
        <item m="1" x="283"/>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80"/>
        <item m="1" x="203"/>
        <item m="1" x="71"/>
        <item m="1" x="72"/>
        <item m="1" x="73"/>
        <item m="1" x="74"/>
        <item m="1" x="75"/>
        <item m="1" x="76"/>
        <item m="1" x="77"/>
        <item m="1" x="78"/>
        <item m="1" x="79"/>
        <item m="1" x="81"/>
        <item m="1" x="82"/>
        <item m="1" x="83"/>
        <item m="1" x="84"/>
        <item m="1" x="85"/>
        <item m="1" x="86"/>
        <item m="1" x="87"/>
        <item m="1" x="88"/>
        <item m="1" x="89"/>
        <item m="1" x="90"/>
        <item m="1" x="91"/>
        <item m="1" x="92"/>
        <item m="1" x="93"/>
        <item m="1" x="94"/>
        <item x="3"/>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x="7"/>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x="4"/>
        <item m="1" x="146"/>
        <item m="1" x="147"/>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m="1" x="70"/>
        <item x="52"/>
        <item x="54"/>
        <item x="55"/>
        <item x="56"/>
        <item x="57"/>
        <item x="58"/>
        <item x="59"/>
        <item x="60"/>
        <item x="61"/>
        <item x="62"/>
        <item x="63"/>
        <item x="65"/>
        <item x="66"/>
        <item x="53"/>
        <item x="64"/>
        <item x="67"/>
        <item x="68"/>
        <item x="6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1">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2"/>
    </i>
    <i>
      <x v="373"/>
    </i>
    <i>
      <x v="374"/>
    </i>
    <i>
      <x v="375"/>
    </i>
    <i>
      <x v="376"/>
    </i>
    <i>
      <x v="377"/>
    </i>
    <i>
      <x v="378"/>
    </i>
    <i>
      <x v="379"/>
    </i>
    <i>
      <x v="380"/>
    </i>
    <i>
      <x v="381"/>
    </i>
    <i>
      <x v="382"/>
    </i>
    <i>
      <x v="383"/>
    </i>
    <i>
      <x v="384"/>
    </i>
    <i>
      <x v="385"/>
    </i>
    <i>
      <x v="386"/>
    </i>
    <i>
      <x v="387"/>
    </i>
    <i>
      <x v="388"/>
    </i>
    <i>
      <x v="389"/>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9">
      <pivotArea type="all" dataOnly="0" outline="0" fieldPosition="0"/>
    </format>
    <format dxfId="18">
      <pivotArea outline="0" collapsedLevelsAreSubtotals="1" fieldPosition="0"/>
    </format>
    <format dxfId="17">
      <pivotArea field="4" type="button" dataOnly="0" labelOnly="1" outline="0" axis="axisRow" fieldPosition="0"/>
    </format>
    <format dxfId="16">
      <pivotArea dataOnly="0" labelOnly="1" fieldPosition="0">
        <references count="1">
          <reference field="4" count="0"/>
        </references>
      </pivotArea>
    </format>
    <format dxfId="15">
      <pivotArea dataOnly="0" labelOnly="1" grandRow="1" outline="0" fieldPosition="0"/>
    </format>
    <format dxfId="14">
      <pivotArea dataOnly="0" labelOnly="1" outline="0" fieldPosition="0">
        <references count="1">
          <reference field="4294967294" count="2">
            <x v="0"/>
            <x v="1"/>
          </reference>
        </references>
      </pivotArea>
    </format>
    <format dxfId="13">
      <pivotArea grandRow="1" outline="0" collapsedLevelsAreSubtotals="1" fieldPosition="0"/>
    </format>
    <format dxfId="12">
      <pivotArea field="4" type="button" dataOnly="0" labelOnly="1" outline="0" axis="axisRow" fieldPosition="0"/>
    </format>
    <format dxfId="1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90">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4" s="1"/>
        <i x="63" s="1"/>
        <i x="48" s="1"/>
        <i x="66" s="1"/>
        <i x="67" s="1"/>
        <i x="68" s="1"/>
        <i x="57" s="1"/>
        <i x="49" s="1"/>
        <i x="50" s="1"/>
        <i x="51" s="1"/>
        <i x="55" s="1"/>
        <i x="62" s="1"/>
        <i x="56" s="1"/>
        <i x="65" s="1"/>
        <i x="69" s="1"/>
        <i x="31" s="1"/>
        <i x="20" s="1"/>
        <i x="52" s="1"/>
        <i x="53" s="1"/>
        <i x="64" s="1"/>
        <i x="344" s="1" nd="1"/>
        <i x="373" s="1" nd="1"/>
        <i x="374" s="1" nd="1"/>
        <i x="382" s="1" nd="1"/>
        <i x="372" s="1" nd="1"/>
        <i x="371" s="1" nd="1"/>
        <i x="375" s="1" nd="1"/>
        <i x="386" s="1" nd="1"/>
        <i x="378" s="1" nd="1"/>
        <i x="379" s="1" nd="1"/>
        <i x="376" s="1" nd="1"/>
        <i x="377" s="1" nd="1"/>
        <i x="387" s="1" nd="1"/>
        <i x="380" s="1" nd="1"/>
        <i x="381" s="1" nd="1"/>
        <i x="384" s="1" nd="1"/>
        <i x="385" s="1" nd="1"/>
        <i x="383" s="1" nd="1"/>
        <i x="339" s="1" nd="1"/>
        <i x="389" s="1" nd="1"/>
        <i x="338" s="1" nd="1"/>
        <i x="388" s="1" nd="1"/>
        <i x="341" s="1" nd="1"/>
        <i x="302" s="1" nd="1"/>
        <i x="340" s="1" nd="1"/>
        <i x="342" s="1" nd="1"/>
        <i x="348" s="1" nd="1"/>
        <i x="343" s="1" nd="1"/>
        <i x="345" s="1" nd="1"/>
        <i x="361" s="1" nd="1"/>
        <i x="285" s="1" nd="1"/>
        <i x="349" s="1" nd="1"/>
        <i x="290" s="1" nd="1"/>
        <i x="355" s="1" nd="1"/>
        <i x="350" s="1" nd="1"/>
        <i x="353" s="1" nd="1"/>
        <i x="358" s="1" nd="1"/>
        <i x="369" s="1" nd="1"/>
        <i x="351" s="1" nd="1"/>
        <i x="363" s="1" nd="1"/>
        <i x="366" s="1" nd="1"/>
        <i x="357" s="1" nd="1"/>
        <i x="346" s="1" nd="1"/>
        <i x="354" s="1" nd="1"/>
        <i x="347" s="1" nd="1"/>
        <i x="352" s="1" nd="1"/>
        <i x="286" s="1" nd="1"/>
        <i x="356" s="1" nd="1"/>
        <i x="362" s="1" nd="1"/>
        <i x="359" s="1" nd="1"/>
        <i x="364" s="1" nd="1"/>
        <i x="360" s="1" nd="1"/>
        <i x="326" s="1" nd="1"/>
        <i x="365" s="1" nd="1"/>
        <i x="367" s="1" nd="1"/>
        <i x="288" s="1" nd="1"/>
        <i x="295" s="1" nd="1"/>
        <i x="368" s="1" nd="1"/>
        <i x="292" s="1" nd="1"/>
        <i x="293" s="1" nd="1"/>
        <i x="287" s="1" nd="1"/>
        <i x="291" s="1" nd="1"/>
        <i x="179" s="1" nd="1"/>
        <i x="289" s="1" nd="1"/>
        <i x="298" s="1" nd="1"/>
        <i x="294" s="1" nd="1"/>
        <i x="296" s="1" nd="1"/>
        <i x="299" s="1" nd="1"/>
        <i x="306" s="1" nd="1"/>
        <i x="297" s="1" nd="1"/>
        <i x="305" s="1" nd="1"/>
        <i x="310" s="1" nd="1"/>
        <i x="304" s="1" nd="1"/>
        <i x="307" s="1" nd="1"/>
        <i x="317" s="1" nd="1"/>
        <i x="303" s="1" nd="1"/>
        <i x="300" s="1" nd="1"/>
        <i x="301" s="1" nd="1"/>
        <i x="316" s="1" nd="1"/>
        <i x="175" s="1" nd="1"/>
        <i x="309" s="1" nd="1"/>
        <i x="320" s="1" nd="1"/>
        <i x="315" s="1" nd="1"/>
        <i x="308" s="1" nd="1"/>
        <i x="332" s="1" nd="1"/>
        <i x="313" s="1" nd="1"/>
        <i x="323" s="1" nd="1"/>
        <i x="321" s="1" nd="1"/>
        <i x="311" s="1" nd="1"/>
        <i x="319" s="1" nd="1"/>
        <i x="318" s="1" nd="1"/>
        <i x="314" s="1" nd="1"/>
        <i x="324" s="1" nd="1"/>
        <i x="322" s="1" nd="1"/>
        <i x="325" s="1" nd="1"/>
        <i x="312" s="1" nd="1"/>
        <i x="254" s="1" nd="1"/>
        <i x="327" s="1" nd="1"/>
        <i x="328" s="1" nd="1"/>
        <i x="213" s="1" nd="1"/>
        <i x="215" s="1" nd="1"/>
        <i x="335" s="1" nd="1"/>
        <i x="209" s="1" nd="1"/>
        <i x="255" s="1" nd="1"/>
        <i x="329" s="1" nd="1"/>
        <i x="330" s="1" nd="1"/>
        <i x="212" s="1" nd="1"/>
        <i x="337" s="1" nd="1"/>
        <i x="211" s="1" nd="1"/>
        <i x="226" s="1" nd="1"/>
        <i x="336" s="1" nd="1"/>
        <i x="331" s="1" nd="1"/>
        <i x="230" s="1" nd="1"/>
        <i x="334" s="1" nd="1"/>
        <i x="333" s="1" nd="1"/>
        <i x="251" s="1" nd="1"/>
        <i x="204" s="1" nd="1"/>
        <i x="216" s="1" nd="1"/>
        <i x="252" s="1" nd="1"/>
        <i x="250" s="1" nd="1"/>
        <i x="208" s="1" nd="1"/>
        <i x="210" s="1" nd="1"/>
        <i x="214" s="1" nd="1"/>
        <i x="205" s="1" nd="1"/>
        <i x="240" s="1" nd="1"/>
        <i x="245" s="1" nd="1"/>
        <i x="206" s="1" nd="1"/>
        <i x="207" s="1" nd="1"/>
        <i x="217" s="1" nd="1"/>
        <i x="220" s="1" nd="1"/>
        <i x="227" s="1" nd="1"/>
        <i x="219" s="1" nd="1"/>
        <i x="222" s="1" nd="1"/>
        <i x="221" s="1" nd="1"/>
        <i x="263" s="1" nd="1"/>
        <i x="218" s="1" nd="1"/>
        <i x="243" s="1" nd="1"/>
        <i x="258" s="1" nd="1"/>
        <i x="223" s="1" nd="1"/>
        <i x="248" s="1" nd="1"/>
        <i x="260" s="1" nd="1"/>
        <i x="232" s="1" nd="1"/>
        <i x="272" s="1" nd="1"/>
        <i x="231" s="1" nd="1"/>
        <i x="228" s="1" nd="1"/>
        <i x="224" s="1" nd="1"/>
        <i x="225" s="1" nd="1"/>
        <i x="244" s="1" nd="1"/>
        <i x="233" s="1" nd="1"/>
        <i x="156" s="1" nd="1"/>
        <i x="234" s="1" nd="1"/>
        <i x="229" s="1" nd="1"/>
        <i x="236" s="1" nd="1"/>
        <i x="237" s="1" nd="1"/>
        <i x="265" s="1" nd="1"/>
        <i x="235" s="1" nd="1"/>
        <i x="253" s="1" nd="1"/>
        <i x="241" s="1" nd="1"/>
        <i x="238" s="1" nd="1"/>
        <i x="242" s="1" nd="1"/>
        <i x="239" s="1" nd="1"/>
        <i x="246" s="1" nd="1"/>
        <i x="264" s="1" nd="1"/>
        <i x="259" s="1" nd="1"/>
        <i x="278" s="1" nd="1"/>
        <i x="247" s="1" nd="1"/>
        <i x="149" s="1" nd="1"/>
        <i x="257" s="1" nd="1"/>
        <i x="249" s="1" nd="1"/>
        <i x="273" s="1" nd="1"/>
        <i x="256" s="1" nd="1"/>
        <i x="271" s="1" nd="1"/>
        <i x="157" s="1" nd="1"/>
        <i x="262" s="1" nd="1"/>
        <i x="261" s="1" nd="1"/>
        <i x="277" s="1" nd="1"/>
        <i x="274" s="1" nd="1"/>
        <i x="168" s="1" nd="1"/>
        <i x="282" s="1" nd="1"/>
        <i x="266" s="1" nd="1"/>
        <i x="275" s="1" nd="1"/>
        <i x="280" s="1" nd="1"/>
        <i x="159" s="1" nd="1"/>
        <i x="185" s="1" nd="1"/>
        <i x="284" s="1" nd="1"/>
        <i x="281" s="1" nd="1"/>
        <i x="150" s="1" nd="1"/>
        <i x="170" s="1" nd="1"/>
        <i x="276" s="1" nd="1"/>
        <i x="152" s="1" nd="1"/>
        <i x="267" s="1" nd="1"/>
        <i x="270" s="1" nd="1"/>
        <i x="167" s="1" nd="1"/>
        <i x="279" s="1" nd="1"/>
        <i x="268" s="1" nd="1"/>
        <i x="269" s="1" nd="1"/>
        <i x="154" s="1" nd="1"/>
        <i x="172" s="1" nd="1"/>
        <i x="173" s="1" nd="1"/>
        <i x="186" s="1" nd="1"/>
        <i x="283" s="1" nd="1"/>
        <i x="148" s="1" nd="1"/>
        <i x="171" s="1" nd="1"/>
        <i x="164" s="1" nd="1"/>
        <i x="151" s="1" nd="1"/>
        <i x="155" s="1" nd="1"/>
        <i x="161" s="1" nd="1"/>
        <i x="153" s="1" nd="1"/>
        <i x="177" s="1" nd="1"/>
        <i x="181" s="1" nd="1"/>
        <i x="182" s="1" nd="1"/>
        <i x="174" s="1" nd="1"/>
        <i x="158" s="1" nd="1"/>
        <i x="160" s="1" nd="1"/>
        <i x="162" s="1" nd="1"/>
        <i x="165" s="1" nd="1"/>
        <i x="178" s="1" nd="1"/>
        <i x="163" s="1" nd="1"/>
        <i x="184" s="1" nd="1"/>
        <i x="116" s="1" nd="1"/>
        <i x="95" s="1" nd="1"/>
        <i x="199" s="1" nd="1"/>
        <i x="166" s="1" nd="1"/>
        <i x="187" s="1" nd="1"/>
        <i x="183" s="1" nd="1"/>
        <i x="169" s="1" nd="1"/>
        <i x="191" s="1" nd="1"/>
        <i x="127" s="1" nd="1"/>
        <i x="90" s="1" nd="1"/>
        <i x="176" s="1" nd="1"/>
        <i x="200" s="1" nd="1"/>
        <i x="180" s="1" nd="1"/>
        <i x="203" s="1" nd="1"/>
        <i x="190" s="1" nd="1"/>
        <i x="195" s="1" nd="1"/>
        <i x="72" s="1" nd="1"/>
        <i x="192" s="1" nd="1"/>
        <i x="194" s="1" nd="1"/>
        <i x="112" s="1" nd="1"/>
        <i x="80" s="1" nd="1"/>
        <i x="189" s="1" nd="1"/>
        <i x="77" s="1" nd="1"/>
        <i x="188" s="1" nd="1"/>
        <i x="89" s="1" nd="1"/>
        <i x="73" s="1" nd="1"/>
        <i x="71" s="1" nd="1"/>
        <i x="193" s="1" nd="1"/>
        <i x="87" s="1" nd="1"/>
        <i x="81" s="1" nd="1"/>
        <i x="92" s="1" nd="1"/>
        <i x="109" s="1" nd="1"/>
        <i x="86" s="1" nd="1"/>
        <i x="97" s="1" nd="1"/>
        <i x="91" s="1" nd="1"/>
        <i x="88" s="1" nd="1"/>
        <i x="201" s="1" nd="1"/>
        <i x="145" s="1" nd="1"/>
        <i x="99" s="1" nd="1"/>
        <i x="100" s="1" nd="1"/>
        <i x="197" s="1" nd="1"/>
        <i x="196" s="1" nd="1"/>
        <i x="74" s="1" nd="1"/>
        <i x="76" s="1" nd="1"/>
        <i x="107" s="1" nd="1"/>
        <i x="83" s="1" nd="1"/>
        <i x="202" s="1" nd="1"/>
        <i x="141" s="1" nd="1"/>
        <i x="132" s="1" nd="1"/>
        <i x="120" s="1" nd="1"/>
        <i x="94" s="1" nd="1"/>
        <i x="79" s="1" nd="1"/>
        <i x="110" s="1" nd="1"/>
        <i x="129" s="1" nd="1"/>
        <i x="121" s="1" nd="1"/>
        <i x="117" s="1" nd="1"/>
        <i x="85" s="1" nd="1"/>
        <i x="105" s="1" nd="1"/>
        <i x="104" s="1" nd="1"/>
        <i x="119" s="1" nd="1"/>
        <i x="106" s="1" nd="1"/>
        <i x="198" s="1" nd="1"/>
        <i x="82" s="1" nd="1"/>
        <i x="78" s="1" nd="1"/>
        <i x="108" s="1" nd="1"/>
        <i x="75" s="1" nd="1"/>
        <i x="113" s="1" nd="1"/>
        <i x="114" s="1" nd="1"/>
        <i x="118" s="1" nd="1"/>
        <i x="98" s="1" nd="1"/>
        <i x="93" s="1" nd="1"/>
        <i x="126" s="1" nd="1"/>
        <i x="125" s="1" nd="1"/>
        <i x="130" s="1" nd="1"/>
        <i x="84" s="1" nd="1"/>
        <i x="128" s="1" nd="1"/>
        <i x="115" s="1" nd="1"/>
        <i x="96" s="1" nd="1"/>
        <i x="101" s="1" nd="1"/>
        <i x="102" s="1" nd="1"/>
        <i x="111" s="1" nd="1"/>
        <i x="103" s="1" nd="1"/>
        <i x="122" s="1" nd="1"/>
        <i x="133" s="1" nd="1"/>
        <i x="123" s="1" nd="1"/>
        <i x="139" s="1" nd="1"/>
        <i x="136" s="1" nd="1"/>
        <i x="134" s="1" nd="1"/>
        <i x="146" s="1" nd="1"/>
        <i x="140" s="1" nd="1"/>
        <i x="147" s="1" nd="1"/>
        <i x="142" s="1" nd="1"/>
        <i x="143" s="1" nd="1"/>
        <i x="124" s="1" nd="1"/>
        <i x="137" s="1" nd="1"/>
        <i x="144" s="1" nd="1"/>
        <i x="135" s="1" nd="1"/>
        <i x="138" s="1" nd="1"/>
        <i x="131" s="1" nd="1"/>
        <i x="70" s="1" nd="1"/>
        <i x="370"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 id="4" xr3:uid="{96712812-B120-49C2-B905-59FC86A743E8}" name="cost per meter" totalsRowFunction="custom" dataDxfId="117" totalsRowDxfId="11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5" totalsRowCount="1" headerRowDxfId="106" dataDxfId="105" headerRowCellStyle="Comma" dataCellStyle="Comma">
  <autoFilter ref="A1:K194"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88" totalsRowDxfId="87"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4" headerRowBorderDxfId="83" tableBorderDxfId="82">
  <autoFilter ref="A1:I121"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99" totalsRowCount="1">
  <autoFilter ref="A1:G598" xr:uid="{CB032221-B416-47A8-9A76-693DE76CFD04}"/>
  <tableColumns count="7">
    <tableColumn id="1" xr3:uid="{554B1EED-65B6-4E9A-B646-82727FAC40DE}" name="Date" dataDxfId="66" totalsRowDxfId="65"/>
    <tableColumn id="2" xr3:uid="{32259059-42CF-4947-83DE-115AA430BE2B}" name="Party"/>
    <tableColumn id="3" xr3:uid="{A1320223-D55D-483C-91C3-AB19B95CC9D8}" name="Debit" totalsRowFunction="sum" dataDxfId="64" totalsRowDxfId="63" dataCellStyle="Comma"/>
    <tableColumn id="4" xr3:uid="{E9745767-9FF0-4B1C-9052-FF335D1D7588}" name="Credit" totalsRowFunction="sum" dataDxfId="62" totalsRowDxfId="61" dataCellStyle="Comma"/>
    <tableColumn id="5" xr3:uid="{5C88A48E-2467-4E6D-B626-2442B7FD0BE4}" name="Description"/>
    <tableColumn id="6" xr3:uid="{63CA4666-144E-4BE6-8B7C-7CB992BD3041}" name="Mode" totalsRowFunction="custom" dataDxfId="60" totalsRowDxfId="5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8" tableBorderDxfId="57" totalsRowBorderDxfId="56">
  <autoFilter ref="J3:K6" xr:uid="{DCE01694-23ED-48BF-8B92-4186B9ED10A8}"/>
  <tableColumns count="2">
    <tableColumn id="1" xr3:uid="{C8484DAF-2989-4C2F-9AEC-A6917E1C57F6}" name="Type" dataDxfId="55"/>
    <tableColumn id="2" xr3:uid="{B07B7A2A-4D4E-4654-BED6-FE2F0A7BEC34}" name="Amount" dataDxfId="5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3" headerRowBorderDxfId="52" tableBorderDxfId="51" totalsRowBorderDxfId="50">
  <autoFilter ref="M3:O6" xr:uid="{D166BDD1-ACD7-45D7-8AE9-7350373F8CEB}"/>
  <tableColumns count="3">
    <tableColumn id="1" xr3:uid="{64F0205E-DEA7-4571-BA86-E4374A5FEE28}" name="Type" totalsRowLabel="Total" dataDxfId="49" totalsRowDxfId="48"/>
    <tableColumn id="2" xr3:uid="{15FA05F9-789C-4459-9BE0-5C1EC84D3365}" name="amount" totalsRowFunction="custom" dataDxfId="47" totalsRowDxfId="46">
      <totalsRowFormula>SUM(N5:N6)</totalsRowFormula>
    </tableColumn>
    <tableColumn id="3" xr3:uid="{3681D409-90C6-44D0-BDE2-4B5943A516F0}" name="Actual" totalsRowFunction="custom" totalsRowDxfId="4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4" totalsRowDxfId="43"/>
    <tableColumn id="2" xr3:uid="{5B9D0FEE-4304-4C5C-A05C-5B27CF7841D3}" name="Type"/>
    <tableColumn id="3" xr3:uid="{6A91CA0D-C802-4C6F-9F39-CA53687E8EDE}" name="Description"/>
    <tableColumn id="4" xr3:uid="{A251D40C-AB87-4BB4-85F8-444B20E32FDF}" name="Total" totalsRowFunction="custom" dataDxfId="42" totalsRowDxfId="4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40" headerRowBorderDxfId="39">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8"/>
    <tableColumn id="4" xr3:uid="{1889A312-9B41-4EC4-BD8F-05252F27084A}" name="Price" totalsRowFunction="sum"/>
    <tableColumn id="6" xr3:uid="{8B974B20-F003-4E67-8660-024FA4F324A9}" name="Party"/>
    <tableColumn id="7" xr3:uid="{0A5A5C21-FD61-47DA-9F54-66A6479FA557}" name="Paid" dataDxfId="37">
      <calculatedColumnFormula>SUMIFS(Table14[Debit], Table14[Date], Table8[[#This Row],[Date]], Table14[Party], Table8[[#This Row],[Party]])</calculatedColumnFormula>
    </tableColumn>
    <tableColumn id="8" xr3:uid="{8DCB3B43-2161-4081-82EC-CDB0F4DE4E6F}" name="Balance" totalsRowFunction="sum" dataDxfId="3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1" totalsRowCount="1" headerRowDxfId="35" headerRowBorderDxfId="34">
  <autoFilter ref="A4:H20" xr:uid="{A4C80688-A8BA-4BA7-90B4-791CD99446B4}"/>
  <sortState xmlns:xlrd2="http://schemas.microsoft.com/office/spreadsheetml/2017/richdata2" ref="A5:H6">
    <sortCondition ref="A4:A6"/>
  </sortState>
  <tableColumns count="8">
    <tableColumn id="1" xr3:uid="{4A818912-918E-4111-ACFC-BC93FEF7C1AD}" name="Date" dataDxfId="33" totalsRowDxfId="32"/>
    <tableColumn id="8" xr3:uid="{477ACFD5-62AF-4F69-974B-E9B974C11D7D}" name="Party Name" dataDxfId="3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0">
      <calculatedColumnFormula>Table2[[#This Row],[Quantity]]*200*Table2[[#This Row],[Boxes]]</calculatedColumnFormula>
    </tableColumn>
    <tableColumn id="6" xr3:uid="{30432929-CBD4-4BA8-B63F-CD0F6CF6405F}" name="Paid" totalsRowFunction="sum" dataDxfId="29">
      <calculatedColumnFormula>SUMIFS(Table14[Debit], Table14[Date], Table2[[#This Row],[Date]], Table14[Party], Table2[[#This Row],[Party Name]])</calculatedColumnFormula>
    </tableColumn>
    <tableColumn id="7" xr3:uid="{BB689DF2-5D1E-436D-84C4-9745D88E8F3D}" name="Balance" totalsRowFunction="sum" dataDxfId="2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7" totalsRowDxfId="2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5" totalsRowDxfId="24"/>
    <tableColumn id="2" xr3:uid="{053BFC14-4828-417C-9F9F-95B6E232A945}" name="Amount" totalsRowFunction="custom" dataDxfId="23" totalsRowDxfId="2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1" totalsRowDxfId="2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0" totalsRowDxfId="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8" totalsRowDxfId="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34">
      <calculatedColumnFormula>Billing!Q5</calculatedColumnFormula>
    </tableColumn>
    <tableColumn id="2" xr3:uid="{7093A59E-B58F-487D-888A-9AA8156B5F9A}" name="Amount Paid" dataDxfId="13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611583.65252377477</v>
      </c>
      <c r="D2">
        <v>10</v>
      </c>
      <c r="E2" s="14">
        <f>(SUMIFS(ledger!G:G, ledger!B:B, B2, ledger!E:E, "&lt;&gt;*RD*",ledger!D:D, "Silky") / 1.0936)*12 + (SUMIFS(ledger!G:G, ledger!B:B, B2, ledger!E:E, "&lt;&gt;*RD*",ledger!D:D, "Chamki") / 1.0936)*10</f>
        <v>5983423.5552304313</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3203766.8824</v>
      </c>
      <c r="S5" s="22" cm="1">
        <f t="array" ref="S5">_xlfn.BYROW(B49, _xlfn.LAMBDA(_xlpm.party, SUMIFS(ledger!G:G, ledger!B:B, _xlpm.party, ledger!E:E, "&lt;&gt;*RD*") / 1.0936 ))+_xlfn.IFNA(D84,0)</f>
        <v>2929560.0607168986</v>
      </c>
      <c r="T5" s="22" cm="1">
        <f t="array" ref="T5">(_xlfn.BYROW(B49,_xlfn.LAMBDA(_xlpm.party,SUMIFS(ledger!G:G,ledger!B:B,_xlpm.party,ledger!E:E,"&lt;&gt;*RD*",ledger!D:D,"Chamki")+SUMIFS(ledger!G:G, ledger!B:B, _xlpm.party, ledger!E:E, "&lt;&gt;*RD*", ledger!D:D, "Crinkle")))/1.0936)+_xlfn.IFNA(E84,0)</f>
        <v>2499156.8054133141</v>
      </c>
      <c r="U5" s="70" cm="1">
        <f t="array" ref="U5">(_xlfn.BYROW(B49,_xlfn.LAMBDA(_xlpm.party,SUMIFS(ledger!G:G,ledger!B:B,_xlpm.party,ledger!E:E,"&lt;&gt;*RD*",ledger!D:D,"Silky")))/1.0936)+_xlfn.IFNA(F84,0)</f>
        <v>430403.2553035845</v>
      </c>
      <c r="V5" s="22" cm="1">
        <f t="array" ref="V5">(_xlfn.BYROW(B49,_xlfn.LAMBDA(_xlpm.party,
(SUMIFS(ledger!J:J,ledger!B:B,_xlpm.party,ledger!E:E,"&lt;&gt;*RD*",ledger!D:D,"Chamki",ledger!C:C,"&lt;&gt;November Closing CF")+
SUMIFS(ledger!J:J,ledger!B:B,_xlpm.party,ledger!E:E,"&lt;&gt;*RD*",ledger!D:D,"Crinkle",ledger!C:C,"&lt;&gt;November Closing CF")
)+_xlfn.IFNA(G84,0))))</f>
        <v>24991568.054133143</v>
      </c>
      <c r="W5" s="70" cm="1">
        <f t="array" ref="W5">_xlfn.BYROW(B49, _xlfn.LAMBDA(_xlpm.party,
   SUMIFS(ledger!J:J, ledger!B:B, _xlpm.party, ledger!E:E, "&lt;&gt;*RD*", ledger!D:D, "Silky", ledger!C:C, "&lt;&gt;November Closing CF")
)) + _xlfn.IFNA(H84, 0)</f>
        <v>5506886.4301389912</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30498454.484272134</v>
      </c>
      <c r="AD5" s="22">
        <f>(SUMIF(Table14[Party],Q5,Table14[Credit]))+_xlfn.IFNA(O84,0)</f>
        <v>19750734</v>
      </c>
      <c r="AE5" s="33">
        <f>AC5-AD5</f>
        <v>10747720.484272134</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51876.371616678865</v>
      </c>
      <c r="D7">
        <v>10</v>
      </c>
      <c r="E7" s="14" cm="1">
        <f t="array" ref="E7">(SUMIFS(ledger!G:G, ledger!B:B, B7, ledger!E:E, "&lt;&gt;*RD*",ledger!D:D, "Silky") / 1.0936)*12 + (SUMIFS(ledger!G:G, ledger!B:B, B7, ledger!E:E, "&lt;&gt;*RD*",ledger!D:D, "Chamki") / 1.0936)*10 +(SUMIFS(ledger!G:G, ledger!B:B, party, ledger!E:E, "&lt;&gt;*RD*", ledger!D:D, "Crinkle")/ 1.0936)*10</f>
        <v>518763.71616678865</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207510.97293343089</v>
      </c>
      <c r="D9">
        <v>10</v>
      </c>
      <c r="E9" s="14">
        <f>(SUMIFS(ledger!G:G, ledger!B:B, B9, ledger!E:E, "&lt;&gt;*RD*",ledger!D:D, "Silky") / 1.0936)*12 + (SUMIFS(ledger!G:G, ledger!B:B, B9, ledger!E:E, "&lt;&gt;*RD*",ledger!D:D, "Chamki") / 1.0936)*10</f>
        <v>2300451.7190929041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69882.040965618144</v>
      </c>
      <c r="D10">
        <v>10</v>
      </c>
      <c r="E10" s="14">
        <f>(SUMIFS(ledger!G:G, ledger!B:B, B10, ledger!E:E, "&lt;&gt;*RD*",ledger!D:D, "Silky") / 1.0936)*12 + (SUMIFS(ledger!G:G, ledger!B:B, B10, ledger!E:E, "&lt;&gt;*RD*",ledger!D:D, "Chamki") / 1.0936)*10</f>
        <v>838584.49158741767</v>
      </c>
      <c r="I10" t="s">
        <v>35</v>
      </c>
      <c r="Q10" s="24" t="str">
        <v>Sajad Khan</v>
      </c>
      <c r="R10" s="22" cm="1">
        <f t="array" ref="R10">_xlfn.BYROW(B54,_xlfn.LAMBDA(_xlpm.party,SUMIFS(ledger!G:G,ledger!B:B,_xlpm.party,ledger!E:E,"&lt;&gt;*RD*")))+_xlfn.IFNA(C89,0)</f>
        <v>922283</v>
      </c>
      <c r="S10" s="22" cm="1">
        <f t="array" ref="S10">_xlfn.BYROW(B54, _xlfn.LAMBDA(_xlpm.party, SUMIFS(ledger!G:G, ledger!B:B, _xlpm.party, ledger!E:E, "&lt;&gt;*RD*") / 1.0936 ))+_xlfn.IFNA(D89,0)</f>
        <v>843345.83028529643</v>
      </c>
      <c r="T10" s="22" cm="1">
        <f t="array" ref="T10">(_xlfn.BYROW(B54,_xlfn.LAMBDA(_xlpm.party,SUMIFS(ledger!G:G,ledger!B:B,_xlpm.party,ledger!E:E,"&lt;&gt;*RD*",ledger!D:D,"Chamki")+SUMIFS(ledger!G:G, ledger!B:B, _xlpm.party, ledger!E:E, "&lt;&gt;*RD*", ledger!D:D, "Crinkle")))/1.0936)+_xlfn.IFNA(E89,0)</f>
        <v>837856.62033650337</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8378566.2033650335</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8449925.9326993413</v>
      </c>
      <c r="AD10" s="22">
        <f>(SUMIF(Table14[Party],Q10,Table14[Credit]))+_xlfn.IFNA(O89,0)</f>
        <v>7997871</v>
      </c>
      <c r="AE10" s="33">
        <f t="shared" si="2"/>
        <v>452054.93269934133</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588541</v>
      </c>
      <c r="S12" s="22" cm="1">
        <f t="array" ref="S12">_xlfn.BYROW(B56, _xlfn.LAMBDA(_xlpm.party, SUMIFS(ledger!G:G, ledger!B:B, _xlpm.party, ledger!E:E, "&lt;&gt;*RD*") / 1.0936 ))+_xlfn.IFNA(D91,0)</f>
        <v>538168.43452816398</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1792171.7264081931</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5795262.435991222</v>
      </c>
      <c r="AD12" s="22">
        <f>(SUMIF(Table14[Party],Q12,Table14[Credit]))+_xlfn.IFNA(O91,0)</f>
        <v>4330540</v>
      </c>
      <c r="AE12" s="33">
        <f t="shared" si="2"/>
        <v>1464722.435991222</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143273</v>
      </c>
      <c r="S13" s="22" cm="1">
        <f t="array" ref="S13">_xlfn.BYROW(B57, _xlfn.LAMBDA(_xlpm.party, SUMIFS(ledger!G:G, ledger!B:B, _xlpm.party, ledger!E:E, "&lt;&gt;*RD*") / 1.0936 ))+_xlfn.IFNA(D92,0)</f>
        <v>131010.42428675934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84877.468910021955</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1088411.6678858814</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1549741.2216532552</v>
      </c>
      <c r="AD13" s="22">
        <f>(SUMIF(Table14[Party],Q13,Table14[Credit]))+_xlfn.IFNA(O92,0)</f>
        <v>1490190</v>
      </c>
      <c r="AE13" s="33">
        <f t="shared" si="2"/>
        <v>59551.221653255168</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20452644.316020485</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20452644.316020485</v>
      </c>
      <c r="D23" t="s">
        <v>32</v>
      </c>
      <c r="I23" t="s">
        <v>196</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2493333.9429407464</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195</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1545665.6912948061</v>
      </c>
      <c r="AB24" s="70"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2446025</v>
      </c>
      <c r="AE24" s="33">
        <f t="shared" si="2"/>
        <v>195773.64667154383</v>
      </c>
      <c r="AF24" s="21">
        <v>10</v>
      </c>
      <c r="AG24" s="21">
        <v>13</v>
      </c>
    </row>
    <row r="25" spans="2:33" x14ac:dyDescent="0.3">
      <c r="I25" t="s">
        <v>201</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2389648.8661302123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2936559.985369422</v>
      </c>
      <c r="AD25" s="22">
        <f>(SUMIF(Table14[Party],Q25,Table14[Credit]))+_xlfn.IFNA(O104,0)</f>
        <v>2761895</v>
      </c>
      <c r="AE25" s="33">
        <f t="shared" si="2"/>
        <v>174664.98536942201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668827.8824</v>
      </c>
      <c r="D49" s="22" cm="1">
        <f t="array" ref="D49:D76">_xlfn.BYROW(_xlfn.ANCHORARRAY(B49), _xlfn.LAMBDA(_xlpm.party, SUMIFS(ledger!G:G, ledger!B:B, _xlpm.party, ledger!E:E, "&lt;&gt;*RD*") / 1.0936 ))</f>
        <v>611583.65252377477</v>
      </c>
      <c r="E49" s="63" cm="1">
        <f t="array" ref="E49:E76">(_xlfn.BYROW(_xlfn.ANCHORARRAY(B49),_xlfn.LAMBDA(_xlpm.party,SUMIFS(ledger!G:G,ledger!B:B,_xlpm.party,ledger!E:E,"&lt;&gt;*RD*",ledger!D:D,"Chamki")+SUMIFS(ledger!G:G, ledger!B:B, _xlpm.party, ledger!E:E, "&lt;&gt;*RD*", ledger!D:D, "Crinkle")))/1.0936)</f>
        <v>463649.3072421361</v>
      </c>
      <c r="F49" s="63" cm="1">
        <f t="array" ref="F49:F76">(_xlfn.BYROW(_xlfn.ANCHORARRAY(B49),_xlfn.LAMBDA(_xlpm.party,SUMIFS(ledger!G:G,ledger!B:B,_xlpm.party,ledger!E:E,"&lt;&gt;*RD*",ledger!D:D,"Silky")))/1.0936)</f>
        <v>147934.34528163864</v>
      </c>
      <c r="G49" s="22" cm="1">
        <f t="array" ref="G49">(_xlfn.BYROW(B49,_xlfn.LAMBDA(_xlpm.party,
(SUMIFS(ledger!J:J,ledger!B:B,_xlpm.party,ledger!E:E,"&lt;&gt;*RD*",ledger!D:D,"Chamki",ledger!C:C,"&lt;&gt;November Closing CF")+
SUMIFS(ledger!J:J,ledger!B:B,_xlpm.party,ledger!E:E,"&lt;&gt;*RD*",ledger!D:D,"Crinkle",ledger!C:C,"&lt;&gt;November Closing CF")
))))</f>
        <v>4636493.0724213608</v>
      </c>
      <c r="H49" s="22" cm="1">
        <f t="array" ref="H49">_xlfn.BYROW(B49, _xlfn.LAMBDA(_xlpm.party,
   SUMIFS(ledger!J:J, ledger!B:B, _xlpm.party, ledger!E:E, "&lt;&gt;*RD*", ledger!D:D, "Silky", ledger!C:C, "&lt;&gt;November Closing CF")
))</f>
        <v>1923146.4886613025</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6559639.561082663</v>
      </c>
      <c r="O49" s="22">
        <f>(SUMIF(Table14[Party],B49,Table14[Credit]))</f>
        <v>0</v>
      </c>
      <c r="P49" s="37">
        <f>N49-O49</f>
        <v>6559639.561082663</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1832566</v>
      </c>
      <c r="P51" s="37">
        <f>N51-O51</f>
        <v>-164959.01389904902</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56732</v>
      </c>
      <c r="D54" s="22">
        <v>51876.371616678865</v>
      </c>
      <c r="E54" s="63">
        <v>51876.371616678865</v>
      </c>
      <c r="F54" s="63">
        <v>0</v>
      </c>
      <c r="G54" s="22" cm="1">
        <f t="array" ref="G54">(_xlfn.BYROW(B54,_xlfn.LAMBDA(_xlpm.party,
(SUMIFS(ledger!J:J,ledger!B:B,_xlpm.party,ledger!E:E,"&lt;&gt;*RD*",ledger!D:D,"Chamki",ledger!C:C,"&lt;&gt;November Closing CF")+
SUMIFS(ledger!J:J,ledger!B:B,_xlpm.party,ledger!E:E,"&lt;&gt;*RD*",ledger!D:D,"Crinkle",ledger!C:C,"&lt;&gt;November Closing CF")
))))</f>
        <v>518763.71616678865</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518763.71616678865</v>
      </c>
      <c r="O54" s="22">
        <f>(SUMIF(Table14[Party],B54,Table14[Credit]))</f>
        <v>600000</v>
      </c>
      <c r="P54" s="37">
        <f t="shared" si="5"/>
        <v>-81236.283833211346</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226934</v>
      </c>
      <c r="D56" s="22">
        <v>207510.97293343089</v>
      </c>
      <c r="E56" s="63">
        <v>94839.978054133142</v>
      </c>
      <c r="F56" s="63">
        <v>112670.99487929774</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1464722.9334308705</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2413122.713972202</v>
      </c>
      <c r="O56" s="22">
        <f>(SUMIF(Table14[Party],B56,Table14[Credit]))</f>
        <v>1007920</v>
      </c>
      <c r="P56" s="37">
        <f t="shared" ref="P56:P78" si="6">N56-O56</f>
        <v>1405202.713972202</v>
      </c>
      <c r="Q56" s="21">
        <v>10</v>
      </c>
      <c r="R56" s="21">
        <v>12</v>
      </c>
    </row>
    <row r="57" spans="1:23" x14ac:dyDescent="0.3">
      <c r="B57" s="24" t="str">
        <v>Ubaidullah</v>
      </c>
      <c r="C57" s="22">
        <v>76423</v>
      </c>
      <c r="D57" s="22">
        <v>69882.040965618144</v>
      </c>
      <c r="E57" s="63">
        <v>0</v>
      </c>
      <c r="F57" s="63">
        <v>69882.040965618144</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908466.53255303577</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908466.53255303577</v>
      </c>
      <c r="O57" s="22">
        <f>SUMIF(Table14[Party], B57, Table14[Credit])</f>
        <v>850000</v>
      </c>
      <c r="P57" s="37">
        <f t="shared" si="6"/>
        <v>58466.532553035766</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611583.65252377477</v>
      </c>
      <c r="W58" s="18">
        <v>5983423.5552304313</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51876.371616678865</v>
      </c>
      <c r="W63" s="18">
        <v>518763.71616678865</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207510.97293343089</v>
      </c>
      <c r="W65" s="18">
        <v>2300451.7190929041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69882.040965618144</v>
      </c>
      <c r="W66" s="18">
        <v>838584.49158741767</v>
      </c>
    </row>
    <row r="67" spans="2:23" x14ac:dyDescent="0.3">
      <c r="B67" s="81" t="str">
        <v>Amjad sohail</v>
      </c>
      <c r="C67" s="22">
        <v>38699</v>
      </c>
      <c r="D67" s="22">
        <v>35386.795903438186</v>
      </c>
      <c r="E67" s="63">
        <v>35386.795903438186</v>
      </c>
      <c r="F67" s="63">
        <v>0</v>
      </c>
      <c r="G67" s="22" cm="1">
        <f t="array" ref="G67">(_xlfn.BYROW(B67,_xlfn.LAMBDA(_xlpm.party,
(SUMIFS(ledger!J:J,ledger!B:B,_xlpm.party,ledger!E:E,"&lt;&gt;*RD*",ledger!D:D,"Chamki",ledger!C:C,"&lt;&gt;November Closing CF")+
SUMIFS(ledger!J:J,ledger!B:B,_xlpm.party,ledger!E:E,"&lt;&gt;*RD*",ledger!D:D,"Crinkle",ledger!C:C,"&lt;&gt;November Closing CF")
))))</f>
        <v>353867.9590343819</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353867.9590343819</v>
      </c>
      <c r="O67" s="22">
        <f>SUMIF(Table14[Party], B67, Table14[Credit])</f>
        <v>409310</v>
      </c>
      <c r="P67" s="37">
        <f t="shared" si="6"/>
        <v>-55442.0409656181</v>
      </c>
      <c r="Q67" s="21">
        <v>10</v>
      </c>
      <c r="R67" s="21">
        <v>12</v>
      </c>
      <c r="U67" s="4" t="s">
        <v>148</v>
      </c>
      <c r="V67" s="5">
        <v>0</v>
      </c>
      <c r="W67" s="18">
        <v>0</v>
      </c>
    </row>
    <row r="68" spans="2:23" x14ac:dyDescent="0.3">
      <c r="B68" s="81" t="str">
        <v>Salman Zaffar</v>
      </c>
      <c r="C68" s="22">
        <v>210876</v>
      </c>
      <c r="D68" s="22">
        <v>192827.35918068766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1545665.6912948061</v>
      </c>
      <c r="M68" s="70" cm="1">
        <f t="array" ref="M68">_xlfn.BYROW(B68, _xlfn.LAMBDA(_xlpm.party,
   SUMIFS(ledger!J:J, ledger!B:B, _xlpm.party, ledger!E:E, "&lt;&gt;*RD*", ledger!D:D, "Munaar", ledger!C:C, "&lt;&gt;November Closing CF")
))</f>
        <v>0</v>
      </c>
      <c r="N68" s="39">
        <f t="shared" si="4"/>
        <v>1928273.5918068762</v>
      </c>
      <c r="O68" s="22">
        <f>SUMIF(Table14[Party], B68, Table14[Credit])</f>
        <v>2446025</v>
      </c>
      <c r="P68" s="37">
        <f t="shared" si="6"/>
        <v>-517751.40819312376</v>
      </c>
      <c r="Q68" s="21">
        <v>10</v>
      </c>
      <c r="R68" s="21">
        <v>12</v>
      </c>
      <c r="U68" s="4" t="s">
        <v>27</v>
      </c>
      <c r="V68" s="5">
        <v>102513.7161667886</v>
      </c>
      <c r="W68" s="18">
        <v>1025137.161667886</v>
      </c>
    </row>
    <row r="69" spans="2:23" x14ac:dyDescent="0.3">
      <c r="B69" s="81" t="str">
        <v>Shahid Qasayi</v>
      </c>
      <c r="C69" s="22">
        <v>139379</v>
      </c>
      <c r="D69" s="22">
        <v>127449.70738844185</v>
      </c>
      <c r="E69" s="63">
        <v>125469.09290416972</v>
      </c>
      <c r="F69" s="21">
        <v>0</v>
      </c>
      <c r="G69" s="22" cm="1">
        <f t="array" ref="G69">(_xlfn.BYROW(B69,_xlfn.LAMBDA(_xlpm.party,
(SUMIFS(ledger!J:J,ledger!B:B,_xlpm.party,ledger!E:E,"&lt;&gt;*RD*",ledger!D:D,"Chamki",ledger!C:C,"&lt;&gt;November Closing CF")+
SUMIFS(ledger!J:J,ledger!B:B,_xlpm.party,ledger!E:E,"&lt;&gt;*RD*",ledger!D:D,"Crinkle",ledger!C:C,"&lt;&gt;November Closing CF")
))))</f>
        <v>1254690.9290416972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1278458.3028529626</v>
      </c>
      <c r="O69" s="22">
        <f>SUMIF(Table14[Party], B69, Table14[Credit])</f>
        <v>1293570</v>
      </c>
      <c r="P69" s="37">
        <f t="shared" si="6"/>
        <v>-15111.697147037368</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1479421.0702267739</v>
      </c>
      <c r="W75" s="14">
        <v>14629810.716898315</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8" sqref="C8"/>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Wood!K6+((363*810)+(830*233)+(146*580))-(2000*810)</f>
        <v>7647520</v>
      </c>
      <c r="D4" t="s">
        <v>190</v>
      </c>
      <c r="E4" s="43">
        <f ca="1">Table12[[#This Row],[Amount]]/Table1[[#Totals],[tiyar/meters]]</f>
        <v>4.0399390709987113</v>
      </c>
    </row>
    <row r="5" spans="1:5" x14ac:dyDescent="0.3">
      <c r="B5" t="s">
        <v>48</v>
      </c>
      <c r="C5" s="11">
        <f>SUM(Table8[Price])+Dyes!P56-(291000)</f>
        <v>1607035</v>
      </c>
      <c r="E5" s="43">
        <f ca="1">Table12[[#This Row],[Amount]]/Table1[[#Totals],[tiyar/meters]]</f>
        <v>0.84894495012270832</v>
      </c>
    </row>
    <row r="6" spans="1:5" x14ac:dyDescent="0.3">
      <c r="B6" t="s">
        <v>49</v>
      </c>
      <c r="C6" s="11">
        <f>SUM(Table2[Price])+Finish!K30-38750</f>
        <v>968850</v>
      </c>
      <c r="D6" t="s">
        <v>189</v>
      </c>
      <c r="E6" s="43">
        <f ca="1">Table12[[#This Row],[Amount]]/Table1[[#Totals],[tiyar/meters]]</f>
        <v>0.51181232202558502</v>
      </c>
    </row>
    <row r="7" spans="1:5" x14ac:dyDescent="0.3">
      <c r="B7" t="s">
        <v>50</v>
      </c>
      <c r="C7" s="11">
        <f>SUMIFS(Table14[Debit], Table14[Party],Table12[[#This Row],[Type]])</f>
        <v>45181</v>
      </c>
      <c r="E7" s="43">
        <f ca="1">Table12[[#This Row],[Amount]]/Table1[[#Totals],[tiyar/meters]]</f>
        <v>2.3867670456146933E-2</v>
      </c>
    </row>
    <row r="8" spans="1:5" x14ac:dyDescent="0.3">
      <c r="B8" t="s">
        <v>51</v>
      </c>
      <c r="C8" s="11">
        <f>Electricity!E3</f>
        <v>2185118</v>
      </c>
      <c r="E8" s="43">
        <f ca="1">Table12[[#This Row],[Amount]]/Table1[[#Totals],[tiyar/meters]]</f>
        <v>1.1543276229343058</v>
      </c>
    </row>
    <row r="9" spans="1:5" x14ac:dyDescent="0.3">
      <c r="B9" t="s">
        <v>52</v>
      </c>
      <c r="C9" s="11">
        <f>SUMIFS(Table14[Debit], Table14[Party],Table12[[#This Row],[Type]])+SUMIFS(Table14[Debit], Table14[Party],"Advance Salary")</f>
        <v>1854930</v>
      </c>
      <c r="E9" s="43">
        <f ca="1">Table12[[#This Row],[Amount]]/Table1[[#Totals],[tiyar/meters]]</f>
        <v>0.97989991277795152</v>
      </c>
    </row>
    <row r="10" spans="1:5" x14ac:dyDescent="0.3">
      <c r="B10" t="s">
        <v>53</v>
      </c>
      <c r="C10" s="11">
        <f>Table5[[#Totals],[Amount]]</f>
        <v>111730</v>
      </c>
      <c r="E10" s="43">
        <f ca="1">Table12[[#This Row],[Amount]]/Table1[[#Totals],[tiyar/meters]]</f>
        <v>5.9023368674117366E-2</v>
      </c>
    </row>
    <row r="11" spans="1:5" x14ac:dyDescent="0.3">
      <c r="B11" t="s">
        <v>54</v>
      </c>
      <c r="C11" s="11">
        <f>Table13[[#Totals],[Debit]]</f>
        <v>147591</v>
      </c>
      <c r="E11" s="43">
        <f ca="1">Table12[[#This Row],[Amount]]/Table1[[#Totals],[tiyar/meters]]</f>
        <v>7.7967582618649028E-2</v>
      </c>
    </row>
    <row r="12" spans="1:5" x14ac:dyDescent="0.3">
      <c r="B12" t="s">
        <v>55</v>
      </c>
      <c r="C12" s="11">
        <f>Table15[[#Totals],[Amount]]</f>
        <v>634210</v>
      </c>
      <c r="E12" s="43">
        <f ca="1">Table12[[#This Row],[Amount]]/Table1[[#Totals],[tiyar/meters]]</f>
        <v>0.33503276332956211</v>
      </c>
    </row>
    <row r="13" spans="1:5" x14ac:dyDescent="0.3">
      <c r="C13" s="11"/>
      <c r="E13" s="43">
        <f ca="1">Table12[[#This Row],[Amount]]/Table1[[#Totals],[tiyar/meters]]</f>
        <v>0</v>
      </c>
    </row>
    <row r="14" spans="1:5" x14ac:dyDescent="0.3">
      <c r="C14" s="14">
        <f>SUM(Table12[Amount])</f>
        <v>15202165</v>
      </c>
      <c r="E14" s="43">
        <f ca="1">SUM(Table12[cost per meter])</f>
        <v>8.0308152639377361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20452644.316020485</v>
      </c>
    </row>
    <row r="4" spans="1:3" x14ac:dyDescent="0.3">
      <c r="B4" s="11" t="s">
        <v>44</v>
      </c>
      <c r="C4" s="11">
        <f>Table12[[#Totals],[Amount]]</f>
        <v>15202165</v>
      </c>
    </row>
    <row r="5" spans="1:3" x14ac:dyDescent="0.3">
      <c r="A5" s="6"/>
      <c r="B5" s="15" t="s">
        <v>68</v>
      </c>
      <c r="C5" s="15">
        <f>C3-C4</f>
        <v>5250479.316020485</v>
      </c>
    </row>
    <row r="10" spans="1:3" ht="15" thickBot="1" x14ac:dyDescent="0.35">
      <c r="B10" t="s">
        <v>66</v>
      </c>
      <c r="C10" s="14" t="s">
        <v>67</v>
      </c>
    </row>
    <row r="11" spans="1:3" x14ac:dyDescent="0.3">
      <c r="B11" s="56" t="s">
        <v>0</v>
      </c>
      <c r="C11" s="57">
        <f>C3</f>
        <v>20452644.316020485</v>
      </c>
    </row>
    <row r="12" spans="1:3" x14ac:dyDescent="0.3">
      <c r="B12" s="58" t="s">
        <v>69</v>
      </c>
      <c r="C12" s="59">
        <f>SUM(Table14[Credit])</f>
        <v>33272089</v>
      </c>
    </row>
    <row r="13" spans="1:3" ht="15" thickBot="1" x14ac:dyDescent="0.35">
      <c r="B13" s="74" t="s">
        <v>93</v>
      </c>
      <c r="C13" s="73">
        <f>(C11-C12)</f>
        <v>-12819444.683979515</v>
      </c>
    </row>
    <row r="14" spans="1:3" ht="15" thickBot="1" x14ac:dyDescent="0.35">
      <c r="B14" s="58"/>
      <c r="C14" s="59"/>
    </row>
    <row r="15" spans="1:3" x14ac:dyDescent="0.3">
      <c r="B15" s="56" t="s">
        <v>44</v>
      </c>
      <c r="C15" s="57">
        <f>C4</f>
        <v>15202165</v>
      </c>
    </row>
    <row r="16" spans="1:3" x14ac:dyDescent="0.3">
      <c r="B16" s="58" t="s">
        <v>70</v>
      </c>
      <c r="C16" s="59">
        <f>SUM(Table14[Debit])</f>
        <v>33217898</v>
      </c>
    </row>
    <row r="17" spans="2:6" ht="15" thickBot="1" x14ac:dyDescent="0.35">
      <c r="B17" s="74" t="s">
        <v>71</v>
      </c>
      <c r="C17" s="73">
        <f>C15-C16</f>
        <v>-18015733</v>
      </c>
    </row>
    <row r="18" spans="2:6" ht="15" thickBot="1" x14ac:dyDescent="0.35">
      <c r="B18" s="58"/>
      <c r="C18" s="59"/>
    </row>
    <row r="19" spans="2:6" ht="15" thickBot="1" x14ac:dyDescent="0.35">
      <c r="B19" s="75" t="s">
        <v>72</v>
      </c>
      <c r="C19" s="76">
        <f>Table18[[#Totals],[amount]]</f>
        <v>104191</v>
      </c>
    </row>
    <row r="20" spans="2:6" ht="15" thickBot="1" x14ac:dyDescent="0.35">
      <c r="B20" s="71"/>
      <c r="C20" s="72"/>
    </row>
    <row r="21" spans="2:6" ht="15" thickBot="1" x14ac:dyDescent="0.35">
      <c r="B21" s="60" t="s">
        <v>73</v>
      </c>
      <c r="C21" s="61">
        <f>(C13-C17)+C19</f>
        <v>5300479.316020485</v>
      </c>
      <c r="E21" s="79" t="s">
        <v>74</v>
      </c>
      <c r="F21" s="80">
        <f>C5*0.05</f>
        <v>262523.96580102429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147591</v>
      </c>
      <c r="E38">
        <f>SUBTOTAL(109,Table13[Credit])</f>
        <v>0</v>
      </c>
      <c r="F38">
        <f>Table13[[#Totals],[Debit]]-Table13[[#Totals],[Credit]]</f>
        <v>147591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5"/>
  <sheetViews>
    <sheetView topLeftCell="A190" zoomScale="115" zoomScaleNormal="115" workbookViewId="0">
      <selection activeCell="I186" sqref="I127:I18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37.153122100537104</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37.153122100537104</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4.2921083841370802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4.2921083841370802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t="s">
        <v>564</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1.9053819660576892</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2.3552433596309044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1.9053819660576892</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46037</v>
      </c>
      <c r="B164" s="124" t="s">
        <v>152</v>
      </c>
      <c r="C164" s="119">
        <v>1357</v>
      </c>
      <c r="D164" s="119" t="s">
        <v>86</v>
      </c>
      <c r="E164" s="11">
        <v>2026</v>
      </c>
      <c r="F164" s="11">
        <v>70035</v>
      </c>
      <c r="G164" s="11">
        <v>48955</v>
      </c>
      <c r="H164" s="120">
        <f>_xlfn.XLOOKUP(Table1[[#This Row],[Shipment Number]], 'pivot '!A:A,'pivot '!G:G, "NF")</f>
        <v>1.3960988990299512</v>
      </c>
      <c r="I164" s="121">
        <f>Table1[[#This Row],[Tiyaar/gaz]]/1.0936</f>
        <v>44764.996342355524</v>
      </c>
      <c r="J164" s="121"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9"/>
    </row>
    <row r="165" spans="1:12" x14ac:dyDescent="0.3">
      <c r="A165" s="122">
        <v>46038</v>
      </c>
      <c r="B165" s="124" t="s">
        <v>184</v>
      </c>
      <c r="C165" s="119">
        <v>1358</v>
      </c>
      <c r="D165" s="119" t="s">
        <v>212</v>
      </c>
      <c r="E165" s="11">
        <v>2016</v>
      </c>
      <c r="F165" s="11">
        <v>29033</v>
      </c>
      <c r="G165" s="11">
        <v>26454</v>
      </c>
      <c r="H165" s="120">
        <f>_xlfn.XLOOKUP(Table1[[#This Row],[Shipment Number]], 'pivot '!A:A,'pivot '!G:G, "NF")</f>
        <v>2.703860105611966</v>
      </c>
      <c r="I165" s="121">
        <f>Table1[[#This Row],[Tiyaar/gaz]]/1.0936</f>
        <v>24189.831748354063</v>
      </c>
      <c r="J165" s="121"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9"/>
    </row>
    <row r="166" spans="1:12" x14ac:dyDescent="0.3">
      <c r="A166" s="122">
        <v>46038</v>
      </c>
      <c r="B166" s="124" t="s">
        <v>184</v>
      </c>
      <c r="C166" s="119">
        <v>1359</v>
      </c>
      <c r="D166" s="119" t="s">
        <v>212</v>
      </c>
      <c r="E166" s="11">
        <v>2012</v>
      </c>
      <c r="F166" s="11">
        <v>28546</v>
      </c>
      <c r="G166" s="11">
        <v>2148</v>
      </c>
      <c r="H166" s="120">
        <f>_xlfn.XLOOKUP(Table1[[#This Row],[Shipment Number]], 'pivot '!A:A,'pivot '!G:G, "NF")</f>
        <v>51.639933205512669</v>
      </c>
      <c r="I166" s="121">
        <f>Table1[[#This Row],[Tiyaar/gaz]]/1.0936</f>
        <v>1964.1550841258231</v>
      </c>
      <c r="J166" s="121"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9"/>
    </row>
    <row r="167" spans="1:12" x14ac:dyDescent="0.3">
      <c r="A167" s="122">
        <v>46038</v>
      </c>
      <c r="B167" s="124" t="s">
        <v>152</v>
      </c>
      <c r="C167" s="119">
        <v>1360</v>
      </c>
      <c r="D167" s="119" t="s">
        <v>86</v>
      </c>
      <c r="E167" s="11">
        <v>2026</v>
      </c>
      <c r="F167" s="11">
        <v>70035</v>
      </c>
      <c r="G167" s="11">
        <v>18158</v>
      </c>
      <c r="H167" s="120">
        <f>_xlfn.XLOOKUP(Table1[[#This Row],[Shipment Number]], 'pivot '!A:A,'pivot '!G:G, "NF")</f>
        <v>1.3960988990299512</v>
      </c>
      <c r="I167" s="121">
        <f>Table1[[#This Row],[Tiyaar/gaz]]/1.0936</f>
        <v>16603.877103145576</v>
      </c>
      <c r="J167" s="121"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9"/>
    </row>
    <row r="168" spans="1:12" x14ac:dyDescent="0.3">
      <c r="A168" s="122">
        <v>46039</v>
      </c>
      <c r="B168" s="124" t="s">
        <v>184</v>
      </c>
      <c r="C168" s="119">
        <v>1361</v>
      </c>
      <c r="D168" s="119" t="s">
        <v>212</v>
      </c>
      <c r="E168" s="11">
        <v>2014</v>
      </c>
      <c r="F168" s="11">
        <v>28559</v>
      </c>
      <c r="G168" s="11">
        <v>29748</v>
      </c>
      <c r="H168" s="120">
        <f>_xlfn.XLOOKUP(Table1[[#This Row],[Shipment Number]], 'pivot '!A:A,'pivot '!G:G, "NF")</f>
        <v>4.751910167974998</v>
      </c>
      <c r="I168" s="121">
        <f>Table1[[#This Row],[Tiyaar/gaz]]/1.0936</f>
        <v>27201.901975128021</v>
      </c>
      <c r="J168" s="121"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9"/>
    </row>
    <row r="169" spans="1:12" x14ac:dyDescent="0.3">
      <c r="A169" s="122">
        <v>46039</v>
      </c>
      <c r="B169" s="124" t="s">
        <v>184</v>
      </c>
      <c r="C169" s="119">
        <v>1362</v>
      </c>
      <c r="D169" s="119" t="s">
        <v>212</v>
      </c>
      <c r="E169" s="11">
        <v>2016</v>
      </c>
      <c r="F169" s="11">
        <v>29033</v>
      </c>
      <c r="G169" s="11">
        <v>4438</v>
      </c>
      <c r="H169" s="120">
        <f>_xlfn.XLOOKUP(Table1[[#This Row],[Shipment Number]], 'pivot '!A:A,'pivot '!G:G, "NF")</f>
        <v>2.703860105611966</v>
      </c>
      <c r="I169" s="121">
        <f>Table1[[#This Row],[Tiyaar/gaz]]/1.0936</f>
        <v>4058.1565471836143</v>
      </c>
      <c r="J169" s="121"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9"/>
    </row>
    <row r="170" spans="1:12" x14ac:dyDescent="0.3">
      <c r="A170" s="122">
        <v>46039</v>
      </c>
      <c r="B170" s="124" t="s">
        <v>184</v>
      </c>
      <c r="C170" s="119">
        <v>1363</v>
      </c>
      <c r="D170" s="119" t="s">
        <v>212</v>
      </c>
      <c r="E170" s="11">
        <v>2010</v>
      </c>
      <c r="F170" s="11">
        <v>32275</v>
      </c>
      <c r="G170" s="11">
        <v>4515</v>
      </c>
      <c r="H170" s="120">
        <f>_xlfn.XLOOKUP(Table1[[#This Row],[Shipment Number]], 'pivot '!A:A,'pivot '!G:G, "NF")</f>
        <v>4.2921083841370802</v>
      </c>
      <c r="I170" s="121">
        <f>Table1[[#This Row],[Tiyaar/gaz]]/1.0936</f>
        <v>4128.5662033650333</v>
      </c>
      <c r="J170" s="121"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9"/>
    </row>
    <row r="171" spans="1:12" x14ac:dyDescent="0.3">
      <c r="A171" s="122">
        <v>46039</v>
      </c>
      <c r="B171" s="124" t="s">
        <v>184</v>
      </c>
      <c r="C171" s="119">
        <v>1364</v>
      </c>
      <c r="D171" s="119" t="s">
        <v>212</v>
      </c>
      <c r="E171" s="11">
        <v>2013</v>
      </c>
      <c r="F171" s="11">
        <v>26975</v>
      </c>
      <c r="G171" s="11">
        <v>11059</v>
      </c>
      <c r="H171" s="120">
        <f>_xlfn.XLOOKUP(Table1[[#This Row],[Shipment Number]], 'pivot '!A:A,'pivot '!G:G, "NF")</f>
        <v>3.8029333020563456</v>
      </c>
      <c r="I171" s="121">
        <f>Table1[[#This Row],[Tiyaar/gaz]]/1.0936</f>
        <v>10112.472567666424</v>
      </c>
      <c r="J171" s="121"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9"/>
    </row>
    <row r="172" spans="1:12" x14ac:dyDescent="0.3">
      <c r="A172" s="122">
        <v>46039</v>
      </c>
      <c r="B172" s="124" t="s">
        <v>184</v>
      </c>
      <c r="C172" s="119">
        <v>1365</v>
      </c>
      <c r="D172" s="119" t="s">
        <v>212</v>
      </c>
      <c r="E172" s="11">
        <v>2013</v>
      </c>
      <c r="F172" s="11">
        <v>26975</v>
      </c>
      <c r="G172" s="11">
        <v>17319</v>
      </c>
      <c r="H172" s="120">
        <f>_xlfn.XLOOKUP(Table1[[#This Row],[Shipment Number]], 'pivot '!A:A,'pivot '!G:G, "NF")</f>
        <v>3.8029333020563456</v>
      </c>
      <c r="I172" s="121">
        <f>Table1[[#This Row],[Tiyaar/gaz]]/1.0936</f>
        <v>15836.686174103879</v>
      </c>
      <c r="J172" s="121"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9"/>
    </row>
    <row r="173" spans="1:12" x14ac:dyDescent="0.3">
      <c r="A173" s="122">
        <v>46039</v>
      </c>
      <c r="B173" s="124" t="s">
        <v>184</v>
      </c>
      <c r="C173" s="119">
        <v>1366</v>
      </c>
      <c r="D173" s="119" t="s">
        <v>212</v>
      </c>
      <c r="E173" s="11">
        <v>2012</v>
      </c>
      <c r="F173" s="11">
        <v>28546</v>
      </c>
      <c r="G173" s="11">
        <v>12949</v>
      </c>
      <c r="H173" s="120">
        <f>_xlfn.XLOOKUP(Table1[[#This Row],[Shipment Number]], 'pivot '!A:A,'pivot '!G:G, "NF")</f>
        <v>51.639933205512669</v>
      </c>
      <c r="I173" s="121">
        <f>Table1[[#This Row],[Tiyaar/gaz]]/1.0936</f>
        <v>11840.709583028531</v>
      </c>
      <c r="J173" s="121"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9"/>
    </row>
    <row r="174" spans="1:12" x14ac:dyDescent="0.3">
      <c r="A174" s="122">
        <v>46039</v>
      </c>
      <c r="B174" s="124" t="s">
        <v>179</v>
      </c>
      <c r="C174" s="119">
        <v>1367</v>
      </c>
      <c r="D174" s="119" t="s">
        <v>85</v>
      </c>
      <c r="E174" s="11">
        <v>2031</v>
      </c>
      <c r="F174" s="11">
        <v>36016</v>
      </c>
      <c r="G174" s="11">
        <v>17259</v>
      </c>
      <c r="H174" s="120">
        <f>_xlfn.XLOOKUP(Table1[[#This Row],[Shipment Number]], 'pivot '!A:A,'pivot '!G:G, "NF")</f>
        <v>1.7470127070241261</v>
      </c>
      <c r="I174" s="121">
        <f>Table1[[#This Row],[Tiyaar/gaz]]/1.0936</f>
        <v>15781.821506949525</v>
      </c>
      <c r="J174" s="121"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9"/>
    </row>
    <row r="175" spans="1:12" x14ac:dyDescent="0.3">
      <c r="A175" s="122">
        <v>46041</v>
      </c>
      <c r="B175" s="124" t="s">
        <v>179</v>
      </c>
      <c r="C175" s="119">
        <v>1368</v>
      </c>
      <c r="D175" s="119" t="s">
        <v>85</v>
      </c>
      <c r="E175" s="11">
        <v>2031</v>
      </c>
      <c r="F175" s="11">
        <v>36016</v>
      </c>
      <c r="G175" s="11">
        <v>21440</v>
      </c>
      <c r="H175" s="120">
        <f>_xlfn.XLOOKUP(Table1[[#This Row],[Shipment Number]], 'pivot '!A:A,'pivot '!G:G, "NF")</f>
        <v>1.7470127070241261</v>
      </c>
      <c r="I175" s="121">
        <f>Table1[[#This Row],[Tiyaar/gaz]]/1.0936</f>
        <v>19604.974396488662</v>
      </c>
      <c r="J175" s="121"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196049.74396488661</v>
      </c>
      <c r="K175" s="119"/>
    </row>
    <row r="176" spans="1:12" x14ac:dyDescent="0.3">
      <c r="A176" s="122">
        <v>46041</v>
      </c>
      <c r="B176" s="124" t="s">
        <v>25</v>
      </c>
      <c r="C176" s="119">
        <v>1369</v>
      </c>
      <c r="D176" s="119" t="s">
        <v>85</v>
      </c>
      <c r="E176" s="11">
        <v>2019</v>
      </c>
      <c r="F176" s="11">
        <v>52178</v>
      </c>
      <c r="G176" s="11">
        <v>24313</v>
      </c>
      <c r="H176" s="120">
        <f>_xlfn.XLOOKUP(Table1[[#This Row],[Shipment Number]], 'pivot '!A:A,'pivot '!G:G, "NF")</f>
        <v>0.57807578542899307</v>
      </c>
      <c r="I176" s="121">
        <f>Table1[[#This Row],[Tiyaar/gaz]]/1.0936</f>
        <v>22232.077542062914</v>
      </c>
      <c r="J176" s="121"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222320.77542062913</v>
      </c>
      <c r="K176" s="119"/>
    </row>
    <row r="177" spans="1:11" x14ac:dyDescent="0.3">
      <c r="A177" s="122">
        <v>46042</v>
      </c>
      <c r="B177" s="124" t="s">
        <v>25</v>
      </c>
      <c r="C177" s="119">
        <v>1370</v>
      </c>
      <c r="D177" s="119" t="s">
        <v>85</v>
      </c>
      <c r="E177" s="11">
        <v>2019</v>
      </c>
      <c r="F177" s="11">
        <v>52178</v>
      </c>
      <c r="G177" s="11">
        <v>32419</v>
      </c>
      <c r="H177" s="120">
        <f>_xlfn.XLOOKUP(Table1[[#This Row],[Shipment Number]], 'pivot '!A:A,'pivot '!G:G, "NF")</f>
        <v>0.57807578542899307</v>
      </c>
      <c r="I177" s="121">
        <f>Table1[[#This Row],[Tiyaar/gaz]]/1.0936</f>
        <v>29644.294074615951</v>
      </c>
      <c r="J177" s="121"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296442.94074615953</v>
      </c>
      <c r="K177" s="119"/>
    </row>
    <row r="178" spans="1:11" x14ac:dyDescent="0.3">
      <c r="A178" s="122">
        <v>46042</v>
      </c>
      <c r="B178" s="124" t="s">
        <v>21</v>
      </c>
      <c r="C178" s="119">
        <v>1371</v>
      </c>
      <c r="D178" s="119" t="s">
        <v>85</v>
      </c>
      <c r="E178" s="11" t="s">
        <v>563</v>
      </c>
      <c r="F178" s="11">
        <v>57352</v>
      </c>
      <c r="G178" s="11">
        <v>15219</v>
      </c>
      <c r="H178" s="120">
        <f>_xlfn.XLOOKUP(Table1[[#This Row],[Shipment Number]], 'pivot '!A:A,'pivot '!G:G, "NF")</f>
        <v>21.526013255275004</v>
      </c>
      <c r="I178" s="121">
        <f>Table1[[#This Row],[Tiyaar/gaz]]/1.0936</f>
        <v>13916.422823701538</v>
      </c>
      <c r="J178" s="121"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139164.22823701537</v>
      </c>
      <c r="K178" s="119"/>
    </row>
    <row r="179" spans="1:11" x14ac:dyDescent="0.3">
      <c r="A179" s="122">
        <v>46042</v>
      </c>
      <c r="B179" s="124" t="s">
        <v>193</v>
      </c>
      <c r="C179" s="119">
        <v>1372</v>
      </c>
      <c r="D179" s="119" t="s">
        <v>85</v>
      </c>
      <c r="E179" s="11">
        <v>2018</v>
      </c>
      <c r="F179" s="11">
        <v>23397</v>
      </c>
      <c r="G179" s="11">
        <v>22238</v>
      </c>
      <c r="H179" s="120">
        <f>_xlfn.XLOOKUP(Table1[[#This Row],[Shipment Number]], 'pivot '!A:A,'pivot '!G:G, "NF")</f>
        <v>1.9053819660576892</v>
      </c>
      <c r="I179" s="121">
        <f>Table1[[#This Row],[Tiyaar/gaz]]/1.0936</f>
        <v>20334.674469641552</v>
      </c>
      <c r="J179" s="121"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203346.74469641552</v>
      </c>
      <c r="K179" s="119"/>
    </row>
    <row r="180" spans="1:11" x14ac:dyDescent="0.3">
      <c r="A180" s="122">
        <v>46042</v>
      </c>
      <c r="B180" s="124" t="s">
        <v>35</v>
      </c>
      <c r="C180" s="119">
        <v>1373</v>
      </c>
      <c r="D180" s="119" t="s">
        <v>86</v>
      </c>
      <c r="E180" s="11">
        <v>2039</v>
      </c>
      <c r="F180" s="11">
        <v>31746</v>
      </c>
      <c r="G180" s="11">
        <v>18900</v>
      </c>
      <c r="H180" s="120">
        <f>_xlfn.XLOOKUP(Table1[[#This Row],[Shipment Number]], 'pivot '!A:A,'pivot '!G:G, "NF")</f>
        <v>1.9541356776177423</v>
      </c>
      <c r="I180" s="121">
        <f>Table1[[#This Row],[Tiyaar/gaz]]/1.0936</f>
        <v>17282.370153621068</v>
      </c>
      <c r="J180" s="121"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224670.81199707388</v>
      </c>
      <c r="K180" s="119"/>
    </row>
    <row r="181" spans="1:11" x14ac:dyDescent="0.3">
      <c r="A181" s="122">
        <v>46042</v>
      </c>
      <c r="B181" s="124" t="s">
        <v>152</v>
      </c>
      <c r="C181" s="119">
        <v>1374</v>
      </c>
      <c r="D181" s="119" t="s">
        <v>86</v>
      </c>
      <c r="E181" s="11">
        <v>2023</v>
      </c>
      <c r="F181" s="11">
        <v>20503</v>
      </c>
      <c r="G181" s="11">
        <v>11000</v>
      </c>
      <c r="H181" s="120">
        <f>_xlfn.XLOOKUP(Table1[[#This Row],[Shipment Number]], 'pivot '!A:A,'pivot '!G:G, "NF")</f>
        <v>2.0251501368240525</v>
      </c>
      <c r="I181" s="121">
        <f>Table1[[#This Row],[Tiyaar/gaz]]/1.0936</f>
        <v>10058.52231163131</v>
      </c>
      <c r="J181" s="121"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130760.79005120703</v>
      </c>
      <c r="K181" s="119"/>
    </row>
    <row r="182" spans="1:11" x14ac:dyDescent="0.3">
      <c r="A182" s="122">
        <v>46043</v>
      </c>
      <c r="B182" s="124" t="s">
        <v>152</v>
      </c>
      <c r="C182" s="119">
        <v>1375</v>
      </c>
      <c r="D182" s="119" t="s">
        <v>86</v>
      </c>
      <c r="E182" s="11">
        <v>2024</v>
      </c>
      <c r="F182" s="11">
        <v>16895</v>
      </c>
      <c r="G182" s="11">
        <v>18197</v>
      </c>
      <c r="H182" s="120">
        <f>_xlfn.XLOOKUP(Table1[[#This Row],[Shipment Number]], 'pivot '!A:A,'pivot '!G:G, "NF")</f>
        <v>1.5120500929511422</v>
      </c>
      <c r="I182" s="121">
        <f>Table1[[#This Row],[Tiyaar/gaz]]/1.0936</f>
        <v>16639.539136795906</v>
      </c>
      <c r="J182" s="121" cm="1">
        <f t="array" ref="J1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182" s="119"/>
    </row>
    <row r="183" spans="1:11" x14ac:dyDescent="0.3">
      <c r="A183" s="122">
        <v>46043</v>
      </c>
      <c r="B183" s="124" t="s">
        <v>152</v>
      </c>
      <c r="C183" s="119">
        <v>1376</v>
      </c>
      <c r="D183" s="119" t="s">
        <v>86</v>
      </c>
      <c r="E183" s="11">
        <v>2023</v>
      </c>
      <c r="F183" s="11">
        <v>20503</v>
      </c>
      <c r="G183" s="11">
        <v>10968</v>
      </c>
      <c r="H183" s="120">
        <f>_xlfn.XLOOKUP(Table1[[#This Row],[Shipment Number]], 'pivot '!A:A,'pivot '!G:G, "NF")</f>
        <v>2.0251501368240525</v>
      </c>
      <c r="I183" s="121">
        <f>Table1[[#This Row],[Tiyaar/gaz]]/1.0936</f>
        <v>10029.261155815655</v>
      </c>
      <c r="J183" s="121"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183" s="119"/>
    </row>
    <row r="184" spans="1:11" x14ac:dyDescent="0.3">
      <c r="A184" s="122">
        <v>46043</v>
      </c>
      <c r="B184" s="124" t="s">
        <v>152</v>
      </c>
      <c r="C184" s="119">
        <v>1377</v>
      </c>
      <c r="D184" s="119" t="s">
        <v>86</v>
      </c>
      <c r="E184" s="11">
        <v>2025</v>
      </c>
      <c r="F184" s="11">
        <v>6991</v>
      </c>
      <c r="G184" s="11">
        <v>7531</v>
      </c>
      <c r="H184" s="120">
        <f>_xlfn.XLOOKUP(Table1[[#This Row],[Shipment Number]], 'pivot '!A:A,'pivot '!G:G, "NF")</f>
        <v>1.4957783008083112</v>
      </c>
      <c r="I184" s="121">
        <f>Table1[[#This Row],[Tiyaar/gaz]]/1.0936</f>
        <v>6886.4301389904904</v>
      </c>
      <c r="J184" s="121"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184" s="119"/>
    </row>
    <row r="185" spans="1:11" x14ac:dyDescent="0.3">
      <c r="A185" s="122">
        <v>46043</v>
      </c>
      <c r="B185" s="124" t="s">
        <v>35</v>
      </c>
      <c r="C185" s="119">
        <v>1378</v>
      </c>
      <c r="D185" s="119" t="s">
        <v>86</v>
      </c>
      <c r="E185" s="11">
        <v>2039</v>
      </c>
      <c r="F185" s="11">
        <v>31746</v>
      </c>
      <c r="G185" s="11">
        <v>15139</v>
      </c>
      <c r="H185" s="120">
        <f>_xlfn.XLOOKUP(Table1[[#This Row],[Shipment Number]], 'pivot '!A:A,'pivot '!G:G, "NF")</f>
        <v>1.9541356776177423</v>
      </c>
      <c r="I185" s="121">
        <f>Table1[[#This Row],[Tiyaar/gaz]]/1.0936</f>
        <v>13843.269934162401</v>
      </c>
      <c r="J185" s="121"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185" s="119"/>
    </row>
    <row r="186" spans="1:11" x14ac:dyDescent="0.3">
      <c r="A186" s="122">
        <v>46043</v>
      </c>
      <c r="B186" s="124" t="s">
        <v>35</v>
      </c>
      <c r="C186" s="119">
        <v>1379</v>
      </c>
      <c r="D186" s="119" t="s">
        <v>86</v>
      </c>
      <c r="E186" s="11">
        <v>2037</v>
      </c>
      <c r="F186" s="11">
        <v>14961</v>
      </c>
      <c r="G186" s="11">
        <v>1686</v>
      </c>
      <c r="H186" s="120">
        <f>_xlfn.XLOOKUP(Table1[[#This Row],[Shipment Number]], 'pivot '!A:A,'pivot '!G:G, "NF")</f>
        <v>2.3552433596309044</v>
      </c>
      <c r="I186" s="121">
        <f>Table1[[#This Row],[Tiyaar/gaz]]/1.0936</f>
        <v>1541.697147037308</v>
      </c>
      <c r="J186" s="121"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186" s="119"/>
    </row>
    <row r="187" spans="1:11" x14ac:dyDescent="0.3">
      <c r="A187" s="122">
        <v>46044</v>
      </c>
      <c r="B187" s="124" t="s">
        <v>152</v>
      </c>
      <c r="C187" s="119">
        <v>1380</v>
      </c>
      <c r="D187" s="119" t="s">
        <v>86</v>
      </c>
      <c r="E187" s="11">
        <v>2026</v>
      </c>
      <c r="F187" s="11">
        <v>70035</v>
      </c>
      <c r="G187" s="11">
        <v>8408</v>
      </c>
      <c r="H187" s="120">
        <f>_xlfn.XLOOKUP(Table1[[#This Row],[Shipment Number]], 'pivot '!A:A,'pivot '!G:G, "NF")</f>
        <v>1.3960988990299512</v>
      </c>
      <c r="I187" s="121">
        <f>Table1[[#This Row],[Tiyaar/gaz]]/1.0936</f>
        <v>7688.3686905632776</v>
      </c>
      <c r="J187" s="121"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187" s="119"/>
    </row>
    <row r="188" spans="1:11" x14ac:dyDescent="0.3">
      <c r="A188" s="122">
        <v>46044</v>
      </c>
      <c r="B188" s="124" t="s">
        <v>21</v>
      </c>
      <c r="C188" s="119">
        <v>1381</v>
      </c>
      <c r="D188" s="119" t="s">
        <v>86</v>
      </c>
      <c r="E188" s="11">
        <v>2041</v>
      </c>
      <c r="F188" s="11">
        <v>50350</v>
      </c>
      <c r="G188" s="11">
        <v>38195</v>
      </c>
      <c r="H188" s="120">
        <f>_xlfn.XLOOKUP(Table1[[#This Row],[Shipment Number]], 'pivot '!A:A,'pivot '!G:G, "NF")</f>
        <v>1.5414410756017247</v>
      </c>
      <c r="I188" s="121">
        <f>Table1[[#This Row],[Tiyaar/gaz]]/1.0936</f>
        <v>34925.932699341625</v>
      </c>
      <c r="J188" s="121"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188" s="119"/>
    </row>
    <row r="189" spans="1:11" x14ac:dyDescent="0.3">
      <c r="A189" s="122">
        <v>46044</v>
      </c>
      <c r="B189" s="124" t="s">
        <v>21</v>
      </c>
      <c r="C189" s="119">
        <v>1382</v>
      </c>
      <c r="D189" s="119" t="s">
        <v>86</v>
      </c>
      <c r="E189" s="11">
        <v>2041</v>
      </c>
      <c r="F189" s="11">
        <v>50350</v>
      </c>
      <c r="G189" s="11">
        <v>16019</v>
      </c>
      <c r="H189" s="120">
        <f>_xlfn.XLOOKUP(Table1[[#This Row],[Shipment Number]], 'pivot '!A:A,'pivot '!G:G, "NF")</f>
        <v>1.5414410756017247</v>
      </c>
      <c r="I189" s="121">
        <f>Table1[[#This Row],[Tiyaar/gaz]]/1.0936</f>
        <v>14647.951719092905</v>
      </c>
      <c r="J189" s="121"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189" s="119"/>
    </row>
    <row r="190" spans="1:11" x14ac:dyDescent="0.3">
      <c r="A190" s="122">
        <v>46044</v>
      </c>
      <c r="B190" s="124" t="s">
        <v>21</v>
      </c>
      <c r="C190" s="119">
        <v>1383</v>
      </c>
      <c r="D190" s="119" t="s">
        <v>86</v>
      </c>
      <c r="E190" s="11">
        <v>2006</v>
      </c>
      <c r="F190" s="11">
        <v>24208</v>
      </c>
      <c r="G190" s="11">
        <v>980</v>
      </c>
      <c r="H190" s="120">
        <f>_xlfn.XLOOKUP(Table1[[#This Row],[Shipment Number]], 'pivot '!A:A,'pivot '!G:G, "NF")</f>
        <v>37.153122100537104</v>
      </c>
      <c r="I190" s="121">
        <f>Table1[[#This Row],[Tiyaar/gaz]]/1.0936</f>
        <v>896.12289685442579</v>
      </c>
      <c r="J190" s="121" cm="1">
        <f t="array" ref="J1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190" s="119"/>
    </row>
    <row r="191" spans="1:11" x14ac:dyDescent="0.3">
      <c r="A191" s="122">
        <v>46044</v>
      </c>
      <c r="B191" s="124" t="s">
        <v>21</v>
      </c>
      <c r="C191" s="119">
        <v>1384</v>
      </c>
      <c r="D191" s="119" t="s">
        <v>85</v>
      </c>
      <c r="E191" s="11" t="s">
        <v>563</v>
      </c>
      <c r="F191" s="11">
        <v>57352</v>
      </c>
      <c r="G191" s="11">
        <v>34000</v>
      </c>
      <c r="H191" s="120">
        <f>_xlfn.XLOOKUP(Table1[[#This Row],[Shipment Number]], 'pivot '!A:A,'pivot '!G:G, "NF")</f>
        <v>21.526013255275004</v>
      </c>
      <c r="I191" s="121">
        <f>Table1[[#This Row],[Tiyaar/gaz]]/1.0936</f>
        <v>31089.978054133142</v>
      </c>
      <c r="J191" s="121" cm="1">
        <f t="array" ref="J1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191" s="119"/>
    </row>
    <row r="192" spans="1:11" x14ac:dyDescent="0.3">
      <c r="A192" s="122">
        <v>46044</v>
      </c>
      <c r="B192" s="124"/>
      <c r="C192" s="119"/>
      <c r="D192" s="119"/>
      <c r="E192" s="11"/>
      <c r="F192" s="11"/>
      <c r="G192" s="11"/>
      <c r="H192" s="120" t="e">
        <f>_xlfn.XLOOKUP(Table1[[#This Row],[Shipment Number]], 'pivot '!A:A,'pivot '!G:G, "NF")</f>
        <v>#DIV/0!</v>
      </c>
      <c r="I192" s="134"/>
      <c r="J192" s="121"/>
      <c r="K192" s="119"/>
    </row>
    <row r="193" spans="1:11" x14ac:dyDescent="0.3">
      <c r="A193" s="122">
        <v>46044</v>
      </c>
      <c r="B193" s="124"/>
      <c r="C193" s="119"/>
      <c r="D193" s="119"/>
      <c r="E193" s="11"/>
      <c r="F193" s="11"/>
      <c r="G193" s="11"/>
      <c r="H193" s="120" t="e">
        <f>_xlfn.XLOOKUP(Table1[[#This Row],[Shipment Number]], 'pivot '!A:A,'pivot '!G:G, "NF")</f>
        <v>#DIV/0!</v>
      </c>
      <c r="I193" s="134"/>
      <c r="J193" s="121"/>
      <c r="K193" s="119"/>
    </row>
    <row r="194" spans="1:11" x14ac:dyDescent="0.3">
      <c r="A194" s="122">
        <v>46044</v>
      </c>
      <c r="B194" s="124"/>
      <c r="C194" s="119"/>
      <c r="D194" s="119"/>
      <c r="E194" s="11"/>
      <c r="F194" s="11"/>
      <c r="G194" s="11"/>
      <c r="H194" s="120" t="e">
        <f>_xlfn.XLOOKUP(Table1[[#This Row],[Shipment Number]], 'pivot '!A:A,'pivot '!G:G, "NF")</f>
        <v>#DIV/0!</v>
      </c>
      <c r="I194" s="134"/>
      <c r="J194" s="121"/>
      <c r="K194" s="119"/>
    </row>
    <row r="195" spans="1:11" x14ac:dyDescent="0.3">
      <c r="A195"/>
      <c r="B195"/>
      <c r="C195"/>
      <c r="D195"/>
      <c r="E195" s="14"/>
      <c r="F195" s="14"/>
      <c r="G195" s="14"/>
      <c r="H195" s="43"/>
      <c r="I195" s="94" cm="1">
        <f t="array" aca="1" ref="I195" ca="1">SUMPRODUCT( SUBTOTAL(109, OFFSET(Table1[tiyar/meters], ROW(Table1[tiyar/meters])-MIN(ROW(Table1[tiyar/meters])), 0, 1)), --(Table1[Bill Number]&lt;&gt;"November Closing CF") )</f>
        <v>1892979.0438917337</v>
      </c>
      <c r="J195" s="43" cm="1">
        <f t="array" aca="1" ref="J195" ca="1">SUMPRODUCT( SUBTOTAL(109, OFFSET(Table1[billing], ROW(Table1[billing])-MIN(ROW(Table1[billing])), 0, 1)), --(Table1[Bill Number]&lt;&gt;"November Closing CF") )</f>
        <v>20452644.316020489</v>
      </c>
      <c r="K195" s="14">
        <f>SUMIFS(Table1[billing], Table1[Bill Number], "&lt;&gt;November Closing CF")</f>
        <v>20452644.316020489</v>
      </c>
    </row>
  </sheetData>
  <phoneticPr fontId="7" alignment="center"/>
  <conditionalFormatting sqref="H2:H19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106" zoomScale="145" zoomScaleNormal="90" workbookViewId="0">
      <selection activeCell="A116" sqref="A116"/>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8695420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143260</v>
      </c>
      <c r="O71" s="14">
        <v>352000</v>
      </c>
      <c r="P71" s="14">
        <v>-208740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143260</v>
      </c>
      <c r="O72" s="14">
        <v>352000</v>
      </c>
      <c r="P72" s="14">
        <v>-208740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307840</v>
      </c>
      <c r="O73" s="14">
        <v>474045</v>
      </c>
      <c r="P73" s="14">
        <v>-166205</v>
      </c>
    </row>
    <row r="74" spans="1:16" x14ac:dyDescent="0.3">
      <c r="A74" s="1">
        <v>46022</v>
      </c>
      <c r="B74" t="s">
        <v>169</v>
      </c>
      <c r="D74" s="11">
        <v>135</v>
      </c>
      <c r="E74" s="11">
        <v>580</v>
      </c>
      <c r="F74" s="11"/>
      <c r="G74" s="11">
        <f t="shared" si="16"/>
        <v>78300</v>
      </c>
      <c r="H74" s="11"/>
      <c r="I74" s="11">
        <f>(D74*E74)-Table3[[#This Row],[Paid]]</f>
        <v>78300</v>
      </c>
      <c r="L74" s="42" t="s">
        <v>103</v>
      </c>
      <c r="M74" s="14">
        <v>138</v>
      </c>
      <c r="N74" s="14">
        <v>80040</v>
      </c>
      <c r="O74" s="14">
        <v>242045</v>
      </c>
      <c r="P74" s="14">
        <v>-162005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v>46037</v>
      </c>
      <c r="M82" s="14">
        <v>955</v>
      </c>
      <c r="N82" s="14">
        <v>800890</v>
      </c>
      <c r="O82" s="14">
        <v>365200</v>
      </c>
      <c r="P82" s="14">
        <v>435690</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c r="L83" s="42" t="s">
        <v>103</v>
      </c>
      <c r="M83" s="14">
        <v>433</v>
      </c>
      <c r="N83" s="14">
        <v>357190</v>
      </c>
      <c r="O83" s="14">
        <v>270000</v>
      </c>
      <c r="P83" s="14">
        <v>87190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c r="L84" s="42" t="s">
        <v>519</v>
      </c>
      <c r="M84" s="14">
        <v>522</v>
      </c>
      <c r="N84" s="14">
        <v>443700</v>
      </c>
      <c r="O84" s="14">
        <v>95200</v>
      </c>
      <c r="P84" s="14">
        <v>348500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c r="L85" s="26">
        <v>46038</v>
      </c>
      <c r="M85" s="14">
        <v>216</v>
      </c>
      <c r="N85" s="14">
        <v>177120</v>
      </c>
      <c r="O85" s="14">
        <v>275000</v>
      </c>
      <c r="P85" s="14">
        <v>-97880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c r="L86" s="42" t="s">
        <v>103</v>
      </c>
      <c r="M86" s="14">
        <v>216</v>
      </c>
      <c r="N86" s="14">
        <v>177120</v>
      </c>
      <c r="O86" s="14">
        <v>275000</v>
      </c>
      <c r="P86" s="14">
        <v>-97880</v>
      </c>
    </row>
    <row r="87" spans="1:16" x14ac:dyDescent="0.3">
      <c r="A87" s="1">
        <v>46030</v>
      </c>
      <c r="B87" t="s">
        <v>424</v>
      </c>
      <c r="D87" s="11"/>
      <c r="E87" s="11"/>
      <c r="F87" s="11"/>
      <c r="G87" s="11">
        <f t="shared" si="19"/>
        <v>0</v>
      </c>
      <c r="H87" s="11"/>
      <c r="I87" s="11">
        <f>(D87*E87)-Table3[[#This Row],[Paid]]</f>
        <v>0</v>
      </c>
      <c r="L87" s="26">
        <v>46040</v>
      </c>
      <c r="M87" s="14">
        <v>355</v>
      </c>
      <c r="N87" s="14">
        <v>257260</v>
      </c>
      <c r="O87" s="14">
        <v>100200</v>
      </c>
      <c r="P87" s="14">
        <v>157060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c r="L88" s="42" t="s">
        <v>103</v>
      </c>
      <c r="M88" s="14">
        <v>355</v>
      </c>
      <c r="N88" s="14">
        <v>257260</v>
      </c>
      <c r="O88" s="14">
        <v>100200</v>
      </c>
      <c r="P88" s="14">
        <v>157060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c r="L89" s="26">
        <v>46041</v>
      </c>
      <c r="M89" s="14">
        <v>220</v>
      </c>
      <c r="N89" s="14">
        <v>187000</v>
      </c>
      <c r="O89" s="14">
        <v>105999</v>
      </c>
      <c r="P89" s="14">
        <v>81001</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c r="L90" s="42" t="s">
        <v>103</v>
      </c>
      <c r="M90" s="14">
        <v>220</v>
      </c>
      <c r="N90" s="14">
        <v>187000</v>
      </c>
      <c r="O90" s="14">
        <v>105999</v>
      </c>
      <c r="P90" s="14">
        <v>81001</v>
      </c>
    </row>
    <row r="91" spans="1:16" x14ac:dyDescent="0.3">
      <c r="A91" s="1">
        <v>46031</v>
      </c>
      <c r="B91" t="s">
        <v>200</v>
      </c>
      <c r="D91" s="11">
        <v>205</v>
      </c>
      <c r="E91" s="11">
        <v>820</v>
      </c>
      <c r="F91" s="11"/>
      <c r="G91" s="11">
        <f t="shared" ref="G91:G98" si="20">D91*E91</f>
        <v>168100</v>
      </c>
      <c r="H91" s="11"/>
      <c r="I91" s="11">
        <f>(D91*E91)-Table3[[#This Row],[Paid]]</f>
        <v>168100</v>
      </c>
      <c r="L91" s="26" t="s">
        <v>28</v>
      </c>
      <c r="M91" s="14">
        <v>10981</v>
      </c>
      <c r="N91" s="14">
        <v>8695420</v>
      </c>
      <c r="O91" s="14">
        <v>7229390</v>
      </c>
      <c r="P91" s="14">
        <v>4787458</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f>SUMIFS(Table14[Debit], Table14[Date], Table3[[#This Row],[Date]], Table14[Party], Table3[[#This Row],[Party Name]])</f>
        <v>170000</v>
      </c>
      <c r="I108" s="11">
        <f>(D108*E108)-Table3[[#This Row],[Paid]]</f>
        <v>6790</v>
      </c>
    </row>
    <row r="109" spans="1:9" x14ac:dyDescent="0.3">
      <c r="A109" s="1">
        <v>46037</v>
      </c>
      <c r="B109" t="s">
        <v>424</v>
      </c>
      <c r="D109" s="11">
        <v>220</v>
      </c>
      <c r="E109" s="11">
        <v>820</v>
      </c>
      <c r="F109" s="11"/>
      <c r="G109" s="11">
        <f t="shared" si="22"/>
        <v>180400</v>
      </c>
      <c r="H109" s="11">
        <f>SUMIFS(Table14[Debit], Table14[Date], Table3[[#This Row],[Date]], Table14[Party], Table3[[#This Row],[Party Name]])</f>
        <v>100000</v>
      </c>
      <c r="I109" s="11">
        <f>(D109*E109)-Table3[[#This Row],[Paid]]</f>
        <v>80400</v>
      </c>
    </row>
    <row r="110" spans="1:9" x14ac:dyDescent="0.3">
      <c r="A110" s="1">
        <v>46038</v>
      </c>
      <c r="B110" t="s">
        <v>200</v>
      </c>
      <c r="D110" s="11"/>
      <c r="E110" s="11"/>
      <c r="F110" s="11"/>
      <c r="G110" s="11">
        <f t="shared" si="22"/>
        <v>0</v>
      </c>
      <c r="H110" s="11">
        <f>SUMIFS(Table14[Debit], Table14[Date], Table3[[#This Row],[Date]], Table14[Party], Table3[[#This Row],[Party Name]])</f>
        <v>100000</v>
      </c>
      <c r="I110" s="11">
        <f>(D110*E110)-Table3[[#This Row],[Paid]]</f>
        <v>-100000</v>
      </c>
    </row>
    <row r="111" spans="1:9" x14ac:dyDescent="0.3">
      <c r="A111" s="1">
        <v>46038</v>
      </c>
      <c r="B111" t="s">
        <v>169</v>
      </c>
      <c r="D111" s="11"/>
      <c r="E111" s="11"/>
      <c r="F111" s="11"/>
      <c r="G111" s="11">
        <f t="shared" ref="G111:G112" si="23">D111*E111</f>
        <v>0</v>
      </c>
      <c r="H111" s="11">
        <f>SUMIFS(Table14[Debit], Table14[Date], Table3[[#This Row],[Date]], Table14[Party], Table3[[#This Row],[Party Name]])</f>
        <v>125000</v>
      </c>
      <c r="I111" s="11">
        <f>(D111*E111)-Table3[[#This Row],[Paid]]</f>
        <v>-125000</v>
      </c>
    </row>
    <row r="112" spans="1:9" x14ac:dyDescent="0.3">
      <c r="A112" s="1">
        <v>46038</v>
      </c>
      <c r="B112" t="s">
        <v>424</v>
      </c>
      <c r="D112" s="11">
        <v>216</v>
      </c>
      <c r="E112" s="11">
        <v>820</v>
      </c>
      <c r="F112" s="11"/>
      <c r="G112" s="11">
        <f t="shared" si="23"/>
        <v>177120</v>
      </c>
      <c r="H112" s="11">
        <f>SUMIFS(Table14[Debit], Table14[Date], Table3[[#This Row],[Date]], Table14[Party], Table3[[#This Row],[Party Name]])</f>
        <v>50000</v>
      </c>
      <c r="I112" s="11">
        <f>(D112*E112)-Table3[[#This Row],[Paid]]</f>
        <v>127120</v>
      </c>
    </row>
    <row r="113" spans="1:9" x14ac:dyDescent="0.3">
      <c r="A113" s="1">
        <v>46040</v>
      </c>
      <c r="B113" t="s">
        <v>424</v>
      </c>
      <c r="D113" s="11">
        <v>214</v>
      </c>
      <c r="E113" s="11">
        <v>820</v>
      </c>
      <c r="F113" s="11"/>
      <c r="G113" s="11">
        <f>D113*E113</f>
        <v>175480</v>
      </c>
      <c r="H113" s="11">
        <f>SUMIFS(Table14[Debit], Table14[Date], Table3[[#This Row],[Date]], Table14[Party], Table3[[#This Row],[Party Name]])</f>
        <v>100200</v>
      </c>
      <c r="I113" s="11">
        <f>(D113*E113)-Table3[[#This Row],[Paid]]</f>
        <v>75280</v>
      </c>
    </row>
    <row r="114" spans="1:9" x14ac:dyDescent="0.3">
      <c r="A114" s="1">
        <v>46040</v>
      </c>
      <c r="B114" t="s">
        <v>169</v>
      </c>
      <c r="D114" s="11">
        <v>141</v>
      </c>
      <c r="E114" s="11">
        <v>580</v>
      </c>
      <c r="F114" s="11"/>
      <c r="G114" s="11">
        <f>D114*E114</f>
        <v>81780</v>
      </c>
      <c r="H114" s="11">
        <f>SUMIFS(Table14[Debit], Table14[Date], Table3[[#This Row],[Date]], Table14[Party], Table3[[#This Row],[Party Name]])</f>
        <v>0</v>
      </c>
      <c r="I114" s="11">
        <f>(D114*E114)-Table3[[#This Row],[Paid]]</f>
        <v>81780</v>
      </c>
    </row>
    <row r="115" spans="1:9" x14ac:dyDescent="0.3">
      <c r="A115" s="1">
        <v>46041</v>
      </c>
      <c r="B115" t="s">
        <v>200</v>
      </c>
      <c r="D115" s="11">
        <v>220</v>
      </c>
      <c r="E115" s="11">
        <v>850</v>
      </c>
      <c r="F115" s="11">
        <v>66300</v>
      </c>
      <c r="G115" s="11">
        <f>D115*E115</f>
        <v>187000</v>
      </c>
      <c r="H115" s="11">
        <f>SUMIFS(Table14[Debit], Table14[Date], Table3[[#This Row],[Date]], Table14[Party], Table3[[#This Row],[Party Name]])</f>
        <v>105999</v>
      </c>
      <c r="I115" s="11">
        <f>(D115*E115)-Table3[[#This Row],[Paid]]</f>
        <v>81001</v>
      </c>
    </row>
    <row r="116" spans="1:9" x14ac:dyDescent="0.3">
      <c r="A116" s="1"/>
      <c r="D116" s="11"/>
      <c r="E116" s="11"/>
      <c r="F116" s="11"/>
      <c r="G116" s="11">
        <f t="shared" ref="G116:G121" si="24">D116*E116</f>
        <v>0</v>
      </c>
      <c r="H116" s="11"/>
      <c r="I116" s="11">
        <f>(D116*E116)-Table3[[#This Row],[Paid]]</f>
        <v>0</v>
      </c>
    </row>
    <row r="117" spans="1:9" x14ac:dyDescent="0.3">
      <c r="A117" s="1"/>
      <c r="D117" s="11"/>
      <c r="E117" s="11"/>
      <c r="F117" s="11"/>
      <c r="G117" s="11">
        <f t="shared" si="24"/>
        <v>0</v>
      </c>
      <c r="H117" s="11"/>
      <c r="I117" s="11">
        <f>(D117*E117)-Table3[[#This Row],[Paid]]</f>
        <v>0</v>
      </c>
    </row>
    <row r="118" spans="1:9" x14ac:dyDescent="0.3">
      <c r="A118" s="1"/>
      <c r="D118" s="11"/>
      <c r="E118" s="11"/>
      <c r="F118" s="11"/>
      <c r="G118" s="11">
        <f t="shared" si="24"/>
        <v>0</v>
      </c>
      <c r="H118" s="11"/>
      <c r="I118" s="11">
        <f>(D118*E118)-Table3[[#This Row],[Paid]]</f>
        <v>0</v>
      </c>
    </row>
    <row r="119" spans="1:9" x14ac:dyDescent="0.3">
      <c r="A119" s="1"/>
      <c r="D119" s="11"/>
      <c r="E119" s="11"/>
      <c r="F119" s="11"/>
      <c r="G119" s="11">
        <f t="shared" si="24"/>
        <v>0</v>
      </c>
      <c r="H119" s="11"/>
      <c r="I119" s="11">
        <f>(D119*E119)-Table3[[#This Row],[Paid]]</f>
        <v>0</v>
      </c>
    </row>
    <row r="120" spans="1:9" x14ac:dyDescent="0.3">
      <c r="A120" s="1"/>
      <c r="D120" s="11"/>
      <c r="E120" s="11"/>
      <c r="F120" s="11"/>
      <c r="G120" s="11">
        <f t="shared" si="24"/>
        <v>0</v>
      </c>
      <c r="H120" s="11"/>
      <c r="I120" s="11">
        <f>(D120*E120)-Table3[[#This Row],[Paid]]</f>
        <v>0</v>
      </c>
    </row>
    <row r="121" spans="1:9" x14ac:dyDescent="0.3">
      <c r="A121" s="1"/>
      <c r="D121" s="11"/>
      <c r="E121" s="11"/>
      <c r="F121" s="11"/>
      <c r="G121" s="11">
        <f t="shared" si="24"/>
        <v>0</v>
      </c>
      <c r="H121" s="11"/>
      <c r="I121" s="11">
        <f>(D121*E121)-Table3[[#This Row],[Paid]]</f>
        <v>0</v>
      </c>
    </row>
    <row r="122" spans="1:9" x14ac:dyDescent="0.3">
      <c r="A122" s="1"/>
      <c r="D122" s="14"/>
      <c r="E122" s="14"/>
      <c r="F122" s="14"/>
      <c r="G122" s="14">
        <f>SUBTOTAL(109,Table3[Total])</f>
        <v>8695420</v>
      </c>
      <c r="H122" s="14">
        <f>SUBTOTAL(109,Table3[Paid])</f>
        <v>7229390</v>
      </c>
      <c r="I122" s="14">
        <f>SUBTOTAL(109,Table3[balance])</f>
        <v>4787458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99"/>
  <sheetViews>
    <sheetView topLeftCell="A575" zoomScale="158" workbookViewId="0">
      <selection activeCell="B582" sqref="B58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7377462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33217898</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33272089</v>
      </c>
      <c r="M5" s="45" t="s">
        <v>108</v>
      </c>
      <c r="N5" s="46">
        <f>(SUMIFS(Table14[Credit],Table14[Mode],"Bank")-SUMIFS(Table14[Debit],Table14[Mode],"Bank")-SUMIFS(Table14[Withdrawal],Table14[Mode],"Transfer"))</f>
        <v>715107</v>
      </c>
      <c r="O5">
        <v>360000</v>
      </c>
    </row>
    <row r="6" spans="1:16" x14ac:dyDescent="0.3">
      <c r="A6" s="38">
        <v>46009</v>
      </c>
      <c r="B6" t="s">
        <v>177</v>
      </c>
      <c r="C6" s="96">
        <v>3600</v>
      </c>
      <c r="D6" s="96"/>
      <c r="E6" t="s">
        <v>218</v>
      </c>
      <c r="F6" s="111" t="s">
        <v>108</v>
      </c>
      <c r="J6" s="52" t="s">
        <v>43</v>
      </c>
      <c r="K6" s="53">
        <f>(K5-K4)</f>
        <v>54191</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104191</v>
      </c>
      <c r="O7" s="90">
        <f>SUM(O5,O6)</f>
        <v>410000</v>
      </c>
      <c r="P7" s="14">
        <f>Table18[[#Totals],[amount]]-Table18[[#Totals],[Actual]]</f>
        <v>-305809</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566800</v>
      </c>
    </row>
    <row r="165" spans="1:12" x14ac:dyDescent="0.3">
      <c r="A165" s="38">
        <v>46018</v>
      </c>
      <c r="B165" t="s">
        <v>54</v>
      </c>
      <c r="C165" s="11">
        <v>2500</v>
      </c>
      <c r="D165" s="11"/>
      <c r="E165" t="s">
        <v>236</v>
      </c>
      <c r="F165" s="111" t="s">
        <v>108</v>
      </c>
      <c r="J165" s="4" t="s">
        <v>9</v>
      </c>
      <c r="K165" s="14">
        <v>1832566</v>
      </c>
      <c r="L165" s="14"/>
    </row>
    <row r="166" spans="1:12" x14ac:dyDescent="0.3">
      <c r="A166" s="38">
        <v>46018</v>
      </c>
      <c r="B166" t="s">
        <v>55</v>
      </c>
      <c r="C166" s="11">
        <v>1000</v>
      </c>
      <c r="D166" s="11"/>
      <c r="F166" s="111" t="s">
        <v>108</v>
      </c>
      <c r="J166" s="4" t="s">
        <v>461</v>
      </c>
      <c r="K166" s="14"/>
      <c r="L166" s="14">
        <v>165450</v>
      </c>
    </row>
    <row r="167" spans="1:12" x14ac:dyDescent="0.3">
      <c r="A167" s="38">
        <v>46018</v>
      </c>
      <c r="B167" t="s">
        <v>50</v>
      </c>
      <c r="C167" s="11">
        <v>1000</v>
      </c>
      <c r="D167" s="11"/>
      <c r="E167" t="s">
        <v>217</v>
      </c>
      <c r="F167" s="111" t="s">
        <v>108</v>
      </c>
      <c r="J167" s="4" t="s">
        <v>94</v>
      </c>
      <c r="K167" s="14"/>
      <c r="L167" s="14">
        <v>1415115</v>
      </c>
    </row>
    <row r="168" spans="1:12" x14ac:dyDescent="0.3">
      <c r="A168" s="38">
        <v>46019</v>
      </c>
      <c r="B168" t="s">
        <v>55</v>
      </c>
      <c r="C168" s="96">
        <v>2630</v>
      </c>
      <c r="D168" s="96"/>
      <c r="E168" t="s">
        <v>328</v>
      </c>
      <c r="F168" s="111" t="s">
        <v>108</v>
      </c>
      <c r="J168" s="4" t="s">
        <v>50</v>
      </c>
      <c r="K168" s="14"/>
      <c r="L168" s="14">
        <v>45181</v>
      </c>
    </row>
    <row r="169" spans="1:12" x14ac:dyDescent="0.3">
      <c r="A169" s="116">
        <v>46019</v>
      </c>
      <c r="B169" t="s">
        <v>55</v>
      </c>
      <c r="C169" s="11">
        <v>21000</v>
      </c>
      <c r="D169" s="11"/>
      <c r="E169" t="s">
        <v>329</v>
      </c>
      <c r="F169" s="111" t="s">
        <v>108</v>
      </c>
      <c r="J169" s="4" t="s">
        <v>55</v>
      </c>
      <c r="K169" s="14"/>
      <c r="L169" s="14">
        <v>695883</v>
      </c>
    </row>
    <row r="170" spans="1:12" x14ac:dyDescent="0.3">
      <c r="A170" s="38">
        <v>46019</v>
      </c>
      <c r="B170" t="s">
        <v>54</v>
      </c>
      <c r="C170" s="11">
        <v>1000</v>
      </c>
      <c r="D170" s="11"/>
      <c r="E170" t="s">
        <v>236</v>
      </c>
      <c r="F170" s="111" t="s">
        <v>108</v>
      </c>
      <c r="J170" s="4" t="s">
        <v>113</v>
      </c>
      <c r="K170" s="14"/>
      <c r="L170" s="14">
        <v>157680</v>
      </c>
    </row>
    <row r="171" spans="1:12" x14ac:dyDescent="0.3">
      <c r="A171" s="116">
        <v>46020</v>
      </c>
      <c r="B171" t="s">
        <v>198</v>
      </c>
      <c r="C171" s="11">
        <v>61000</v>
      </c>
      <c r="D171" s="11"/>
      <c r="E171" t="s">
        <v>18</v>
      </c>
      <c r="F171" s="111" t="s">
        <v>108</v>
      </c>
      <c r="J171" s="4" t="s">
        <v>52</v>
      </c>
      <c r="K171" s="14"/>
      <c r="L171" s="14">
        <v>1288130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174591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753160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404311</v>
      </c>
      <c r="L177" s="14">
        <v>127623</v>
      </c>
    </row>
    <row r="178" spans="1:12" x14ac:dyDescent="0.3">
      <c r="A178" s="38">
        <v>46020</v>
      </c>
      <c r="B178" t="s">
        <v>233</v>
      </c>
      <c r="C178" s="11">
        <v>15000</v>
      </c>
      <c r="D178" s="11"/>
      <c r="E178" t="s">
        <v>238</v>
      </c>
      <c r="F178" s="111" t="s">
        <v>108</v>
      </c>
      <c r="J178" s="4" t="s">
        <v>326</v>
      </c>
      <c r="K178" s="14">
        <v>1231415</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528</v>
      </c>
      <c r="K183" s="14">
        <v>850000</v>
      </c>
      <c r="L183" s="14"/>
    </row>
    <row r="184" spans="1:12" x14ac:dyDescent="0.3">
      <c r="A184" s="38">
        <v>46020</v>
      </c>
      <c r="B184" t="s">
        <v>192</v>
      </c>
      <c r="C184" s="11">
        <v>100000</v>
      </c>
      <c r="D184" s="11"/>
      <c r="E184" t="s">
        <v>335</v>
      </c>
      <c r="F184" s="111" t="s">
        <v>108</v>
      </c>
      <c r="J184" s="4" t="s">
        <v>26</v>
      </c>
      <c r="K184" s="14">
        <v>300000</v>
      </c>
      <c r="L184" s="14"/>
    </row>
    <row r="185" spans="1:12" x14ac:dyDescent="0.3">
      <c r="A185" s="116">
        <v>46021</v>
      </c>
      <c r="B185" t="s">
        <v>224</v>
      </c>
      <c r="C185" s="11"/>
      <c r="D185" s="11">
        <v>68900</v>
      </c>
      <c r="E185" t="s">
        <v>352</v>
      </c>
      <c r="F185" s="111" t="s">
        <v>108</v>
      </c>
      <c r="J185" s="4" t="s">
        <v>149</v>
      </c>
      <c r="K185" s="14"/>
      <c r="L185" s="14">
        <v>80000</v>
      </c>
    </row>
    <row r="186" spans="1:12" x14ac:dyDescent="0.3">
      <c r="A186" s="38">
        <v>46021</v>
      </c>
      <c r="B186" t="s">
        <v>192</v>
      </c>
      <c r="C186" s="96"/>
      <c r="D186" s="96">
        <v>194000</v>
      </c>
      <c r="F186" s="111" t="s">
        <v>108</v>
      </c>
      <c r="J186" s="4" t="s">
        <v>64</v>
      </c>
      <c r="K186" s="14"/>
      <c r="L186" s="14">
        <v>371625</v>
      </c>
    </row>
    <row r="187" spans="1:12" x14ac:dyDescent="0.3">
      <c r="A187" s="116">
        <v>46021</v>
      </c>
      <c r="B187" t="s">
        <v>199</v>
      </c>
      <c r="C187" s="11"/>
      <c r="D187" s="11">
        <v>100000</v>
      </c>
      <c r="E187" t="s">
        <v>338</v>
      </c>
      <c r="F187" s="111" t="s">
        <v>108</v>
      </c>
      <c r="J187" s="4" t="s">
        <v>152</v>
      </c>
      <c r="K187" s="14">
        <v>1007920</v>
      </c>
      <c r="L187" s="14"/>
    </row>
    <row r="188" spans="1:12" x14ac:dyDescent="0.3">
      <c r="A188" s="38">
        <v>46021</v>
      </c>
      <c r="B188" t="s">
        <v>199</v>
      </c>
      <c r="C188" s="96"/>
      <c r="D188" s="96">
        <v>100000</v>
      </c>
      <c r="E188" t="s">
        <v>225</v>
      </c>
      <c r="F188" s="111" t="s">
        <v>108</v>
      </c>
      <c r="J188" s="4" t="s">
        <v>166</v>
      </c>
      <c r="K188" s="14">
        <v>1620000</v>
      </c>
      <c r="L188" s="14"/>
    </row>
    <row r="189" spans="1:12" x14ac:dyDescent="0.3">
      <c r="A189" s="116">
        <v>46021</v>
      </c>
      <c r="B189" t="s">
        <v>339</v>
      </c>
      <c r="C189" s="11"/>
      <c r="D189" s="11">
        <v>84970</v>
      </c>
      <c r="F189" s="111" t="s">
        <v>108</v>
      </c>
      <c r="J189" s="4" t="s">
        <v>169</v>
      </c>
      <c r="K189" s="14"/>
      <c r="L189" s="14">
        <v>2095595</v>
      </c>
    </row>
    <row r="190" spans="1:12" x14ac:dyDescent="0.3">
      <c r="A190" s="38">
        <v>46021</v>
      </c>
      <c r="B190" t="s">
        <v>222</v>
      </c>
      <c r="C190" s="11">
        <f>883+150+150</f>
        <v>1183</v>
      </c>
      <c r="D190" s="11"/>
      <c r="F190" s="111" t="s">
        <v>108</v>
      </c>
      <c r="J190" s="4" t="s">
        <v>192</v>
      </c>
      <c r="K190" s="14">
        <v>12018793</v>
      </c>
      <c r="L190" s="14">
        <v>14840982</v>
      </c>
    </row>
    <row r="191" spans="1:12" x14ac:dyDescent="0.3">
      <c r="A191" s="116">
        <v>46021</v>
      </c>
      <c r="B191" t="s">
        <v>229</v>
      </c>
      <c r="C191" s="11">
        <v>200401</v>
      </c>
      <c r="D191" s="11"/>
      <c r="E191" t="s">
        <v>340</v>
      </c>
      <c r="F191" s="111" t="s">
        <v>108</v>
      </c>
      <c r="J191" s="4" t="s">
        <v>198</v>
      </c>
      <c r="K191" s="14"/>
      <c r="L191" s="14">
        <v>1131300</v>
      </c>
    </row>
    <row r="192" spans="1:12" x14ac:dyDescent="0.3">
      <c r="A192" s="38">
        <v>46021</v>
      </c>
      <c r="B192" t="s">
        <v>341</v>
      </c>
      <c r="C192" s="11"/>
      <c r="D192" s="11">
        <v>239960</v>
      </c>
      <c r="F192" s="111" t="s">
        <v>108</v>
      </c>
      <c r="J192" s="4" t="s">
        <v>179</v>
      </c>
      <c r="K192" s="14">
        <v>409310</v>
      </c>
      <c r="L192" s="14"/>
    </row>
    <row r="193" spans="1:12" x14ac:dyDescent="0.3">
      <c r="A193" s="116">
        <v>46021</v>
      </c>
      <c r="B193" t="s">
        <v>169</v>
      </c>
      <c r="C193" s="11">
        <v>250000</v>
      </c>
      <c r="D193" s="11"/>
      <c r="F193" s="111" t="s">
        <v>108</v>
      </c>
      <c r="J193" s="4" t="s">
        <v>51</v>
      </c>
      <c r="K193" s="14"/>
      <c r="L193" s="14">
        <v>4232983</v>
      </c>
    </row>
    <row r="194" spans="1:12" x14ac:dyDescent="0.3">
      <c r="A194" s="38">
        <v>46021</v>
      </c>
      <c r="B194" t="s">
        <v>326</v>
      </c>
      <c r="C194" s="11"/>
      <c r="D194" s="11">
        <v>60000</v>
      </c>
      <c r="E194" t="s">
        <v>342</v>
      </c>
      <c r="F194" s="111" t="s">
        <v>108</v>
      </c>
      <c r="J194" s="4" t="s">
        <v>466</v>
      </c>
      <c r="K194" s="14"/>
      <c r="L194" s="14">
        <v>351000</v>
      </c>
    </row>
    <row r="195" spans="1:12" x14ac:dyDescent="0.3">
      <c r="A195" s="116">
        <v>46021</v>
      </c>
      <c r="B195" t="s">
        <v>192</v>
      </c>
      <c r="C195" s="11">
        <v>60000</v>
      </c>
      <c r="D195" s="11"/>
      <c r="E195" t="s">
        <v>343</v>
      </c>
      <c r="F195" s="111" t="s">
        <v>108</v>
      </c>
      <c r="J195" s="4" t="s">
        <v>219</v>
      </c>
      <c r="K195" s="14"/>
      <c r="L195" s="14">
        <v>28400</v>
      </c>
    </row>
    <row r="196" spans="1:12" x14ac:dyDescent="0.3">
      <c r="A196" s="38">
        <v>46021</v>
      </c>
      <c r="B196" t="s">
        <v>256</v>
      </c>
      <c r="C196" s="11">
        <v>11850</v>
      </c>
      <c r="D196" s="11"/>
      <c r="E196" t="s">
        <v>294</v>
      </c>
      <c r="F196" s="111" t="s">
        <v>108</v>
      </c>
      <c r="J196" s="4" t="s">
        <v>199</v>
      </c>
      <c r="K196" s="14">
        <v>1293570</v>
      </c>
      <c r="L196" s="14"/>
    </row>
    <row r="197" spans="1:12" x14ac:dyDescent="0.3">
      <c r="A197" s="116">
        <v>46021</v>
      </c>
      <c r="B197" t="s">
        <v>202</v>
      </c>
      <c r="C197" s="11">
        <v>27000</v>
      </c>
      <c r="D197" s="11"/>
      <c r="E197" t="s">
        <v>230</v>
      </c>
      <c r="F197" s="111" t="s">
        <v>108</v>
      </c>
      <c r="J197" s="4" t="s">
        <v>229</v>
      </c>
      <c r="K197" s="14"/>
      <c r="L197" s="14">
        <v>3270266</v>
      </c>
    </row>
    <row r="198" spans="1:12" x14ac:dyDescent="0.3">
      <c r="A198" s="38">
        <v>46021</v>
      </c>
      <c r="B198" t="s">
        <v>233</v>
      </c>
      <c r="C198" s="11">
        <v>1300</v>
      </c>
      <c r="D198" s="11"/>
      <c r="E198" t="s">
        <v>344</v>
      </c>
      <c r="F198" s="111" t="s">
        <v>108</v>
      </c>
      <c r="J198" s="4" t="s">
        <v>202</v>
      </c>
      <c r="K198" s="14"/>
      <c r="L198" s="14">
        <v>232000</v>
      </c>
    </row>
    <row r="199" spans="1:12" x14ac:dyDescent="0.3">
      <c r="A199" s="116">
        <v>46021</v>
      </c>
      <c r="B199" t="s">
        <v>233</v>
      </c>
      <c r="C199" s="11">
        <v>60000</v>
      </c>
      <c r="D199" s="11"/>
      <c r="E199" t="s">
        <v>290</v>
      </c>
      <c r="F199" s="111" t="s">
        <v>108</v>
      </c>
      <c r="J199" s="4" t="s">
        <v>216</v>
      </c>
      <c r="K199" s="14">
        <v>6766546</v>
      </c>
      <c r="L199" s="14"/>
    </row>
    <row r="200" spans="1:12" x14ac:dyDescent="0.3">
      <c r="A200" s="38">
        <v>46021</v>
      </c>
      <c r="B200" t="s">
        <v>94</v>
      </c>
      <c r="C200" s="11">
        <v>1000</v>
      </c>
      <c r="D200" s="11"/>
      <c r="E200" t="s">
        <v>345</v>
      </c>
      <c r="F200" s="111" t="s">
        <v>108</v>
      </c>
      <c r="J200" s="4" t="s">
        <v>256</v>
      </c>
      <c r="K200" s="14"/>
      <c r="L200" s="14">
        <v>66850</v>
      </c>
    </row>
    <row r="201" spans="1:12" x14ac:dyDescent="0.3">
      <c r="A201" s="116">
        <v>46021</v>
      </c>
      <c r="B201" t="s">
        <v>229</v>
      </c>
      <c r="C201" s="11">
        <v>5000</v>
      </c>
      <c r="D201" s="11"/>
      <c r="E201" t="s">
        <v>345</v>
      </c>
      <c r="F201" s="111" t="s">
        <v>108</v>
      </c>
      <c r="J201" s="4" t="s">
        <v>286</v>
      </c>
      <c r="K201" s="14">
        <v>2446025</v>
      </c>
      <c r="L201" s="14"/>
    </row>
    <row r="202" spans="1:12" x14ac:dyDescent="0.3">
      <c r="A202" s="38">
        <v>46021</v>
      </c>
      <c r="B202" t="s">
        <v>50</v>
      </c>
      <c r="C202" s="11">
        <v>1000</v>
      </c>
      <c r="D202" s="11"/>
      <c r="E202" t="s">
        <v>345</v>
      </c>
      <c r="F202" s="111" t="s">
        <v>108</v>
      </c>
      <c r="J202" s="4" t="s">
        <v>302</v>
      </c>
      <c r="K202" s="14"/>
      <c r="L202" s="14">
        <v>162500</v>
      </c>
    </row>
    <row r="203" spans="1:12" x14ac:dyDescent="0.3">
      <c r="A203" s="116">
        <v>46021</v>
      </c>
      <c r="B203" t="s">
        <v>177</v>
      </c>
      <c r="C203" s="11">
        <v>3600</v>
      </c>
      <c r="D203" s="11"/>
      <c r="E203" t="s">
        <v>218</v>
      </c>
      <c r="F203" s="111" t="s">
        <v>108</v>
      </c>
      <c r="J203" s="4" t="s">
        <v>410</v>
      </c>
      <c r="K203" s="14"/>
      <c r="L203" s="14">
        <v>695284</v>
      </c>
    </row>
    <row r="204" spans="1:12" x14ac:dyDescent="0.3">
      <c r="A204" s="38">
        <v>46021</v>
      </c>
      <c r="B204" t="s">
        <v>192</v>
      </c>
      <c r="C204" s="11">
        <v>200000</v>
      </c>
      <c r="D204" s="11"/>
      <c r="E204" t="s">
        <v>346</v>
      </c>
      <c r="F204" s="111" t="s">
        <v>108</v>
      </c>
      <c r="J204" s="4" t="s">
        <v>437</v>
      </c>
      <c r="K204" s="14">
        <v>485800</v>
      </c>
      <c r="L204" s="14"/>
    </row>
    <row r="205" spans="1:12" x14ac:dyDescent="0.3">
      <c r="A205" s="116">
        <v>46021</v>
      </c>
      <c r="B205" t="s">
        <v>55</v>
      </c>
      <c r="C205" s="11">
        <v>1000</v>
      </c>
      <c r="D205" s="11"/>
      <c r="E205" t="s">
        <v>347</v>
      </c>
      <c r="F205" s="111" t="s">
        <v>108</v>
      </c>
      <c r="J205" s="4" t="s">
        <v>28</v>
      </c>
      <c r="K205" s="14">
        <v>33272089</v>
      </c>
      <c r="L205" s="14">
        <v>33217898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38">
        <v>46037</v>
      </c>
      <c r="B469" t="s">
        <v>177</v>
      </c>
      <c r="C469" s="96">
        <v>6300</v>
      </c>
      <c r="D469" s="96"/>
      <c r="E469" t="s">
        <v>516</v>
      </c>
      <c r="F469" s="111" t="s">
        <v>108</v>
      </c>
      <c r="L469">
        <v>12550</v>
      </c>
      <c r="N469" s="19">
        <v>19782</v>
      </c>
    </row>
    <row r="470" spans="1:14" x14ac:dyDescent="0.3">
      <c r="A470" s="38">
        <v>46037</v>
      </c>
      <c r="B470" t="s">
        <v>229</v>
      </c>
      <c r="C470" s="96">
        <v>30000</v>
      </c>
      <c r="D470" s="96"/>
      <c r="E470" t="s">
        <v>517</v>
      </c>
      <c r="F470" s="111" t="s">
        <v>108</v>
      </c>
      <c r="L470">
        <v>14800</v>
      </c>
      <c r="N470" s="19">
        <v>23000</v>
      </c>
    </row>
    <row r="471" spans="1:14" x14ac:dyDescent="0.3">
      <c r="A471" s="38">
        <v>46037</v>
      </c>
      <c r="B471" t="s">
        <v>222</v>
      </c>
      <c r="C471" s="96">
        <v>710</v>
      </c>
      <c r="D471" s="96"/>
      <c r="F471" s="111" t="s">
        <v>108</v>
      </c>
      <c r="L471">
        <v>14350</v>
      </c>
      <c r="N471" s="19">
        <v>15700</v>
      </c>
    </row>
    <row r="472" spans="1:14" x14ac:dyDescent="0.3">
      <c r="A472" s="38">
        <v>46037</v>
      </c>
      <c r="B472" t="s">
        <v>177</v>
      </c>
      <c r="C472" s="96">
        <v>250</v>
      </c>
      <c r="D472" s="96"/>
      <c r="E472" t="s">
        <v>518</v>
      </c>
      <c r="F472" s="111" t="s">
        <v>108</v>
      </c>
      <c r="L472">
        <v>40000</v>
      </c>
      <c r="N472" s="19">
        <v>14800</v>
      </c>
    </row>
    <row r="473" spans="1:14" x14ac:dyDescent="0.3">
      <c r="A473" s="38">
        <v>46038</v>
      </c>
      <c r="B473" t="s">
        <v>233</v>
      </c>
      <c r="C473" s="96">
        <v>20000</v>
      </c>
      <c r="D473" s="96"/>
      <c r="E473" t="s">
        <v>421</v>
      </c>
      <c r="F473" s="111" t="s">
        <v>108</v>
      </c>
      <c r="L473">
        <v>17400</v>
      </c>
      <c r="N473" s="19">
        <v>12550</v>
      </c>
    </row>
    <row r="474" spans="1:14" x14ac:dyDescent="0.3">
      <c r="A474" s="38">
        <v>46038</v>
      </c>
      <c r="B474" t="s">
        <v>192</v>
      </c>
      <c r="C474" s="96"/>
      <c r="D474" s="96">
        <v>20000</v>
      </c>
      <c r="E474" t="s">
        <v>421</v>
      </c>
      <c r="F474" s="111" t="s">
        <v>108</v>
      </c>
      <c r="L474">
        <v>19500</v>
      </c>
      <c r="N474" s="19">
        <v>31150</v>
      </c>
    </row>
    <row r="475" spans="1:14" x14ac:dyDescent="0.3">
      <c r="A475" s="38">
        <v>46038</v>
      </c>
      <c r="B475" t="s">
        <v>55</v>
      </c>
      <c r="C475" s="96">
        <v>15513</v>
      </c>
      <c r="D475" s="96"/>
      <c r="E475" t="s">
        <v>453</v>
      </c>
      <c r="F475" s="111" t="s">
        <v>108</v>
      </c>
      <c r="L475">
        <v>3000</v>
      </c>
      <c r="N475" s="19">
        <v>27500</v>
      </c>
    </row>
    <row r="476" spans="1:14" x14ac:dyDescent="0.3">
      <c r="A476" s="38">
        <v>46038</v>
      </c>
      <c r="B476" t="s">
        <v>192</v>
      </c>
      <c r="C476" s="11"/>
      <c r="D476" s="11">
        <v>15513</v>
      </c>
      <c r="E476" t="s">
        <v>453</v>
      </c>
      <c r="F476" s="111" t="s">
        <v>108</v>
      </c>
      <c r="L476">
        <v>1000</v>
      </c>
      <c r="N476" s="19">
        <v>20000</v>
      </c>
    </row>
    <row r="477" spans="1:14" x14ac:dyDescent="0.3">
      <c r="A477" s="38">
        <v>46038</v>
      </c>
      <c r="B477" t="s">
        <v>55</v>
      </c>
      <c r="C477" s="11">
        <v>1000</v>
      </c>
      <c r="D477" s="11"/>
      <c r="E477" t="s">
        <v>508</v>
      </c>
      <c r="F477" s="111" t="s">
        <v>108</v>
      </c>
      <c r="L477">
        <v>9000</v>
      </c>
      <c r="N477" s="19">
        <v>52000</v>
      </c>
    </row>
    <row r="478" spans="1:14" x14ac:dyDescent="0.3">
      <c r="A478" s="38">
        <v>46038</v>
      </c>
      <c r="B478" t="s">
        <v>50</v>
      </c>
      <c r="C478" s="11">
        <v>900</v>
      </c>
      <c r="D478" s="11"/>
      <c r="E478" t="s">
        <v>520</v>
      </c>
      <c r="F478" s="111" t="s">
        <v>108</v>
      </c>
      <c r="L478">
        <v>21000</v>
      </c>
      <c r="N478" s="19">
        <v>49200</v>
      </c>
    </row>
    <row r="479" spans="1:14" x14ac:dyDescent="0.3">
      <c r="A479" s="38">
        <v>46038</v>
      </c>
      <c r="B479" t="s">
        <v>192</v>
      </c>
      <c r="C479" s="11"/>
      <c r="D479" s="11">
        <v>50000</v>
      </c>
      <c r="E479" t="s">
        <v>521</v>
      </c>
      <c r="F479" s="111" t="s">
        <v>108</v>
      </c>
      <c r="L479">
        <v>20300</v>
      </c>
      <c r="N479" s="19">
        <v>37600</v>
      </c>
    </row>
    <row r="480" spans="1:14" x14ac:dyDescent="0.3">
      <c r="A480" s="38">
        <v>46038</v>
      </c>
      <c r="B480" t="s">
        <v>55</v>
      </c>
      <c r="C480" s="11">
        <v>15513</v>
      </c>
      <c r="D480" s="11"/>
      <c r="E480" t="s">
        <v>453</v>
      </c>
      <c r="F480" s="111" t="s">
        <v>108</v>
      </c>
      <c r="L480">
        <v>27500</v>
      </c>
      <c r="N480" s="19">
        <v>48600</v>
      </c>
    </row>
    <row r="481" spans="1:14" x14ac:dyDescent="0.3">
      <c r="A481" s="38">
        <v>46038</v>
      </c>
      <c r="B481" t="s">
        <v>55</v>
      </c>
      <c r="C481" s="11">
        <v>1030</v>
      </c>
      <c r="D481" s="11"/>
      <c r="E481" t="s">
        <v>522</v>
      </c>
      <c r="F481" s="111" t="s">
        <v>108</v>
      </c>
      <c r="L481">
        <v>20000</v>
      </c>
      <c r="N481" s="19">
        <v>42800</v>
      </c>
    </row>
    <row r="482" spans="1:14" x14ac:dyDescent="0.3">
      <c r="A482" s="38">
        <v>46038</v>
      </c>
      <c r="B482" t="s">
        <v>54</v>
      </c>
      <c r="C482" s="11">
        <v>5000</v>
      </c>
      <c r="D482" s="11"/>
      <c r="E482" t="s">
        <v>523</v>
      </c>
      <c r="F482" s="111" t="s">
        <v>108</v>
      </c>
      <c r="L482">
        <v>20600</v>
      </c>
    </row>
    <row r="483" spans="1:14" x14ac:dyDescent="0.3">
      <c r="A483" s="38">
        <v>46038</v>
      </c>
      <c r="B483" t="s">
        <v>54</v>
      </c>
      <c r="C483" s="11">
        <v>5000</v>
      </c>
      <c r="D483" s="11"/>
      <c r="E483" t="s">
        <v>449</v>
      </c>
      <c r="F483" s="111" t="s">
        <v>108</v>
      </c>
      <c r="L483">
        <v>3400</v>
      </c>
    </row>
    <row r="484" spans="1:14" x14ac:dyDescent="0.3">
      <c r="A484" s="38">
        <v>46038</v>
      </c>
      <c r="B484" t="s">
        <v>55</v>
      </c>
      <c r="C484" s="11">
        <v>1000</v>
      </c>
      <c r="D484" s="11"/>
      <c r="E484" t="s">
        <v>524</v>
      </c>
      <c r="F484" s="111" t="s">
        <v>108</v>
      </c>
    </row>
    <row r="485" spans="1:14" x14ac:dyDescent="0.3">
      <c r="A485" s="38">
        <v>46038</v>
      </c>
      <c r="B485" t="s">
        <v>55</v>
      </c>
      <c r="C485" s="11">
        <v>1100</v>
      </c>
      <c r="D485" s="11"/>
      <c r="E485" t="s">
        <v>500</v>
      </c>
      <c r="F485" s="111" t="s">
        <v>108</v>
      </c>
    </row>
    <row r="486" spans="1:14" x14ac:dyDescent="0.3">
      <c r="A486" s="38">
        <v>46038</v>
      </c>
      <c r="B486" t="s">
        <v>55</v>
      </c>
      <c r="C486" s="11">
        <v>1400</v>
      </c>
      <c r="D486" s="11"/>
      <c r="E486" t="s">
        <v>525</v>
      </c>
      <c r="F486" s="111" t="s">
        <v>108</v>
      </c>
    </row>
    <row r="487" spans="1:14" x14ac:dyDescent="0.3">
      <c r="A487" s="38">
        <v>46038</v>
      </c>
      <c r="B487" t="s">
        <v>55</v>
      </c>
      <c r="C487" s="11">
        <v>1220</v>
      </c>
      <c r="D487" s="11"/>
      <c r="E487" t="s">
        <v>526</v>
      </c>
      <c r="F487" s="111" t="s">
        <v>108</v>
      </c>
    </row>
    <row r="488" spans="1:14" x14ac:dyDescent="0.3">
      <c r="A488" s="38">
        <v>46038</v>
      </c>
      <c r="B488" t="s">
        <v>55</v>
      </c>
      <c r="C488" s="11">
        <v>3200</v>
      </c>
      <c r="D488" s="11"/>
      <c r="E488" t="s">
        <v>527</v>
      </c>
      <c r="F488" s="111" t="s">
        <v>108</v>
      </c>
    </row>
    <row r="489" spans="1:14" x14ac:dyDescent="0.3">
      <c r="A489" s="38">
        <v>46038</v>
      </c>
      <c r="B489" t="s">
        <v>64</v>
      </c>
      <c r="C489" s="11">
        <v>291250</v>
      </c>
      <c r="D489" s="11"/>
      <c r="E489" t="s">
        <v>64</v>
      </c>
      <c r="F489" s="111" t="s">
        <v>108</v>
      </c>
    </row>
    <row r="490" spans="1:14" x14ac:dyDescent="0.3">
      <c r="A490" s="38">
        <v>46038</v>
      </c>
      <c r="B490" t="s">
        <v>528</v>
      </c>
      <c r="C490" s="11"/>
      <c r="D490" s="11">
        <v>300000</v>
      </c>
      <c r="E490" t="s">
        <v>529</v>
      </c>
      <c r="F490" s="111" t="s">
        <v>108</v>
      </c>
    </row>
    <row r="491" spans="1:14" x14ac:dyDescent="0.3">
      <c r="A491" s="38">
        <v>46038</v>
      </c>
      <c r="B491" t="s">
        <v>192</v>
      </c>
      <c r="C491" s="11">
        <v>300000</v>
      </c>
      <c r="D491" s="11"/>
      <c r="E491" t="s">
        <v>35</v>
      </c>
      <c r="F491" s="111" t="s">
        <v>108</v>
      </c>
    </row>
    <row r="492" spans="1:14" x14ac:dyDescent="0.3">
      <c r="A492" s="38">
        <v>46038</v>
      </c>
      <c r="B492" t="s">
        <v>192</v>
      </c>
      <c r="C492" s="11"/>
      <c r="D492" s="11">
        <v>291250</v>
      </c>
      <c r="E492" t="s">
        <v>530</v>
      </c>
      <c r="F492" s="111" t="s">
        <v>108</v>
      </c>
    </row>
    <row r="493" spans="1:14" x14ac:dyDescent="0.3">
      <c r="A493" s="38">
        <v>46038</v>
      </c>
      <c r="B493" t="s">
        <v>192</v>
      </c>
      <c r="C493" s="11"/>
      <c r="D493" s="11">
        <v>100000</v>
      </c>
      <c r="E493" t="s">
        <v>531</v>
      </c>
      <c r="F493" s="111" t="s">
        <v>108</v>
      </c>
    </row>
    <row r="494" spans="1:14" x14ac:dyDescent="0.3">
      <c r="A494" s="38">
        <v>46038</v>
      </c>
      <c r="B494" t="s">
        <v>52</v>
      </c>
      <c r="C494" s="11"/>
      <c r="D494" s="11"/>
      <c r="E494" t="s">
        <v>443</v>
      </c>
      <c r="F494" s="111" t="s">
        <v>108</v>
      </c>
    </row>
    <row r="495" spans="1:14" x14ac:dyDescent="0.3">
      <c r="A495" s="38">
        <v>46038</v>
      </c>
      <c r="B495" t="s">
        <v>410</v>
      </c>
      <c r="C495" s="11">
        <v>50000</v>
      </c>
      <c r="D495" s="11"/>
      <c r="E495" t="s">
        <v>532</v>
      </c>
      <c r="F495" s="111" t="s">
        <v>108</v>
      </c>
    </row>
    <row r="496" spans="1:14" x14ac:dyDescent="0.3">
      <c r="A496" s="38">
        <v>46038</v>
      </c>
      <c r="B496" t="s">
        <v>54</v>
      </c>
      <c r="C496" s="11">
        <v>2500</v>
      </c>
      <c r="D496" s="11"/>
      <c r="E496" t="s">
        <v>463</v>
      </c>
      <c r="F496" s="111" t="s">
        <v>108</v>
      </c>
    </row>
    <row r="497" spans="1:6" x14ac:dyDescent="0.3">
      <c r="A497" s="38">
        <v>46038</v>
      </c>
      <c r="B497" t="s">
        <v>286</v>
      </c>
      <c r="C497" s="11"/>
      <c r="D497" s="11">
        <v>300000</v>
      </c>
      <c r="F497" s="111" t="s">
        <v>108</v>
      </c>
    </row>
    <row r="498" spans="1:6" x14ac:dyDescent="0.3">
      <c r="A498" s="38">
        <v>46038</v>
      </c>
      <c r="B498" t="s">
        <v>229</v>
      </c>
      <c r="C498" s="11">
        <v>100000</v>
      </c>
      <c r="D498" s="11"/>
      <c r="E498" t="s">
        <v>533</v>
      </c>
      <c r="F498" s="111" t="s">
        <v>108</v>
      </c>
    </row>
    <row r="499" spans="1:6" x14ac:dyDescent="0.3">
      <c r="A499" s="38">
        <v>46038</v>
      </c>
      <c r="B499" t="s">
        <v>169</v>
      </c>
      <c r="C499" s="11">
        <v>125000</v>
      </c>
      <c r="D499" s="11"/>
      <c r="E499" t="s">
        <v>534</v>
      </c>
      <c r="F499" s="111" t="s">
        <v>108</v>
      </c>
    </row>
    <row r="500" spans="1:6" x14ac:dyDescent="0.3">
      <c r="A500" s="38">
        <v>46038</v>
      </c>
      <c r="B500" t="s">
        <v>50</v>
      </c>
      <c r="C500" s="11">
        <v>1000</v>
      </c>
      <c r="D500" s="11"/>
      <c r="E500" t="s">
        <v>535</v>
      </c>
      <c r="F500" s="111" t="s">
        <v>108</v>
      </c>
    </row>
    <row r="501" spans="1:6" x14ac:dyDescent="0.3">
      <c r="A501" s="38">
        <v>46038</v>
      </c>
      <c r="B501" t="s">
        <v>222</v>
      </c>
      <c r="C501" s="96">
        <v>1460</v>
      </c>
      <c r="D501" s="96"/>
      <c r="F501" s="111" t="s">
        <v>108</v>
      </c>
    </row>
    <row r="502" spans="1:6" x14ac:dyDescent="0.3">
      <c r="A502" s="38">
        <v>46039</v>
      </c>
      <c r="B502" t="s">
        <v>461</v>
      </c>
      <c r="C502" s="11">
        <v>38750</v>
      </c>
      <c r="D502" s="11"/>
      <c r="E502" t="s">
        <v>502</v>
      </c>
      <c r="F502" s="111" t="s">
        <v>108</v>
      </c>
    </row>
    <row r="503" spans="1:6" x14ac:dyDescent="0.3">
      <c r="A503" s="38">
        <v>46039</v>
      </c>
      <c r="B503" t="s">
        <v>52</v>
      </c>
      <c r="C503" s="11">
        <v>11500</v>
      </c>
      <c r="D503" s="11"/>
      <c r="E503" t="s">
        <v>536</v>
      </c>
      <c r="F503" s="111" t="s">
        <v>108</v>
      </c>
    </row>
    <row r="504" spans="1:6" x14ac:dyDescent="0.3">
      <c r="A504" s="38">
        <v>46039</v>
      </c>
      <c r="B504" t="s">
        <v>54</v>
      </c>
      <c r="C504" s="11">
        <v>1700</v>
      </c>
      <c r="D504" s="11"/>
      <c r="E504" t="s">
        <v>537</v>
      </c>
      <c r="F504" s="111" t="s">
        <v>108</v>
      </c>
    </row>
    <row r="505" spans="1:6" x14ac:dyDescent="0.3">
      <c r="A505" s="38">
        <v>46039</v>
      </c>
      <c r="B505" t="s">
        <v>233</v>
      </c>
      <c r="C505" s="11">
        <v>20000</v>
      </c>
      <c r="D505" s="11"/>
      <c r="E505" t="s">
        <v>538</v>
      </c>
      <c r="F505" s="111" t="s">
        <v>108</v>
      </c>
    </row>
    <row r="506" spans="1:6" x14ac:dyDescent="0.3">
      <c r="A506" s="38">
        <v>46039</v>
      </c>
      <c r="B506" t="s">
        <v>233</v>
      </c>
      <c r="C506" s="11">
        <v>50000</v>
      </c>
      <c r="D506" s="11"/>
      <c r="E506" t="s">
        <v>248</v>
      </c>
      <c r="F506" s="111" t="s">
        <v>108</v>
      </c>
    </row>
    <row r="507" spans="1:6" x14ac:dyDescent="0.3">
      <c r="A507" s="38">
        <v>46039</v>
      </c>
      <c r="B507" t="s">
        <v>192</v>
      </c>
      <c r="C507" s="11"/>
      <c r="D507" s="11">
        <v>50000</v>
      </c>
      <c r="E507" t="s">
        <v>248</v>
      </c>
      <c r="F507" s="111" t="s">
        <v>108</v>
      </c>
    </row>
    <row r="508" spans="1:6" x14ac:dyDescent="0.3">
      <c r="A508" s="38">
        <v>46039</v>
      </c>
      <c r="B508" t="s">
        <v>233</v>
      </c>
      <c r="C508" s="11">
        <v>3000</v>
      </c>
      <c r="D508" s="11"/>
      <c r="E508" t="s">
        <v>485</v>
      </c>
      <c r="F508" s="111" t="s">
        <v>108</v>
      </c>
    </row>
    <row r="509" spans="1:6" x14ac:dyDescent="0.3">
      <c r="A509" s="38">
        <v>46039</v>
      </c>
      <c r="B509" t="s">
        <v>54</v>
      </c>
      <c r="C509" s="11">
        <v>1000</v>
      </c>
      <c r="D509" s="11"/>
      <c r="E509" t="s">
        <v>419</v>
      </c>
      <c r="F509" s="111" t="s">
        <v>108</v>
      </c>
    </row>
    <row r="510" spans="1:6" x14ac:dyDescent="0.3">
      <c r="A510" s="38">
        <v>46039</v>
      </c>
      <c r="B510" t="s">
        <v>192</v>
      </c>
      <c r="C510" s="11"/>
      <c r="D510" s="11">
        <v>50000</v>
      </c>
      <c r="E510" t="s">
        <v>539</v>
      </c>
      <c r="F510" s="111" t="s">
        <v>108</v>
      </c>
    </row>
    <row r="511" spans="1:6" x14ac:dyDescent="0.3">
      <c r="A511" s="38">
        <v>46039</v>
      </c>
      <c r="B511" t="s">
        <v>192</v>
      </c>
      <c r="C511" s="11">
        <v>5000</v>
      </c>
      <c r="D511" s="11"/>
      <c r="E511" t="s">
        <v>540</v>
      </c>
      <c r="F511" s="111" t="s">
        <v>108</v>
      </c>
    </row>
    <row r="512" spans="1:6" x14ac:dyDescent="0.3">
      <c r="A512" s="38">
        <v>46039</v>
      </c>
      <c r="B512" t="s">
        <v>54</v>
      </c>
      <c r="C512" s="11">
        <v>2000</v>
      </c>
      <c r="D512" s="11"/>
      <c r="E512" t="s">
        <v>523</v>
      </c>
      <c r="F512" s="111" t="s">
        <v>108</v>
      </c>
    </row>
    <row r="513" spans="1:6" x14ac:dyDescent="0.3">
      <c r="A513" s="38">
        <v>46039</v>
      </c>
      <c r="B513" t="s">
        <v>233</v>
      </c>
      <c r="C513" s="11">
        <v>10000</v>
      </c>
      <c r="D513" s="11"/>
      <c r="E513" t="s">
        <v>405</v>
      </c>
      <c r="F513" s="111" t="s">
        <v>108</v>
      </c>
    </row>
    <row r="514" spans="1:6" x14ac:dyDescent="0.3">
      <c r="A514" s="38">
        <v>46039</v>
      </c>
      <c r="B514" t="s">
        <v>286</v>
      </c>
      <c r="C514" s="11"/>
      <c r="D514" s="11">
        <v>350000</v>
      </c>
      <c r="E514" t="s">
        <v>541</v>
      </c>
      <c r="F514" s="111" t="s">
        <v>108</v>
      </c>
    </row>
    <row r="515" spans="1:6" x14ac:dyDescent="0.3">
      <c r="A515" s="38">
        <v>46040</v>
      </c>
      <c r="B515" t="s">
        <v>229</v>
      </c>
      <c r="C515" s="11">
        <v>100000</v>
      </c>
      <c r="D515" s="11"/>
      <c r="E515" t="s">
        <v>542</v>
      </c>
      <c r="F515" s="111" t="s">
        <v>108</v>
      </c>
    </row>
    <row r="516" spans="1:6" x14ac:dyDescent="0.3">
      <c r="A516" s="38">
        <v>46040</v>
      </c>
      <c r="B516" t="s">
        <v>192</v>
      </c>
      <c r="C516" s="11"/>
      <c r="D516" s="11">
        <v>100000</v>
      </c>
      <c r="E516" t="s">
        <v>252</v>
      </c>
      <c r="F516" s="111" t="s">
        <v>108</v>
      </c>
    </row>
    <row r="517" spans="1:6" x14ac:dyDescent="0.3">
      <c r="A517" s="38">
        <v>46040</v>
      </c>
      <c r="B517" t="s">
        <v>410</v>
      </c>
      <c r="C517" s="11">
        <v>100200</v>
      </c>
      <c r="D517" s="11"/>
      <c r="E517" t="s">
        <v>543</v>
      </c>
      <c r="F517" s="111" t="s">
        <v>108</v>
      </c>
    </row>
    <row r="518" spans="1:6" x14ac:dyDescent="0.3">
      <c r="A518" s="38">
        <v>46040</v>
      </c>
      <c r="B518" t="s">
        <v>222</v>
      </c>
      <c r="C518" s="11">
        <v>4000</v>
      </c>
      <c r="D518" s="11"/>
      <c r="E518" t="s">
        <v>544</v>
      </c>
      <c r="F518" s="111" t="s">
        <v>108</v>
      </c>
    </row>
    <row r="519" spans="1:6" x14ac:dyDescent="0.3">
      <c r="A519" s="38">
        <v>46040</v>
      </c>
      <c r="B519" t="s">
        <v>222</v>
      </c>
      <c r="C519" s="11">
        <v>2370</v>
      </c>
      <c r="D519" s="11"/>
      <c r="E519" t="s">
        <v>299</v>
      </c>
      <c r="F519" s="111" t="s">
        <v>108</v>
      </c>
    </row>
    <row r="520" spans="1:6" x14ac:dyDescent="0.3">
      <c r="A520" s="38">
        <v>46040</v>
      </c>
      <c r="B520" t="s">
        <v>222</v>
      </c>
      <c r="C520" s="11">
        <v>760</v>
      </c>
      <c r="D520" s="11"/>
      <c r="F520" s="111" t="s">
        <v>108</v>
      </c>
    </row>
    <row r="521" spans="1:6" x14ac:dyDescent="0.3">
      <c r="A521" s="38">
        <v>46040</v>
      </c>
      <c r="B521" t="s">
        <v>222</v>
      </c>
      <c r="C521" s="11">
        <v>580</v>
      </c>
      <c r="D521" s="11"/>
      <c r="E521" t="s">
        <v>223</v>
      </c>
      <c r="F521" s="111" t="s">
        <v>108</v>
      </c>
    </row>
    <row r="522" spans="1:6" x14ac:dyDescent="0.3">
      <c r="A522" s="38">
        <v>46040</v>
      </c>
      <c r="B522" t="s">
        <v>50</v>
      </c>
      <c r="C522" s="11">
        <v>426</v>
      </c>
      <c r="D522" s="11"/>
      <c r="E522" t="s">
        <v>545</v>
      </c>
      <c r="F522" s="111" t="s">
        <v>108</v>
      </c>
    </row>
    <row r="523" spans="1:6" x14ac:dyDescent="0.3">
      <c r="A523" s="38">
        <v>46040</v>
      </c>
      <c r="B523" t="s">
        <v>222</v>
      </c>
      <c r="C523" s="11"/>
      <c r="D523" s="11"/>
      <c r="F523" s="111" t="s">
        <v>108</v>
      </c>
    </row>
    <row r="524" spans="1:6" x14ac:dyDescent="0.3">
      <c r="A524" s="116">
        <v>46039</v>
      </c>
      <c r="B524" t="s">
        <v>233</v>
      </c>
      <c r="C524" s="11">
        <v>500</v>
      </c>
      <c r="D524" s="11"/>
      <c r="E524" t="s">
        <v>546</v>
      </c>
      <c r="F524" s="111" t="s">
        <v>108</v>
      </c>
    </row>
    <row r="525" spans="1:6" x14ac:dyDescent="0.3">
      <c r="A525" s="116">
        <v>46039</v>
      </c>
      <c r="B525" t="s">
        <v>54</v>
      </c>
      <c r="C525" s="11">
        <v>600</v>
      </c>
      <c r="D525" s="11"/>
      <c r="E525" t="s">
        <v>502</v>
      </c>
      <c r="F525" s="111" t="s">
        <v>108</v>
      </c>
    </row>
    <row r="526" spans="1:6" x14ac:dyDescent="0.3">
      <c r="A526" s="116">
        <v>46038</v>
      </c>
      <c r="B526" t="s">
        <v>199</v>
      </c>
      <c r="C526" s="11"/>
      <c r="D526" s="11">
        <v>100000</v>
      </c>
      <c r="F526" s="111" t="s">
        <v>108</v>
      </c>
    </row>
    <row r="527" spans="1:6" x14ac:dyDescent="0.3">
      <c r="A527" s="38">
        <v>46038</v>
      </c>
      <c r="B527" t="s">
        <v>192</v>
      </c>
      <c r="C527" s="96">
        <v>100000</v>
      </c>
      <c r="D527" s="96"/>
      <c r="E527" t="s">
        <v>547</v>
      </c>
      <c r="F527" s="111" t="s">
        <v>108</v>
      </c>
    </row>
    <row r="528" spans="1:6" x14ac:dyDescent="0.3">
      <c r="A528" s="116">
        <v>46039</v>
      </c>
      <c r="B528" t="s">
        <v>199</v>
      </c>
      <c r="C528" s="11"/>
      <c r="D528" s="11">
        <v>100000</v>
      </c>
      <c r="F528" s="111" t="s">
        <v>108</v>
      </c>
    </row>
    <row r="529" spans="1:6" x14ac:dyDescent="0.3">
      <c r="A529" s="116">
        <v>46039</v>
      </c>
      <c r="B529" t="s">
        <v>192</v>
      </c>
      <c r="C529" s="11">
        <v>100000</v>
      </c>
      <c r="D529" s="11"/>
      <c r="E529" t="s">
        <v>547</v>
      </c>
      <c r="F529" s="111" t="s">
        <v>108</v>
      </c>
    </row>
    <row r="530" spans="1:6" x14ac:dyDescent="0.3">
      <c r="A530" s="116">
        <v>46041</v>
      </c>
      <c r="B530" t="s">
        <v>192</v>
      </c>
      <c r="C530" s="11"/>
      <c r="D530" s="11">
        <v>30000</v>
      </c>
      <c r="E530" t="s">
        <v>548</v>
      </c>
      <c r="F530" s="111" t="s">
        <v>108</v>
      </c>
    </row>
    <row r="531" spans="1:6" x14ac:dyDescent="0.3">
      <c r="A531" s="116">
        <v>46041</v>
      </c>
      <c r="B531" t="s">
        <v>52</v>
      </c>
      <c r="C531" s="11">
        <v>5000</v>
      </c>
      <c r="D531" s="11"/>
      <c r="E531" t="s">
        <v>549</v>
      </c>
      <c r="F531" s="111" t="s">
        <v>108</v>
      </c>
    </row>
    <row r="532" spans="1:6" x14ac:dyDescent="0.3">
      <c r="A532" s="116">
        <v>46041</v>
      </c>
      <c r="B532" t="s">
        <v>550</v>
      </c>
      <c r="C532" s="11">
        <v>3330</v>
      </c>
      <c r="D532" s="11"/>
      <c r="E532" t="s">
        <v>551</v>
      </c>
      <c r="F532" s="111" t="s">
        <v>108</v>
      </c>
    </row>
    <row r="533" spans="1:6" x14ac:dyDescent="0.3">
      <c r="A533" s="116">
        <v>46041</v>
      </c>
      <c r="B533" t="s">
        <v>177</v>
      </c>
      <c r="C533" s="11">
        <v>10000</v>
      </c>
      <c r="D533" s="11"/>
      <c r="E533" t="s">
        <v>218</v>
      </c>
      <c r="F533" s="111" t="s">
        <v>108</v>
      </c>
    </row>
    <row r="534" spans="1:6" x14ac:dyDescent="0.3">
      <c r="A534" s="116">
        <v>46041</v>
      </c>
      <c r="B534" t="s">
        <v>54</v>
      </c>
      <c r="C534" s="96">
        <v>2400</v>
      </c>
      <c r="D534" s="96"/>
      <c r="E534" t="s">
        <v>407</v>
      </c>
      <c r="F534" s="111" t="s">
        <v>108</v>
      </c>
    </row>
    <row r="535" spans="1:6" x14ac:dyDescent="0.3">
      <c r="A535" s="116">
        <v>46041</v>
      </c>
      <c r="B535" t="s">
        <v>229</v>
      </c>
      <c r="C535" s="11">
        <v>5000</v>
      </c>
      <c r="D535" s="11"/>
      <c r="E535" t="s">
        <v>345</v>
      </c>
      <c r="F535" s="111" t="s">
        <v>108</v>
      </c>
    </row>
    <row r="536" spans="1:6" x14ac:dyDescent="0.3">
      <c r="A536" s="116">
        <v>46041</v>
      </c>
      <c r="B536" t="s">
        <v>169</v>
      </c>
      <c r="C536" s="11">
        <v>1000</v>
      </c>
      <c r="D536" s="11"/>
      <c r="E536" t="s">
        <v>345</v>
      </c>
      <c r="F536" s="111" t="s">
        <v>108</v>
      </c>
    </row>
    <row r="537" spans="1:6" x14ac:dyDescent="0.3">
      <c r="A537" s="116">
        <v>46041</v>
      </c>
      <c r="B537" t="s">
        <v>94</v>
      </c>
      <c r="C537" s="11">
        <v>1000</v>
      </c>
      <c r="D537" s="11"/>
      <c r="E537" t="s">
        <v>345</v>
      </c>
      <c r="F537" s="111" t="s">
        <v>108</v>
      </c>
    </row>
    <row r="538" spans="1:6" x14ac:dyDescent="0.3">
      <c r="A538" s="116">
        <v>46041</v>
      </c>
      <c r="B538" t="s">
        <v>410</v>
      </c>
      <c r="C538" s="11">
        <v>1000</v>
      </c>
      <c r="D538" s="11"/>
      <c r="E538" t="s">
        <v>345</v>
      </c>
      <c r="F538" s="111" t="s">
        <v>108</v>
      </c>
    </row>
    <row r="539" spans="1:6" x14ac:dyDescent="0.3">
      <c r="A539" s="116">
        <v>46041</v>
      </c>
      <c r="B539" t="s">
        <v>52</v>
      </c>
      <c r="C539" s="96">
        <v>2000</v>
      </c>
      <c r="D539" s="96"/>
      <c r="E539" t="s">
        <v>486</v>
      </c>
      <c r="F539" s="111" t="s">
        <v>108</v>
      </c>
    </row>
    <row r="540" spans="1:6" x14ac:dyDescent="0.3">
      <c r="A540" s="116">
        <v>46041</v>
      </c>
      <c r="B540" t="s">
        <v>55</v>
      </c>
      <c r="C540" s="11">
        <v>4000</v>
      </c>
      <c r="D540" s="11"/>
      <c r="E540" t="s">
        <v>552</v>
      </c>
      <c r="F540" s="111" t="s">
        <v>108</v>
      </c>
    </row>
    <row r="541" spans="1:6" x14ac:dyDescent="0.3">
      <c r="A541" s="116">
        <v>46041</v>
      </c>
      <c r="B541" t="s">
        <v>55</v>
      </c>
      <c r="C541" s="11">
        <v>140000</v>
      </c>
      <c r="D541" s="11"/>
      <c r="E541" t="s">
        <v>434</v>
      </c>
      <c r="F541" s="111" t="s">
        <v>108</v>
      </c>
    </row>
    <row r="542" spans="1:6" x14ac:dyDescent="0.3">
      <c r="A542" s="116">
        <v>46041</v>
      </c>
      <c r="B542" t="s">
        <v>233</v>
      </c>
      <c r="C542" s="11">
        <v>15000</v>
      </c>
      <c r="D542" s="11"/>
      <c r="E542" t="s">
        <v>390</v>
      </c>
      <c r="F542" s="111" t="s">
        <v>108</v>
      </c>
    </row>
    <row r="543" spans="1:6" x14ac:dyDescent="0.3">
      <c r="A543" s="116">
        <v>46041</v>
      </c>
      <c r="B543" t="s">
        <v>54</v>
      </c>
      <c r="C543" s="11">
        <v>5000</v>
      </c>
      <c r="D543" s="11"/>
      <c r="E543" t="s">
        <v>507</v>
      </c>
      <c r="F543" s="111" t="s">
        <v>108</v>
      </c>
    </row>
    <row r="544" spans="1:6" x14ac:dyDescent="0.3">
      <c r="A544" s="116">
        <v>46041</v>
      </c>
      <c r="B544" t="s">
        <v>233</v>
      </c>
      <c r="C544" s="11">
        <v>10000</v>
      </c>
      <c r="D544" s="11"/>
      <c r="E544" t="s">
        <v>553</v>
      </c>
      <c r="F544" s="111" t="s">
        <v>108</v>
      </c>
    </row>
    <row r="545" spans="1:6" x14ac:dyDescent="0.3">
      <c r="A545" s="38">
        <v>46041</v>
      </c>
      <c r="B545" t="s">
        <v>229</v>
      </c>
      <c r="C545" s="96">
        <v>100999</v>
      </c>
      <c r="D545" s="96"/>
      <c r="E545" t="s">
        <v>554</v>
      </c>
      <c r="F545" s="111" t="s">
        <v>108</v>
      </c>
    </row>
    <row r="546" spans="1:6" x14ac:dyDescent="0.3">
      <c r="A546" s="38">
        <v>46041</v>
      </c>
      <c r="B546" t="s">
        <v>222</v>
      </c>
      <c r="C546" s="96">
        <v>2000</v>
      </c>
      <c r="D546" s="96"/>
      <c r="F546" s="111" t="s">
        <v>108</v>
      </c>
    </row>
    <row r="547" spans="1:6" x14ac:dyDescent="0.3">
      <c r="A547" s="38">
        <v>46042</v>
      </c>
      <c r="B547" t="s">
        <v>222</v>
      </c>
      <c r="C547" s="96"/>
      <c r="D547" s="96">
        <v>9800</v>
      </c>
      <c r="F547" s="111" t="s">
        <v>108</v>
      </c>
    </row>
    <row r="548" spans="1:6" x14ac:dyDescent="0.3">
      <c r="A548" s="116">
        <v>46042</v>
      </c>
      <c r="B548" t="s">
        <v>55</v>
      </c>
      <c r="C548" s="11">
        <v>9800</v>
      </c>
      <c r="D548" s="11"/>
      <c r="E548" t="s">
        <v>555</v>
      </c>
      <c r="F548" s="111" t="s">
        <v>108</v>
      </c>
    </row>
    <row r="549" spans="1:6" x14ac:dyDescent="0.3">
      <c r="A549" s="38">
        <v>46042</v>
      </c>
      <c r="B549" t="s">
        <v>528</v>
      </c>
      <c r="C549" s="11"/>
      <c r="D549" s="11">
        <v>350000</v>
      </c>
      <c r="E549" t="s">
        <v>556</v>
      </c>
      <c r="F549" s="111" t="s">
        <v>108</v>
      </c>
    </row>
    <row r="550" spans="1:6" x14ac:dyDescent="0.3">
      <c r="A550" s="116">
        <v>46042</v>
      </c>
      <c r="B550" t="s">
        <v>192</v>
      </c>
      <c r="C550" s="11"/>
      <c r="D550" s="11">
        <v>650000</v>
      </c>
      <c r="F550" s="111" t="s">
        <v>108</v>
      </c>
    </row>
    <row r="551" spans="1:6" x14ac:dyDescent="0.3">
      <c r="A551" s="38">
        <v>46042</v>
      </c>
      <c r="B551" t="s">
        <v>192</v>
      </c>
      <c r="C551" s="11"/>
      <c r="D551" s="11">
        <v>200000</v>
      </c>
      <c r="F551" s="111" t="s">
        <v>108</v>
      </c>
    </row>
    <row r="552" spans="1:6" x14ac:dyDescent="0.3">
      <c r="A552" s="116">
        <v>46042</v>
      </c>
      <c r="B552" t="s">
        <v>192</v>
      </c>
      <c r="C552" s="11"/>
      <c r="D552" s="11">
        <v>249000</v>
      </c>
      <c r="F552" s="111" t="s">
        <v>108</v>
      </c>
    </row>
    <row r="553" spans="1:6" x14ac:dyDescent="0.3">
      <c r="A553" s="38">
        <v>46042</v>
      </c>
      <c r="B553" t="s">
        <v>192</v>
      </c>
      <c r="C553" s="11"/>
      <c r="D553" s="11">
        <v>360000</v>
      </c>
      <c r="E553" t="s">
        <v>557</v>
      </c>
      <c r="F553" s="111" t="s">
        <v>108</v>
      </c>
    </row>
    <row r="554" spans="1:6" x14ac:dyDescent="0.3">
      <c r="A554" s="116">
        <v>46042</v>
      </c>
      <c r="B554" t="s">
        <v>528</v>
      </c>
      <c r="C554" s="11"/>
      <c r="D554" s="11">
        <v>100000</v>
      </c>
      <c r="E554" t="s">
        <v>558</v>
      </c>
      <c r="F554" s="111" t="s">
        <v>108</v>
      </c>
    </row>
    <row r="555" spans="1:6" x14ac:dyDescent="0.3">
      <c r="A555" s="38">
        <v>46042</v>
      </c>
      <c r="B555" t="s">
        <v>198</v>
      </c>
      <c r="C555" s="11">
        <v>12300</v>
      </c>
      <c r="D555" s="11"/>
      <c r="E555" t="s">
        <v>164</v>
      </c>
      <c r="F555" s="111" t="s">
        <v>108</v>
      </c>
    </row>
    <row r="556" spans="1:6" x14ac:dyDescent="0.3">
      <c r="A556" s="116">
        <v>46042</v>
      </c>
      <c r="B556" t="s">
        <v>192</v>
      </c>
      <c r="C556" s="11"/>
      <c r="D556" s="11">
        <v>190000</v>
      </c>
      <c r="E556" t="s">
        <v>559</v>
      </c>
      <c r="F556" s="111" t="s">
        <v>108</v>
      </c>
    </row>
    <row r="557" spans="1:6" x14ac:dyDescent="0.3">
      <c r="A557" s="38">
        <v>46042</v>
      </c>
      <c r="B557" t="s">
        <v>192</v>
      </c>
      <c r="C557" s="11"/>
      <c r="D557" s="11">
        <v>60000</v>
      </c>
      <c r="E557" t="s">
        <v>560</v>
      </c>
      <c r="F557" s="111" t="s">
        <v>108</v>
      </c>
    </row>
    <row r="558" spans="1:6" x14ac:dyDescent="0.3">
      <c r="A558" s="116">
        <v>46042</v>
      </c>
      <c r="B558" t="s">
        <v>9</v>
      </c>
      <c r="C558" s="11"/>
      <c r="D558" s="11">
        <v>100000</v>
      </c>
      <c r="E558" t="s">
        <v>250</v>
      </c>
      <c r="F558" s="111" t="s">
        <v>108</v>
      </c>
    </row>
    <row r="559" spans="1:6" x14ac:dyDescent="0.3">
      <c r="A559" s="38">
        <v>46042</v>
      </c>
      <c r="B559" t="s">
        <v>199</v>
      </c>
      <c r="C559" s="96"/>
      <c r="D559" s="96">
        <v>100000</v>
      </c>
      <c r="F559" s="111" t="s">
        <v>108</v>
      </c>
    </row>
    <row r="560" spans="1:6" x14ac:dyDescent="0.3">
      <c r="A560" s="116">
        <v>46042</v>
      </c>
      <c r="B560" t="s">
        <v>192</v>
      </c>
      <c r="C560" s="11">
        <v>100000</v>
      </c>
      <c r="D560" s="11"/>
      <c r="E560" t="s">
        <v>547</v>
      </c>
      <c r="F560" s="111" t="s">
        <v>108</v>
      </c>
    </row>
    <row r="561" spans="1:6" x14ac:dyDescent="0.3">
      <c r="A561" s="38">
        <v>46042</v>
      </c>
      <c r="B561" t="s">
        <v>51</v>
      </c>
      <c r="C561" s="11">
        <v>2185118</v>
      </c>
      <c r="D561" s="11"/>
      <c r="E561" t="s">
        <v>561</v>
      </c>
      <c r="F561" s="111" t="s">
        <v>108</v>
      </c>
    </row>
    <row r="562" spans="1:6" x14ac:dyDescent="0.3">
      <c r="A562" s="116">
        <v>46042</v>
      </c>
      <c r="B562" t="s">
        <v>50</v>
      </c>
      <c r="C562" s="11">
        <v>8000</v>
      </c>
      <c r="D562" s="11"/>
      <c r="E562" t="s">
        <v>562</v>
      </c>
      <c r="F562" s="111" t="s">
        <v>108</v>
      </c>
    </row>
    <row r="563" spans="1:6" x14ac:dyDescent="0.3">
      <c r="A563" s="38">
        <v>46042</v>
      </c>
      <c r="B563" t="s">
        <v>50</v>
      </c>
      <c r="C563" s="11">
        <v>2000</v>
      </c>
      <c r="D563" s="11"/>
      <c r="E563" t="s">
        <v>313</v>
      </c>
      <c r="F563" s="111" t="s">
        <v>108</v>
      </c>
    </row>
    <row r="564" spans="1:6" x14ac:dyDescent="0.3">
      <c r="A564" s="116">
        <v>46042</v>
      </c>
      <c r="B564" t="s">
        <v>55</v>
      </c>
      <c r="C564" s="11">
        <v>1650</v>
      </c>
      <c r="D564" s="11"/>
      <c r="F564" s="111" t="s">
        <v>108</v>
      </c>
    </row>
    <row r="565" spans="1:6" x14ac:dyDescent="0.3">
      <c r="A565" s="38">
        <v>46042</v>
      </c>
      <c r="B565" t="s">
        <v>55</v>
      </c>
      <c r="C565" s="11">
        <v>2100</v>
      </c>
      <c r="D565" s="11"/>
      <c r="F565" s="111" t="s">
        <v>108</v>
      </c>
    </row>
    <row r="566" spans="1:6" x14ac:dyDescent="0.3">
      <c r="A566" s="116">
        <v>46042</v>
      </c>
      <c r="B566" t="s">
        <v>55</v>
      </c>
      <c r="C566" s="11">
        <v>1430</v>
      </c>
      <c r="D566" s="11"/>
      <c r="F566" s="111" t="s">
        <v>108</v>
      </c>
    </row>
    <row r="567" spans="1:6" x14ac:dyDescent="0.3">
      <c r="A567" s="38">
        <v>46042</v>
      </c>
      <c r="B567" t="s">
        <v>55</v>
      </c>
      <c r="C567" s="11">
        <v>1500</v>
      </c>
      <c r="D567" s="11"/>
      <c r="F567" s="111" t="s">
        <v>108</v>
      </c>
    </row>
    <row r="568" spans="1:6" x14ac:dyDescent="0.3">
      <c r="A568" s="116">
        <v>46042</v>
      </c>
      <c r="B568" t="s">
        <v>54</v>
      </c>
      <c r="C568" s="11">
        <v>5000</v>
      </c>
      <c r="D568" s="11"/>
      <c r="E568" t="s">
        <v>236</v>
      </c>
      <c r="F568" s="111" t="s">
        <v>108</v>
      </c>
    </row>
    <row r="569" spans="1:6" x14ac:dyDescent="0.3">
      <c r="A569" s="38">
        <v>46043</v>
      </c>
      <c r="B569" t="s">
        <v>192</v>
      </c>
      <c r="C569" s="11"/>
      <c r="D569" s="11">
        <v>15000</v>
      </c>
      <c r="E569" t="s">
        <v>109</v>
      </c>
      <c r="F569" s="111" t="s">
        <v>108</v>
      </c>
    </row>
    <row r="570" spans="1:6" x14ac:dyDescent="0.3">
      <c r="A570" s="116">
        <v>46043</v>
      </c>
      <c r="B570" t="s">
        <v>55</v>
      </c>
      <c r="C570" s="11">
        <v>4180</v>
      </c>
      <c r="D570" s="11"/>
      <c r="E570" t="s">
        <v>565</v>
      </c>
      <c r="F570" s="111" t="s">
        <v>108</v>
      </c>
    </row>
    <row r="571" spans="1:6" x14ac:dyDescent="0.3">
      <c r="A571" s="38">
        <v>46043</v>
      </c>
      <c r="B571" t="s">
        <v>177</v>
      </c>
      <c r="C571" s="11">
        <v>6600</v>
      </c>
      <c r="D571" s="11"/>
      <c r="E571" t="s">
        <v>218</v>
      </c>
      <c r="F571" s="111" t="s">
        <v>108</v>
      </c>
    </row>
    <row r="572" spans="1:6" x14ac:dyDescent="0.3">
      <c r="A572" s="116">
        <v>46043</v>
      </c>
      <c r="B572" t="s">
        <v>54</v>
      </c>
      <c r="C572" s="11">
        <v>1000</v>
      </c>
      <c r="D572" s="11"/>
      <c r="E572" t="s">
        <v>566</v>
      </c>
      <c r="F572" s="111" t="s">
        <v>108</v>
      </c>
    </row>
    <row r="573" spans="1:6" x14ac:dyDescent="0.3">
      <c r="A573" s="38">
        <v>46043</v>
      </c>
      <c r="B573" t="s">
        <v>233</v>
      </c>
      <c r="C573" s="11">
        <v>1000</v>
      </c>
      <c r="D573" s="11"/>
      <c r="E573" t="s">
        <v>567</v>
      </c>
      <c r="F573" s="111" t="s">
        <v>108</v>
      </c>
    </row>
    <row r="574" spans="1:6" x14ac:dyDescent="0.3">
      <c r="A574" s="116">
        <v>46043</v>
      </c>
      <c r="B574" t="s">
        <v>54</v>
      </c>
      <c r="C574" s="11">
        <v>2000</v>
      </c>
      <c r="D574" s="11"/>
      <c r="E574" t="s">
        <v>463</v>
      </c>
      <c r="F574" s="111" t="s">
        <v>108</v>
      </c>
    </row>
    <row r="575" spans="1:6" x14ac:dyDescent="0.3">
      <c r="A575" s="38">
        <v>46043</v>
      </c>
      <c r="B575" t="s">
        <v>192</v>
      </c>
      <c r="C575" s="11"/>
      <c r="D575" s="11">
        <v>4180</v>
      </c>
      <c r="E575" t="s">
        <v>565</v>
      </c>
      <c r="F575" s="111" t="s">
        <v>108</v>
      </c>
    </row>
    <row r="576" spans="1:6" x14ac:dyDescent="0.3">
      <c r="A576" s="116">
        <v>46043</v>
      </c>
      <c r="B576" t="s">
        <v>192</v>
      </c>
      <c r="C576" s="11"/>
      <c r="D576" s="11">
        <v>15513</v>
      </c>
      <c r="E576" t="s">
        <v>453</v>
      </c>
      <c r="F576" s="111" t="s">
        <v>108</v>
      </c>
    </row>
    <row r="577" spans="1:6" x14ac:dyDescent="0.3">
      <c r="A577" s="38">
        <v>46043</v>
      </c>
      <c r="B577" t="s">
        <v>55</v>
      </c>
      <c r="C577" s="11">
        <v>15513</v>
      </c>
      <c r="D577" s="11"/>
      <c r="E577" t="s">
        <v>453</v>
      </c>
      <c r="F577" s="111" t="s">
        <v>108</v>
      </c>
    </row>
    <row r="578" spans="1:6" x14ac:dyDescent="0.3">
      <c r="A578" s="116">
        <v>46043</v>
      </c>
      <c r="B578" t="s">
        <v>568</v>
      </c>
      <c r="C578" s="11">
        <v>20000</v>
      </c>
      <c r="D578" s="11"/>
      <c r="E578" t="s">
        <v>304</v>
      </c>
      <c r="F578" s="111" t="s">
        <v>108</v>
      </c>
    </row>
    <row r="579" spans="1:6" x14ac:dyDescent="0.3">
      <c r="A579" s="38">
        <v>46043</v>
      </c>
      <c r="B579" t="s">
        <v>233</v>
      </c>
      <c r="C579" s="11">
        <v>3000</v>
      </c>
      <c r="D579" s="11"/>
      <c r="E579" t="s">
        <v>248</v>
      </c>
      <c r="F579" s="111" t="s">
        <v>108</v>
      </c>
    </row>
    <row r="580" spans="1:6" x14ac:dyDescent="0.3">
      <c r="A580" s="116">
        <v>46043</v>
      </c>
      <c r="B580" t="s">
        <v>55</v>
      </c>
      <c r="C580" s="11">
        <v>25500</v>
      </c>
      <c r="D580" s="11"/>
      <c r="E580" t="s">
        <v>569</v>
      </c>
      <c r="F580" s="111" t="s">
        <v>108</v>
      </c>
    </row>
    <row r="581" spans="1:6" x14ac:dyDescent="0.3">
      <c r="A581" s="38">
        <v>46043</v>
      </c>
      <c r="B581" t="s">
        <v>198</v>
      </c>
      <c r="C581" s="11">
        <v>49200</v>
      </c>
      <c r="D581" s="11"/>
      <c r="E581" t="s">
        <v>164</v>
      </c>
      <c r="F581" s="111" t="s">
        <v>108</v>
      </c>
    </row>
    <row r="582" spans="1:6" x14ac:dyDescent="0.3">
      <c r="A582" s="116">
        <v>46043</v>
      </c>
      <c r="B582" t="s">
        <v>192</v>
      </c>
      <c r="C582" s="96"/>
      <c r="D582" s="96">
        <v>49200</v>
      </c>
      <c r="E582" t="s">
        <v>164</v>
      </c>
      <c r="F582" s="111" t="s">
        <v>108</v>
      </c>
    </row>
    <row r="583" spans="1:6" x14ac:dyDescent="0.3">
      <c r="A583" s="38">
        <v>46043</v>
      </c>
      <c r="B583" t="s">
        <v>192</v>
      </c>
      <c r="C583" s="11"/>
      <c r="D583" s="11">
        <v>25500</v>
      </c>
      <c r="E583" t="s">
        <v>569</v>
      </c>
      <c r="F583" s="111" t="s">
        <v>108</v>
      </c>
    </row>
    <row r="584" spans="1:6" x14ac:dyDescent="0.3">
      <c r="A584" s="116">
        <v>46043</v>
      </c>
      <c r="B584" t="s">
        <v>286</v>
      </c>
      <c r="C584" s="11"/>
      <c r="D584" s="11">
        <v>300000</v>
      </c>
      <c r="E584" t="s">
        <v>570</v>
      </c>
      <c r="F584" s="111" t="s">
        <v>108</v>
      </c>
    </row>
    <row r="585" spans="1:6" x14ac:dyDescent="0.3">
      <c r="A585" s="38">
        <v>46043</v>
      </c>
      <c r="B585" t="s">
        <v>192</v>
      </c>
      <c r="C585" s="96">
        <v>300000</v>
      </c>
      <c r="D585" s="96"/>
      <c r="E585" t="s">
        <v>571</v>
      </c>
      <c r="F585" s="111" t="s">
        <v>108</v>
      </c>
    </row>
    <row r="586" spans="1:6" x14ac:dyDescent="0.3">
      <c r="A586" s="38">
        <v>46044</v>
      </c>
      <c r="B586" t="s">
        <v>54</v>
      </c>
      <c r="C586" s="96">
        <v>11100</v>
      </c>
      <c r="D586" s="96"/>
      <c r="E586" t="s">
        <v>463</v>
      </c>
      <c r="F586" s="111" t="s">
        <v>108</v>
      </c>
    </row>
    <row r="587" spans="1:6" x14ac:dyDescent="0.3">
      <c r="A587" s="38">
        <v>46044</v>
      </c>
      <c r="B587" t="s">
        <v>192</v>
      </c>
      <c r="C587" s="96"/>
      <c r="D587" s="96">
        <v>118500</v>
      </c>
      <c r="E587" t="s">
        <v>572</v>
      </c>
      <c r="F587" s="111" t="s">
        <v>108</v>
      </c>
    </row>
    <row r="588" spans="1:6" x14ac:dyDescent="0.3">
      <c r="A588" s="38">
        <v>46044</v>
      </c>
      <c r="B588" t="s">
        <v>233</v>
      </c>
      <c r="C588" s="11">
        <v>100000</v>
      </c>
      <c r="D588" s="11"/>
      <c r="E588" t="s">
        <v>403</v>
      </c>
      <c r="F588" s="111" t="s">
        <v>108</v>
      </c>
    </row>
    <row r="589" spans="1:6" x14ac:dyDescent="0.3">
      <c r="A589" s="38">
        <v>46044</v>
      </c>
      <c r="B589" t="s">
        <v>568</v>
      </c>
      <c r="C589" s="11">
        <v>25950</v>
      </c>
      <c r="D589" s="11"/>
      <c r="E589" t="s">
        <v>573</v>
      </c>
      <c r="F589" s="111" t="s">
        <v>108</v>
      </c>
    </row>
    <row r="590" spans="1:6" x14ac:dyDescent="0.3">
      <c r="A590" s="38">
        <v>46044</v>
      </c>
      <c r="B590" t="s">
        <v>528</v>
      </c>
      <c r="C590" s="11"/>
      <c r="D590" s="11">
        <v>100000</v>
      </c>
      <c r="E590" t="s">
        <v>574</v>
      </c>
      <c r="F590" s="111" t="s">
        <v>108</v>
      </c>
    </row>
    <row r="591" spans="1:6" x14ac:dyDescent="0.3">
      <c r="A591" s="38">
        <v>46044</v>
      </c>
      <c r="B591" t="s">
        <v>50</v>
      </c>
      <c r="C591" s="11">
        <v>500</v>
      </c>
      <c r="D591" s="11"/>
      <c r="E591" t="s">
        <v>313</v>
      </c>
      <c r="F591" s="111" t="s">
        <v>108</v>
      </c>
    </row>
    <row r="592" spans="1:6" x14ac:dyDescent="0.3">
      <c r="A592" s="38">
        <v>46044</v>
      </c>
      <c r="B592" t="s">
        <v>233</v>
      </c>
      <c r="C592" s="11">
        <v>10000</v>
      </c>
      <c r="D592" s="11"/>
      <c r="E592" t="s">
        <v>421</v>
      </c>
      <c r="F592" s="111" t="s">
        <v>108</v>
      </c>
    </row>
    <row r="593" spans="1:6" x14ac:dyDescent="0.3">
      <c r="A593" s="38">
        <v>46044</v>
      </c>
      <c r="B593" t="s">
        <v>233</v>
      </c>
      <c r="C593" s="11">
        <v>10000</v>
      </c>
      <c r="D593" s="11"/>
      <c r="E593" t="s">
        <v>443</v>
      </c>
      <c r="F593" s="111" t="s">
        <v>108</v>
      </c>
    </row>
    <row r="594" spans="1:6" x14ac:dyDescent="0.3">
      <c r="A594" s="38">
        <v>46044</v>
      </c>
      <c r="B594" t="s">
        <v>177</v>
      </c>
      <c r="C594" s="11">
        <v>1000</v>
      </c>
      <c r="D594" s="11"/>
      <c r="E594" t="s">
        <v>575</v>
      </c>
      <c r="F594" s="111" t="s">
        <v>108</v>
      </c>
    </row>
    <row r="595" spans="1:6" x14ac:dyDescent="0.3">
      <c r="A595" s="38">
        <v>46044</v>
      </c>
      <c r="B595" t="s">
        <v>52</v>
      </c>
      <c r="C595" s="11">
        <v>50000</v>
      </c>
      <c r="D595" s="11"/>
      <c r="E595" t="s">
        <v>221</v>
      </c>
      <c r="F595" s="111" t="s">
        <v>108</v>
      </c>
    </row>
    <row r="596" spans="1:6" x14ac:dyDescent="0.3">
      <c r="A596" s="38">
        <v>46044</v>
      </c>
      <c r="B596" t="s">
        <v>177</v>
      </c>
      <c r="C596" s="11">
        <v>4000</v>
      </c>
      <c r="D596" s="11"/>
      <c r="E596" t="s">
        <v>576</v>
      </c>
      <c r="F596" s="111" t="s">
        <v>108</v>
      </c>
    </row>
    <row r="597" spans="1:6" x14ac:dyDescent="0.3">
      <c r="A597" s="38">
        <v>46044</v>
      </c>
      <c r="B597" t="s">
        <v>54</v>
      </c>
      <c r="C597" s="11">
        <v>500</v>
      </c>
      <c r="D597" s="11"/>
      <c r="E597" t="s">
        <v>419</v>
      </c>
      <c r="F597" s="111" t="s">
        <v>108</v>
      </c>
    </row>
    <row r="598" spans="1:6" x14ac:dyDescent="0.3">
      <c r="A598" s="38">
        <v>46044</v>
      </c>
      <c r="C598" s="11"/>
      <c r="D598" s="11"/>
      <c r="F598" s="111"/>
    </row>
    <row r="599" spans="1:6" x14ac:dyDescent="0.3">
      <c r="A599" s="38"/>
      <c r="C599" s="14">
        <f>SUBTOTAL(109,Table14[Debit])</f>
        <v>33217898</v>
      </c>
      <c r="D599" s="14">
        <f>SUBTOTAL(109,Table14[Credit])</f>
        <v>33272089</v>
      </c>
      <c r="F599" s="54">
        <f>(Table14[[#Totals],[Credit]]-Table14[[#Totals],[Debit]])</f>
        <v>54191</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E21" sqref="E2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v>180250</v>
      </c>
      <c r="M16">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M17">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v>187000</v>
      </c>
      <c r="M18">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v>231750</v>
      </c>
      <c r="M19">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M20">
        <v>-218250</v>
      </c>
    </row>
    <row r="21" spans="1:13" x14ac:dyDescent="0.3">
      <c r="G21">
        <f>SUMIFS(Table14[Debit], Table14[Date], Table8[[#This Row],[Date]], Table14[Party], Table8[[#This Row],[Party]])</f>
        <v>0</v>
      </c>
      <c r="H21">
        <f>Table8[[#This Row],[Price]]-Table8[[#This Row],[Paid]]</f>
        <v>0</v>
      </c>
      <c r="K21" s="26">
        <v>46031</v>
      </c>
      <c r="L21">
        <v>110375</v>
      </c>
      <c r="M21">
        <v>43500</v>
      </c>
    </row>
    <row r="22" spans="1:13" x14ac:dyDescent="0.3">
      <c r="G22">
        <f>SUMIFS(Table14[Debit], Table14[Date], Table8[[#This Row],[Date]], Table14[Party], Table8[[#This Row],[Party]])</f>
        <v>0</v>
      </c>
      <c r="H22">
        <f>Table8[[#This Row],[Price]]-Table8[[#This Row],[Paid]]</f>
        <v>0</v>
      </c>
      <c r="K22" s="26">
        <v>46034</v>
      </c>
      <c r="M22">
        <v>-43500</v>
      </c>
    </row>
    <row r="23" spans="1:13" x14ac:dyDescent="0.3">
      <c r="G23">
        <f>SUMIFS(Table14[Debit], Table14[Date], Table8[[#This Row],[Date]], Table14[Party], Table8[[#This Row],[Party]])</f>
        <v>0</v>
      </c>
      <c r="H23">
        <f>Table8[[#This Row],[Price]]-Table8[[#This Row],[Paid]]</f>
        <v>0</v>
      </c>
      <c r="K23" s="4" t="s">
        <v>103</v>
      </c>
      <c r="M23">
        <v>0</v>
      </c>
    </row>
    <row r="24" spans="1:13" x14ac:dyDescent="0.3">
      <c r="E24">
        <f>SUBTOTAL(109,Table8[Price])</f>
        <v>1653125</v>
      </c>
      <c r="H24">
        <f>SUBTOTAL(109,Table8[Balance])</f>
        <v>0</v>
      </c>
      <c r="K24" s="26">
        <v>46038</v>
      </c>
      <c r="L24">
        <v>291250</v>
      </c>
      <c r="M24">
        <v>0</v>
      </c>
    </row>
    <row r="25" spans="1:13" x14ac:dyDescent="0.3">
      <c r="K25" s="4" t="s">
        <v>28</v>
      </c>
      <c r="L25">
        <v>1653125</v>
      </c>
      <c r="M25">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C16" sqref="C1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v>0</v>
      </c>
      <c r="L5">
        <v>268000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v>77500</v>
      </c>
      <c r="L6">
        <v>77500</v>
      </c>
      <c r="M6">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v>0</v>
      </c>
      <c r="L7">
        <v>0</v>
      </c>
      <c r="M7">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v>351000</v>
      </c>
      <c r="L8">
        <v>351000</v>
      </c>
      <c r="M8">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v>12300</v>
      </c>
      <c r="L9">
        <v>12300</v>
      </c>
      <c r="M9">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v>440800</v>
      </c>
      <c r="L10">
        <v>708800</v>
      </c>
      <c r="M10">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117</v>
      </c>
      <c r="C14" t="s">
        <v>61</v>
      </c>
      <c r="F14">
        <v>38750</v>
      </c>
      <c r="G14">
        <f>SUMIFS(Table14[Debit], Table14[Date], Table2[[#This Row],[Date]], Table14[Party], Table2[[#This Row],[Party Name]])</f>
        <v>38750</v>
      </c>
      <c r="H14">
        <f>Table2[[#This Row],[Price]]-Table2[[#This Row],[Paid]]</f>
        <v>0</v>
      </c>
    </row>
    <row r="15" spans="1:13" x14ac:dyDescent="0.3">
      <c r="A15" s="1">
        <v>46039</v>
      </c>
      <c r="B15" s="1" t="s">
        <v>117</v>
      </c>
      <c r="C15" t="s">
        <v>61</v>
      </c>
      <c r="F15">
        <v>38750</v>
      </c>
      <c r="G15">
        <f>SUMIFS(Table14[Debit], Table14[Date], Table2[[#This Row],[Date]], Table14[Party], Table2[[#This Row],[Party Name]])</f>
        <v>38750</v>
      </c>
      <c r="H15">
        <f>Table2[[#This Row],[Price]]-Table2[[#This Row],[Paid]]</f>
        <v>0</v>
      </c>
    </row>
    <row r="16" spans="1:13" x14ac:dyDescent="0.3">
      <c r="A16" s="1">
        <v>46042</v>
      </c>
      <c r="B16" s="1" t="s">
        <v>198</v>
      </c>
      <c r="C16" t="s">
        <v>164</v>
      </c>
      <c r="F16">
        <v>12300</v>
      </c>
      <c r="G16">
        <f>SUMIFS(Table14[Debit], Table14[Date], Table2[[#This Row],[Date]], Table14[Party], Table2[[#This Row],[Party Name]])</f>
        <v>12300</v>
      </c>
      <c r="H16">
        <f>Table2[[#This Row],[Price]]-Table2[[#This Row],[Paid]]</f>
        <v>0</v>
      </c>
    </row>
    <row r="17" spans="1:11" x14ac:dyDescent="0.3">
      <c r="A17" s="1">
        <v>46042</v>
      </c>
      <c r="B17" s="1" t="s">
        <v>194</v>
      </c>
      <c r="C17" t="s">
        <v>61</v>
      </c>
      <c r="D17">
        <v>45</v>
      </c>
      <c r="F17">
        <v>351000</v>
      </c>
      <c r="G17">
        <f>SUMIFS(Table14[Debit], Table14[Date], Table2[[#This Row],[Date]], Table14[Party], Table2[[#This Row],[Party Name]])</f>
        <v>0</v>
      </c>
      <c r="H17">
        <f>Table2[[#This Row],[Price]]-Table2[[#This Row],[Paid]]</f>
        <v>351000</v>
      </c>
    </row>
    <row r="18" spans="1:11" x14ac:dyDescent="0.3">
      <c r="A18" s="1">
        <v>46043</v>
      </c>
      <c r="B18" s="1" t="s">
        <v>198</v>
      </c>
      <c r="C18" t="s">
        <v>164</v>
      </c>
      <c r="F18">
        <v>49200</v>
      </c>
      <c r="G18">
        <f>SUMIFS(Table14[Debit], Table14[Date], Table2[[#This Row],[Date]], Table14[Party], Table2[[#This Row],[Party Name]])</f>
        <v>49200</v>
      </c>
      <c r="H18">
        <f>Table2[[#This Row],[Price]]-Table2[[#This Row],[Paid]]</f>
        <v>0</v>
      </c>
    </row>
    <row r="19" spans="1:11" x14ac:dyDescent="0.3">
      <c r="A19" s="1">
        <v>46044</v>
      </c>
      <c r="B19" s="1" t="s">
        <v>165</v>
      </c>
      <c r="C19" t="s">
        <v>282</v>
      </c>
      <c r="D19">
        <v>2</v>
      </c>
      <c r="E19">
        <v>125</v>
      </c>
      <c r="F19">
        <f>Table2[[#This Row],[Quantity]]*240*Table2[[#This Row],[Boxes]]</f>
        <v>60000</v>
      </c>
      <c r="G19">
        <f>SUMIFS(Table14[Debit], Table14[Date], Table2[[#This Row],[Date]], Table14[Party], Table2[[#This Row],[Party Name]])</f>
        <v>0</v>
      </c>
      <c r="H19">
        <f>Table2[[#This Row],[Price]]-Table2[[#This Row],[Paid]]</f>
        <v>60000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F21">
        <f>SUBTOTAL(109,Table2[Price])</f>
        <v>901000</v>
      </c>
      <c r="G21">
        <f>SUBTOTAL(109,Table2[Paid])</f>
        <v>758000</v>
      </c>
      <c r="H21">
        <f>SUBTOTAL(109,Table2[Balance])</f>
        <v>411000</v>
      </c>
    </row>
    <row r="24" spans="1:11" x14ac:dyDescent="0.3">
      <c r="I24" t="s">
        <v>57</v>
      </c>
      <c r="J24" t="s">
        <v>174</v>
      </c>
      <c r="K24" t="s">
        <v>207</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1995562</v>
      </c>
      <c r="C2" s="32">
        <f>GETPIVOTDATA("Sum of Tiyaar/gaz",$A$3)</f>
        <v>2070161.8824</v>
      </c>
      <c r="D2" s="31">
        <f>((B2*48)+((C2/1.0936)*10))/C2</f>
        <v>55.414394117779231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16638</v>
      </c>
      <c r="D38" s="28">
        <f t="shared" si="1"/>
        <v>78.983274553372993</v>
      </c>
      <c r="E38" s="11">
        <f t="shared" si="2"/>
        <v>26473.868799999997</v>
      </c>
      <c r="F38" s="11">
        <f t="shared" si="0"/>
        <v>16638</v>
      </c>
      <c r="G38" s="78">
        <f t="shared" si="6"/>
        <v>37.153122100537104</v>
      </c>
      <c r="H38" s="28">
        <f t="shared" si="3"/>
        <v>15213.972201901977</v>
      </c>
      <c r="I38" s="28">
        <f t="shared" si="5"/>
        <v>78.983274553372993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8">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t="s">
        <v>481</v>
      </c>
      <c r="B56" s="14">
        <v>51307</v>
      </c>
      <c r="C56" s="14">
        <v>55125</v>
      </c>
      <c r="D56" s="28">
        <f t="shared" si="19"/>
        <v>53.819594185589374</v>
      </c>
      <c r="E56" s="11">
        <f t="shared" si="20"/>
        <v>56109.335199999994</v>
      </c>
      <c r="F56" s="11">
        <f t="shared" si="21"/>
        <v>55125</v>
      </c>
      <c r="G56" s="78">
        <f t="shared" si="22"/>
        <v>1.7543162764117</v>
      </c>
      <c r="H56" s="28">
        <f t="shared" si="23"/>
        <v>50406.91294806145</v>
      </c>
      <c r="I56" s="28">
        <f t="shared" si="24"/>
        <v>53.819594185589374</v>
      </c>
    </row>
    <row r="57" spans="1:9" x14ac:dyDescent="0.3">
      <c r="A57" s="16">
        <v>2018</v>
      </c>
      <c r="B57" s="14">
        <v>48184</v>
      </c>
      <c r="C57" s="14">
        <v>51690</v>
      </c>
      <c r="D57" s="28">
        <f t="shared" si="19"/>
        <v>53.88839441932187</v>
      </c>
      <c r="E57" s="11">
        <f t="shared" si="20"/>
        <v>52694.022399999994</v>
      </c>
      <c r="F57" s="11">
        <f t="shared" si="21"/>
        <v>51690</v>
      </c>
      <c r="G57" s="78">
        <f t="shared" si="22"/>
        <v>1.9053819660576892</v>
      </c>
      <c r="H57" s="28">
        <f t="shared" si="23"/>
        <v>47265.910753474767</v>
      </c>
      <c r="I57" s="28">
        <f t="shared" si="24"/>
        <v>53.88839441932187</v>
      </c>
    </row>
    <row r="58" spans="1:9" x14ac:dyDescent="0.3">
      <c r="A58" s="16">
        <v>2030</v>
      </c>
      <c r="B58" s="14">
        <v>24735</v>
      </c>
      <c r="C58" s="14">
        <v>26408</v>
      </c>
      <c r="D58" s="28">
        <f t="shared" si="19"/>
        <v>54.103214494421792</v>
      </c>
      <c r="E58" s="11">
        <f t="shared" si="20"/>
        <v>27050.195999999996</v>
      </c>
      <c r="F58" s="11">
        <f t="shared" si="21"/>
        <v>26408</v>
      </c>
      <c r="G58" s="78">
        <f t="shared" si="22"/>
        <v>2.3740900065936614</v>
      </c>
      <c r="H58" s="28">
        <f t="shared" si="23"/>
        <v>24147.768836869058</v>
      </c>
      <c r="I58" s="28">
        <f t="shared" si="24"/>
        <v>54.103214494421792</v>
      </c>
    </row>
    <row r="59" spans="1:9" x14ac:dyDescent="0.3">
      <c r="A59" s="16">
        <v>2037</v>
      </c>
      <c r="B59" s="14">
        <v>14961</v>
      </c>
      <c r="C59" s="14">
        <v>15976</v>
      </c>
      <c r="D59" s="28">
        <f t="shared" ref="D59:D73" si="25">I59</f>
        <v>54.09453683084979</v>
      </c>
      <c r="E59" s="11">
        <f t="shared" ref="E59:E73" si="26">B59 * 1.0936</f>
        <v>16361.349599999998</v>
      </c>
      <c r="F59" s="11">
        <f t="shared" ref="F59:F73" si="27">C59</f>
        <v>15976</v>
      </c>
      <c r="G59" s="78">
        <f t="shared" ref="G59:G73" si="28">100- (F59/E59 *100)</f>
        <v>2.3552433596309044</v>
      </c>
      <c r="H59" s="28">
        <f t="shared" ref="H59:H73" si="29">F59/1.0936</f>
        <v>14608.63204096562</v>
      </c>
      <c r="I59" s="28">
        <f t="shared" ref="I59:I73" si="30">((B59*48)+(H59*10))/C59</f>
        <v>54.09453683084979</v>
      </c>
    </row>
    <row r="60" spans="1:9" x14ac:dyDescent="0.3">
      <c r="A60" s="16">
        <v>2026</v>
      </c>
      <c r="B60" s="14">
        <v>70035</v>
      </c>
      <c r="C60" s="14">
        <v>75521</v>
      </c>
      <c r="D60" s="28">
        <f t="shared" si="25"/>
        <v>53.657292956404753</v>
      </c>
      <c r="E60" s="11">
        <f t="shared" si="26"/>
        <v>76590.275999999998</v>
      </c>
      <c r="F60" s="11">
        <f t="shared" si="27"/>
        <v>75521</v>
      </c>
      <c r="G60" s="78">
        <f t="shared" si="28"/>
        <v>1.3960988990299512</v>
      </c>
      <c r="H60" s="28">
        <f t="shared" si="29"/>
        <v>69057.242136064378</v>
      </c>
      <c r="I60" s="28">
        <f t="shared" si="30"/>
        <v>53.657292956404753</v>
      </c>
    </row>
    <row r="61" spans="1:9" x14ac:dyDescent="0.3">
      <c r="A61" s="16">
        <v>2016</v>
      </c>
      <c r="B61" s="14">
        <v>29033</v>
      </c>
      <c r="C61" s="14">
        <v>30892</v>
      </c>
      <c r="D61" s="28">
        <f t="shared" si="25"/>
        <v>54.255596366547223</v>
      </c>
      <c r="E61" s="11">
        <f t="shared" si="26"/>
        <v>31750.488799999996</v>
      </c>
      <c r="F61" s="11">
        <f t="shared" si="27"/>
        <v>30892</v>
      </c>
      <c r="G61" s="78">
        <f t="shared" si="28"/>
        <v>2.703860105611966</v>
      </c>
      <c r="H61" s="28">
        <f t="shared" si="29"/>
        <v>28247.988295537678</v>
      </c>
      <c r="I61" s="28">
        <f t="shared" si="30"/>
        <v>54.255596366547223</v>
      </c>
    </row>
    <row r="62" spans="1:9" x14ac:dyDescent="0.3">
      <c r="A62" s="16">
        <v>2012</v>
      </c>
      <c r="B62" s="14">
        <v>28546</v>
      </c>
      <c r="C62" s="14">
        <v>15097</v>
      </c>
      <c r="D62" s="28">
        <f t="shared" si="25"/>
        <v>99.904394692425228</v>
      </c>
      <c r="E62" s="11">
        <f t="shared" si="26"/>
        <v>31217.905599999998</v>
      </c>
      <c r="F62" s="11">
        <f t="shared" si="27"/>
        <v>15097</v>
      </c>
      <c r="G62" s="78">
        <f t="shared" si="28"/>
        <v>51.639933205512669</v>
      </c>
      <c r="H62" s="28">
        <f t="shared" si="29"/>
        <v>13804.864667154354</v>
      </c>
      <c r="I62" s="28">
        <f t="shared" si="30"/>
        <v>99.904394692425228</v>
      </c>
    </row>
    <row r="63" spans="1:9" x14ac:dyDescent="0.3">
      <c r="A63" s="16">
        <v>2014</v>
      </c>
      <c r="B63" s="14">
        <v>28559</v>
      </c>
      <c r="C63" s="14">
        <v>29748</v>
      </c>
      <c r="D63" s="28">
        <f t="shared" si="25"/>
        <v>55.225595661936268</v>
      </c>
      <c r="E63" s="11">
        <f t="shared" si="26"/>
        <v>31232.122399999997</v>
      </c>
      <c r="F63" s="11">
        <f t="shared" si="27"/>
        <v>29748</v>
      </c>
      <c r="G63" s="78">
        <f t="shared" si="28"/>
        <v>4.751910167974998</v>
      </c>
      <c r="H63" s="28">
        <f t="shared" si="29"/>
        <v>27201.901975128021</v>
      </c>
      <c r="I63" s="28">
        <f t="shared" si="30"/>
        <v>55.225595661936268</v>
      </c>
    </row>
    <row r="64" spans="1:9" x14ac:dyDescent="0.3">
      <c r="A64" s="16">
        <v>2013</v>
      </c>
      <c r="B64" s="14">
        <v>26975</v>
      </c>
      <c r="C64" s="14">
        <v>28378</v>
      </c>
      <c r="D64" s="28">
        <f t="shared" si="25"/>
        <v>54.771005265265458</v>
      </c>
      <c r="E64" s="11">
        <f t="shared" si="26"/>
        <v>29499.859999999997</v>
      </c>
      <c r="F64" s="11">
        <f t="shared" si="27"/>
        <v>28378</v>
      </c>
      <c r="G64" s="78">
        <f t="shared" si="28"/>
        <v>3.8029333020563456</v>
      </c>
      <c r="H64" s="28">
        <f t="shared" si="29"/>
        <v>25949.158741770301</v>
      </c>
      <c r="I64" s="28">
        <f t="shared" si="30"/>
        <v>54.771005265265458</v>
      </c>
    </row>
    <row r="65" spans="1:9" x14ac:dyDescent="0.3">
      <c r="A65" s="16">
        <v>2031</v>
      </c>
      <c r="B65" s="14">
        <v>36016</v>
      </c>
      <c r="C65" s="14">
        <v>38699</v>
      </c>
      <c r="D65" s="28">
        <f t="shared" si="25"/>
        <v>53.816273263763456</v>
      </c>
      <c r="E65" s="11">
        <f t="shared" si="26"/>
        <v>39387.097599999994</v>
      </c>
      <c r="F65" s="11">
        <f t="shared" si="27"/>
        <v>38699</v>
      </c>
      <c r="G65" s="78">
        <f t="shared" si="28"/>
        <v>1.7470127070241261</v>
      </c>
      <c r="H65" s="28">
        <f t="shared" si="29"/>
        <v>35386.795903438186</v>
      </c>
      <c r="I65" s="28">
        <f t="shared" si="30"/>
        <v>53.816273263763456</v>
      </c>
    </row>
    <row r="66" spans="1:9" x14ac:dyDescent="0.3">
      <c r="A66" s="16">
        <v>2019</v>
      </c>
      <c r="B66" s="14">
        <v>52178</v>
      </c>
      <c r="C66" s="14">
        <v>56732</v>
      </c>
      <c r="D66" s="28">
        <f t="shared" si="25"/>
        <v>53.291047665634714</v>
      </c>
      <c r="E66" s="11">
        <f t="shared" si="26"/>
        <v>57061.860799999995</v>
      </c>
      <c r="F66" s="11">
        <f t="shared" si="27"/>
        <v>56732</v>
      </c>
      <c r="G66" s="78">
        <f t="shared" si="28"/>
        <v>0.57807578542899307</v>
      </c>
      <c r="H66" s="28">
        <f t="shared" si="29"/>
        <v>51876.371616678865</v>
      </c>
      <c r="I66" s="28">
        <f t="shared" si="30"/>
        <v>53.291047665634714</v>
      </c>
    </row>
    <row r="67" spans="1:9" x14ac:dyDescent="0.3">
      <c r="A67" s="16">
        <v>2039</v>
      </c>
      <c r="B67" s="14">
        <v>31746</v>
      </c>
      <c r="C67" s="14">
        <v>34039</v>
      </c>
      <c r="D67" s="28">
        <f t="shared" si="25"/>
        <v>53.910643699222504</v>
      </c>
      <c r="E67" s="11">
        <f t="shared" si="26"/>
        <v>34717.425599999995</v>
      </c>
      <c r="F67" s="11">
        <f t="shared" si="27"/>
        <v>34039</v>
      </c>
      <c r="G67" s="78">
        <f t="shared" si="28"/>
        <v>1.9541356776177423</v>
      </c>
      <c r="H67" s="28">
        <f t="shared" si="29"/>
        <v>31125.640087783471</v>
      </c>
      <c r="I67" s="28">
        <f t="shared" si="30"/>
        <v>53.910643699222504</v>
      </c>
    </row>
    <row r="68" spans="1:9" x14ac:dyDescent="0.3">
      <c r="A68" s="16">
        <v>2023</v>
      </c>
      <c r="B68" s="14">
        <v>20503</v>
      </c>
      <c r="C68" s="14">
        <v>21968</v>
      </c>
      <c r="D68" s="28">
        <f t="shared" si="25"/>
        <v>53.943091527424876</v>
      </c>
      <c r="E68" s="11">
        <f t="shared" si="26"/>
        <v>22422.0808</v>
      </c>
      <c r="F68" s="11">
        <f t="shared" si="27"/>
        <v>21968</v>
      </c>
      <c r="G68" s="78">
        <f t="shared" si="28"/>
        <v>2.0251501368240525</v>
      </c>
      <c r="H68" s="28">
        <f t="shared" si="29"/>
        <v>20087.783467446967</v>
      </c>
      <c r="I68" s="28">
        <f t="shared" si="30"/>
        <v>53.943091527424876</v>
      </c>
    </row>
    <row r="69" spans="1:9" x14ac:dyDescent="0.3">
      <c r="A69" s="16" t="s">
        <v>564</v>
      </c>
      <c r="B69" s="14">
        <v>28441</v>
      </c>
      <c r="C69" s="14">
        <v>30546</v>
      </c>
      <c r="D69" s="28">
        <f t="shared" si="25"/>
        <v>53.836313117357726</v>
      </c>
      <c r="E69" s="11">
        <f t="shared" si="26"/>
        <v>31103.077599999997</v>
      </c>
      <c r="F69" s="11">
        <f t="shared" si="27"/>
        <v>30546</v>
      </c>
      <c r="G69" s="78">
        <f t="shared" si="28"/>
        <v>1.7910690612815756</v>
      </c>
      <c r="H69" s="28">
        <f t="shared" si="29"/>
        <v>27931.602048280911</v>
      </c>
      <c r="I69" s="28">
        <f t="shared" si="30"/>
        <v>53.836313117357726</v>
      </c>
    </row>
    <row r="70" spans="1:9" x14ac:dyDescent="0.3">
      <c r="A70" s="16" t="s">
        <v>563</v>
      </c>
      <c r="B70" s="14">
        <v>57352</v>
      </c>
      <c r="C70" s="14">
        <v>49219</v>
      </c>
      <c r="D70" s="28">
        <f t="shared" si="25"/>
        <v>65.075682333618047</v>
      </c>
      <c r="E70" s="11">
        <f t="shared" si="26"/>
        <v>62720.147199999992</v>
      </c>
      <c r="F70" s="11">
        <f t="shared" si="27"/>
        <v>49219</v>
      </c>
      <c r="G70" s="78">
        <f t="shared" si="28"/>
        <v>21.526013255275004</v>
      </c>
      <c r="H70" s="28">
        <f t="shared" si="29"/>
        <v>45006.400877834676</v>
      </c>
      <c r="I70" s="28">
        <f t="shared" si="30"/>
        <v>65.075682333618047</v>
      </c>
    </row>
    <row r="71" spans="1:9" x14ac:dyDescent="0.3">
      <c r="A71" s="16">
        <v>2024</v>
      </c>
      <c r="B71" s="14">
        <v>16895</v>
      </c>
      <c r="C71" s="14">
        <v>18197</v>
      </c>
      <c r="D71" s="28">
        <f t="shared" si="25"/>
        <v>53.709698926634012</v>
      </c>
      <c r="E71" s="11">
        <f t="shared" si="26"/>
        <v>18476.371999999999</v>
      </c>
      <c r="F71" s="11">
        <f t="shared" si="27"/>
        <v>18197</v>
      </c>
      <c r="G71" s="78">
        <f t="shared" si="28"/>
        <v>1.5120500929511422</v>
      </c>
      <c r="H71" s="28">
        <f t="shared" si="29"/>
        <v>16639.539136795906</v>
      </c>
      <c r="I71" s="28">
        <f t="shared" si="30"/>
        <v>53.709698926634012</v>
      </c>
    </row>
    <row r="72" spans="1:9" x14ac:dyDescent="0.3">
      <c r="A72" s="16">
        <v>2025</v>
      </c>
      <c r="B72" s="14">
        <v>6991</v>
      </c>
      <c r="C72" s="14">
        <v>7531</v>
      </c>
      <c r="D72" s="28">
        <f t="shared" si="25"/>
        <v>53.702337191595397</v>
      </c>
      <c r="E72" s="11">
        <f t="shared" si="26"/>
        <v>7645.3575999999994</v>
      </c>
      <c r="F72" s="11">
        <f t="shared" si="27"/>
        <v>7531</v>
      </c>
      <c r="G72" s="78">
        <f t="shared" si="28"/>
        <v>1.4957783008083112</v>
      </c>
      <c r="H72" s="28">
        <f t="shared" si="29"/>
        <v>6886.4301389904904</v>
      </c>
      <c r="I72" s="28">
        <f t="shared" si="30"/>
        <v>53.702337191595397</v>
      </c>
    </row>
    <row r="73" spans="1:9" x14ac:dyDescent="0.3">
      <c r="A73" s="16">
        <v>2041</v>
      </c>
      <c r="B73" s="14">
        <v>50350</v>
      </c>
      <c r="C73" s="14">
        <v>54214</v>
      </c>
      <c r="D73" s="28">
        <f t="shared" si="25"/>
        <v>53.723002253741562</v>
      </c>
      <c r="E73" s="11">
        <f t="shared" si="26"/>
        <v>55062.759999999995</v>
      </c>
      <c r="F73" s="11">
        <f t="shared" si="27"/>
        <v>54214</v>
      </c>
      <c r="G73" s="78">
        <f t="shared" si="28"/>
        <v>1.5414410756017247</v>
      </c>
      <c r="H73" s="28">
        <f t="shared" si="29"/>
        <v>49573.884418434529</v>
      </c>
      <c r="I73" s="28">
        <f t="shared" si="30"/>
        <v>53.723002253741562</v>
      </c>
    </row>
    <row r="74" spans="1:9" x14ac:dyDescent="0.3">
      <c r="A74" s="16" t="s">
        <v>28</v>
      </c>
      <c r="B74" s="30">
        <v>80202</v>
      </c>
      <c r="C74" s="30">
        <v>2070161.8824</v>
      </c>
      <c r="D74" s="28">
        <f t="shared" ref="D74:D84" si="31">I74</f>
        <v>11.003722284997542</v>
      </c>
      <c r="E74" s="11">
        <f t="shared" ref="E74:E84" si="32">B74 * 1.0936</f>
        <v>87708.907199999987</v>
      </c>
      <c r="F74" s="11">
        <f t="shared" ref="F74:F84" si="33">C74</f>
        <v>2070161.8824</v>
      </c>
      <c r="G74" s="78">
        <f t="shared" ref="G74:G84" si="34">100- (F74/E74 *100)</f>
        <v>-2260.2641379164288</v>
      </c>
      <c r="H74" s="28">
        <f t="shared" ref="H74:H84" si="35">F74/1.0936</f>
        <v>1892979.043891734</v>
      </c>
      <c r="I74" s="28">
        <f t="shared" ref="I74:I84" si="36">((B74*48)+(H74*10))/C74</f>
        <v>11.003722284997542</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40976</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144000</v>
      </c>
    </row>
    <row r="37" spans="2:10" x14ac:dyDescent="0.3">
      <c r="B37" s="1">
        <v>46042</v>
      </c>
      <c r="D37">
        <f>SUMIFS(Table14[Debit], Table14[Date], Table5[[#This Row],[Date]], Table14[Party], "Rashan")</f>
        <v>0</v>
      </c>
      <c r="H37" s="1"/>
      <c r="J37">
        <f>SUM(Table15[Amount])</f>
        <v>634210</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zoomScale="67" workbookViewId="0">
      <selection activeCell="L18" sqref="L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10747720.484272134</v>
      </c>
    </row>
    <row r="3" spans="1:3" ht="21" x14ac:dyDescent="0.4">
      <c r="A3" s="102" t="str">
        <f>Billing!Q6</f>
        <v>Ejaz Sahab</v>
      </c>
      <c r="B3" s="105">
        <f>Billing!AD6</f>
        <v>5195319</v>
      </c>
      <c r="C3" s="103">
        <f>Billing!AE6</f>
        <v>0.12948061525821686</v>
      </c>
    </row>
    <row r="4" spans="1:3" ht="21" x14ac:dyDescent="0.4">
      <c r="A4" s="102" t="str">
        <f>Billing!Q7</f>
        <v>Arshad</v>
      </c>
      <c r="B4" s="105">
        <f>Billing!AD7</f>
        <v>7835501</v>
      </c>
      <c r="C4" s="104">
        <f>Billing!AE7</f>
        <v>60684.076810535043</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452054.93269934133</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1464722.435991222</v>
      </c>
    </row>
    <row r="10" spans="1:3" ht="21" x14ac:dyDescent="0.4">
      <c r="A10" s="102" t="str">
        <f>Billing!Q13</f>
        <v>Ubaidullah</v>
      </c>
      <c r="B10" s="105">
        <f>Billing!AD13</f>
        <v>1490190</v>
      </c>
      <c r="C10" s="103">
        <f>Billing!AE13</f>
        <v>59551.221653255168</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353867.57863935642</v>
      </c>
    </row>
    <row r="21" spans="1:3" ht="21" x14ac:dyDescent="0.4">
      <c r="A21" s="102" t="str">
        <f>Billing!Q24</f>
        <v>Salman Zaffar</v>
      </c>
      <c r="B21" s="105">
        <f>Billing!AD24</f>
        <v>2446025</v>
      </c>
      <c r="C21" s="103">
        <f>Billing!AE24</f>
        <v>195773.64667154383</v>
      </c>
    </row>
    <row r="22" spans="1:3" ht="21" x14ac:dyDescent="0.4">
      <c r="A22" s="102" t="str">
        <f>Billing!Q25</f>
        <v>Shahid Qasayi</v>
      </c>
      <c r="B22" s="105">
        <f>Billing!AD25</f>
        <v>2761895</v>
      </c>
      <c r="C22" s="103">
        <f>Billing!AE25</f>
        <v>174664.98536942201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2026-01-23T02:46:04Z</dcterms:modified>
  <cp:category/>
  <cp:contentStatus/>
</cp:coreProperties>
</file>