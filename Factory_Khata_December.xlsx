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858" documentId="13_ncr:1_{89B07303-4F83-4416-81AD-F450F7417961}" xr6:coauthVersionLast="47" xr6:coauthVersionMax="47" xr10:uidLastSave="{944FA7D5-6164-4487-BD63-D8E79EA66830}"/>
  <bookViews>
    <workbookView xWindow="-108" yWindow="-108" windowWidth="23256" windowHeight="12456" tabRatio="59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 r:id="rId19"/>
    <pivotCache cacheId="13" r:id="rId20"/>
    <pivotCache cacheId="18" r:id="rId21"/>
    <pivotCache cacheId="24" r:id="rId22"/>
    <pivotCache cacheId="28" r:id="rId23"/>
    <pivotCache cacheId="33"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4" l="1"/>
  <c r="J38" i="14"/>
  <c r="J39" i="14"/>
  <c r="J40" i="14"/>
  <c r="J41" i="14"/>
  <c r="J42" i="14"/>
  <c r="D38" i="14"/>
  <c r="D39" i="14"/>
  <c r="D40" i="14"/>
  <c r="D41" i="14"/>
  <c r="D38" i="18"/>
  <c r="D39" i="18"/>
  <c r="D40" i="18"/>
  <c r="D41" i="18"/>
  <c r="D42" i="18"/>
  <c r="D43" i="18"/>
  <c r="E38" i="18"/>
  <c r="E39" i="18"/>
  <c r="E40" i="18"/>
  <c r="E41" i="18"/>
  <c r="E42" i="18"/>
  <c r="E43" i="18"/>
  <c r="I192" i="1"/>
  <c r="J192" i="1" s="1" a="1"/>
  <c r="J192" i="1" s="1"/>
  <c r="I193" i="1"/>
  <c r="J193" i="1" a="1"/>
  <c r="J193" i="1"/>
  <c r="I194" i="1"/>
  <c r="J194" i="1" a="1"/>
  <c r="J194" i="1" s="1"/>
  <c r="I195" i="1"/>
  <c r="J195" i="1" a="1"/>
  <c r="J195" i="1"/>
  <c r="I196" i="1"/>
  <c r="J196" i="1" a="1"/>
  <c r="J196" i="1" s="1"/>
  <c r="I197" i="1"/>
  <c r="J197" i="1" a="1"/>
  <c r="J197" i="1"/>
  <c r="I198" i="1"/>
  <c r="J198" i="1" a="1"/>
  <c r="J198" i="1" s="1"/>
  <c r="I199" i="1"/>
  <c r="J199" i="1" a="1"/>
  <c r="J199" i="1"/>
  <c r="I200" i="1"/>
  <c r="J200" i="1" a="1"/>
  <c r="J200" i="1" s="1"/>
  <c r="H201" i="1"/>
  <c r="F19" i="15"/>
  <c r="F20" i="15"/>
  <c r="G17" i="15"/>
  <c r="H17" i="15" s="1"/>
  <c r="G18" i="15"/>
  <c r="H18" i="15" s="1"/>
  <c r="G19" i="15"/>
  <c r="H19" i="15" s="1"/>
  <c r="G20" i="15"/>
  <c r="H20" i="15" s="1"/>
  <c r="I182" i="1"/>
  <c r="J182" i="1" a="1"/>
  <c r="J182" i="1" s="1"/>
  <c r="I183" i="1"/>
  <c r="J183" i="1" s="1" a="1"/>
  <c r="J183" i="1" s="1"/>
  <c r="I184" i="1"/>
  <c r="J184" i="1" a="1"/>
  <c r="J184" i="1" s="1"/>
  <c r="I185" i="1"/>
  <c r="J185" i="1" a="1"/>
  <c r="J185" i="1" s="1"/>
  <c r="I186" i="1"/>
  <c r="J186" i="1" a="1"/>
  <c r="J186" i="1" s="1"/>
  <c r="I187" i="1"/>
  <c r="J187" i="1" s="1" a="1"/>
  <c r="J187" i="1" s="1"/>
  <c r="I188" i="1"/>
  <c r="J188" i="1" a="1"/>
  <c r="J188" i="1" s="1"/>
  <c r="I189" i="1"/>
  <c r="J189" i="1" a="1"/>
  <c r="J189" i="1" s="1"/>
  <c r="I190" i="1"/>
  <c r="J190" i="1" a="1"/>
  <c r="J190" i="1" s="1"/>
  <c r="I191" i="1"/>
  <c r="J191" i="1" s="1" a="1"/>
  <c r="J191" i="1" s="1"/>
  <c r="H193" i="1"/>
  <c r="I177" i="1"/>
  <c r="J177" i="1" s="1" a="1"/>
  <c r="J177" i="1" s="1"/>
  <c r="I178" i="1"/>
  <c r="J178" i="1" a="1"/>
  <c r="J178" i="1" s="1"/>
  <c r="I179" i="1"/>
  <c r="J179" i="1" s="1" a="1"/>
  <c r="J179" i="1" s="1"/>
  <c r="I180" i="1"/>
  <c r="J180" i="1" s="1" a="1"/>
  <c r="J180" i="1" s="1"/>
  <c r="I181" i="1"/>
  <c r="J181" i="1" s="1" a="1"/>
  <c r="J181" i="1" s="1"/>
  <c r="I175" i="1"/>
  <c r="J175" i="1" a="1"/>
  <c r="J175" i="1" s="1"/>
  <c r="I176" i="1"/>
  <c r="J176" i="1" s="1" a="1"/>
  <c r="J176" i="1" s="1"/>
  <c r="H182" i="1"/>
  <c r="G116" i="6"/>
  <c r="G117" i="6"/>
  <c r="G118" i="6"/>
  <c r="G119" i="6"/>
  <c r="G120" i="6"/>
  <c r="G121" i="6"/>
  <c r="I116" i="6"/>
  <c r="I117" i="6"/>
  <c r="I118" i="6"/>
  <c r="I119" i="6"/>
  <c r="I120" i="6"/>
  <c r="I121" i="6"/>
  <c r="H113" i="6"/>
  <c r="I113" i="6" s="1"/>
  <c r="H114" i="6"/>
  <c r="I114" i="6" s="1"/>
  <c r="H115" i="6"/>
  <c r="I115" i="6" s="1"/>
  <c r="G115" i="6"/>
  <c r="G114" i="6"/>
  <c r="G113" i="6"/>
  <c r="C5" i="8"/>
  <c r="I167" i="1"/>
  <c r="J167" i="1" s="1" a="1"/>
  <c r="J167" i="1" s="1"/>
  <c r="I168" i="1"/>
  <c r="J168" i="1" s="1" a="1"/>
  <c r="J168" i="1" s="1"/>
  <c r="I169" i="1"/>
  <c r="J169" i="1" s="1" a="1"/>
  <c r="J169" i="1" s="1"/>
  <c r="I170" i="1"/>
  <c r="J170" i="1" s="1" a="1"/>
  <c r="J170" i="1" s="1"/>
  <c r="I171" i="1"/>
  <c r="J171" i="1" s="1" a="1"/>
  <c r="J171" i="1" s="1"/>
  <c r="I172" i="1"/>
  <c r="J172" i="1" s="1" a="1"/>
  <c r="J172" i="1" s="1"/>
  <c r="I173" i="1"/>
  <c r="J173" i="1" s="1" a="1"/>
  <c r="J173" i="1" s="1"/>
  <c r="I174" i="1"/>
  <c r="J174" i="1" s="1" a="1"/>
  <c r="J174" i="1" s="1"/>
  <c r="G14" i="15"/>
  <c r="H14" i="15" s="1"/>
  <c r="G15" i="15"/>
  <c r="H15" i="15" s="1"/>
  <c r="G16" i="15"/>
  <c r="H16" i="15" s="1"/>
  <c r="I164" i="1"/>
  <c r="J164" i="1" s="1" a="1"/>
  <c r="J164" i="1" s="1"/>
  <c r="I165" i="1"/>
  <c r="J165" i="1" a="1"/>
  <c r="J165" i="1" s="1"/>
  <c r="I166" i="1"/>
  <c r="J166" i="1" s="1" a="1"/>
  <c r="J166" i="1" s="1"/>
  <c r="H108" i="6"/>
  <c r="I108" i="6" s="1"/>
  <c r="G111" i="6"/>
  <c r="G112" i="6"/>
  <c r="H110" i="6"/>
  <c r="I110" i="6" s="1"/>
  <c r="H111" i="6"/>
  <c r="I111" i="6" s="1"/>
  <c r="H112" i="6"/>
  <c r="I112" i="6" s="1"/>
  <c r="H109" i="6"/>
  <c r="I109" i="6" s="1"/>
  <c r="H107" i="6"/>
  <c r="I107" i="6" s="1"/>
  <c r="I161" i="1"/>
  <c r="J161" i="1" s="1" a="1"/>
  <c r="J161" i="1" s="1"/>
  <c r="I162" i="1"/>
  <c r="J162" i="1" s="1" a="1"/>
  <c r="J162" i="1" s="1"/>
  <c r="I163" i="1"/>
  <c r="J163" i="1" s="1" a="1"/>
  <c r="J163" i="1" s="1"/>
  <c r="H106" i="6"/>
  <c r="I106" i="6" s="1"/>
  <c r="H103" i="6"/>
  <c r="I103" i="6" s="1"/>
  <c r="H104" i="6"/>
  <c r="I104" i="6" s="1"/>
  <c r="H105" i="6"/>
  <c r="I105" i="6" s="1"/>
  <c r="G103" i="6"/>
  <c r="G104" i="6"/>
  <c r="G105" i="6"/>
  <c r="G106" i="6"/>
  <c r="G107" i="6"/>
  <c r="G108" i="6"/>
  <c r="G109" i="6"/>
  <c r="G110" i="6"/>
  <c r="H102" i="6"/>
  <c r="I102" i="6" s="1"/>
  <c r="I159" i="1"/>
  <c r="J159" i="1" s="1" a="1"/>
  <c r="J159" i="1" s="1"/>
  <c r="I160" i="1"/>
  <c r="J160" i="1" s="1" a="1"/>
  <c r="J160" i="1" s="1"/>
  <c r="C420" i="17"/>
  <c r="G19" i="7"/>
  <c r="H19" i="7" s="1"/>
  <c r="G20" i="7"/>
  <c r="H20" i="7" s="1"/>
  <c r="G21" i="7"/>
  <c r="H21" i="7" s="1"/>
  <c r="G22" i="7"/>
  <c r="H22" i="7" s="1"/>
  <c r="G23" i="7"/>
  <c r="H23" i="7" s="1"/>
  <c r="G5" i="15"/>
  <c r="G6" i="15"/>
  <c r="G7" i="15"/>
  <c r="G8" i="15"/>
  <c r="G9" i="15"/>
  <c r="G10" i="15"/>
  <c r="H10" i="15" s="1"/>
  <c r="G11" i="15"/>
  <c r="G12" i="15"/>
  <c r="G13" i="15"/>
  <c r="G99" i="6"/>
  <c r="G100" i="6"/>
  <c r="G101" i="6"/>
  <c r="G102" i="6"/>
  <c r="I99" i="6"/>
  <c r="I100" i="6"/>
  <c r="I101" i="6"/>
  <c r="H98" i="6"/>
  <c r="I98" i="6" s="1"/>
  <c r="H97" i="6"/>
  <c r="I97" i="6" s="1"/>
  <c r="H94" i="6"/>
  <c r="I94" i="6" s="1"/>
  <c r="H95" i="6"/>
  <c r="I95" i="6" s="1"/>
  <c r="H96" i="6"/>
  <c r="I96" i="6" s="1"/>
  <c r="H93" i="6"/>
  <c r="I93" i="6"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4" i="1"/>
  <c r="J154" i="1" s="1" a="1"/>
  <c r="J154" i="1" s="1"/>
  <c r="I155" i="1"/>
  <c r="J155" i="1" s="1" a="1"/>
  <c r="J155" i="1" s="1"/>
  <c r="I156" i="1"/>
  <c r="J156" i="1" s="1" a="1"/>
  <c r="J156" i="1" s="1"/>
  <c r="I157" i="1"/>
  <c r="J157" i="1" s="1" a="1"/>
  <c r="J157" i="1" s="1"/>
  <c r="I158" i="1"/>
  <c r="J158" i="1" s="1" a="1"/>
  <c r="J158" i="1" s="1"/>
  <c r="G153" i="1"/>
  <c r="I153" i="1" s="1"/>
  <c r="J153" i="1" s="1" a="1"/>
  <c r="J153" i="1" s="1"/>
  <c r="I135" i="1"/>
  <c r="J135" i="1" s="1" a="1"/>
  <c r="J135" i="1" s="1"/>
  <c r="I136" i="1"/>
  <c r="J136" i="1" s="1" a="1"/>
  <c r="J136" i="1" s="1"/>
  <c r="I137" i="1"/>
  <c r="J137" i="1" s="1" a="1"/>
  <c r="J137" i="1" s="1"/>
  <c r="I138" i="1"/>
  <c r="J138" i="1" s="1" a="1"/>
  <c r="J138" i="1" s="1"/>
  <c r="I139" i="1"/>
  <c r="J139" i="1" s="1" a="1"/>
  <c r="J139" i="1" s="1"/>
  <c r="I140" i="1"/>
  <c r="J140" i="1" s="1" a="1"/>
  <c r="J140" i="1" s="1"/>
  <c r="I141" i="1"/>
  <c r="J141" i="1" s="1" a="1"/>
  <c r="J141" i="1" s="1"/>
  <c r="I142" i="1"/>
  <c r="J142" i="1" s="1" a="1"/>
  <c r="J142" i="1" s="1"/>
  <c r="G91" i="6"/>
  <c r="G92" i="6"/>
  <c r="G93" i="6"/>
  <c r="G94" i="6"/>
  <c r="G95" i="6"/>
  <c r="G96" i="6"/>
  <c r="G97" i="6"/>
  <c r="G98" i="6"/>
  <c r="I91" i="6"/>
  <c r="I92" i="6"/>
  <c r="G17" i="7"/>
  <c r="H17" i="7" s="1"/>
  <c r="G18" i="7"/>
  <c r="H18" i="7" s="1"/>
  <c r="H90" i="6"/>
  <c r="I90" i="6" s="1"/>
  <c r="H89" i="6"/>
  <c r="I89" i="6" s="1"/>
  <c r="H88" i="6"/>
  <c r="I88" i="6" s="1"/>
  <c r="H86" i="6"/>
  <c r="I86" i="6" s="1"/>
  <c r="H85" i="6"/>
  <c r="I85" i="6" s="1"/>
  <c r="G16" i="7"/>
  <c r="H16" i="7" s="1"/>
  <c r="H51" i="6"/>
  <c r="I51" i="6" s="1"/>
  <c r="I130" i="1"/>
  <c r="J130" i="1" s="1" a="1"/>
  <c r="J130" i="1" s="1"/>
  <c r="I131" i="1"/>
  <c r="J131" i="1" s="1" a="1"/>
  <c r="J131" i="1" s="1"/>
  <c r="I132" i="1"/>
  <c r="J132" i="1" s="1" a="1"/>
  <c r="J132" i="1" s="1"/>
  <c r="I133" i="1"/>
  <c r="J133" i="1" s="1" a="1"/>
  <c r="J133" i="1" s="1"/>
  <c r="I134" i="1"/>
  <c r="J134" i="1" s="1" a="1"/>
  <c r="J134" i="1" s="1"/>
  <c r="F112" i="1"/>
  <c r="F116" i="1"/>
  <c r="F124" i="1"/>
  <c r="H84" i="6"/>
  <c r="I84" i="6" s="1"/>
  <c r="H83" i="6"/>
  <c r="I83" i="6" s="1"/>
  <c r="G83" i="6"/>
  <c r="G84" i="6"/>
  <c r="G85" i="6"/>
  <c r="G86" i="6"/>
  <c r="G87" i="6"/>
  <c r="G88" i="6"/>
  <c r="G89" i="6"/>
  <c r="G90" i="6"/>
  <c r="I87" i="6"/>
  <c r="G101" i="1"/>
  <c r="I101" i="1" s="1"/>
  <c r="J101" i="1" s="1" a="1"/>
  <c r="J101" i="1" s="1"/>
  <c r="G100" i="1"/>
  <c r="I100" i="1" s="1"/>
  <c r="J100" i="1" s="1" a="1"/>
  <c r="J100" i="1" s="1"/>
  <c r="I69" i="1"/>
  <c r="J69" i="1" a="1"/>
  <c r="J69" i="1" s="1"/>
  <c r="H44" i="6"/>
  <c r="I44" i="6" s="1"/>
  <c r="I118" i="1"/>
  <c r="J118" i="1" s="1" a="1"/>
  <c r="J118" i="1" s="1"/>
  <c r="I119" i="1"/>
  <c r="J119" i="1" s="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I127" i="1"/>
  <c r="J127" i="1" s="1" a="1"/>
  <c r="J127" i="1" s="1"/>
  <c r="I128" i="1"/>
  <c r="J128" i="1" s="1" a="1"/>
  <c r="J128" i="1" s="1"/>
  <c r="I129" i="1"/>
  <c r="J129" i="1" s="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I81" i="6" s="1"/>
  <c r="G63" i="6"/>
  <c r="G64" i="6"/>
  <c r="G65" i="6"/>
  <c r="G81" i="6"/>
  <c r="G82" i="6"/>
  <c r="I64" i="6"/>
  <c r="I114" i="1"/>
  <c r="J114" i="1" s="1" a="1"/>
  <c r="J114" i="1" s="1"/>
  <c r="I115" i="1"/>
  <c r="J115" i="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s="1" a="1"/>
  <c r="J113" i="1" s="1"/>
  <c r="I111" i="1"/>
  <c r="J111" i="1" s="1" a="1"/>
  <c r="J111" i="1" s="1"/>
  <c r="I103" i="1"/>
  <c r="J103" i="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F110" i="1"/>
  <c r="C190" i="17"/>
  <c r="O112" i="9"/>
  <c r="AD33" i="9"/>
  <c r="B21" i="21"/>
  <c r="D3" i="17"/>
  <c r="N6" i="17" s="1"/>
  <c r="D2" i="17"/>
  <c r="B4" i="21"/>
  <c r="H53" i="6"/>
  <c r="I53" i="6" s="1"/>
  <c r="H52" i="6"/>
  <c r="I52" i="6" s="1"/>
  <c r="G54" i="6"/>
  <c r="G55" i="6"/>
  <c r="I54" i="6"/>
  <c r="I55" i="6"/>
  <c r="G51" i="6"/>
  <c r="G52" i="6"/>
  <c r="G53" i="6"/>
  <c r="I94" i="1"/>
  <c r="J94" i="1" s="1" a="1"/>
  <c r="J94" i="1" s="1"/>
  <c r="I95" i="1"/>
  <c r="J95" i="1" s="1" a="1"/>
  <c r="J95" i="1" s="1"/>
  <c r="I99" i="1"/>
  <c r="J99" i="1" s="1" a="1"/>
  <c r="J99" i="1" s="1"/>
  <c r="I102" i="1"/>
  <c r="J102" i="1" s="1" a="1"/>
  <c r="J102" i="1" s="1"/>
  <c r="G98" i="1"/>
  <c r="I98" i="1"/>
  <c r="J98" i="1" s="1" a="1"/>
  <c r="J98" i="1" s="1"/>
  <c r="G97" i="1"/>
  <c r="I97" i="1" s="1"/>
  <c r="J97" i="1" s="1" a="1"/>
  <c r="J97" i="1" s="1"/>
  <c r="G93" i="1"/>
  <c r="I93" i="1" s="1"/>
  <c r="J93" i="1" s="1" a="1"/>
  <c r="J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a="1"/>
  <c r="J82" i="1" s="1"/>
  <c r="I83" i="1"/>
  <c r="J83" i="1" s="1" a="1"/>
  <c r="J83" i="1" s="1"/>
  <c r="I84" i="1"/>
  <c r="J84" i="1" s="1" a="1"/>
  <c r="J84" i="1" s="1"/>
  <c r="I85" i="1"/>
  <c r="J85" i="1" s="1" a="1"/>
  <c r="J85" i="1" s="1"/>
  <c r="I86" i="1"/>
  <c r="J86" i="1" s="1" a="1"/>
  <c r="J86" i="1" s="1"/>
  <c r="I87" i="1"/>
  <c r="J87" i="1" s="1" a="1"/>
  <c r="J87" i="1" s="1"/>
  <c r="I88" i="1"/>
  <c r="I89" i="1"/>
  <c r="J89" i="1" a="1"/>
  <c r="J89" i="1" s="1"/>
  <c r="I90" i="1"/>
  <c r="J90" i="1" s="1" a="1"/>
  <c r="J90" i="1" s="1"/>
  <c r="I91" i="1"/>
  <c r="J91" i="1" s="1" a="1"/>
  <c r="J91" i="1" s="1"/>
  <c r="I92" i="1"/>
  <c r="J92" i="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K112" i="9"/>
  <c r="Z33" i="9" a="1"/>
  <c r="Z33" i="9" s="1"/>
  <c r="L112" i="9"/>
  <c r="AA33" i="9" a="1"/>
  <c r="AA33" i="9" s="1"/>
  <c r="M112" i="9"/>
  <c r="AB33" i="9" a="1"/>
  <c r="AB33" i="9" s="1"/>
  <c r="C113" i="9"/>
  <c r="D113" i="9"/>
  <c r="S34" i="9" a="1"/>
  <c r="S34" i="9" s="1"/>
  <c r="E113" i="9"/>
  <c r="F113" i="9"/>
  <c r="U34" i="9" a="1"/>
  <c r="U34" i="9" s="1"/>
  <c r="G113" i="9"/>
  <c r="V34" i="9" a="1"/>
  <c r="V34" i="9" s="1"/>
  <c r="H113" i="9"/>
  <c r="I113" i="9"/>
  <c r="X34" i="9" a="1"/>
  <c r="X34" i="9" s="1"/>
  <c r="J113" i="9"/>
  <c r="Y34" i="9" a="1"/>
  <c r="Y34" i="9" s="1"/>
  <c r="K113" i="9"/>
  <c r="Z34" i="9" a="1"/>
  <c r="Z34" i="9" s="1"/>
  <c r="L113" i="9"/>
  <c r="AA34" i="9" a="1"/>
  <c r="AA34" i="9" s="1"/>
  <c r="M113" i="9"/>
  <c r="AB34" i="9" a="1"/>
  <c r="AB34" i="9" s="1"/>
  <c r="C114" i="9"/>
  <c r="R35" i="9" a="1"/>
  <c r="R35" i="9" s="1"/>
  <c r="D114" i="9"/>
  <c r="S35" i="9" a="1"/>
  <c r="S35" i="9" s="1"/>
  <c r="E114" i="9"/>
  <c r="T35" i="9" a="1"/>
  <c r="T35" i="9" s="1"/>
  <c r="F114" i="9"/>
  <c r="U35" i="9" a="1"/>
  <c r="U35" i="9" s="1"/>
  <c r="G114" i="9"/>
  <c r="H114" i="9"/>
  <c r="W35" i="9" a="1"/>
  <c r="W35" i="9" s="1"/>
  <c r="I114" i="9"/>
  <c r="X35" i="9" a="1"/>
  <c r="X35" i="9" s="1"/>
  <c r="J114" i="9"/>
  <c r="Y35" i="9" a="1"/>
  <c r="Y35" i="9" s="1"/>
  <c r="K114" i="9"/>
  <c r="Z35" i="9" a="1"/>
  <c r="Z35" i="9" s="1"/>
  <c r="L114" i="9"/>
  <c r="M114" i="9"/>
  <c r="AB35" i="9" a="1"/>
  <c r="AB35" i="9" s="1"/>
  <c r="C115" i="9"/>
  <c r="D115" i="9"/>
  <c r="E115" i="9"/>
  <c r="F115" i="9"/>
  <c r="G115" i="9"/>
  <c r="V36" i="9" a="1"/>
  <c r="V36" i="9" s="1"/>
  <c r="H115" i="9"/>
  <c r="W36" i="9" a="1"/>
  <c r="W36" i="9" s="1"/>
  <c r="I115" i="9"/>
  <c r="J115" i="9"/>
  <c r="Y36" i="9" a="1"/>
  <c r="Y36" i="9" s="1"/>
  <c r="K115" i="9"/>
  <c r="Z36" i="9" a="1"/>
  <c r="Z36" i="9" s="1"/>
  <c r="L115" i="9"/>
  <c r="AA36" i="9" a="1"/>
  <c r="AA36" i="9" s="1"/>
  <c r="M115" i="9"/>
  <c r="AB36" i="9"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F21" i="15" s="1"/>
  <c r="F8" i="15"/>
  <c r="F9" i="15"/>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P56" i="7"/>
  <c r="K27" i="15"/>
  <c r="K26" i="15"/>
  <c r="K25" i="15"/>
  <c r="K30" i="15" s="1"/>
  <c r="C6" i="8" s="1"/>
  <c r="B49" i="9" a="1"/>
  <c r="H65" i="9" s="1" a="1"/>
  <c r="H65" i="9" s="1"/>
  <c r="E24" i="7"/>
  <c r="F11" i="15"/>
  <c r="F12" i="15"/>
  <c r="F13" i="15"/>
  <c r="O77" i="9"/>
  <c r="O78" i="9"/>
  <c r="I36" i="12"/>
  <c r="J35" i="14"/>
  <c r="J36" i="14"/>
  <c r="D35" i="14"/>
  <c r="D36" i="14"/>
  <c r="D35" i="18"/>
  <c r="D36" i="18"/>
  <c r="D37" i="18"/>
  <c r="E35" i="18"/>
  <c r="E36" i="18"/>
  <c r="E37" i="18"/>
  <c r="J25" i="15"/>
  <c r="J27" i="15"/>
  <c r="J30" i="15" s="1"/>
  <c r="E62" i="7"/>
  <c r="E61" i="7"/>
  <c r="G7" i="6"/>
  <c r="C39" i="12"/>
  <c r="C40" i="12"/>
  <c r="C41" i="12"/>
  <c r="C42" i="12"/>
  <c r="C38" i="12"/>
  <c r="C37" i="12"/>
  <c r="R33" i="9" a="1"/>
  <c r="R33" i="9" s="1"/>
  <c r="S33" i="9" a="1"/>
  <c r="S33" i="9" s="1"/>
  <c r="T33" i="9" a="1"/>
  <c r="T33" i="9" s="1"/>
  <c r="U33" i="9" a="1"/>
  <c r="U33" i="9" s="1"/>
  <c r="R34" i="9" a="1"/>
  <c r="R34" i="9" s="1"/>
  <c r="T34" i="9" a="1"/>
  <c r="T34"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G74" i="2" s="1"/>
  <c r="H197" i="1" s="1"/>
  <c r="F74" i="2"/>
  <c r="H74" i="2"/>
  <c r="I74" i="2" s="1"/>
  <c r="D74" i="2" s="1"/>
  <c r="E75" i="2"/>
  <c r="F75" i="2"/>
  <c r="G75" i="2" s="1"/>
  <c r="H194" i="1" s="1"/>
  <c r="E76" i="2"/>
  <c r="F76" i="2"/>
  <c r="H76" i="2" s="1"/>
  <c r="I76" i="2" s="1"/>
  <c r="D76" i="2" s="1"/>
  <c r="E77" i="2"/>
  <c r="F77" i="2"/>
  <c r="E78" i="2"/>
  <c r="F78" i="2"/>
  <c r="H78" i="2" s="1"/>
  <c r="I78" i="2" s="1"/>
  <c r="D78" i="2" s="1"/>
  <c r="E79" i="2"/>
  <c r="G79" i="2" s="1"/>
  <c r="H200" i="1" s="1"/>
  <c r="F79" i="2"/>
  <c r="H79" i="2" s="1"/>
  <c r="I79" i="2" s="1"/>
  <c r="D79" i="2" s="1"/>
  <c r="E80" i="2"/>
  <c r="F80" i="2"/>
  <c r="H80" i="2"/>
  <c r="I80" i="2" s="1"/>
  <c r="D80" i="2" s="1"/>
  <c r="E81" i="2"/>
  <c r="F81" i="2"/>
  <c r="G81" i="2"/>
  <c r="E82" i="2"/>
  <c r="F82" i="2"/>
  <c r="Q5" i="9" a="1"/>
  <c r="A13" i="20" s="1"/>
  <c r="O64" i="9"/>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s="1"/>
  <c r="F56" i="2"/>
  <c r="E57" i="2"/>
  <c r="F57" i="2"/>
  <c r="H57" i="2" s="1"/>
  <c r="I57" i="2" s="1"/>
  <c r="D57" i="2" s="1"/>
  <c r="E58" i="2"/>
  <c r="F58" i="2"/>
  <c r="F27" i="2"/>
  <c r="H27" i="2" s="1"/>
  <c r="I27" i="2" s="1"/>
  <c r="D27" i="2" s="1"/>
  <c r="E27" i="2"/>
  <c r="G27" i="2" s="1"/>
  <c r="E59" i="2"/>
  <c r="F59" i="2"/>
  <c r="H59" i="2" s="1"/>
  <c r="I59" i="2" s="1"/>
  <c r="D59" i="2" s="1"/>
  <c r="F28" i="2"/>
  <c r="H28" i="2" s="1"/>
  <c r="I28" i="2" s="1"/>
  <c r="D28" i="2" s="1"/>
  <c r="E28" i="2"/>
  <c r="E60" i="2"/>
  <c r="F60" i="2"/>
  <c r="H60" i="2" s="1"/>
  <c r="I60" i="2" s="1"/>
  <c r="D60" i="2" s="1"/>
  <c r="E61" i="2"/>
  <c r="F61" i="2"/>
  <c r="H61" i="2"/>
  <c r="I61" i="2" s="1"/>
  <c r="D61" i="2" s="1"/>
  <c r="E62" i="2"/>
  <c r="F62" i="2"/>
  <c r="H62" i="2" s="1"/>
  <c r="I62" i="2" s="1"/>
  <c r="D62" i="2" s="1"/>
  <c r="E63" i="2"/>
  <c r="G63" i="2" s="1"/>
  <c r="H168" i="1" s="1"/>
  <c r="F63" i="2"/>
  <c r="H63" i="2" s="1"/>
  <c r="I63" i="2" s="1"/>
  <c r="D63" i="2" s="1"/>
  <c r="E64" i="2"/>
  <c r="F64" i="2"/>
  <c r="H64" i="2" s="1"/>
  <c r="I64" i="2" s="1"/>
  <c r="D64" i="2" s="1"/>
  <c r="E65" i="2"/>
  <c r="F65" i="2"/>
  <c r="G65" i="2"/>
  <c r="E66" i="2"/>
  <c r="F66" i="2"/>
  <c r="G66" i="2" s="1"/>
  <c r="H66" i="2"/>
  <c r="I66" i="2" s="1"/>
  <c r="D66" i="2" s="1"/>
  <c r="E67" i="2"/>
  <c r="F67" i="2"/>
  <c r="H67" i="2" s="1"/>
  <c r="I67" i="2" s="1"/>
  <c r="D67" i="2" s="1"/>
  <c r="E68" i="2"/>
  <c r="F68" i="2"/>
  <c r="G68" i="2" s="1"/>
  <c r="E69" i="2"/>
  <c r="F69" i="2"/>
  <c r="H69" i="2" s="1"/>
  <c r="I69" i="2" s="1"/>
  <c r="D69" i="2" s="1"/>
  <c r="E70" i="2"/>
  <c r="G70" i="2" s="1"/>
  <c r="H192" i="1" s="1"/>
  <c r="F70" i="2"/>
  <c r="H70" i="2"/>
  <c r="I70" i="2" s="1"/>
  <c r="D70" i="2" s="1"/>
  <c r="E71" i="2"/>
  <c r="F71" i="2"/>
  <c r="H71" i="2"/>
  <c r="I71" i="2" s="1"/>
  <c r="D71" i="2" s="1"/>
  <c r="E72" i="2"/>
  <c r="G72" i="2" s="1"/>
  <c r="H184" i="1" s="1"/>
  <c r="F72" i="2"/>
  <c r="H72" i="2"/>
  <c r="I72" i="2" s="1"/>
  <c r="D72" i="2" s="1"/>
  <c r="E73" i="2"/>
  <c r="F73" i="2"/>
  <c r="H73" i="2" s="1"/>
  <c r="I73" i="2" s="1"/>
  <c r="D73" i="2" s="1"/>
  <c r="E45" i="2"/>
  <c r="F45" i="2"/>
  <c r="H45" i="2" s="1"/>
  <c r="I45" i="2" s="1"/>
  <c r="D45" i="2" s="1"/>
  <c r="E46" i="2"/>
  <c r="F46" i="2"/>
  <c r="E47" i="2"/>
  <c r="F47" i="2"/>
  <c r="G47" i="2" s="1"/>
  <c r="H137" i="1" s="1"/>
  <c r="E48" i="2"/>
  <c r="G48" i="2" s="1"/>
  <c r="H141" i="1" s="1"/>
  <c r="F48" i="2"/>
  <c r="F20" i="2"/>
  <c r="E20" i="2"/>
  <c r="E49" i="2"/>
  <c r="F49" i="2"/>
  <c r="H49" i="2" s="1"/>
  <c r="I49" i="2" s="1"/>
  <c r="D49" i="2" s="1"/>
  <c r="F21" i="2"/>
  <c r="H21" i="2" s="1"/>
  <c r="I21" i="2" s="1"/>
  <c r="D21" i="2" s="1"/>
  <c r="E21" i="2"/>
  <c r="G21" i="2" s="1"/>
  <c r="E50" i="2"/>
  <c r="F50" i="2"/>
  <c r="H50" i="2" s="1"/>
  <c r="I50" i="2" s="1"/>
  <c r="D50" i="2" s="1"/>
  <c r="E51" i="2"/>
  <c r="F51" i="2"/>
  <c r="H51" i="2" s="1"/>
  <c r="I51" i="2" s="1"/>
  <c r="D51" i="2" s="1"/>
  <c r="E52" i="2"/>
  <c r="F52" i="2"/>
  <c r="H52" i="2" s="1"/>
  <c r="I52" i="2" s="1"/>
  <c r="D52" i="2" s="1"/>
  <c r="E53" i="2"/>
  <c r="F53" i="2"/>
  <c r="H53" i="2"/>
  <c r="I53" i="2" s="1"/>
  <c r="D53" i="2" s="1"/>
  <c r="E54" i="2"/>
  <c r="F54" i="2"/>
  <c r="G54" i="2" s="1"/>
  <c r="F24" i="2"/>
  <c r="H24" i="2" s="1"/>
  <c r="I24" i="2" s="1"/>
  <c r="D24" i="2" s="1"/>
  <c r="E24" i="2"/>
  <c r="E55" i="2"/>
  <c r="F55" i="2"/>
  <c r="H55" i="2" s="1"/>
  <c r="I55" i="2" s="1"/>
  <c r="D55" i="2" s="1"/>
  <c r="F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F5" i="2"/>
  <c r="G5" i="2" s="1"/>
  <c r="E5" i="2"/>
  <c r="E34" i="2"/>
  <c r="F34" i="2"/>
  <c r="H34" i="2" s="1"/>
  <c r="I34" i="2" s="1"/>
  <c r="D34" i="2" s="1"/>
  <c r="F18" i="2"/>
  <c r="H18" i="2"/>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c r="I37" i="2" s="1"/>
  <c r="D37" i="2" s="1"/>
  <c r="E39" i="2"/>
  <c r="F39" i="2"/>
  <c r="H39" i="2" s="1"/>
  <c r="I39" i="2" s="1"/>
  <c r="D39" i="2" s="1"/>
  <c r="E40" i="2"/>
  <c r="F40" i="2"/>
  <c r="E41" i="2"/>
  <c r="G41" i="2" s="1"/>
  <c r="H122" i="1" s="1"/>
  <c r="F41" i="2"/>
  <c r="H41" i="2"/>
  <c r="I41" i="2" s="1"/>
  <c r="D41" i="2" s="1"/>
  <c r="E42" i="2"/>
  <c r="F42" i="2"/>
  <c r="H42" i="2" s="1"/>
  <c r="I42" i="2" s="1"/>
  <c r="D42" i="2" s="1"/>
  <c r="E43" i="2"/>
  <c r="F43" i="2"/>
  <c r="H43" i="2"/>
  <c r="I43" i="2" s="1"/>
  <c r="D43" i="2" s="1"/>
  <c r="E44" i="2"/>
  <c r="F44" i="2"/>
  <c r="H44" i="2" s="1"/>
  <c r="I44" i="2" s="1"/>
  <c r="D44" i="2" s="1"/>
  <c r="F19" i="2"/>
  <c r="H19" i="2"/>
  <c r="I19" i="2"/>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G23" i="2" s="1"/>
  <c r="F15" i="2"/>
  <c r="H15" i="2" s="1"/>
  <c r="I15" i="2" s="1"/>
  <c r="D15" i="2" s="1"/>
  <c r="E15" i="2"/>
  <c r="F16" i="2"/>
  <c r="H16" i="2"/>
  <c r="I16" i="2" s="1"/>
  <c r="D16" i="2" s="1"/>
  <c r="E16" i="2"/>
  <c r="F26" i="2"/>
  <c r="H26" i="2" s="1"/>
  <c r="I26" i="2" s="1"/>
  <c r="D26" i="2" s="1"/>
  <c r="E26" i="2"/>
  <c r="F29" i="2"/>
  <c r="H29" i="2"/>
  <c r="I29" i="2" s="1"/>
  <c r="D29" i="2" s="1"/>
  <c r="E29" i="2"/>
  <c r="F30" i="2"/>
  <c r="H30" i="2" s="1"/>
  <c r="I30" i="2" s="1"/>
  <c r="D30" i="2" s="1"/>
  <c r="F31" i="2"/>
  <c r="H31" i="2"/>
  <c r="I31" i="2" s="1"/>
  <c r="D31" i="2" s="1"/>
  <c r="E31" i="2"/>
  <c r="H43" i="1"/>
  <c r="F32" i="2"/>
  <c r="H32" i="2" s="1"/>
  <c r="I32" i="2" s="1"/>
  <c r="D32" i="2" s="1"/>
  <c r="F14" i="2"/>
  <c r="H14" i="2" s="1"/>
  <c r="I14" i="2" s="1"/>
  <c r="D14" i="2" s="1"/>
  <c r="E14" i="2"/>
  <c r="E30" i="2"/>
  <c r="E32" i="2"/>
  <c r="G32" i="2" s="1"/>
  <c r="N4" i="17"/>
  <c r="F12" i="2"/>
  <c r="E12" i="2"/>
  <c r="F11" i="2"/>
  <c r="E11" i="2"/>
  <c r="E17" i="2"/>
  <c r="F17" i="2"/>
  <c r="H17" i="2" s="1"/>
  <c r="I17" i="2" s="1"/>
  <c r="D17" i="2" s="1"/>
  <c r="F9" i="2"/>
  <c r="E9" i="2"/>
  <c r="E8" i="2"/>
  <c r="F8" i="2"/>
  <c r="E10" i="2"/>
  <c r="G10" i="2" s="1"/>
  <c r="H60" i="1" s="1"/>
  <c r="E4" i="2"/>
  <c r="G4" i="2" s="1"/>
  <c r="C8" i="8"/>
  <c r="F10" i="2"/>
  <c r="H10" i="2" s="1"/>
  <c r="I10" i="2" s="1"/>
  <c r="D10" i="2" s="1"/>
  <c r="F4" i="2"/>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s="1"/>
  <c r="G76" i="2"/>
  <c r="H195" i="1" s="1"/>
  <c r="G82" i="2"/>
  <c r="G77" i="2"/>
  <c r="H196" i="1" s="1"/>
  <c r="H89" i="2"/>
  <c r="I89" i="2"/>
  <c r="D89" i="2"/>
  <c r="H81" i="2"/>
  <c r="I81" i="2"/>
  <c r="D81" i="2"/>
  <c r="G84" i="2"/>
  <c r="G73" i="2"/>
  <c r="H189" i="1" s="1"/>
  <c r="H75" i="2"/>
  <c r="I75" i="2"/>
  <c r="D75" i="2" s="1"/>
  <c r="G86" i="2"/>
  <c r="G80" i="2"/>
  <c r="H90" i="2"/>
  <c r="I90" i="2"/>
  <c r="D90" i="2"/>
  <c r="G85" i="2"/>
  <c r="G92" i="2"/>
  <c r="G88" i="2"/>
  <c r="G83" i="2"/>
  <c r="H88" i="2"/>
  <c r="I88" i="2"/>
  <c r="D88" i="2"/>
  <c r="H86" i="2"/>
  <c r="I86" i="2"/>
  <c r="D86"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X36" i="9" a="1"/>
  <c r="X36" i="9" s="1"/>
  <c r="B3" i="21"/>
  <c r="B15" i="21"/>
  <c r="B5" i="21"/>
  <c r="B22" i="21"/>
  <c r="B13" i="21"/>
  <c r="B26" i="21"/>
  <c r="B24" i="21"/>
  <c r="B27" i="21"/>
  <c r="B2" i="21"/>
  <c r="O114" i="9"/>
  <c r="AD35" i="9"/>
  <c r="B23" i="21"/>
  <c r="O115" i="9"/>
  <c r="AD36" i="9"/>
  <c r="O113" i="9"/>
  <c r="AD34" i="9"/>
  <c r="B9" i="21"/>
  <c r="B11" i="21"/>
  <c r="B6" i="21"/>
  <c r="B19" i="21"/>
  <c r="B12" i="21"/>
  <c r="B17" i="21"/>
  <c r="B7" i="21"/>
  <c r="B20" i="21"/>
  <c r="B8" i="21"/>
  <c r="B18" i="21"/>
  <c r="B25" i="21"/>
  <c r="B16" i="21"/>
  <c r="G42" i="2"/>
  <c r="H123" i="1"/>
  <c r="Y33" i="9" a="1"/>
  <c r="Y33" i="9" s="1"/>
  <c r="W34" i="9" a="1"/>
  <c r="W34" i="9" s="1"/>
  <c r="V35" i="9" a="1"/>
  <c r="V35" i="9" s="1"/>
  <c r="AA35" i="9" a="1"/>
  <c r="AA35" i="9" s="1"/>
  <c r="N112" i="9"/>
  <c r="P112" i="9"/>
  <c r="G7" i="2"/>
  <c r="H63" i="1" s="1"/>
  <c r="G34" i="2"/>
  <c r="H113" i="1"/>
  <c r="G67" i="2"/>
  <c r="H185" i="1" s="1"/>
  <c r="H174" i="1"/>
  <c r="H175" i="1"/>
  <c r="H68" i="2"/>
  <c r="I68" i="2"/>
  <c r="D68" i="2" s="1"/>
  <c r="H65" i="2"/>
  <c r="I65" i="2"/>
  <c r="D65" i="2" s="1"/>
  <c r="G49" i="2"/>
  <c r="H143" i="1" s="1"/>
  <c r="G59" i="2"/>
  <c r="H186" i="1" s="1"/>
  <c r="G22" i="2"/>
  <c r="H87" i="1" s="1"/>
  <c r="G64" i="2"/>
  <c r="H171" i="1" s="1"/>
  <c r="G61" i="2"/>
  <c r="G60" i="2"/>
  <c r="H164" i="1" s="1"/>
  <c r="G53" i="2"/>
  <c r="H149" i="1" s="1"/>
  <c r="N113" i="9"/>
  <c r="G15" i="2"/>
  <c r="H76" i="1" s="1"/>
  <c r="G57" i="2"/>
  <c r="H160" i="1" s="1"/>
  <c r="G17" i="2"/>
  <c r="H81" i="1" s="1"/>
  <c r="G26" i="2"/>
  <c r="H99" i="1" s="1"/>
  <c r="G14" i="2"/>
  <c r="H82" i="1"/>
  <c r="P113" i="9"/>
  <c r="N115" i="9"/>
  <c r="P115" i="9"/>
  <c r="N114" i="9"/>
  <c r="P114" i="9"/>
  <c r="J88" i="1" a="1"/>
  <c r="J88" i="1" s="1"/>
  <c r="G11" i="2"/>
  <c r="H77" i="1" s="1"/>
  <c r="G40" i="2"/>
  <c r="H121" i="1" s="1"/>
  <c r="G29" i="2"/>
  <c r="H109" i="1"/>
  <c r="G28" i="2"/>
  <c r="H104" i="1" s="1"/>
  <c r="G58" i="2"/>
  <c r="G6" i="2"/>
  <c r="H103" i="1"/>
  <c r="G16" i="2"/>
  <c r="H79" i="1" s="1"/>
  <c r="G20" i="2"/>
  <c r="H85" i="1"/>
  <c r="H11" i="2"/>
  <c r="I11" i="2"/>
  <c r="G19" i="2"/>
  <c r="H140" i="1" s="1"/>
  <c r="G44" i="2"/>
  <c r="H127" i="1" s="1"/>
  <c r="H58" i="2"/>
  <c r="I58" i="2" s="1"/>
  <c r="D58" i="2" s="1"/>
  <c r="G37" i="2"/>
  <c r="H118" i="1" s="1"/>
  <c r="G24" i="2"/>
  <c r="H100" i="1" s="1"/>
  <c r="G12" i="2"/>
  <c r="H65" i="1" s="1"/>
  <c r="H74" i="1"/>
  <c r="G25" i="2"/>
  <c r="H95" i="1" s="1"/>
  <c r="H56" i="2"/>
  <c r="I56" i="2" s="1"/>
  <c r="D56" i="2" s="1"/>
  <c r="G51" i="2"/>
  <c r="H147" i="1"/>
  <c r="G55" i="2"/>
  <c r="H156" i="1" s="1"/>
  <c r="E65" i="7"/>
  <c r="G122" i="6"/>
  <c r="K6" i="6"/>
  <c r="C4" i="8"/>
  <c r="H20" i="2"/>
  <c r="I20" i="2"/>
  <c r="D20" i="2"/>
  <c r="G18" i="2"/>
  <c r="H83" i="1" s="1"/>
  <c r="H125" i="1"/>
  <c r="H40" i="2"/>
  <c r="I40" i="2" s="1"/>
  <c r="D40" i="2" s="1"/>
  <c r="G39" i="2"/>
  <c r="H131" i="1" s="1"/>
  <c r="G46" i="2"/>
  <c r="H133" i="1"/>
  <c r="H8" i="2"/>
  <c r="I8" i="2" s="1"/>
  <c r="D8" i="2" s="1"/>
  <c r="G38" i="2"/>
  <c r="H190" i="1" s="1"/>
  <c r="H138" i="1"/>
  <c r="H48" i="2"/>
  <c r="I48" i="2" s="1"/>
  <c r="D48" i="2" s="1"/>
  <c r="H9" i="2"/>
  <c r="I9" i="2"/>
  <c r="D9" i="2" s="1"/>
  <c r="H12" i="2"/>
  <c r="I12" i="2" s="1"/>
  <c r="D12" i="2" s="1"/>
  <c r="H25" i="2"/>
  <c r="I25" i="2" s="1"/>
  <c r="D25" i="2" s="1"/>
  <c r="H54" i="2"/>
  <c r="I54" i="2" s="1"/>
  <c r="D54" i="2" s="1"/>
  <c r="H46" i="2"/>
  <c r="I46" i="2"/>
  <c r="D46" i="2" s="1"/>
  <c r="H4" i="2"/>
  <c r="I4" i="2" s="1"/>
  <c r="D4" i="2" s="1"/>
  <c r="G33" i="2"/>
  <c r="G35" i="2"/>
  <c r="H115" i="1" s="1"/>
  <c r="G52" i="2"/>
  <c r="H154" i="1" s="1"/>
  <c r="H146" i="1"/>
  <c r="H75" i="1"/>
  <c r="H179" i="1"/>
  <c r="H165" i="1"/>
  <c r="H161" i="1"/>
  <c r="H172" i="1"/>
  <c r="H153" i="1"/>
  <c r="H169" i="1"/>
  <c r="H80" i="1"/>
  <c r="H167" i="1"/>
  <c r="H106" i="1"/>
  <c r="H145" i="1"/>
  <c r="H170" i="1"/>
  <c r="H120" i="1"/>
  <c r="H119" i="1"/>
  <c r="H124" i="1"/>
  <c r="H116" i="1"/>
  <c r="H112" i="1"/>
  <c r="C2" i="2"/>
  <c r="H97" i="1" l="1"/>
  <c r="H98" i="1"/>
  <c r="H86" i="1"/>
  <c r="H139" i="1"/>
  <c r="H157" i="1"/>
  <c r="H150" i="1"/>
  <c r="H96" i="1"/>
  <c r="H70" i="1"/>
  <c r="H68" i="1"/>
  <c r="H93" i="1"/>
  <c r="H89" i="1"/>
  <c r="H91" i="1"/>
  <c r="H102" i="1"/>
  <c r="G62" i="2"/>
  <c r="H166" i="1" s="1"/>
  <c r="H47" i="2"/>
  <c r="I47" i="2" s="1"/>
  <c r="D47" i="2" s="1"/>
  <c r="H188" i="1"/>
  <c r="H5" i="2"/>
  <c r="I5" i="2" s="1"/>
  <c r="D5" i="2" s="1"/>
  <c r="G78" i="2"/>
  <c r="H198" i="1" s="1"/>
  <c r="G30" i="2"/>
  <c r="G8" i="2"/>
  <c r="H73" i="1" s="1"/>
  <c r="H61" i="1"/>
  <c r="H88" i="1"/>
  <c r="H101" i="1"/>
  <c r="G9" i="2"/>
  <c r="H64" i="1" s="1"/>
  <c r="H199" i="1"/>
  <c r="H105" i="1"/>
  <c r="G45" i="2"/>
  <c r="H84" i="1"/>
  <c r="H92" i="1"/>
  <c r="G50" i="2"/>
  <c r="H144" i="1" s="1"/>
  <c r="H162" i="1"/>
  <c r="H128" i="1"/>
  <c r="G31" i="2"/>
  <c r="H110" i="1" s="1"/>
  <c r="G43" i="2"/>
  <c r="H126" i="1" s="1"/>
  <c r="C88" i="9"/>
  <c r="C12" i="10"/>
  <c r="C628" i="17"/>
  <c r="K4" i="17" s="1"/>
  <c r="D628" i="17"/>
  <c r="K5" i="17" s="1"/>
  <c r="H13" i="15"/>
  <c r="H12" i="15"/>
  <c r="H11" i="15"/>
  <c r="H111" i="1"/>
  <c r="H114" i="1"/>
  <c r="H176" i="1"/>
  <c r="H177" i="1"/>
  <c r="H66" i="1"/>
  <c r="H72" i="1"/>
  <c r="H181" i="1"/>
  <c r="H183" i="1"/>
  <c r="H134" i="1"/>
  <c r="H132" i="1"/>
  <c r="H129" i="1"/>
  <c r="H159" i="1"/>
  <c r="H152" i="1"/>
  <c r="H191" i="1"/>
  <c r="H178" i="1"/>
  <c r="H94" i="1"/>
  <c r="H187" i="1"/>
  <c r="G13" i="2"/>
  <c r="H151" i="1"/>
  <c r="H173" i="1"/>
  <c r="H180" i="1"/>
  <c r="G36" i="2"/>
  <c r="H117" i="1" s="1"/>
  <c r="H130" i="1"/>
  <c r="H62" i="1"/>
  <c r="G69" i="2"/>
  <c r="H155" i="1" s="1"/>
  <c r="H163" i="1"/>
  <c r="H90" i="1"/>
  <c r="H78" i="1"/>
  <c r="H148" i="1"/>
  <c r="H136" i="1"/>
  <c r="H158" i="1"/>
  <c r="H135" i="1"/>
  <c r="H142" i="1"/>
  <c r="K59" i="9" a="1"/>
  <c r="K59" i="9" s="1"/>
  <c r="L71" i="9" a="1"/>
  <c r="L71" i="9" s="1"/>
  <c r="K70" i="9" a="1"/>
  <c r="K70" i="9" s="1"/>
  <c r="J97" i="9"/>
  <c r="Y18" i="9" s="1" a="1"/>
  <c r="Y18" i="9" s="1"/>
  <c r="H90" i="9"/>
  <c r="W11" i="9" s="1" a="1"/>
  <c r="W11" i="9" s="1"/>
  <c r="E90" i="9"/>
  <c r="T11" i="9" s="1" a="1"/>
  <c r="T11" i="9" s="1"/>
  <c r="M52" i="9" a="1"/>
  <c r="M52" i="9" s="1"/>
  <c r="M71" i="9" a="1"/>
  <c r="M71" i="9" s="1"/>
  <c r="O88" i="9"/>
  <c r="AD9" i="9" s="1"/>
  <c r="B6" i="20" s="1"/>
  <c r="M87" i="9"/>
  <c r="AB8" i="9" s="1" a="1"/>
  <c r="AB8" i="9" s="1"/>
  <c r="A15" i="20"/>
  <c r="D101" i="9"/>
  <c r="S22" i="9" s="1" a="1"/>
  <c r="S22" i="9" s="1"/>
  <c r="O109" i="9"/>
  <c r="AD30" i="9" s="1"/>
  <c r="B27" i="20" s="1"/>
  <c r="M91" i="9"/>
  <c r="AB12" i="9" s="1" a="1"/>
  <c r="AB12" i="9" s="1"/>
  <c r="K74" i="9" a="1"/>
  <c r="K74" i="9" s="1"/>
  <c r="A25" i="20"/>
  <c r="G54" i="9" a="1"/>
  <c r="G54" i="9" s="1"/>
  <c r="J65" i="9" a="1"/>
  <c r="J65" i="9" s="1"/>
  <c r="M99" i="9"/>
  <c r="I65" i="9" a="1"/>
  <c r="I65" i="9" s="1"/>
  <c r="B14" i="9"/>
  <c r="E14" i="9" s="1"/>
  <c r="K53" i="9" a="1"/>
  <c r="K53" i="9" s="1"/>
  <c r="H64" i="9" a="1"/>
  <c r="H64" i="9" s="1"/>
  <c r="H85" i="9"/>
  <c r="W6" i="9" s="1" a="1"/>
  <c r="W6" i="9" s="1"/>
  <c r="I71" i="9" a="1"/>
  <c r="I71" i="9" s="1"/>
  <c r="B15" i="9"/>
  <c r="C15" i="9" s="1"/>
  <c r="K107" i="9"/>
  <c r="Z28" i="9" s="1" a="1"/>
  <c r="Z28" i="9" s="1"/>
  <c r="H67" i="9" a="1"/>
  <c r="H67" i="9" s="1"/>
  <c r="I61" i="9" a="1"/>
  <c r="I61" i="9" s="1"/>
  <c r="L86" i="9"/>
  <c r="AA7" i="9" s="1" a="1"/>
  <c r="AA7" i="9" s="1"/>
  <c r="I57" i="9" a="1"/>
  <c r="I57" i="9" s="1"/>
  <c r="K91" i="9"/>
  <c r="Z12" i="9" s="1" a="1"/>
  <c r="Z12" i="9" s="1"/>
  <c r="I106" i="9"/>
  <c r="X27" i="9" s="1" a="1"/>
  <c r="X27" i="9" s="1"/>
  <c r="J94" i="9"/>
  <c r="Y15" i="9" s="1" a="1"/>
  <c r="Y15" i="9" s="1"/>
  <c r="O96" i="9"/>
  <c r="AD17" i="9" s="1"/>
  <c r="B14" i="20" s="1"/>
  <c r="I103" i="9"/>
  <c r="X24" i="9" s="1" a="1"/>
  <c r="X24" i="9" s="1"/>
  <c r="G111" i="9"/>
  <c r="V32" i="9" s="1" a="1"/>
  <c r="V32" i="9" s="1"/>
  <c r="G98" i="9"/>
  <c r="V19" i="9" s="1" a="1"/>
  <c r="V19" i="9" s="1"/>
  <c r="H92" i="9"/>
  <c r="W13" i="9" s="1" a="1"/>
  <c r="W13" i="9" s="1"/>
  <c r="O51" i="9"/>
  <c r="I110" i="9"/>
  <c r="X31" i="9" s="1" a="1"/>
  <c r="X31" i="9" s="1"/>
  <c r="D109" i="9"/>
  <c r="S30" i="9" s="1" a="1"/>
  <c r="S30" i="9" s="1"/>
  <c r="I91" i="9"/>
  <c r="X12" i="9" s="1" a="1"/>
  <c r="X12" i="9" s="1"/>
  <c r="B6" i="9"/>
  <c r="C6" i="9" s="1"/>
  <c r="D100" i="9"/>
  <c r="S21" i="9" s="1" a="1"/>
  <c r="S21" i="9" s="1"/>
  <c r="I102" i="9"/>
  <c r="X23" i="9" s="1" a="1"/>
  <c r="X23" i="9" s="1"/>
  <c r="D87" i="9"/>
  <c r="S8" i="9" s="1" a="1"/>
  <c r="S8" i="9" s="1"/>
  <c r="C99" i="9"/>
  <c r="R20" i="9" s="1" a="1"/>
  <c r="R20" i="9" s="1"/>
  <c r="J108" i="9"/>
  <c r="Y29" i="9" s="1" a="1"/>
  <c r="Y29" i="9" s="1"/>
  <c r="G63" i="9" a="1"/>
  <c r="G63" i="9" s="1"/>
  <c r="K103" i="9"/>
  <c r="Z24" i="9" s="1" a="1"/>
  <c r="Z24" i="9" s="1"/>
  <c r="G105" i="9"/>
  <c r="V26" i="9" s="1" a="1"/>
  <c r="V26" i="9" s="1"/>
  <c r="C106" i="9"/>
  <c r="R27" i="9" s="1" a="1"/>
  <c r="R27" i="9" s="1"/>
  <c r="B9" i="9"/>
  <c r="C9" i="9" s="1"/>
  <c r="J71" i="9" a="1"/>
  <c r="J71" i="9" s="1"/>
  <c r="G101" i="9"/>
  <c r="V22" i="9" s="1" a="1"/>
  <c r="V22" i="9" s="1"/>
  <c r="A9" i="20"/>
  <c r="H98" i="9"/>
  <c r="W19" i="9" s="1" a="1"/>
  <c r="W19" i="9" s="1"/>
  <c r="C96" i="9"/>
  <c r="R17" i="9" s="1" a="1"/>
  <c r="R17" i="9" s="1"/>
  <c r="J69" i="9" a="1"/>
  <c r="J69" i="9" s="1"/>
  <c r="C102" i="9"/>
  <c r="R23" i="9" s="1" a="1"/>
  <c r="R23" i="9" s="1"/>
  <c r="A17" i="20"/>
  <c r="A26" i="20"/>
  <c r="K90" i="9"/>
  <c r="Z11" i="9" s="1" a="1"/>
  <c r="Z11" i="9" s="1"/>
  <c r="A18" i="20"/>
  <c r="K104" i="9"/>
  <c r="Z25" i="9" s="1" a="1"/>
  <c r="Z25" i="9" s="1"/>
  <c r="H100" i="9"/>
  <c r="W21" i="9" s="1" a="1"/>
  <c r="W21" i="9" s="1"/>
  <c r="G87" i="9"/>
  <c r="V8" i="9" s="1" a="1"/>
  <c r="V8" i="9" s="1"/>
  <c r="D107" i="9"/>
  <c r="S28" i="9" s="1" a="1"/>
  <c r="S28" i="9" s="1"/>
  <c r="K100" i="9"/>
  <c r="Z21" i="9" s="1" a="1"/>
  <c r="Z21" i="9" s="1"/>
  <c r="B10" i="9"/>
  <c r="E10" i="9" s="1"/>
  <c r="E103" i="9"/>
  <c r="T24" i="9" s="1" a="1"/>
  <c r="T24" i="9" s="1"/>
  <c r="M103" i="9"/>
  <c r="AB24" i="9" s="1" a="1"/>
  <c r="AB24" i="9" s="1"/>
  <c r="K89" i="9"/>
  <c r="Z10" i="9" s="1" a="1"/>
  <c r="Z10" i="9" s="1"/>
  <c r="H54" i="9" a="1"/>
  <c r="H54" i="9" s="1"/>
  <c r="E95" i="9"/>
  <c r="T16" i="9" s="1" a="1"/>
  <c r="T16" i="9" s="1"/>
  <c r="F104" i="9"/>
  <c r="U25" i="9" s="1" a="1"/>
  <c r="U25" i="9" s="1"/>
  <c r="K52" i="9" a="1"/>
  <c r="K52" i="9" s="1"/>
  <c r="J92" i="9"/>
  <c r="Y13" i="9" s="1" a="1"/>
  <c r="Y13" i="9" s="1"/>
  <c r="D99" i="9"/>
  <c r="S20" i="9" s="1" a="1"/>
  <c r="S20" i="9" s="1"/>
  <c r="E89" i="9"/>
  <c r="T10" i="9" s="1" a="1"/>
  <c r="T10" i="9" s="1"/>
  <c r="C109" i="9"/>
  <c r="R30" i="9" s="1" a="1"/>
  <c r="R30" i="9" s="1"/>
  <c r="I98" i="9"/>
  <c r="X19" i="9" s="1" a="1"/>
  <c r="X19" i="9" s="1"/>
  <c r="D97" i="9"/>
  <c r="S18" i="9" s="1" a="1"/>
  <c r="S18" i="9" s="1"/>
  <c r="I56" i="9" a="1"/>
  <c r="I56" i="9" s="1"/>
  <c r="J66" i="9" a="1"/>
  <c r="J66" i="9" s="1"/>
  <c r="M63" i="9" a="1"/>
  <c r="M63" i="9" s="1"/>
  <c r="M101" i="9"/>
  <c r="AB22" i="9" s="1" a="1"/>
  <c r="AB22" i="9" s="1"/>
  <c r="C110" i="9"/>
  <c r="R31" i="9" s="1" a="1"/>
  <c r="R31" i="9" s="1"/>
  <c r="J72" i="9" a="1"/>
  <c r="J72" i="9" s="1"/>
  <c r="D96" i="9"/>
  <c r="S17" i="9" s="1" a="1"/>
  <c r="S17" i="9" s="1"/>
  <c r="G52" i="9" a="1"/>
  <c r="G52" i="9" s="1"/>
  <c r="G92" i="9"/>
  <c r="V13" i="9" s="1" a="1"/>
  <c r="V13" i="9" s="1"/>
  <c r="M105" i="9"/>
  <c r="AB26" i="9" s="1" a="1"/>
  <c r="AB26" i="9" s="1"/>
  <c r="F103" i="9"/>
  <c r="U24" i="9" s="1" a="1"/>
  <c r="U24" i="9" s="1"/>
  <c r="L108" i="9"/>
  <c r="AA29" i="9" s="1" a="1"/>
  <c r="AA29" i="9" s="1"/>
  <c r="D91" i="9"/>
  <c r="S12" i="9" s="1" a="1"/>
  <c r="S12" i="9" s="1"/>
  <c r="G106" i="9"/>
  <c r="H88" i="9"/>
  <c r="W9" i="9" s="1" a="1"/>
  <c r="W9" i="9" s="1"/>
  <c r="M109" i="9"/>
  <c r="AB30" i="9" s="1" a="1"/>
  <c r="AB30" i="9" s="1"/>
  <c r="J68" i="9" a="1"/>
  <c r="J68" i="9" s="1"/>
  <c r="J91" i="9"/>
  <c r="Y12" i="9" s="1" a="1"/>
  <c r="Y12" i="9" s="1"/>
  <c r="L102" i="9"/>
  <c r="AA23" i="9" s="1" a="1"/>
  <c r="AA23" i="9" s="1"/>
  <c r="F110" i="9"/>
  <c r="U31" i="9" s="1" a="1"/>
  <c r="U31" i="9" s="1"/>
  <c r="M104" i="9"/>
  <c r="AB25" i="9" s="1" a="1"/>
  <c r="AB25" i="9" s="1"/>
  <c r="M62" i="9" a="1"/>
  <c r="M62" i="9" s="1"/>
  <c r="O72" i="9"/>
  <c r="J60" i="9" a="1"/>
  <c r="J60" i="9" s="1"/>
  <c r="G71" i="9" a="1"/>
  <c r="G71" i="9" s="1"/>
  <c r="M97" i="9"/>
  <c r="AB18" i="9" s="1" a="1"/>
  <c r="AB18" i="9" s="1"/>
  <c r="G110" i="9"/>
  <c r="V31" i="9" s="1" a="1"/>
  <c r="V31" i="9" s="1"/>
  <c r="B8" i="9"/>
  <c r="J99" i="9"/>
  <c r="Y20" i="9" s="1" a="1"/>
  <c r="Y20" i="9" s="1"/>
  <c r="B16" i="9"/>
  <c r="H71" i="9" a="1"/>
  <c r="H71" i="9" s="1"/>
  <c r="I66" i="9" a="1"/>
  <c r="I66" i="9" s="1"/>
  <c r="K88" i="9"/>
  <c r="Z9" i="9" s="1" a="1"/>
  <c r="Z9" i="9" s="1"/>
  <c r="I89" i="9"/>
  <c r="X10" i="9" s="1" a="1"/>
  <c r="X10" i="9" s="1"/>
  <c r="I99" i="9"/>
  <c r="X20" i="9" s="1" a="1"/>
  <c r="X20" i="9" s="1"/>
  <c r="F98" i="9"/>
  <c r="U19" i="9" s="1" a="1"/>
  <c r="U19" i="9" s="1"/>
  <c r="C91" i="9"/>
  <c r="R12" i="9" s="1" a="1"/>
  <c r="R12" i="9" s="1"/>
  <c r="J98" i="9"/>
  <c r="Y19" i="9" s="1" a="1"/>
  <c r="Y19" i="9" s="1"/>
  <c r="AC34" i="9"/>
  <c r="AE34" i="9" s="1"/>
  <c r="D102" i="9"/>
  <c r="S23" i="9" s="1" a="1"/>
  <c r="S23" i="9" s="1"/>
  <c r="F87" i="9"/>
  <c r="U8" i="9" s="1" a="1"/>
  <c r="U8" i="9" s="1"/>
  <c r="O97" i="9"/>
  <c r="AD18" i="9" s="1"/>
  <c r="B15" i="20" s="1"/>
  <c r="F91" i="9"/>
  <c r="U12" i="9" s="1" a="1"/>
  <c r="U12" i="9" s="1"/>
  <c r="H99" i="9"/>
  <c r="W20" i="9" s="1" a="1"/>
  <c r="W20" i="9" s="1"/>
  <c r="L104" i="9"/>
  <c r="AA25" i="9" s="1" a="1"/>
  <c r="AA25" i="9" s="1"/>
  <c r="I105" i="9"/>
  <c r="X26" i="9" s="1" a="1"/>
  <c r="X26" i="9" s="1"/>
  <c r="M58" i="9" a="1"/>
  <c r="M58" i="9" s="1"/>
  <c r="B7" i="9"/>
  <c r="M102" i="9"/>
  <c r="AB23" i="9" s="1" a="1"/>
  <c r="AB23" i="9" s="1"/>
  <c r="J95" i="9"/>
  <c r="Y16" i="9" s="1" a="1"/>
  <c r="Y16" i="9" s="1"/>
  <c r="L103" i="9"/>
  <c r="AA24" i="9" s="1" a="1"/>
  <c r="AA24" i="9" s="1"/>
  <c r="G64" i="9" a="1"/>
  <c r="G64" i="9" s="1"/>
  <c r="O108" i="9"/>
  <c r="AD29" i="9" s="1"/>
  <c r="B26" i="20" s="1"/>
  <c r="L57" i="9" a="1"/>
  <c r="L57" i="9" s="1"/>
  <c r="M53" i="9" a="1"/>
  <c r="M53" i="9" s="1"/>
  <c r="M51" i="9" a="1"/>
  <c r="M51" i="9" s="1"/>
  <c r="L95" i="9"/>
  <c r="AA16" i="9" s="1" a="1"/>
  <c r="AA16" i="9" s="1"/>
  <c r="I92" i="9"/>
  <c r="H107" i="9"/>
  <c r="W28" i="9" s="1" a="1"/>
  <c r="W28" i="9" s="1"/>
  <c r="L110" i="9"/>
  <c r="AA31" i="9" s="1" a="1"/>
  <c r="AA31" i="9" s="1"/>
  <c r="F109" i="9"/>
  <c r="U30" i="9" s="1" a="1"/>
  <c r="U30" i="9" s="1"/>
  <c r="D94" i="9"/>
  <c r="S15" i="9" s="1" a="1"/>
  <c r="S15" i="9" s="1"/>
  <c r="J74" i="9" a="1"/>
  <c r="J74" i="9" s="1"/>
  <c r="I68" i="9" a="1"/>
  <c r="I68" i="9" s="1"/>
  <c r="M92" i="9"/>
  <c r="AB13" i="9" s="1" a="1"/>
  <c r="AB13" i="9" s="1"/>
  <c r="O104" i="9"/>
  <c r="AD25" i="9" s="1"/>
  <c r="B22" i="20" s="1"/>
  <c r="H95" i="9"/>
  <c r="W16" i="9" s="1" a="1"/>
  <c r="W16" i="9" s="1"/>
  <c r="J102" i="9"/>
  <c r="Y23" i="9" s="1" a="1"/>
  <c r="Y23" i="9" s="1"/>
  <c r="J86" i="9"/>
  <c r="Y7" i="9" s="1" a="1"/>
  <c r="Y7" i="9" s="1"/>
  <c r="O98" i="9"/>
  <c r="AD19" i="9" s="1"/>
  <c r="B16" i="20" s="1"/>
  <c r="K50" i="9" a="1"/>
  <c r="K50" i="9" s="1"/>
  <c r="D98" i="9"/>
  <c r="S19" i="9" s="1" a="1"/>
  <c r="S19" i="9" s="1"/>
  <c r="G97" i="9"/>
  <c r="V18" i="9" s="1" a="1"/>
  <c r="V18" i="9" s="1"/>
  <c r="K102" i="9"/>
  <c r="Z23" i="9" s="1" a="1"/>
  <c r="Z23" i="9" s="1"/>
  <c r="F92" i="9"/>
  <c r="U13" i="9" s="1" a="1"/>
  <c r="U13" i="9" s="1"/>
  <c r="O50" i="9"/>
  <c r="O70" i="9"/>
  <c r="H75" i="9" a="1"/>
  <c r="H75" i="9" s="1"/>
  <c r="F95" i="9"/>
  <c r="U16" i="9" s="1" a="1"/>
  <c r="U16" i="9" s="1"/>
  <c r="H94" i="9"/>
  <c r="W15" i="9" s="1" a="1"/>
  <c r="W15" i="9" s="1"/>
  <c r="H109" i="9"/>
  <c r="W30" i="9" s="1" a="1"/>
  <c r="W30" i="9" s="1"/>
  <c r="E85" i="9"/>
  <c r="T6" i="9" s="1" a="1"/>
  <c r="T6" i="9" s="1"/>
  <c r="F101" i="9"/>
  <c r="U22" i="9" s="1" a="1"/>
  <c r="U22" i="9" s="1"/>
  <c r="I59" i="9" a="1"/>
  <c r="I59" i="9" s="1"/>
  <c r="L92" i="9"/>
  <c r="AA13" i="9" s="1" a="1"/>
  <c r="AA13" i="9" s="1"/>
  <c r="O55" i="9"/>
  <c r="L93" i="9"/>
  <c r="AA14" i="9" s="1" a="1"/>
  <c r="AA14" i="9" s="1"/>
  <c r="G68" i="9" a="1"/>
  <c r="G68" i="9" s="1"/>
  <c r="I86" i="9"/>
  <c r="X7" i="9" s="1" a="1"/>
  <c r="X7" i="9" s="1"/>
  <c r="O85" i="9"/>
  <c r="AD6" i="9" s="1"/>
  <c r="B3" i="20" s="1"/>
  <c r="O101" i="9"/>
  <c r="AD22" i="9" s="1"/>
  <c r="B19" i="20" s="1"/>
  <c r="M75" i="9" a="1"/>
  <c r="M75" i="9" s="1"/>
  <c r="G55" i="9" a="1"/>
  <c r="G55" i="9" s="1"/>
  <c r="L87" i="9"/>
  <c r="AA8" i="9" s="1" a="1"/>
  <c r="AA8" i="9" s="1"/>
  <c r="O74" i="9"/>
  <c r="M65" i="9" a="1"/>
  <c r="M65" i="9" s="1"/>
  <c r="D108" i="9"/>
  <c r="S29" i="9" s="1" a="1"/>
  <c r="S29" i="9" s="1"/>
  <c r="L64" i="9" a="1"/>
  <c r="L64" i="9" s="1"/>
  <c r="G103" i="9"/>
  <c r="V24" i="9" s="1" a="1"/>
  <c r="V24" i="9" s="1"/>
  <c r="O67" i="9"/>
  <c r="G73" i="9" a="1"/>
  <c r="G73" i="9" s="1"/>
  <c r="L56" i="9" a="1"/>
  <c r="L56" i="9" s="1"/>
  <c r="E86" i="9"/>
  <c r="T7" i="9" s="1" a="1"/>
  <c r="T7" i="9" s="1"/>
  <c r="I54" i="9" a="1"/>
  <c r="I54" i="9" s="1"/>
  <c r="M67" i="9" a="1"/>
  <c r="M67" i="9" s="1"/>
  <c r="K106" i="9"/>
  <c r="Z27" i="9" s="1" a="1"/>
  <c r="Z27" i="9" s="1"/>
  <c r="I107" i="9"/>
  <c r="X28" i="9" s="1" a="1"/>
  <c r="X28" i="9" s="1"/>
  <c r="M76" i="9" a="1"/>
  <c r="M76" i="9" s="1"/>
  <c r="K92" i="9"/>
  <c r="Z13" i="9" s="1" a="1"/>
  <c r="Z13" i="9" s="1"/>
  <c r="M73" i="9" a="1"/>
  <c r="M73" i="9" s="1"/>
  <c r="C90" i="9"/>
  <c r="R11" i="9" s="1" a="1"/>
  <c r="R11" i="9" s="1"/>
  <c r="E104" i="9"/>
  <c r="T25" i="9" s="1" a="1"/>
  <c r="T25" i="9" s="1"/>
  <c r="K55" i="9" a="1"/>
  <c r="K55" i="9" s="1"/>
  <c r="K73" i="9" a="1"/>
  <c r="K73" i="9" s="1"/>
  <c r="O86" i="9"/>
  <c r="AD7" i="9" s="1"/>
  <c r="B4" i="20" s="1"/>
  <c r="G76" i="9" a="1"/>
  <c r="G76" i="9" s="1"/>
  <c r="K93" i="9"/>
  <c r="Z14" i="9" s="1" a="1"/>
  <c r="Z14" i="9" s="1"/>
  <c r="I58" i="9" a="1"/>
  <c r="I58" i="9" s="1"/>
  <c r="C86" i="9"/>
  <c r="R7" i="9" s="1" a="1"/>
  <c r="R7" i="9" s="1"/>
  <c r="H91" i="9"/>
  <c r="W12" i="9" s="1" a="1"/>
  <c r="W12" i="9" s="1"/>
  <c r="L91" i="9"/>
  <c r="AA12" i="9" s="1" a="1"/>
  <c r="AA12" i="9" s="1"/>
  <c r="I100" i="9"/>
  <c r="X21" i="9" s="1" a="1"/>
  <c r="X21" i="9" s="1"/>
  <c r="I85" i="9"/>
  <c r="L50" i="9" a="1"/>
  <c r="L50" i="9" s="1"/>
  <c r="I62" i="9" a="1"/>
  <c r="I62" i="9" s="1"/>
  <c r="O105" i="9"/>
  <c r="AD26" i="9" s="1"/>
  <c r="B23" i="20" s="1"/>
  <c r="L72" i="9" a="1"/>
  <c r="L72" i="9" s="1"/>
  <c r="I63" i="9" a="1"/>
  <c r="I63" i="9" s="1"/>
  <c r="K62" i="9" a="1"/>
  <c r="K62" i="9" s="1"/>
  <c r="K57" i="9" a="1"/>
  <c r="K57" i="9" s="1"/>
  <c r="L99" i="9"/>
  <c r="AA20" i="9" s="1" a="1"/>
  <c r="AA20" i="9" s="1"/>
  <c r="I88" i="9"/>
  <c r="X9" i="9" s="1" a="1"/>
  <c r="X9" i="9" s="1"/>
  <c r="G95" i="9"/>
  <c r="K110" i="9"/>
  <c r="Z31" i="9" s="1" a="1"/>
  <c r="Z31" i="9" s="1"/>
  <c r="M74" i="9" a="1"/>
  <c r="M74" i="9" s="1"/>
  <c r="G74" i="9" a="1"/>
  <c r="G74" i="9" s="1"/>
  <c r="B3" i="9"/>
  <c r="O63" i="9"/>
  <c r="E101" i="9"/>
  <c r="T22" i="9" s="1" a="1"/>
  <c r="T22" i="9" s="1"/>
  <c r="I90" i="9"/>
  <c r="X11" i="9" s="1" a="1"/>
  <c r="X11" i="9" s="1"/>
  <c r="L88" i="9"/>
  <c r="AA9" i="9" s="1" a="1"/>
  <c r="AA9" i="9" s="1"/>
  <c r="D93" i="9"/>
  <c r="S14" i="9" s="1" a="1"/>
  <c r="S14" i="9" s="1"/>
  <c r="J56" i="9" a="1"/>
  <c r="J56" i="9" s="1"/>
  <c r="J106" i="9"/>
  <c r="Y27" i="9" s="1" a="1"/>
  <c r="Y27" i="9" s="1"/>
  <c r="K101" i="9"/>
  <c r="Z22" i="9" s="1" a="1"/>
  <c r="Z22" i="9" s="1"/>
  <c r="G62" i="9" a="1"/>
  <c r="G62" i="9" s="1"/>
  <c r="O110" i="9"/>
  <c r="AD31" i="9" s="1"/>
  <c r="B28" i="20" s="1"/>
  <c r="H76" i="9" a="1"/>
  <c r="H76" i="9" s="1"/>
  <c r="K85" i="9"/>
  <c r="Z6" i="9" s="1" a="1"/>
  <c r="Z6" i="9" s="1"/>
  <c r="C105" i="9"/>
  <c r="R26" i="9" s="1" a="1"/>
  <c r="R26" i="9" s="1"/>
  <c r="M61" i="9" a="1"/>
  <c r="M61" i="9" s="1"/>
  <c r="O75" i="9"/>
  <c r="O59" i="9"/>
  <c r="E108" i="9"/>
  <c r="T29" i="9" s="1" a="1"/>
  <c r="T29" i="9" s="1"/>
  <c r="L65" i="9" a="1"/>
  <c r="L65" i="9" s="1"/>
  <c r="J67" i="9" a="1"/>
  <c r="J67" i="9" s="1"/>
  <c r="J52" i="9" a="1"/>
  <c r="J52" i="9" s="1"/>
  <c r="H111" i="9"/>
  <c r="W32" i="9" s="1" a="1"/>
  <c r="W32" i="9" s="1"/>
  <c r="G86" i="9"/>
  <c r="H106" i="9"/>
  <c r="W27" i="9" s="1" a="1"/>
  <c r="W27" i="9" s="1"/>
  <c r="C89" i="9"/>
  <c r="R10" i="9" s="1" a="1"/>
  <c r="R10" i="9" s="1"/>
  <c r="K87" i="9"/>
  <c r="Z8" i="9" s="1" a="1"/>
  <c r="Z8" i="9" s="1"/>
  <c r="O95" i="9"/>
  <c r="AD16" i="9" s="1"/>
  <c r="B13" i="20" s="1"/>
  <c r="M107" i="9"/>
  <c r="AB28" i="9" s="1" a="1"/>
  <c r="AB28" i="9" s="1"/>
  <c r="I95" i="9"/>
  <c r="X16" i="9" s="1" a="1"/>
  <c r="X16" i="9" s="1"/>
  <c r="L109" i="9"/>
  <c r="AA30" i="9" s="1" a="1"/>
  <c r="AA30" i="9" s="1"/>
  <c r="G93" i="9"/>
  <c r="V14" i="9" s="1" a="1"/>
  <c r="V14" i="9" s="1"/>
  <c r="H87" i="9"/>
  <c r="W8" i="9" s="1" a="1"/>
  <c r="W8" i="9" s="1"/>
  <c r="B18" i="9"/>
  <c r="G61" i="9" a="1"/>
  <c r="G61" i="9" s="1"/>
  <c r="C92" i="9"/>
  <c r="R13" i="9" s="1" a="1"/>
  <c r="R13" i="9" s="1"/>
  <c r="K86" i="9"/>
  <c r="Z7" i="9" s="1" a="1"/>
  <c r="Z7" i="9" s="1"/>
  <c r="G58" i="9" a="1"/>
  <c r="G58" i="9" s="1"/>
  <c r="J61" i="9" a="1"/>
  <c r="J61" i="9" s="1"/>
  <c r="O87" i="9"/>
  <c r="AD8" i="9" s="1"/>
  <c r="B5" i="20" s="1"/>
  <c r="B12" i="9"/>
  <c r="I51" i="9" a="1"/>
  <c r="I51" i="9" s="1"/>
  <c r="I50" i="9" a="1"/>
  <c r="I50" i="9" s="1"/>
  <c r="K108" i="9"/>
  <c r="Z29" i="9" s="1" a="1"/>
  <c r="Z29" i="9" s="1"/>
  <c r="L59" i="9" a="1"/>
  <c r="L59" i="9" s="1"/>
  <c r="O69" i="9"/>
  <c r="B11" i="9"/>
  <c r="O111" i="9"/>
  <c r="AD32" i="9" s="1"/>
  <c r="B13" i="9"/>
  <c r="K111" i="9"/>
  <c r="Z32" i="9" s="1" a="1"/>
  <c r="Z32" i="9" s="1"/>
  <c r="I111" i="9"/>
  <c r="X32" i="9" s="1" a="1"/>
  <c r="X32" i="9" s="1"/>
  <c r="G100" i="9"/>
  <c r="V21" i="9" s="1" a="1"/>
  <c r="V21" i="9" s="1"/>
  <c r="M88" i="9"/>
  <c r="AB9" i="9" s="1" a="1"/>
  <c r="AB9" i="9" s="1"/>
  <c r="H62" i="9" a="1"/>
  <c r="H62" i="9" s="1"/>
  <c r="M86" i="9"/>
  <c r="AB7" i="9" s="1" a="1"/>
  <c r="AB7" i="9" s="1"/>
  <c r="K67" i="9" a="1"/>
  <c r="K67" i="9" s="1"/>
  <c r="H89" i="9"/>
  <c r="W10" i="9" s="1" a="1"/>
  <c r="W10" i="9" s="1"/>
  <c r="B17" i="9"/>
  <c r="L70" i="9" a="1"/>
  <c r="L70" i="9" s="1"/>
  <c r="I101" i="9"/>
  <c r="X22" i="9" s="1" a="1"/>
  <c r="X22" i="9" s="1"/>
  <c r="M64" i="9" a="1"/>
  <c r="M64" i="9" s="1"/>
  <c r="B49" i="9"/>
  <c r="E49" i="9" s="1" a="1"/>
  <c r="E49" i="9" s="1"/>
  <c r="J93" i="9"/>
  <c r="Y14" i="9" s="1" a="1"/>
  <c r="Y14" i="9" s="1"/>
  <c r="M110" i="9"/>
  <c r="AB31" i="9" s="1" a="1"/>
  <c r="AB31" i="9" s="1"/>
  <c r="K99" i="9"/>
  <c r="Z20" i="9" s="1" a="1"/>
  <c r="Z20" i="9" s="1"/>
  <c r="O107" i="9"/>
  <c r="AD28" i="9" s="1"/>
  <c r="B25" i="20" s="1"/>
  <c r="L75" i="9" a="1"/>
  <c r="L75" i="9" s="1"/>
  <c r="H86" i="9"/>
  <c r="W7" i="9" s="1" a="1"/>
  <c r="W7" i="9" s="1"/>
  <c r="G70" i="9" a="1"/>
  <c r="G70" i="9" s="1"/>
  <c r="O58" i="9"/>
  <c r="M89" i="9"/>
  <c r="AB10" i="9" s="1" a="1"/>
  <c r="AB10" i="9" s="1"/>
  <c r="O61" i="9"/>
  <c r="L63" i="9" a="1"/>
  <c r="L63" i="9" s="1"/>
  <c r="K75" i="9" a="1"/>
  <c r="K75" i="9" s="1"/>
  <c r="I64" i="9" a="1"/>
  <c r="I64" i="9" s="1"/>
  <c r="M66" i="9" a="1"/>
  <c r="M66" i="9" s="1"/>
  <c r="I96" i="9"/>
  <c r="X17" i="9" s="1" a="1"/>
  <c r="X17" i="9" s="1"/>
  <c r="F86" i="9"/>
  <c r="U7" i="9" s="1" a="1"/>
  <c r="U7" i="9" s="1"/>
  <c r="L58" i="9" a="1"/>
  <c r="L58" i="9" s="1"/>
  <c r="F111" i="9"/>
  <c r="U32" i="9" s="1" a="1"/>
  <c r="U32" i="9" s="1"/>
  <c r="C94" i="9"/>
  <c r="R15" i="9" s="1" a="1"/>
  <c r="R15" i="9" s="1"/>
  <c r="F93" i="9"/>
  <c r="U14" i="9" s="1" a="1"/>
  <c r="U14" i="9" s="1"/>
  <c r="L73" i="9" a="1"/>
  <c r="L73" i="9" s="1"/>
  <c r="H69" i="9" a="1"/>
  <c r="H69" i="9" s="1"/>
  <c r="L111" i="9"/>
  <c r="AA32" i="9" s="1" a="1"/>
  <c r="AA32" i="9" s="1"/>
  <c r="O60" i="9"/>
  <c r="D104" i="9"/>
  <c r="S25" i="9" s="1" a="1"/>
  <c r="S25" i="9" s="1"/>
  <c r="F99" i="9"/>
  <c r="U20" i="9" s="1" a="1"/>
  <c r="U20" i="9" s="1"/>
  <c r="O53" i="9"/>
  <c r="H108" i="9"/>
  <c r="W29" i="9" s="1" a="1"/>
  <c r="W29" i="9" s="1"/>
  <c r="G72" i="9" a="1"/>
  <c r="G72" i="9" s="1"/>
  <c r="D105" i="9"/>
  <c r="S26" i="9" s="1" a="1"/>
  <c r="S26" i="9" s="1"/>
  <c r="G94" i="9"/>
  <c r="J96" i="9"/>
  <c r="Y17" i="9" s="1" a="1"/>
  <c r="Y17" i="9" s="1"/>
  <c r="K96" i="9"/>
  <c r="Z17" i="9" s="1" a="1"/>
  <c r="Z17" i="9" s="1"/>
  <c r="F89" i="9"/>
  <c r="U10" i="9" s="1" a="1"/>
  <c r="U10" i="9" s="1"/>
  <c r="L51" i="9" a="1"/>
  <c r="L51" i="9" s="1"/>
  <c r="D85" i="9"/>
  <c r="S6" i="9" s="1" a="1"/>
  <c r="S6" i="9" s="1"/>
  <c r="I72" i="9" a="1"/>
  <c r="I72" i="9" s="1"/>
  <c r="H68" i="9" a="1"/>
  <c r="H68" i="9" s="1"/>
  <c r="M100" i="9"/>
  <c r="AB21" i="9" s="1" a="1"/>
  <c r="AB21" i="9" s="1"/>
  <c r="M54" i="9" a="1"/>
  <c r="M54" i="9" s="1"/>
  <c r="O54" i="9"/>
  <c r="E111" i="9"/>
  <c r="T32" i="9" s="1" a="1"/>
  <c r="T32" i="9" s="1"/>
  <c r="O103" i="9"/>
  <c r="AD24" i="9" s="1"/>
  <c r="B21" i="20" s="1"/>
  <c r="M57" i="9" a="1"/>
  <c r="M57" i="9" s="1"/>
  <c r="K94" i="9"/>
  <c r="Z15" i="9" s="1" a="1"/>
  <c r="Z15" i="9" s="1"/>
  <c r="H74" i="9" a="1"/>
  <c r="H74" i="9" s="1"/>
  <c r="J105" i="9"/>
  <c r="Y26" i="9" s="1" a="1"/>
  <c r="Y26" i="9" s="1"/>
  <c r="H63" i="9" a="1"/>
  <c r="H63" i="9" s="1"/>
  <c r="J89" i="9"/>
  <c r="Y10" i="9" s="1" a="1"/>
  <c r="Y10" i="9" s="1"/>
  <c r="L53" i="9" a="1"/>
  <c r="L53" i="9" s="1"/>
  <c r="H104" i="9"/>
  <c r="W25" i="9" s="1" a="1"/>
  <c r="W25" i="9" s="1"/>
  <c r="E98" i="9"/>
  <c r="T19" i="9" s="1" a="1"/>
  <c r="T19" i="9" s="1"/>
  <c r="L100" i="9"/>
  <c r="AA21" i="9" s="1" a="1"/>
  <c r="AA21" i="9" s="1"/>
  <c r="H56" i="9" a="1"/>
  <c r="H56" i="9" s="1"/>
  <c r="M106" i="9"/>
  <c r="AB27" i="9" s="1" a="1"/>
  <c r="AB27" i="9" s="1"/>
  <c r="L52" i="9" a="1"/>
  <c r="L52" i="9" s="1"/>
  <c r="F107" i="9"/>
  <c r="U28" i="9" s="1" a="1"/>
  <c r="U28" i="9" s="1"/>
  <c r="K97" i="9"/>
  <c r="Z18" i="9" s="1" a="1"/>
  <c r="Z18" i="9" s="1"/>
  <c r="I69" i="9" a="1"/>
  <c r="I69" i="9" s="1"/>
  <c r="G108" i="9"/>
  <c r="V29" i="9" s="1" a="1"/>
  <c r="V29" i="9" s="1"/>
  <c r="M69" i="9" a="1"/>
  <c r="M69" i="9" s="1"/>
  <c r="O106" i="9"/>
  <c r="AD27" i="9" s="1"/>
  <c r="B24" i="20" s="1"/>
  <c r="M108" i="9"/>
  <c r="AB29" i="9" s="1" a="1"/>
  <c r="AB29" i="9" s="1"/>
  <c r="H93" i="9"/>
  <c r="W14" i="9" s="1" a="1"/>
  <c r="W14" i="9" s="1"/>
  <c r="J73" i="9" a="1"/>
  <c r="J73" i="9" s="1"/>
  <c r="M70" i="9" a="1"/>
  <c r="M70" i="9" s="1"/>
  <c r="D95" i="9"/>
  <c r="S16" i="9" s="1" a="1"/>
  <c r="S16" i="9" s="1"/>
  <c r="D106" i="9"/>
  <c r="S27" i="9" s="1" a="1"/>
  <c r="S27" i="9" s="1"/>
  <c r="O102" i="9"/>
  <c r="AD23" i="9" s="1"/>
  <c r="B20" i="20" s="1"/>
  <c r="G57" i="9" a="1"/>
  <c r="G57" i="9" s="1"/>
  <c r="E109" i="9"/>
  <c r="T30" i="9" s="1" a="1"/>
  <c r="T30" i="9" s="1"/>
  <c r="L62" i="9" a="1"/>
  <c r="L62" i="9" s="1"/>
  <c r="H102" i="9"/>
  <c r="W23" i="9" s="1" a="1"/>
  <c r="W23" i="9" s="1"/>
  <c r="K56" i="9" a="1"/>
  <c r="K56" i="9" s="1"/>
  <c r="H96" i="9"/>
  <c r="I104" i="9"/>
  <c r="X25" i="9" s="1" a="1"/>
  <c r="X25" i="9" s="1"/>
  <c r="E107" i="9"/>
  <c r="T28" i="9" s="1" a="1"/>
  <c r="T28" i="9" s="1"/>
  <c r="L105" i="9"/>
  <c r="AA26" i="9" s="1" a="1"/>
  <c r="AA26" i="9" s="1"/>
  <c r="L101" i="9"/>
  <c r="AA22" i="9" s="1" a="1"/>
  <c r="AA22" i="9" s="1"/>
  <c r="L55" i="9" a="1"/>
  <c r="L55" i="9" s="1"/>
  <c r="J70" i="9" a="1"/>
  <c r="J70" i="9" s="1"/>
  <c r="G50" i="9" a="1"/>
  <c r="G50" i="9" s="1"/>
  <c r="J63" i="9" a="1"/>
  <c r="J63" i="9" s="1"/>
  <c r="H101" i="9"/>
  <c r="W22" i="9" s="1" a="1"/>
  <c r="W22" i="9" s="1"/>
  <c r="O99" i="9"/>
  <c r="AD20" i="9" s="1"/>
  <c r="B17" i="20" s="1"/>
  <c r="G90" i="9"/>
  <c r="E97" i="9"/>
  <c r="T18" i="9" s="1" a="1"/>
  <c r="T18" i="9" s="1"/>
  <c r="E93" i="9"/>
  <c r="T14" i="9" s="1" a="1"/>
  <c r="T14" i="9" s="1"/>
  <c r="J58" i="9" a="1"/>
  <c r="J58" i="9" s="1"/>
  <c r="J55" i="9" a="1"/>
  <c r="J55" i="9" s="1"/>
  <c r="J85" i="9"/>
  <c r="Y6" i="9" s="1" a="1"/>
  <c r="Y6" i="9" s="1"/>
  <c r="F102" i="9"/>
  <c r="U23" i="9" s="1" a="1"/>
  <c r="U23" i="9" s="1"/>
  <c r="E88" i="9"/>
  <c r="T9" i="9" s="1" a="1"/>
  <c r="T9" i="9" s="1"/>
  <c r="D92" i="9"/>
  <c r="S13" i="9" s="1" a="1"/>
  <c r="S13" i="9" s="1"/>
  <c r="E102" i="9"/>
  <c r="T23" i="9" s="1" a="1"/>
  <c r="T23" i="9" s="1"/>
  <c r="F100" i="9"/>
  <c r="U21" i="9" s="1" a="1"/>
  <c r="U21" i="9" s="1"/>
  <c r="E91" i="9"/>
  <c r="T12" i="9" s="1" a="1"/>
  <c r="T12" i="9" s="1"/>
  <c r="G53" i="9" a="1"/>
  <c r="G53" i="9" s="1"/>
  <c r="W17" i="9" a="1"/>
  <c r="W17" i="9" s="1"/>
  <c r="K95" i="9"/>
  <c r="Z16" i="9" s="1" a="1"/>
  <c r="Z16" i="9" s="1"/>
  <c r="L89" i="9"/>
  <c r="AA10" i="9" s="1" a="1"/>
  <c r="AA10" i="9" s="1"/>
  <c r="H110" i="9"/>
  <c r="W31" i="9" s="1" a="1"/>
  <c r="W31" i="9" s="1"/>
  <c r="G89" i="9"/>
  <c r="K66" i="9" a="1"/>
  <c r="K66" i="9" s="1"/>
  <c r="L60" i="9" a="1"/>
  <c r="L60" i="9" s="1"/>
  <c r="M85" i="9"/>
  <c r="AB6" i="9" s="1" a="1"/>
  <c r="AB6" i="9" s="1"/>
  <c r="E100" i="9"/>
  <c r="T21" i="9" s="1" a="1"/>
  <c r="T21" i="9" s="1"/>
  <c r="O68" i="9"/>
  <c r="O89" i="9"/>
  <c r="AD10" i="9" s="1"/>
  <c r="B7" i="20" s="1"/>
  <c r="J76" i="9" a="1"/>
  <c r="J76" i="9" s="1"/>
  <c r="E105" i="9"/>
  <c r="T26" i="9" s="1" a="1"/>
  <c r="T26" i="9" s="1"/>
  <c r="K58" i="9" a="1"/>
  <c r="K58" i="9" s="1"/>
  <c r="B5" i="9"/>
  <c r="E5" i="9" s="1"/>
  <c r="C108" i="9"/>
  <c r="R29" i="9" s="1" a="1"/>
  <c r="R29" i="9" s="1"/>
  <c r="H61" i="9" a="1"/>
  <c r="H61" i="9" s="1"/>
  <c r="H97" i="9"/>
  <c r="W18" i="9" s="1" a="1"/>
  <c r="W18" i="9" s="1"/>
  <c r="H73" i="9" a="1"/>
  <c r="H73" i="9" s="1"/>
  <c r="L74" i="9" a="1"/>
  <c r="L74" i="9" s="1"/>
  <c r="O57" i="9"/>
  <c r="K63" i="9" a="1"/>
  <c r="K63" i="9" s="1"/>
  <c r="F88" i="9"/>
  <c r="U9" i="9" s="1" a="1"/>
  <c r="U9" i="9" s="1"/>
  <c r="J107" i="9"/>
  <c r="Y28" i="9" s="1" a="1"/>
  <c r="Y28" i="9" s="1"/>
  <c r="L97" i="9"/>
  <c r="AA18" i="9" s="1" a="1"/>
  <c r="AA18" i="9" s="1"/>
  <c r="J103" i="9"/>
  <c r="Y24" i="9" s="1" a="1"/>
  <c r="Y24" i="9" s="1"/>
  <c r="I93" i="9"/>
  <c r="X14" i="9" s="1" a="1"/>
  <c r="X14" i="9" s="1"/>
  <c r="J54" i="9" a="1"/>
  <c r="J54" i="9" s="1"/>
  <c r="O92" i="9"/>
  <c r="AD13" i="9" s="1"/>
  <c r="B10" i="20" s="1"/>
  <c r="J111" i="9"/>
  <c r="Y32" i="9" s="1" a="1"/>
  <c r="Y32" i="9" s="1"/>
  <c r="F106" i="9"/>
  <c r="U27" i="9" s="1" a="1"/>
  <c r="U27" i="9" s="1"/>
  <c r="M94" i="9"/>
  <c r="AB15" i="9" s="1" a="1"/>
  <c r="AB15" i="9" s="1"/>
  <c r="I60" i="9" a="1"/>
  <c r="I60" i="9" s="1"/>
  <c r="H70" i="9" a="1"/>
  <c r="H70" i="9" s="1"/>
  <c r="I97" i="9"/>
  <c r="X18" i="9" s="1" a="1"/>
  <c r="X18" i="9" s="1"/>
  <c r="J62" i="9" a="1"/>
  <c r="J62" i="9" s="1"/>
  <c r="G91" i="9"/>
  <c r="I76" i="9" a="1"/>
  <c r="I76" i="9" s="1"/>
  <c r="M111" i="9"/>
  <c r="AB32" i="9" s="1" a="1"/>
  <c r="AB32" i="9" s="1"/>
  <c r="O76" i="9"/>
  <c r="E96" i="9"/>
  <c r="T17" i="9" s="1" a="1"/>
  <c r="T17" i="9" s="1"/>
  <c r="K71" i="9" a="1"/>
  <c r="K71" i="9" s="1"/>
  <c r="M95" i="9"/>
  <c r="AB16" i="9" s="1" a="1"/>
  <c r="AB16" i="9" s="1"/>
  <c r="G85" i="9"/>
  <c r="V6" i="9" s="1" a="1"/>
  <c r="V6" i="9" s="1"/>
  <c r="J90" i="9"/>
  <c r="Y11" i="9" s="1" a="1"/>
  <c r="Y11" i="9" s="1"/>
  <c r="L67" i="9" a="1"/>
  <c r="L67" i="9" s="1"/>
  <c r="J88" i="9"/>
  <c r="Y9" i="9" s="1" a="1"/>
  <c r="Y9" i="9" s="1"/>
  <c r="M59" i="9" a="1"/>
  <c r="M59" i="9" s="1"/>
  <c r="I55" i="9" a="1"/>
  <c r="I55" i="9" s="1"/>
  <c r="K54" i="9" a="1"/>
  <c r="K54" i="9" s="1"/>
  <c r="I52" i="9" a="1"/>
  <c r="I52" i="9" s="1"/>
  <c r="C95" i="9"/>
  <c r="R16" i="9" s="1" a="1"/>
  <c r="R16" i="9" s="1"/>
  <c r="I109" i="9"/>
  <c r="X30" i="9" s="1" a="1"/>
  <c r="X30" i="9" s="1"/>
  <c r="G107" i="9"/>
  <c r="I67" i="9" a="1"/>
  <c r="I67" i="9" s="1"/>
  <c r="G66" i="9" a="1"/>
  <c r="G66" i="9" s="1"/>
  <c r="K61" i="9" a="1"/>
  <c r="K61" i="9" s="1"/>
  <c r="J87" i="9"/>
  <c r="Y8" i="9" s="1" a="1"/>
  <c r="Y8" i="9" s="1"/>
  <c r="M98" i="9"/>
  <c r="AB19" i="9" s="1" a="1"/>
  <c r="AB19" i="9" s="1"/>
  <c r="J50" i="9" a="1"/>
  <c r="J50" i="9" s="1"/>
  <c r="E92" i="9"/>
  <c r="T13" i="9" s="1" a="1"/>
  <c r="T13" i="9" s="1"/>
  <c r="B4" i="9"/>
  <c r="K105" i="9"/>
  <c r="Z26" i="9" s="1" a="1"/>
  <c r="Z26" i="9" s="1"/>
  <c r="R9" i="9" a="1"/>
  <c r="R9" i="9" s="1"/>
  <c r="K64" i="9" a="1"/>
  <c r="K64" i="9" s="1"/>
  <c r="M90" i="9"/>
  <c r="AB11" i="9" s="1" a="1"/>
  <c r="AB11" i="9" s="1"/>
  <c r="G104" i="9"/>
  <c r="M96" i="9"/>
  <c r="AB17" i="9" s="1" a="1"/>
  <c r="AB17" i="9" s="1"/>
  <c r="C111" i="9"/>
  <c r="R32" i="9" s="1" a="1"/>
  <c r="R32" i="9" s="1"/>
  <c r="M56" i="9" a="1"/>
  <c r="M56" i="9" s="1"/>
  <c r="AB20" i="9" a="1"/>
  <c r="AB20" i="9" s="1"/>
  <c r="C87" i="9"/>
  <c r="R8" i="9" s="1" a="1"/>
  <c r="R8" i="9" s="1"/>
  <c r="J57" i="9" a="1"/>
  <c r="J57" i="9" s="1"/>
  <c r="H103" i="9"/>
  <c r="W24" i="9" s="1" a="1"/>
  <c r="W24" i="9" s="1"/>
  <c r="D90" i="9"/>
  <c r="S11" i="9" s="1" a="1"/>
  <c r="S11" i="9" s="1"/>
  <c r="K51" i="9" a="1"/>
  <c r="K51" i="9" s="1"/>
  <c r="G96" i="9"/>
  <c r="V17" i="9" s="1" a="1"/>
  <c r="V17" i="9" s="1"/>
  <c r="L54" i="9" a="1"/>
  <c r="L54" i="9" s="1"/>
  <c r="L61" i="9" a="1"/>
  <c r="L61" i="9" s="1"/>
  <c r="L69" i="9" a="1"/>
  <c r="L69" i="9" s="1"/>
  <c r="J59" i="9" a="1"/>
  <c r="J59" i="9" s="1"/>
  <c r="M50" i="9" a="1"/>
  <c r="M50" i="9" s="1"/>
  <c r="O73" i="9"/>
  <c r="I108" i="9"/>
  <c r="X29" i="9" s="1" a="1"/>
  <c r="X29" i="9" s="1"/>
  <c r="L66" i="9" a="1"/>
  <c r="L66" i="9" s="1"/>
  <c r="L90" i="9"/>
  <c r="AA11" i="9" s="1" a="1"/>
  <c r="AA11" i="9" s="1"/>
  <c r="G65" i="9" a="1"/>
  <c r="G65" i="9" s="1"/>
  <c r="K72" i="9" a="1"/>
  <c r="K72" i="9" s="1"/>
  <c r="L94" i="9"/>
  <c r="AA15" i="9" s="1" a="1"/>
  <c r="AA15" i="9" s="1"/>
  <c r="O100" i="9"/>
  <c r="AD21" i="9" s="1"/>
  <c r="B18" i="20" s="1"/>
  <c r="M55" i="9" a="1"/>
  <c r="M55" i="9" s="1"/>
  <c r="C97" i="9"/>
  <c r="R18" i="9" s="1" a="1"/>
  <c r="R18" i="9" s="1"/>
  <c r="O66" i="9"/>
  <c r="O94" i="9"/>
  <c r="AD15" i="9" s="1"/>
  <c r="B12" i="20" s="1"/>
  <c r="D86" i="9"/>
  <c r="S7" i="9" s="1" a="1"/>
  <c r="S7" i="9" s="1"/>
  <c r="O93" i="9"/>
  <c r="AD14" i="9" s="1"/>
  <c r="B11" i="20" s="1"/>
  <c r="I87" i="9"/>
  <c r="X8" i="9" s="1" a="1"/>
  <c r="X8" i="9" s="1"/>
  <c r="M68" i="9" a="1"/>
  <c r="M68" i="9" s="1"/>
  <c r="C103" i="9"/>
  <c r="R24" i="9" s="1" a="1"/>
  <c r="R24" i="9" s="1"/>
  <c r="D88" i="9"/>
  <c r="S9" i="9" s="1" a="1"/>
  <c r="S9" i="9" s="1"/>
  <c r="M72" i="9" a="1"/>
  <c r="M72" i="9" s="1"/>
  <c r="O90" i="9"/>
  <c r="AD11" i="9" s="1"/>
  <c r="B8" i="20" s="1"/>
  <c r="F97" i="9"/>
  <c r="U18" i="9" s="1" a="1"/>
  <c r="U18" i="9" s="1"/>
  <c r="H66" i="9" a="1"/>
  <c r="H66" i="9" s="1"/>
  <c r="I75" i="9" a="1"/>
  <c r="I75" i="9" s="1"/>
  <c r="L96" i="9"/>
  <c r="AA17" i="9" s="1" a="1"/>
  <c r="AA17" i="9" s="1"/>
  <c r="F96" i="9"/>
  <c r="U17" i="9" s="1" a="1"/>
  <c r="U17" i="9" s="1"/>
  <c r="H59" i="9" a="1"/>
  <c r="H59" i="9" s="1"/>
  <c r="E94" i="9"/>
  <c r="T15" i="9" s="1" a="1"/>
  <c r="T15" i="9" s="1"/>
  <c r="L76" i="9" a="1"/>
  <c r="L76" i="9" s="1"/>
  <c r="D111" i="9"/>
  <c r="S32" i="9" s="1" a="1"/>
  <c r="S32" i="9" s="1"/>
  <c r="D89" i="9"/>
  <c r="S10" i="9" s="1" a="1"/>
  <c r="S10" i="9" s="1"/>
  <c r="K98" i="9"/>
  <c r="Z19" i="9" s="1" a="1"/>
  <c r="Z19" i="9" s="1"/>
  <c r="C101" i="9"/>
  <c r="R22" i="9" s="1" a="1"/>
  <c r="R22" i="9" s="1"/>
  <c r="F94" i="9"/>
  <c r="U15" i="9" s="1" a="1"/>
  <c r="U15" i="9" s="1"/>
  <c r="L98" i="9"/>
  <c r="AA19" i="9" s="1" a="1"/>
  <c r="AA19" i="9" s="1"/>
  <c r="C85" i="9"/>
  <c r="R6" i="9" s="1" a="1"/>
  <c r="R6" i="9" s="1"/>
  <c r="G99" i="9"/>
  <c r="O91" i="9"/>
  <c r="AD12" i="9" s="1"/>
  <c r="B9" i="20" s="1"/>
  <c r="I94" i="9"/>
  <c r="X15" i="9" s="1" a="1"/>
  <c r="X15" i="9" s="1"/>
  <c r="J110" i="9"/>
  <c r="Y31" i="9" s="1" a="1"/>
  <c r="Y31" i="9" s="1"/>
  <c r="J64" i="9" a="1"/>
  <c r="J64" i="9" s="1"/>
  <c r="H72" i="9" a="1"/>
  <c r="H72" i="9" s="1"/>
  <c r="E87" i="9"/>
  <c r="T8" i="9" s="1" a="1"/>
  <c r="T8" i="9" s="1"/>
  <c r="G109" i="9"/>
  <c r="V30" i="9" s="1" a="1"/>
  <c r="V30" i="9" s="1"/>
  <c r="F85" i="9"/>
  <c r="U6" i="9" s="1" a="1"/>
  <c r="U6" i="9" s="1"/>
  <c r="O71" i="9"/>
  <c r="D103" i="9"/>
  <c r="S24" i="9" s="1" a="1"/>
  <c r="S24" i="9" s="1"/>
  <c r="F105" i="9"/>
  <c r="U26" i="9" s="1" a="1"/>
  <c r="U26" i="9" s="1"/>
  <c r="H55" i="9" a="1"/>
  <c r="H55" i="9" s="1"/>
  <c r="K68" i="9" a="1"/>
  <c r="K68" i="9" s="1"/>
  <c r="O62" i="9"/>
  <c r="V27" i="9" a="1"/>
  <c r="V27" i="9" s="1"/>
  <c r="A28" i="20"/>
  <c r="A5" i="20"/>
  <c r="A20" i="20"/>
  <c r="A3" i="20"/>
  <c r="A27" i="20"/>
  <c r="A4" i="20"/>
  <c r="A10" i="20"/>
  <c r="A23" i="20"/>
  <c r="A16" i="20"/>
  <c r="A21" i="20"/>
  <c r="A22" i="20"/>
  <c r="A14" i="20"/>
  <c r="Q5" i="9"/>
  <c r="D12" i="19" s="1" a="1"/>
  <c r="D12" i="19" s="1"/>
  <c r="A11" i="20"/>
  <c r="A7" i="20"/>
  <c r="A24" i="20"/>
  <c r="A8" i="20"/>
  <c r="H58" i="9" a="1"/>
  <c r="H58" i="9" s="1"/>
  <c r="I70" i="9" a="1"/>
  <c r="I70" i="9" s="1"/>
  <c r="D110" i="9"/>
  <c r="S31" i="9" s="1" a="1"/>
  <c r="S31" i="9" s="1"/>
  <c r="O65" i="9"/>
  <c r="E106" i="9"/>
  <c r="T27" i="9" s="1" a="1"/>
  <c r="T27" i="9" s="1"/>
  <c r="K76" i="9" a="1"/>
  <c r="K76" i="9" s="1"/>
  <c r="J75" i="9" a="1"/>
  <c r="J75" i="9" s="1"/>
  <c r="J104" i="9"/>
  <c r="Y25" i="9" s="1" a="1"/>
  <c r="Y25" i="9" s="1"/>
  <c r="F90" i="9"/>
  <c r="U11" i="9" s="1" a="1"/>
  <c r="U11" i="9" s="1"/>
  <c r="I73" i="9" a="1"/>
  <c r="I73" i="9" s="1"/>
  <c r="J100" i="9"/>
  <c r="Y21" i="9" s="1" a="1"/>
  <c r="Y21" i="9" s="1"/>
  <c r="A19" i="20"/>
  <c r="L106" i="9"/>
  <c r="AA27" i="9" s="1" a="1"/>
  <c r="AA27" i="9" s="1"/>
  <c r="C93" i="9"/>
  <c r="R14" i="9" s="1" a="1"/>
  <c r="R14" i="9" s="1"/>
  <c r="A6" i="20"/>
  <c r="M60" i="9" a="1"/>
  <c r="M60" i="9" s="1"/>
  <c r="I74" i="9" a="1"/>
  <c r="I74" i="9" s="1"/>
  <c r="C100" i="9"/>
  <c r="R21" i="9" s="1" a="1"/>
  <c r="R21" i="9" s="1"/>
  <c r="G88" i="9"/>
  <c r="J101" i="9"/>
  <c r="Y22" i="9" s="1" a="1"/>
  <c r="Y22" i="9" s="1"/>
  <c r="J51" i="9" a="1"/>
  <c r="J51" i="9" s="1"/>
  <c r="C98" i="9"/>
  <c r="R19" i="9" s="1" a="1"/>
  <c r="R19" i="9" s="1"/>
  <c r="L85" i="9"/>
  <c r="AA6" i="9" s="1" a="1"/>
  <c r="AA6" i="9" s="1"/>
  <c r="O56" i="9"/>
  <c r="I53" i="9" a="1"/>
  <c r="I53" i="9" s="1"/>
  <c r="AC36" i="9"/>
  <c r="G102" i="9"/>
  <c r="V23" i="9" s="1" a="1"/>
  <c r="V23" i="9" s="1"/>
  <c r="H52" i="9" a="1"/>
  <c r="H52" i="9" s="1"/>
  <c r="K109" i="9"/>
  <c r="C104" i="9"/>
  <c r="R25" i="9" s="1" a="1"/>
  <c r="R25" i="9" s="1"/>
  <c r="K60" i="9" a="1"/>
  <c r="K60" i="9" s="1"/>
  <c r="C107" i="9"/>
  <c r="R28" i="9" s="1" a="1"/>
  <c r="R28" i="9" s="1"/>
  <c r="K65" i="9" a="1"/>
  <c r="K65" i="9" s="1"/>
  <c r="E99" i="9"/>
  <c r="T20" i="9" s="1" a="1"/>
  <c r="T20" i="9" s="1"/>
  <c r="K69" i="9" a="1"/>
  <c r="K69" i="9" s="1"/>
  <c r="H53" i="9" a="1"/>
  <c r="H53" i="9" s="1"/>
  <c r="A12" i="20"/>
  <c r="O52" i="9"/>
  <c r="E110" i="9"/>
  <c r="T31" i="9" s="1" a="1"/>
  <c r="T31" i="9" s="1"/>
  <c r="M93" i="9"/>
  <c r="AB14" i="9" s="1" a="1"/>
  <c r="AB14" i="9" s="1"/>
  <c r="F108" i="9"/>
  <c r="U29" i="9" s="1" a="1"/>
  <c r="U29" i="9" s="1"/>
  <c r="L107" i="9"/>
  <c r="AA28" i="9" s="1" a="1"/>
  <c r="AA28" i="9" s="1"/>
  <c r="H105" i="9"/>
  <c r="W26" i="9" s="1" a="1"/>
  <c r="W26" i="9" s="1"/>
  <c r="J109" i="9"/>
  <c r="Y30" i="9" s="1" a="1"/>
  <c r="Y30" i="9" s="1"/>
  <c r="N79" i="9"/>
  <c r="AC35" i="9"/>
  <c r="AE35" i="9" s="1"/>
  <c r="AC33" i="9"/>
  <c r="AE33" i="9" s="1"/>
  <c r="N77" i="9"/>
  <c r="P77" i="9" s="1"/>
  <c r="G75" i="9" a="1"/>
  <c r="G75" i="9" s="1"/>
  <c r="H51" i="9" a="1"/>
  <c r="H51" i="9" s="1"/>
  <c r="N78" i="9"/>
  <c r="P78" i="9" s="1"/>
  <c r="G69" i="9" a="1"/>
  <c r="G69" i="9" s="1"/>
  <c r="H50" i="9" a="1"/>
  <c r="H50" i="9" s="1"/>
  <c r="G67" i="9" a="1"/>
  <c r="G67" i="9" s="1"/>
  <c r="H60" i="9" a="1"/>
  <c r="H60" i="9" s="1"/>
  <c r="L68" i="9" a="1"/>
  <c r="L68" i="9" s="1"/>
  <c r="K202" i="1"/>
  <c r="G59" i="9" a="1"/>
  <c r="G59" i="9" s="1"/>
  <c r="J53" i="9" a="1"/>
  <c r="J53" i="9" s="1"/>
  <c r="E9" i="9"/>
  <c r="H57" i="9" a="1"/>
  <c r="H57" i="9" s="1"/>
  <c r="J202" i="1" a="1"/>
  <c r="J202" i="1" s="1"/>
  <c r="G51" i="9" a="1"/>
  <c r="G51" i="9" s="1"/>
  <c r="I202" i="1" a="1"/>
  <c r="I202" i="1" s="1"/>
  <c r="E13" i="8" s="1"/>
  <c r="G60" i="9" a="1"/>
  <c r="G60" i="9" s="1"/>
  <c r="G56" i="9" a="1"/>
  <c r="G56" i="9" s="1"/>
  <c r="C16" i="10"/>
  <c r="C9" i="8"/>
  <c r="N5" i="17"/>
  <c r="N7" i="17" s="1"/>
  <c r="C19" i="10" s="1"/>
  <c r="K6" i="17"/>
  <c r="F628" i="17"/>
  <c r="E44" i="18"/>
  <c r="G21" i="15"/>
  <c r="C43" i="12"/>
  <c r="I37" i="12"/>
  <c r="J43" i="14"/>
  <c r="C12" i="8" s="1"/>
  <c r="D44" i="18"/>
  <c r="D42" i="14"/>
  <c r="C10" i="8" s="1"/>
  <c r="I122" i="6"/>
  <c r="H24" i="7"/>
  <c r="H9" i="15"/>
  <c r="H122" i="6"/>
  <c r="D2" i="2"/>
  <c r="H108" i="1" l="1"/>
  <c r="H107" i="1"/>
  <c r="H71" i="1"/>
  <c r="E15" i="9"/>
  <c r="H21" i="15"/>
  <c r="H69" i="1"/>
  <c r="H67" i="1"/>
  <c r="F49" i="9" a="1"/>
  <c r="F49" i="9" s="1"/>
  <c r="C12" i="19" a="1"/>
  <c r="C12" i="19" s="1"/>
  <c r="E12" i="19" s="1"/>
  <c r="G49" i="9" a="1"/>
  <c r="G49" i="9" s="1"/>
  <c r="D49" i="9" a="1"/>
  <c r="D49" i="9" s="1"/>
  <c r="C10" i="9"/>
  <c r="C5" i="9"/>
  <c r="C14" i="9"/>
  <c r="N103" i="9"/>
  <c r="E6" i="9"/>
  <c r="N91" i="9"/>
  <c r="P91" i="9" s="1"/>
  <c r="V12" i="9" a="1"/>
  <c r="V12" i="9" s="1"/>
  <c r="AC12" i="9" s="1"/>
  <c r="AE12" i="9" s="1"/>
  <c r="C9" i="20" s="1"/>
  <c r="H49" i="9" a="1"/>
  <c r="H49" i="9" s="1"/>
  <c r="N90" i="9"/>
  <c r="P90" i="9" s="1"/>
  <c r="N95" i="9"/>
  <c r="P95" i="9" s="1"/>
  <c r="N85" i="9"/>
  <c r="P85" i="9" s="1"/>
  <c r="C14" i="19" a="1"/>
  <c r="C14" i="19" s="1"/>
  <c r="N104" i="9"/>
  <c r="P104" i="9" s="1"/>
  <c r="E16" i="9"/>
  <c r="C16" i="9"/>
  <c r="P103" i="9"/>
  <c r="N87" i="9"/>
  <c r="P87" i="9" s="1"/>
  <c r="N71" i="9"/>
  <c r="P71" i="9" s="1"/>
  <c r="C8" i="9"/>
  <c r="E8" i="9"/>
  <c r="N100" i="9"/>
  <c r="P100" i="9" s="1"/>
  <c r="V25" i="9" a="1"/>
  <c r="V25" i="9" s="1"/>
  <c r="AC25" i="9" s="1"/>
  <c r="AE25" i="9" s="1"/>
  <c r="C22" i="20" s="1"/>
  <c r="N93" i="9"/>
  <c r="P93" i="9" s="1"/>
  <c r="N108" i="9"/>
  <c r="P108" i="9" s="1"/>
  <c r="N66" i="9"/>
  <c r="P66" i="9" s="1"/>
  <c r="N58" i="9"/>
  <c r="P58" i="9" s="1"/>
  <c r="N55" i="9"/>
  <c r="P55" i="9" s="1"/>
  <c r="N63" i="9"/>
  <c r="P63" i="9" s="1"/>
  <c r="N56" i="9"/>
  <c r="P56" i="9" s="1"/>
  <c r="N54" i="9"/>
  <c r="P54" i="9" s="1"/>
  <c r="N64" i="9"/>
  <c r="P64" i="9" s="1"/>
  <c r="N52" i="9"/>
  <c r="P52" i="9" s="1"/>
  <c r="N53" i="9"/>
  <c r="P53" i="9" s="1"/>
  <c r="AC29" i="9"/>
  <c r="AE29" i="9" s="1"/>
  <c r="C26" i="20" s="1"/>
  <c r="N65" i="9"/>
  <c r="P65" i="9" s="1"/>
  <c r="AC19" i="9"/>
  <c r="AE19" i="9" s="1"/>
  <c r="C16" i="20" s="1"/>
  <c r="N73" i="9"/>
  <c r="P73" i="9" s="1"/>
  <c r="AC23" i="9"/>
  <c r="AE23" i="9" s="1"/>
  <c r="C20" i="20" s="1"/>
  <c r="AC27" i="9"/>
  <c r="AE27" i="9" s="1"/>
  <c r="C24" i="20" s="1"/>
  <c r="AC22" i="9"/>
  <c r="AE22" i="9" s="1"/>
  <c r="C19" i="20" s="1"/>
  <c r="AC21" i="9"/>
  <c r="AE21" i="9" s="1"/>
  <c r="C18" i="20" s="1"/>
  <c r="N92" i="9"/>
  <c r="P92" i="9" s="1"/>
  <c r="N51" i="9"/>
  <c r="P51" i="9" s="1"/>
  <c r="N75" i="9"/>
  <c r="P75" i="9" s="1"/>
  <c r="N106" i="9"/>
  <c r="P106" i="9" s="1"/>
  <c r="N89" i="9"/>
  <c r="P89" i="9" s="1"/>
  <c r="N96" i="9"/>
  <c r="P96" i="9" s="1"/>
  <c r="E11" i="9"/>
  <c r="C11" i="9"/>
  <c r="X6" i="9" a="1"/>
  <c r="X6" i="9" s="1"/>
  <c r="AC6" i="9" s="1"/>
  <c r="AE6" i="9" s="1"/>
  <c r="C3" i="20" s="1"/>
  <c r="AC32" i="9"/>
  <c r="AE32" i="9" s="1"/>
  <c r="AC18" i="9"/>
  <c r="AE18" i="9" s="1"/>
  <c r="C15" i="20" s="1"/>
  <c r="AC8" i="9"/>
  <c r="AE8" i="9" s="1"/>
  <c r="C5" i="20" s="1"/>
  <c r="N59" i="9"/>
  <c r="P59" i="9" s="1"/>
  <c r="N68" i="9"/>
  <c r="P68" i="9" s="1"/>
  <c r="N70" i="9"/>
  <c r="P70" i="9" s="1"/>
  <c r="N60" i="9"/>
  <c r="P60" i="9" s="1"/>
  <c r="V11" i="9" a="1"/>
  <c r="V11" i="9" s="1"/>
  <c r="AC11" i="9" s="1"/>
  <c r="AE11" i="9" s="1"/>
  <c r="C8" i="20" s="1"/>
  <c r="N88" i="9"/>
  <c r="P88" i="9" s="1"/>
  <c r="N110" i="9"/>
  <c r="P110" i="9" s="1"/>
  <c r="N86" i="9"/>
  <c r="P86" i="9" s="1"/>
  <c r="AC24" i="9"/>
  <c r="AE24" i="9" s="1"/>
  <c r="C21" i="20" s="1"/>
  <c r="AC17" i="9"/>
  <c r="AE17" i="9" s="1"/>
  <c r="C14" i="20" s="1"/>
  <c r="N101" i="9"/>
  <c r="P101" i="9" s="1"/>
  <c r="N76" i="9"/>
  <c r="P76" i="9" s="1"/>
  <c r="X13" i="9" a="1"/>
  <c r="X13" i="9" s="1"/>
  <c r="AC13" i="9" s="1"/>
  <c r="AE13" i="9" s="1"/>
  <c r="C10" i="20" s="1"/>
  <c r="V7" i="9" a="1"/>
  <c r="V7" i="9" s="1"/>
  <c r="AC7" i="9" s="1"/>
  <c r="AE7" i="9" s="1"/>
  <c r="C4" i="20" s="1"/>
  <c r="E7" i="9" a="1"/>
  <c r="E7" i="9" s="1"/>
  <c r="C7" i="9"/>
  <c r="C13" i="9"/>
  <c r="E13" i="9"/>
  <c r="A2" i="20"/>
  <c r="D10" i="19" a="1"/>
  <c r="D10" i="19" s="1"/>
  <c r="D8" i="19" a="1"/>
  <c r="D8" i="19" s="1"/>
  <c r="AC14" i="9"/>
  <c r="AE14" i="9" s="1"/>
  <c r="C11" i="20" s="1"/>
  <c r="N67" i="9"/>
  <c r="P67" i="9" s="1"/>
  <c r="V28" i="9" a="1"/>
  <c r="V28" i="9" s="1"/>
  <c r="AC28" i="9" s="1"/>
  <c r="AE28" i="9" s="1"/>
  <c r="C25" i="20" s="1"/>
  <c r="N107" i="9"/>
  <c r="P107" i="9" s="1"/>
  <c r="N94" i="9"/>
  <c r="P94" i="9" s="1"/>
  <c r="V16" i="9" a="1"/>
  <c r="V16" i="9" s="1"/>
  <c r="AC16" i="9" s="1"/>
  <c r="AE16" i="9" s="1"/>
  <c r="C13" i="20" s="1"/>
  <c r="N97" i="9"/>
  <c r="P97" i="9" s="1"/>
  <c r="AC26" i="9"/>
  <c r="AE26" i="9" s="1"/>
  <c r="C23" i="20" s="1"/>
  <c r="E18" i="19" a="1"/>
  <c r="E18" i="19" s="1"/>
  <c r="N102" i="9"/>
  <c r="P102" i="9" s="1"/>
  <c r="N109" i="9"/>
  <c r="P109" i="9" s="1"/>
  <c r="Z30" i="9" a="1"/>
  <c r="Z30" i="9" s="1"/>
  <c r="AC30" i="9" s="1"/>
  <c r="AE30" i="9" s="1"/>
  <c r="C27" i="20" s="1"/>
  <c r="I49" i="9" a="1"/>
  <c r="I49" i="9" s="1"/>
  <c r="L84" i="9"/>
  <c r="AA5" i="9" s="1" a="1"/>
  <c r="AA5" i="9" s="1"/>
  <c r="J49" i="9" a="1"/>
  <c r="J49" i="9" s="1"/>
  <c r="C84" i="9"/>
  <c r="R5" i="9" s="1" a="1"/>
  <c r="R5" i="9" s="1"/>
  <c r="O84" i="9"/>
  <c r="AD5" i="9" s="1"/>
  <c r="B2" i="20" s="1"/>
  <c r="F84" i="9"/>
  <c r="U5" i="9" s="1" a="1"/>
  <c r="U5" i="9" s="1"/>
  <c r="D84" i="9"/>
  <c r="S5" i="9" s="1" a="1"/>
  <c r="S5" i="9" s="1"/>
  <c r="B2" i="9"/>
  <c r="G84" i="9"/>
  <c r="H84" i="9"/>
  <c r="W5" i="9" s="1" a="1"/>
  <c r="W5" i="9" s="1"/>
  <c r="K84" i="9"/>
  <c r="Z5" i="9" s="1" a="1"/>
  <c r="Z5" i="9" s="1"/>
  <c r="M49" i="9" a="1"/>
  <c r="M49" i="9" s="1"/>
  <c r="K49" i="9" a="1"/>
  <c r="K49" i="9" s="1"/>
  <c r="J84" i="9"/>
  <c r="Y5" i="9" s="1" a="1"/>
  <c r="Y5" i="9" s="1"/>
  <c r="L49" i="9" a="1"/>
  <c r="L49" i="9" s="1"/>
  <c r="O49" i="9"/>
  <c r="M84" i="9"/>
  <c r="AB5" i="9" s="1" a="1"/>
  <c r="AB5" i="9" s="1"/>
  <c r="E84" i="9"/>
  <c r="T5" i="9" s="1" a="1"/>
  <c r="T5" i="9" s="1"/>
  <c r="C49" i="9" a="1"/>
  <c r="C49" i="9" s="1"/>
  <c r="I84" i="9"/>
  <c r="X5" i="9" s="1" a="1"/>
  <c r="X5" i="9" s="1"/>
  <c r="N61" i="9"/>
  <c r="P61" i="9" s="1"/>
  <c r="E12" i="9"/>
  <c r="C12" i="9"/>
  <c r="E18" i="9"/>
  <c r="C18" i="9"/>
  <c r="N74" i="9"/>
  <c r="P74" i="9" s="1"/>
  <c r="N72" i="9"/>
  <c r="P72" i="9" s="1"/>
  <c r="V10" i="9" a="1"/>
  <c r="V10" i="9" s="1"/>
  <c r="AC10" i="9" s="1"/>
  <c r="AE10" i="9" s="1"/>
  <c r="C7" i="20" s="1"/>
  <c r="E17" i="9"/>
  <c r="C17" i="9"/>
  <c r="V20" i="9" a="1"/>
  <c r="V20" i="9" s="1"/>
  <c r="AC20" i="9" s="1"/>
  <c r="AE20" i="9" s="1"/>
  <c r="C17" i="20" s="1"/>
  <c r="N99" i="9"/>
  <c r="P99" i="9" s="1"/>
  <c r="AC31" i="9"/>
  <c r="AE31" i="9" s="1"/>
  <c r="N57" i="9"/>
  <c r="P57" i="9" s="1"/>
  <c r="E4" i="9"/>
  <c r="C4" i="9"/>
  <c r="N98" i="9"/>
  <c r="P98" i="9" s="1"/>
  <c r="N111" i="9"/>
  <c r="P111" i="9" s="1"/>
  <c r="N105" i="9"/>
  <c r="P105" i="9" s="1"/>
  <c r="E3" i="9"/>
  <c r="C3" i="9"/>
  <c r="N50" i="9"/>
  <c r="P50" i="9" s="1"/>
  <c r="N69" i="9"/>
  <c r="P69" i="9" s="1"/>
  <c r="V15" i="9" a="1"/>
  <c r="V15" i="9" s="1"/>
  <c r="AC15" i="9" s="1"/>
  <c r="AE15" i="9" s="1"/>
  <c r="C12" i="20" s="1"/>
  <c r="V9" i="9" a="1"/>
  <c r="V9" i="9" s="1"/>
  <c r="AC9" i="9" s="1"/>
  <c r="AE9" i="9" s="1"/>
  <c r="C6" i="20" s="1"/>
  <c r="D14" i="19" a="1"/>
  <c r="D14" i="19" s="1"/>
  <c r="N62" i="9"/>
  <c r="P62" i="9" s="1"/>
  <c r="E4" i="8"/>
  <c r="E8" i="8"/>
  <c r="E5" i="8"/>
  <c r="E6" i="8"/>
  <c r="E9" i="8"/>
  <c r="E7" i="8"/>
  <c r="E12" i="8"/>
  <c r="E10" i="8"/>
  <c r="P7" i="17"/>
  <c r="F44" i="18"/>
  <c r="C11" i="8"/>
  <c r="E14" i="19" l="1"/>
  <c r="E16" i="19" s="1"/>
  <c r="N49" i="9"/>
  <c r="N84" i="9"/>
  <c r="P84" i="9" s="1"/>
  <c r="V5" i="9" a="1"/>
  <c r="V5" i="9" s="1"/>
  <c r="AC5" i="9" s="1"/>
  <c r="AE5" i="9" s="1"/>
  <c r="C2" i="20" s="1"/>
  <c r="C2" i="9"/>
  <c r="E2" i="9"/>
  <c r="C28" i="20"/>
  <c r="E20" i="19" a="1"/>
  <c r="E20" i="19" s="1"/>
  <c r="C21" i="9"/>
  <c r="C23" i="9"/>
  <c r="C3" i="10" s="1"/>
  <c r="C11" i="10" s="1"/>
  <c r="C13" i="10" s="1"/>
  <c r="P49" i="9"/>
  <c r="C14" i="8"/>
  <c r="C4" i="10" s="1"/>
  <c r="E11" i="8"/>
  <c r="E14" i="8" s="1"/>
  <c r="C15" i="10" l="1"/>
  <c r="C17" i="10" s="1"/>
  <c r="C21" i="10" s="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<sst xmlns="http://schemas.openxmlformats.org/spreadsheetml/2006/main" count="2965" uniqueCount="593">
  <si>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</si>
  <si>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</si>
  <si>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</si>
  <si>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</si>
  <si>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</si>
  <si>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</si>
  <si>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</si>
  <si>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</si>
  <si>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</si>
  <si>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</si>
  <si>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</si>
  <si>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</si>
  <si>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</si>
  <si>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</si>
  <si>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</si>
  <si>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</si>
  <si>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</si>
  <si>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</si>
  <si>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</si>
  <si>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</si>
  <si>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</si>
  <si>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</si>
  <si>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</si>
  <si>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</si>
  <si>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</si>
  <si>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</si>
  <si>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</si>
  <si>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</si>
  <si>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</si>
  <si>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</si>
  <si>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</si>
  <si>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</si>
  <si>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</si>
  <si>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</si>
  <si>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</si>
  <si>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</si>
  <si>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</si>
  <si>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</si>
  <si>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</si>
  <si>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</si>
  <si>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</si>
  <si>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</si>
  <si>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</si>
  <si>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</si>
  <si>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</si>
  <si>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</si>
  <si>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</si>
  <si>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</si>
  <si>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</si>
  <si>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</si>
  <si>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</si>
  <si>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</si>
  <si>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</si>
  <si>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</si>
  <si>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</si>
  <si>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</si>
  <si>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</si>
  <si>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</si>
  <si>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</si>
  <si>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</si>
  <si>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</si>
  <si>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</si>
  <si>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</si>
  <si>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</si>
  <si>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</si>
  <si>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</si>
  <si>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</si>
  <si>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</si>
  <si>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</si>
  <si>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</si>
  <si>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</si>
  <si>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</si>
  <si>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</si>
  <si>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</si>
  <si>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</si>
  <si>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</si>
  <si>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</si>
  <si>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</si>
  <si>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</si>
  <si>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</si>
  <si>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</si>
  <si>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</si>
  <si>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</si>
  <si>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</si>
  <si>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</si>
  <si>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</si>
  <si>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</si>
  <si>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</si>
  <si>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</si>
  <si>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</si>
  <si>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</si>
  <si>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</si>
  <si>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</si>
  <si>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</si>
  <si>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</si>
  <si>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</si>
  <si>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</si>
  <si>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</si>
  <si>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</si>
  <si>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</si>
  <si>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</si>
  <si>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</si>
  <si>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</si>
  <si>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</si>
  <si>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</si>
  <si>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</si>
  <si>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</si>
  <si>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</si>
  <si>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</si>
  <si>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</si>
  <si>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</si>
  <si>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</si>
  <si>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</si>
  <si>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</si>
  <si>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</si>
  <si>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</si>
  <si>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</si>
  <si>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</si>
  <si>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</si>
  <si>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</si>
  <si>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</si>
  <si>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</si>
  <si>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</si>
  <si>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</si>
  <si>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</si>
  <si>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</si>
  <si>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</si>
  <si>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</si>
  <si>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</si>
  <si>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</si>
  <si>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</si>
  <si>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</si>
  <si>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</si>
  <si>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</si>
  <si>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</si>
  <si>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</si>
  <si>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</si>
  <si>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</si>
  <si>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</si>
  <si>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</si>
  <si>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</si>
  <si>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</si>
  <si>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</si>
  <si>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</si>
  <si>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</si>
  <si>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</si>
  <si>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</si>
  <si>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</si>
  <si>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</si>
  <si>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</si>
  <si>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</si>
  <si>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</si>
  <si>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</si>
  <si>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</si>
  <si>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</si>
  <si>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</si>
  <si>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</si>
  <si>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</si>
  <si>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</si>
  <si>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</si>
  <si>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</si>
  <si>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</si>
  <si>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</si>
  <si>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</si>
  <si>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</si>
  <si>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</si>
  <si>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</si>
  <si>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</si>
  <si>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</si>
  <si>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</si>
  <si>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</si>
  <si>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</si>
  <si>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</si>
  <si>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</si>
  <si>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</si>
  <si>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</si>
  <si>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</si>
  <si>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</si>
  <si>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</si>
  <si>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</si>
  <si>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</si>
  <si>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</si>
  <si>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</si>
  <si>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</si>
  <si>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</si>
  <si>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</si>
  <si>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</si>
  <si>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</si>
  <si>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</si>
  <si>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</si>
  <si>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</si>
  <si>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</si>
  <si>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</si>
  <si>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</si>
  <si>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</si>
  <si>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</si>
  <si>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</si>
  <si>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</si>
  <si>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</si>
  <si>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</si>
  <si>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</si>
  <si>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</si>
  <si>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</si>
  <si>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</si>
  <si>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</si>
  <si>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</si>
  <si>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</si>
  <si>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</si>
  <si>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</si>
  <si>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</si>
  <si>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</si>
  <si>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</si>
  <si>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</si>
  <si>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</si>
  <si>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</si>
  <si>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</si>
  <si>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</si>
  <si>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</si>
  <si>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</si>
  <si>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</si>
  <si>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</si>
  <si>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</si>
  <si>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</si>
  <si>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</si>
  <si>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</si>
  <si>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</si>
  <si>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</si>
  <si>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</si>
  <si>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</si>
  <si>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</si>
  <si>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</si>
  <si>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</si>
  <si>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</si>
  <si>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</si>
  <si>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</si>
  <si>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</si>
  <si>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</si>
  <si>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</si>
  <si>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</si>
  <si>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</si>
  <si>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</si>
  <si>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</si>
  <si>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</si>
  <si>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</si>
  <si>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</si>
  <si>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</si>
  <si>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</si>
  <si>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</si>
  <si>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</si>
  <si>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</si>
  <si>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</si>
  <si>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</si>
  <si>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</si>
  <si>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</si>
  <si>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</si>
  <si>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</si>
  <si>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</si>
  <si>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</si>
  <si>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</si>
  <si>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</si>
  <si>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</si>
  <si>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</si>
  <si>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</si>
  <si>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</si>
  <si>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</si>
  <si>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</si>
  <si>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</si>
  <si>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</si>
  <si>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</si>
  <si>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</si>
  <si>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</si>
  <si>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</si>
  <si>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</si>
  <si>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</si>
  <si>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</si>
  <si>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</si>
  <si>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</si>
  <si>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</si>
  <si>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</si>
  <si>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</si>
  <si>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</si>
  <si>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</si>
  <si>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</si>
  <si>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</si>
  <si>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</si>
  <si>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</si>
  <si>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</si>
  <si>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</si>
  <si>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</si>
  <si>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</si>
  <si>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</si>
  <si>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</si>
  <si>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</si>
  <si>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</si>
  <si>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</si>
  <si>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</si>
  <si>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</si>
  <si>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</si>
  <si>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</si>
  <si>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</si>
  <si>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</si>
  <si>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</si>
  <si>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</si>
  <si>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</si>
  <si>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</si>
  <si>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</si>
  <si>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</si>
  <si>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</si>
  <si>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</si>
  <si>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</si>
  <si>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</si>
  <si>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</si>
  <si>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</si>
  <si>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</si>
  <si>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</si>
  <si>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</si>
  <si>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</si>
  <si>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</si>
  <si>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</si>
  <si>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</si>
  <si>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</si>
  <si>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</si>
  <si>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</si>
  <si>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</si>
  <si>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</si>
  <si>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</si>
  <si>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</si>
  <si>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</si>
  <si>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</si>
  <si>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</si>
  <si>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</si>
  <si>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</si>
  <si>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</si>
  <si>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</si>
  <si>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</si>
  <si>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</si>
  <si>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</si>
  <si>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</si>
  <si>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</si>
  <si>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</si>
  <si>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</si>
  <si>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</si>
  <si>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</si>
  <si>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</si>
  <si>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</si>
  <si>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</si>
  <si>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</si>
  <si>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</si>
  <si>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</si>
  <si>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</si>
  <si>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</si>
  <si>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</si>
  <si>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</si>
  <si>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</si>
  <si>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</si>
  <si>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</si>
  <si>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</si>
  <si>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</si>
  <si>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</si>
  <si>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</si>
  <si>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</si>
  <si>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</si>
  <si>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</si>
  <si>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</si>
  <si>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</si>
  <si>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</si>
  <si>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</si>
  <si>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</si>
  <si>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</si>
  <si>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</si>
  <si>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</si>
  <si>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</si>
  <si>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</si>
  <si>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</si>
  <si>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</si>
  <si>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</si>
  <si>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</si>
  <si>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</si>
  <si>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</si>
  <si>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</si>
  <si>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</si>
  <si>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</si>
  <si>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</si>
  <si>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</si>
  <si>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</si>
  <si>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</si>
  <si>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</si>
  <si>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</si>
  <si>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</si>
  <si>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</si>
  <si>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</si>
  <si>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</si>
  <si>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</si>
  <si>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</si>
  <si>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</si>
  <si>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</si>
  <si>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</si>
  <si>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</si>
  <si>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</si>
  <si>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</si>
  <si>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</si>
  <si>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</si>
  <si>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</si>
  <si>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</si>
  <si>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</si>
  <si>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</si>
  <si>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</si>
  <si>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</si>
  <si>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</si>
  <si>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</si>
  <si>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</si>
  <si>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</si>
  <si>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</si>
  <si>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</si>
  <si>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</si>
  <si>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</si>
  <si>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</si>
  <si>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</si>
  <si>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</si>
  <si>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</si>
  <si>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</si>
  <si>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</si>
  <si>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</si>
  <si>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</si>
  <si>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</si>
  <si>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</si>
  <si>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</si>
  <si>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</si>
  <si>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</si>
  <si>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</si>
  <si>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</si>
  <si>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</si>
  <si>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</si>
  <si>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</si>
  <si>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</si>
  <si>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</si>
  <si>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</si>
  <si>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</si>
  <si>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</si>
  <si>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</si>
  <si>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</si>
  <si>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</si>
  <si>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</si>
  <si>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</si>
  <si>
    <t>T Blue</t>
  </si>
  <si>
    <t>Dyes//tblue+3R</t>
  </si>
  <si>
    <t>B70</t>
  </si>
  <si>
    <t>Grinder fix</t>
  </si>
  <si>
    <t>petrol cash</t>
  </si>
  <si>
    <t>car</t>
  </si>
  <si>
    <t>TID:359506</t>
  </si>
  <si>
    <t>TID:676403</t>
  </si>
  <si>
    <t>TID:611173</t>
  </si>
  <si>
    <t>diesel</t>
  </si>
  <si>
    <t>TID:132206</t>
  </si>
  <si>
    <t>TID:254248</t>
  </si>
  <si>
    <t>TID:953731</t>
  </si>
  <si>
    <t>cement</t>
  </si>
  <si>
    <t>TID:640899</t>
  </si>
  <si>
    <t>TID:518089</t>
  </si>
  <si>
    <t>TID:134405</t>
  </si>
  <si>
    <t>finish</t>
  </si>
  <si>
    <t>Starch 10 bags</t>
  </si>
  <si>
    <t>raksha karaya</t>
  </si>
  <si>
    <t>TID:876803</t>
  </si>
  <si>
    <t>RED F3BS</t>
  </si>
  <si>
    <t>abid ghafoor</t>
  </si>
  <si>
    <t>TID:434978</t>
  </si>
  <si>
    <t>Karaya-Rifatullah</t>
  </si>
  <si>
    <t>TID:674644</t>
  </si>
  <si>
    <t>TID:808898</t>
  </si>
  <si>
    <t>TID:196599</t>
  </si>
  <si>
    <t>100+99+94+400</t>
  </si>
  <si>
    <t>TID:562588</t>
  </si>
  <si>
    <t>TID:899154</t>
  </si>
  <si>
    <t>TID:134619</t>
  </si>
  <si>
    <t>master abid</t>
  </si>
  <si>
    <t>general</t>
  </si>
  <si>
    <t>1344-a</t>
  </si>
  <si>
    <t>1344-b</t>
  </si>
  <si>
    <t>1344-c</t>
  </si>
  <si>
    <t>2007-a</t>
  </si>
  <si>
    <t>IDS 2165</t>
  </si>
  <si>
    <t>gauhar kashif</t>
  </si>
  <si>
    <t>master Tanveer</t>
  </si>
  <si>
    <t>Nasir opt</t>
  </si>
  <si>
    <t>ali hasnain helper stenter</t>
  </si>
  <si>
    <t>shoaib</t>
  </si>
  <si>
    <t>Ashraf Guard</t>
  </si>
  <si>
    <t>100x3</t>
  </si>
  <si>
    <t>TID:469135</t>
  </si>
  <si>
    <t>TID:956033</t>
  </si>
  <si>
    <t>TID:127303</t>
  </si>
  <si>
    <t>optix</t>
  </si>
  <si>
    <t>starch karaya</t>
  </si>
  <si>
    <t>hafiz qureshi 253</t>
  </si>
  <si>
    <t>TID:532307</t>
  </si>
  <si>
    <t>TID:366911</t>
  </si>
  <si>
    <t>oarts</t>
  </si>
  <si>
    <t>TID:854707</t>
  </si>
  <si>
    <t>belts 16inch</t>
  </si>
  <si>
    <t>TID:341685</t>
  </si>
  <si>
    <t>starch</t>
  </si>
  <si>
    <t>nut bolts</t>
  </si>
  <si>
    <t>TID:822769</t>
  </si>
  <si>
    <t>Kora sale 2189/58</t>
  </si>
  <si>
    <t>imran jet</t>
  </si>
  <si>
    <t>kora karaya</t>
  </si>
  <si>
    <t>welder</t>
  </si>
  <si>
    <t>taha</t>
  </si>
  <si>
    <t>pin nuts</t>
  </si>
  <si>
    <t>nuts</t>
  </si>
  <si>
    <t>TID:090184</t>
  </si>
  <si>
    <t>TID:879536</t>
  </si>
  <si>
    <t>TID:293867</t>
  </si>
  <si>
    <t>TID:812711</t>
  </si>
  <si>
    <t>accord fuel pump</t>
  </si>
  <si>
    <t>TID:971130</t>
  </si>
  <si>
    <t>coke ahmad</t>
  </si>
  <si>
    <t>TLH 569</t>
  </si>
  <si>
    <t>farman package</t>
  </si>
  <si>
    <t>TID:908762</t>
  </si>
  <si>
    <t>Valve</t>
  </si>
  <si>
    <t>loader petrol</t>
  </si>
  <si>
    <t>guage</t>
  </si>
  <si>
    <t>holder</t>
  </si>
  <si>
    <t>elect</t>
  </si>
  <si>
    <t>zodium 10number</t>
  </si>
  <si>
    <t>ubaidullah</t>
  </si>
  <si>
    <t>TID:553385</t>
  </si>
  <si>
    <t>DYes</t>
  </si>
  <si>
    <t>TID:335170</t>
  </si>
  <si>
    <t>TID:690942</t>
  </si>
  <si>
    <t>TID:205742</t>
  </si>
  <si>
    <t>TID:625274</t>
  </si>
  <si>
    <t>munawar</t>
  </si>
  <si>
    <t>ali raza</t>
  </si>
  <si>
    <t>punture</t>
  </si>
  <si>
    <t>shoaib folding</t>
  </si>
  <si>
    <t>TID:410921</t>
  </si>
  <si>
    <t>altaf</t>
  </si>
  <si>
    <t>ABL</t>
  </si>
  <si>
    <t>TID:783321</t>
  </si>
  <si>
    <t>TID:484646</t>
  </si>
  <si>
    <t>Padel</t>
  </si>
  <si>
    <t>crayons</t>
  </si>
  <si>
    <t>Nadeem silai</t>
  </si>
  <si>
    <t>Shahid qasai</t>
  </si>
  <si>
    <t>5k*6</t>
  </si>
  <si>
    <t>chakki</t>
  </si>
  <si>
    <t>salary</t>
  </si>
  <si>
    <t>akhtar khan</t>
  </si>
  <si>
    <t>welding plant</t>
  </si>
  <si>
    <t>master waheed</t>
  </si>
  <si>
    <t>TID:823354</t>
  </si>
  <si>
    <t>coil + flexible pipe</t>
  </si>
  <si>
    <t>150K+200K</t>
  </si>
  <si>
    <t>Bank Deposit</t>
  </si>
  <si>
    <t>TID:417059</t>
  </si>
  <si>
    <t>TID:804281</t>
  </si>
  <si>
    <t>TID:853603</t>
  </si>
  <si>
    <t>LESCO</t>
  </si>
  <si>
    <t>fire extinguishers x3</t>
  </si>
  <si>
    <t>2017-b</t>
  </si>
  <si>
    <t>2017-a</t>
  </si>
  <si>
    <t>Amp meter</t>
  </si>
  <si>
    <t>karaya</t>
  </si>
  <si>
    <t>imtiaz opt</t>
  </si>
  <si>
    <t>rashan</t>
  </si>
  <si>
    <t>boiler chemicals</t>
  </si>
  <si>
    <t>TID:638585</t>
  </si>
  <si>
    <t>Salman zaffar</t>
  </si>
  <si>
    <t>TID:115665</t>
  </si>
  <si>
    <t>Rashan bill Nill</t>
  </si>
  <si>
    <t>TID:282717</t>
  </si>
  <si>
    <t>naeem driver//mali</t>
  </si>
  <si>
    <t>grocceries</t>
  </si>
  <si>
    <t>loom ac</t>
  </si>
  <si>
    <t>abid sahab</t>
  </si>
  <si>
    <t>TID:689702</t>
  </si>
  <si>
    <t>TID:864276</t>
  </si>
  <si>
    <t>TID:594554</t>
  </si>
  <si>
    <t>TID:718636</t>
  </si>
  <si>
    <t>TID:202050</t>
  </si>
  <si>
    <t>TID:749744</t>
  </si>
  <si>
    <t>TID:815907</t>
  </si>
  <si>
    <t>TID:048910</t>
  </si>
  <si>
    <t>TID:482867</t>
  </si>
  <si>
    <t>dhaga cones</t>
  </si>
  <si>
    <t>TID:152405</t>
  </si>
  <si>
    <t>TID:411138</t>
  </si>
  <si>
    <t>oil change</t>
  </si>
  <si>
    <t>6 pheray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</si>
</sst>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65" fontId="0" fillId="8" borderId="0" xfId="1" applyNumberFormat="1" applyFont="1" applyFill="1"/>
    <xf numFmtId="14" fontId="0" fillId="0" borderId="7" xfId="0" applyNumberFormat="1" applyFont="1" applyBorder="1"/>
    <xf numFmtId="0" fontId="0" fillId="0" borderId="0" xfId="0" applyBorder="1"/>
    <xf numFmtId="0" fontId="0" fillId="0" borderId="0" xfId="0" applyBorder="1" applyAlignment="1">
      <alignment horizontal="center"/>
    </xf>
    <xf numFmtId="0" fontId="0" fillId="0" borderId="0" xfId="0" applyNumberFormat="1"/>
    <xf numFmtId="14"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cellXfs>
  <cellStyles count="2">
    <cellStyle name="Comma" xfId="1" builtinId="3"/>
    <cellStyle name="Normal" xfId="0" builtinId="0"/>
  </cellStyles>
  <dxfs count="152">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9" formatCode="dd/mm/yyyy"/>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566203</xdr:colOff>
      <xdr:row>7</xdr:row>
      <xdr:rowOff>43181</xdr:rowOff>
    </xdr:from>
    <xdr:to>
      <xdr:col>13</xdr:col>
      <xdr:colOff>451645</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264492</xdr:colOff>
      <xdr:row>12</xdr:row>
      <xdr:rowOff>138748</xdr:rowOff>
    </xdr:from>
    <xdr:to>
      <xdr:col>14</xdr:col>
      <xdr:colOff>587388</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7377462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8.155498263892" createdVersion="8" refreshedVersion="8" minRefreshableVersion="3" recordCount="626" xr:uid="{B5BDFB73-D93A-4A7A-8149-666BC190B09B}">
  <cacheSource type="worksheet">
    <worksheetSource name="Table14"/>
  </cacheSource>
  <cacheFields count="7">
    <cacheField name="Date" numFmtId="14">
      <sharedItems containsNonDate="0" containsDate="1" containsString="0" containsBlank="1" minDate="2025-01-03T00:00:00" maxDate="2026-01-26T00:00:00"/>
    </cacheField>
    <cacheField name="Party" numFmtId="0">
      <sharedItems containsBlank="1" count="80">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s v="Gauhar Kashif"/>
        <s v="finish"/>
        <s v="abid ghafoor"/>
        <s v="ubaidullah"/>
        <m/>
        <s v="Closing October CF" u="1"/>
        <s v="Aurangzeb" u="1"/>
        <s v="BSC" u="1"/>
        <s v="Haseeb Shamsi" u="1"/>
        <s v="Ashraf Zia" u="1"/>
        <s v="General Dyes" u="1"/>
        <s v="Faizan"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8189253"/>
    </cacheField>
    <cacheField name="Credit" numFmtId="164">
      <sharedItems containsString="0" containsBlank="1" containsNumber="1" containsInteger="1" minValue="-610916" maxValue="73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8.15549884259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669301.2823701537"/>
    </cacheField>
    <cacheField name="Rate" numFmtId="0">
      <sharedItems containsString="0" containsBlank="1" containsNumber="1" minValue="10" maxValue="12"/>
    </cacheField>
    <cacheField name="Total" numFmtId="164">
      <sharedItems containsSemiMixedTypes="0" containsString="0" containsNumber="1" minValue="0" maxValue="6560599.85369422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8.155499074077" createdVersion="8" refreshedVersion="8" minRefreshableVersion="3" recordCount="22" xr:uid="{AC867DCC-CE64-4D1A-827D-F1F3EE10EE4E}">
  <cacheSource type="worksheet">
    <worksheetSource name="Table8"/>
  </cacheSource>
  <cacheFields count="9">
    <cacheField name="Date" numFmtId="0">
      <sharedItems containsNonDate="0" containsDate="1" containsString="0" containsBlank="1" minDate="2025-05-16T00:00:00" maxDate="2026-01-23T00:00:00" count="66">
        <d v="2025-12-17T00:00:00"/>
        <d v="2025-12-18T00:00:00"/>
        <d v="2025-12-22T00:00:00"/>
        <d v="2025-12-26T00:00:00"/>
        <d v="2025-12-25T00:00:00"/>
        <d v="2025-12-27T00:00:00"/>
        <d v="2025-12-29T00:00:00"/>
        <d v="2026-01-02T00:00:00"/>
        <d v="2026-01-03T00:00:00"/>
        <d v="2026-01-06T00:00:00"/>
        <d v="2026-01-07T00:00:00"/>
        <d v="2026-01-09T00:00:00"/>
        <d v="2026-01-12T00:00:00"/>
        <d v="2026-01-16T00:00:00"/>
        <d v="2026-01-22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3500" maxValue="291250"/>
    </cacheField>
    <cacheField name="Party" numFmtId="0">
      <sharedItems containsBlank="1" count="9">
        <s v="Unicolour"/>
        <s v="madina dyes"/>
        <s v="General Dyes"/>
        <s v="Shafi Dyes"/>
        <s v="usman shafiq Dyes"/>
        <s v="Dyes"/>
        <m/>
        <s v="Al madina" u="1"/>
        <s v="-" u="1"/>
      </sharedItems>
    </cacheField>
    <cacheField name="Paid" numFmtId="0">
      <sharedItems containsSemiMixedTypes="0" containsString="0" containsNumber="1" containsInteger="1" minValue="0" maxValue="291250"/>
    </cacheField>
    <cacheField name="Balance" numFmtId="0">
      <sharedItems containsSemiMixedTypes="0" containsString="0" containsNumber="1" containsInteger="1" minValue="-218250" maxValue="255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8.155499421293"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69">
        <d v="2025-12-17T00:00:00"/>
        <d v="2025-12-18T00:00:00"/>
        <d v="2025-12-19T00:00:00"/>
        <d v="2025-12-20T00:00:00"/>
        <d v="2025-12-22T00:00:00"/>
        <d v="2025-12-21T00:00:00"/>
        <d v="2025-12-23T00:00:00"/>
        <d v="2025-12-24T00:00:00"/>
        <d v="2025-12-25T00:00:00"/>
        <m/>
        <d v="2025-12-26T00:00:00"/>
        <d v="2025-12-27T00:00:00"/>
        <d v="2025-12-29T00:00:00"/>
        <d v="2025-12-28T00:00:00"/>
        <d v="2025-12-30T00:00:00"/>
        <d v="2025-12-31T00:00:00"/>
        <d v="2026-01-01T00:00:00"/>
        <d v="2026-01-02T00:00:00"/>
        <d v="2026-01-03T00:00:00"/>
        <d v="2026-01-05T00:00:00"/>
        <d v="2026-01-04T00:00:00"/>
        <d v="2026-01-06T00:00:00"/>
        <d v="2026-01-07T00:00:00"/>
        <d v="2026-01-08T00:00:00"/>
        <d v="2026-01-09T00:00:00"/>
        <d v="2026-01-10T00:00:00"/>
        <d v="2026-01-12T00:00:00"/>
        <d v="2026-01-11T00:00:00"/>
        <d v="2026-01-13T00:00:00"/>
        <d v="2026-01-14T00:00:00"/>
        <d v="2026-01-15T00:00:00"/>
        <d v="2026-01-16T00:00:00"/>
        <d v="2026-01-18T00:00:00"/>
        <d v="2026-01-19T00:00:00"/>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7">
        <s v="Closing Balance CF"/>
        <s v="TKL 364"/>
        <n v="9662"/>
        <s v="LES 9718"/>
        <s v="APL"/>
        <m/>
        <n v="2223"/>
        <s v="LEI 2223"/>
        <s v="-"/>
        <s v="LEJ 9662"/>
        <s v="C 8947"/>
        <s v="IDS 2165"/>
        <s v="TLH 569"/>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522"/>
    </cacheField>
    <cacheField name="Rate" numFmtId="164">
      <sharedItems containsString="0" containsBlank="1" containsNumber="1" containsInteger="1" minValue="580" maxValue="850"/>
    </cacheField>
    <cacheField name="Rent" numFmtId="164">
      <sharedItems containsString="0" containsBlank="1" containsNumber="1" containsInteger="1" minValue="31500" maxValue="95200"/>
    </cacheField>
    <cacheField name="Total" numFmtId="164">
      <sharedItems containsSemiMixedTypes="0" containsString="0" containsNumber="1" containsInteger="1" minValue="0" maxValue="44370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8.155499652778" createdVersion="8" refreshedVersion="8" minRefreshableVersion="3" recordCount="16" xr:uid="{376A650C-1F79-4049-BC45-E34989F046B2}">
  <cacheSource type="worksheet">
    <worksheetSource name="Table2"/>
  </cacheSource>
  <cacheFields count="8">
    <cacheField name="Date" numFmtId="14">
      <sharedItems containsNonDate="0" containsDate="1" containsString="0" containsBlank="1" minDate="2025-12-17T00:00:00" maxDate="2026-01-23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8.155500000001" createdVersion="8" refreshedVersion="8" minRefreshableVersion="3" recordCount="200" xr:uid="{46CBB50D-3613-4E5B-8212-DD0313DCD05A}">
  <cacheSource type="worksheet">
    <worksheetSource name="Table1"/>
  </cacheSource>
  <cacheFields count="14">
    <cacheField name="Date" numFmtId="0">
      <sharedItems containsSemiMixedTypes="0" containsNonDate="0" containsDate="1" containsString="0" minDate="2025-11-18T00:00:00" maxDate="2026-01-25T00:00:00"/>
    </cacheField>
    <cacheField name="Party Name" numFmtId="0">
      <sharedItems containsBlank="1" count="34">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s v="Gauhar Kashif"/>
        <m/>
        <s v="YING" u="1"/>
        <s v="Meow" u="1"/>
        <s v="Umer Sb" u="1"/>
        <s v="-" u="1"/>
        <s v="Sajjad" u="1"/>
        <s v="Haji Ejaz" u="1"/>
      </sharedItems>
    </cacheField>
    <cacheField name="Bill Number" numFmtId="0">
      <sharedItems containsBlank="1" containsMixedTypes="1" containsNumber="1" containsInteger="1" minValue="1256" maxValue="1393"/>
    </cacheField>
    <cacheField name="Quality" numFmtId="0">
      <sharedItems containsBlank="1"/>
    </cacheField>
    <cacheField name="Shipment Number" numFmtId="164">
      <sharedItems containsBlank="1" containsMixedTypes="1" containsNumber="1" containsInteger="1" minValue="1558" maxValue="17000" count="396">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2002"/>
        <n v="1969"/>
        <n v="1994"/>
        <n v="2011"/>
        <n v="2010"/>
        <n v="2022"/>
        <n v="2027"/>
        <n v="2028"/>
        <n v="2029"/>
        <s v="2007-a"/>
        <s v="2017-a"/>
        <n v="2018"/>
        <n v="2030"/>
        <n v="2037"/>
        <n v="2026"/>
        <n v="2016"/>
        <n v="2012"/>
        <n v="2014"/>
        <n v="2013"/>
        <n v="2031"/>
        <n v="2019"/>
        <s v="2017-b"/>
        <n v="2039"/>
        <n v="2023"/>
        <n v="2024"/>
        <n v="2025"/>
        <n v="2041"/>
        <n v="2035"/>
        <n v="2040"/>
        <n v="2020"/>
        <n v="2034"/>
        <n v="2046"/>
        <n v="2033"/>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100417"/>
    </cacheField>
    <cacheField name="Tiyaar/gaz" numFmtId="164">
      <sharedItems containsString="0" containsBlank="1" containsNumber="1" minValue="300" maxValue="52476"/>
    </cacheField>
    <cacheField name="shortage %" numFmtId="165">
      <sharedItems containsMixedTypes="1" containsNumber="1" minValue="-1.2821711996982401" maxValue="51.639933205512669"/>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6">
  <r>
    <d v="2025-12-17T00:00:00"/>
    <x v="0"/>
    <m/>
    <n v="73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m/>
    <m/>
    <m/>
    <s v="Bank"/>
    <m/>
  </r>
  <r>
    <d v="2026-01-07T00:00:00"/>
    <x v="7"/>
    <n v="218250"/>
    <m/>
    <s v="Bill Nill"/>
    <s v="Bank"/>
    <m/>
  </r>
  <r>
    <d v="2026-01-07T00:00:00"/>
    <x v="9"/>
    <n v="7400"/>
    <m/>
    <s v="Folding sirhi"/>
    <s v="Bank"/>
    <m/>
  </r>
  <r>
    <d v="2026-01-07T00:00:00"/>
    <x v="9"/>
    <n v="6600"/>
    <m/>
    <s v="electric"/>
    <s v="Bank"/>
    <m/>
  </r>
  <r>
    <d v="2026-01-07T00:00:00"/>
    <x v="15"/>
    <n v="10000"/>
    <m/>
    <s v="Umar Farooq"/>
    <s v="Bank"/>
    <m/>
  </r>
  <r>
    <d v="2026-01-07T00:00:00"/>
    <x v="28"/>
    <m/>
    <n v="100000"/>
    <s v="TID:331115"/>
    <s v="Bank"/>
    <m/>
  </r>
  <r>
    <d v="2026-01-07T00:00:00"/>
    <x v="28"/>
    <m/>
    <n v="43970"/>
    <s v="TID:983873"/>
    <s v="Bank"/>
    <m/>
  </r>
  <r>
    <d v="2026-01-07T00:00:00"/>
    <x v="25"/>
    <m/>
    <n v="100000"/>
    <s v="TID:647849"/>
    <s v="Bank"/>
    <m/>
  </r>
  <r>
    <d v="2026-01-07T00:00:00"/>
    <x v="10"/>
    <n v="100514"/>
    <m/>
    <s v="TID:381663"/>
    <s v="Bank"/>
    <m/>
  </r>
  <r>
    <d v="2026-01-07T00:00:00"/>
    <x v="34"/>
    <n v="100100"/>
    <m/>
    <s v="TID:292148"/>
    <s v="Bank"/>
    <m/>
  </r>
  <r>
    <d v="2026-01-06T00:00:00"/>
    <x v="15"/>
    <n v="10000"/>
    <m/>
    <s v="khubaib"/>
    <s v="Bank"/>
    <m/>
  </r>
  <r>
    <d v="2026-01-08T00:00:00"/>
    <x v="2"/>
    <m/>
    <n v="2500"/>
    <s v="cash"/>
    <s v="Bank"/>
    <m/>
  </r>
  <r>
    <d v="2026-01-08T00:00:00"/>
    <x v="9"/>
    <n v="4380"/>
    <m/>
    <s v="chain"/>
    <s v="Bank"/>
    <m/>
  </r>
  <r>
    <d v="2026-01-08T00:00:00"/>
    <x v="34"/>
    <n v="55780"/>
    <m/>
    <m/>
    <s v="Bank"/>
    <m/>
  </r>
  <r>
    <d v="2026-01-08T00:00:00"/>
    <x v="9"/>
    <n v="250000"/>
    <m/>
    <s v="High Temp oil Boiler"/>
    <s v="Bank"/>
    <m/>
  </r>
  <r>
    <d v="2026-01-08T00:00:00"/>
    <x v="6"/>
    <m/>
    <n v="250000"/>
    <s v="High Temp oil Boiler"/>
    <s v="Bank"/>
    <m/>
  </r>
  <r>
    <d v="2026-01-08T00:00:00"/>
    <x v="19"/>
    <m/>
    <n v="150000"/>
    <s v="TID:831740"/>
    <s v="Bank"/>
    <m/>
  </r>
  <r>
    <d v="2026-01-08T00:00:00"/>
    <x v="10"/>
    <n v="150200"/>
    <m/>
    <s v="TID:776327"/>
    <s v="Bank"/>
    <m/>
  </r>
  <r>
    <d v="2026-01-08T00:00:00"/>
    <x v="9"/>
    <n v="2000"/>
    <m/>
    <s v="silai machine"/>
    <s v="Bank"/>
    <m/>
  </r>
  <r>
    <d v="2026-01-08T00:00:00"/>
    <x v="36"/>
    <m/>
    <n v="200000"/>
    <s v="TID:548559"/>
    <s v="Bank"/>
    <m/>
  </r>
  <r>
    <d v="2026-01-08T00:00:00"/>
    <x v="13"/>
    <n v="200250"/>
    <m/>
    <s v="TID:117228"/>
    <s v="Bank"/>
    <m/>
  </r>
  <r>
    <d v="2026-01-08T00:00:00"/>
    <x v="23"/>
    <m/>
    <n v="80000"/>
    <s v="Meezan"/>
    <s v="Bank"/>
    <m/>
  </r>
  <r>
    <d v="2026-01-08T00:00:00"/>
    <x v="23"/>
    <m/>
    <n v="120000"/>
    <s v="Cash"/>
    <s v="Bank"/>
    <m/>
  </r>
  <r>
    <d v="2026-01-08T00:00:00"/>
    <x v="23"/>
    <m/>
    <n v="28000"/>
    <s v="Meezan"/>
    <s v="Bank"/>
    <m/>
  </r>
  <r>
    <d v="2026-01-08T00:00:00"/>
    <x v="23"/>
    <m/>
    <n v="2000"/>
    <s v="Cash"/>
    <s v="Bank"/>
    <m/>
  </r>
  <r>
    <d v="2026-01-08T00:00:00"/>
    <x v="6"/>
    <n v="230000"/>
    <m/>
    <s v="Badshah Adjust 230k"/>
    <s v="Bank"/>
    <m/>
  </r>
  <r>
    <d v="2026-01-08T00:00:00"/>
    <x v="6"/>
    <m/>
    <n v="100000"/>
    <s v="Master Tanveer 50+50"/>
    <s v="Bank"/>
    <m/>
  </r>
  <r>
    <d v="2026-01-08T00:00:00"/>
    <x v="4"/>
    <n v="50000"/>
    <m/>
    <s v="Master Tanveer"/>
    <s v="Bank"/>
    <m/>
  </r>
  <r>
    <d v="2026-01-09T00:00:00"/>
    <x v="35"/>
    <n v="32500"/>
    <m/>
    <s v="T Blue"/>
    <s v="Bank"/>
    <m/>
  </r>
  <r>
    <d v="2026-01-09T00:00:00"/>
    <x v="35"/>
    <n v="34375"/>
    <m/>
    <s v="Violet 3R"/>
    <s v="Bank"/>
    <m/>
  </r>
  <r>
    <d v="2026-01-09T00:00:00"/>
    <x v="6"/>
    <m/>
    <n v="66875"/>
    <s v="Dyes//tblue+3R"/>
    <s v="Bank"/>
    <m/>
  </r>
  <r>
    <d v="2026-01-09T00:00:00"/>
    <x v="1"/>
    <m/>
    <n v="15000"/>
    <s v="Amjad wood"/>
    <s v="Bank"/>
    <m/>
  </r>
  <r>
    <d v="2026-01-09T00:00:00"/>
    <x v="11"/>
    <n v="15000"/>
    <m/>
    <s v="freight"/>
    <s v="Bank"/>
    <m/>
  </r>
  <r>
    <d v="2026-01-09T00:00:00"/>
    <x v="9"/>
    <n v="3500"/>
    <m/>
    <s v="bearings"/>
    <s v="Bank"/>
    <m/>
  </r>
  <r>
    <d v="2026-01-09T00:00:00"/>
    <x v="9"/>
    <n v="1050"/>
    <m/>
    <s v="B70"/>
    <s v="Bank"/>
    <m/>
  </r>
  <r>
    <d v="2026-01-09T00:00:00"/>
    <x v="9"/>
    <n v="2300"/>
    <m/>
    <s v="Grinder fix"/>
    <s v="Bank"/>
    <m/>
  </r>
  <r>
    <d v="2026-01-09T00:00:00"/>
    <x v="15"/>
    <n v="2000"/>
    <m/>
    <s v="ghulam abbas"/>
    <s v="Bank"/>
    <m/>
  </r>
  <r>
    <d v="2026-01-10T00:00:00"/>
    <x v="2"/>
    <m/>
    <n v="5000"/>
    <s v="petrol cash"/>
    <s v="Bank"/>
    <m/>
  </r>
  <r>
    <d v="2026-01-10T00:00:00"/>
    <x v="17"/>
    <n v="5000"/>
    <m/>
    <s v="car"/>
    <s v="Bank"/>
    <m/>
  </r>
  <r>
    <d v="2026-01-10T00:00:00"/>
    <x v="19"/>
    <m/>
    <n v="230200"/>
    <s v="TID:359506"/>
    <s v="Bank"/>
    <m/>
  </r>
  <r>
    <d v="2026-01-10T00:00:00"/>
    <x v="5"/>
    <n v="202000"/>
    <m/>
    <s v="TID:676403"/>
    <s v="Bank"/>
    <m/>
  </r>
  <r>
    <d v="2026-01-10T00:00:00"/>
    <x v="6"/>
    <m/>
    <n v="100000"/>
    <s v="UBL"/>
    <s v="Bank"/>
    <m/>
  </r>
  <r>
    <d v="2026-01-10T00:00:00"/>
    <x v="34"/>
    <n v="70000"/>
    <m/>
    <s v="TID:611173"/>
    <s v="Bank"/>
    <m/>
  </r>
  <r>
    <d v="2026-01-10T00:00:00"/>
    <x v="17"/>
    <n v="1273"/>
    <m/>
    <s v="bike"/>
    <s v="Bank"/>
    <m/>
  </r>
  <r>
    <d v="2026-01-10T00:00:00"/>
    <x v="9"/>
    <n v="15513"/>
    <m/>
    <s v="diesel"/>
    <s v="Bank"/>
    <m/>
  </r>
  <r>
    <d v="2026-01-10T00:00:00"/>
    <x v="26"/>
    <n v="16270"/>
    <m/>
    <s v="Bill Nill"/>
    <s v="Bank"/>
    <m/>
  </r>
  <r>
    <d v="2026-01-10T00:00:00"/>
    <x v="6"/>
    <m/>
    <n v="120000"/>
    <s v="TID:132206"/>
    <s v="Bank"/>
    <m/>
  </r>
  <r>
    <d v="2026-01-10T00:00:00"/>
    <x v="6"/>
    <n v="253000"/>
    <m/>
    <s v="hafiz qureshi 253"/>
    <s v="Bank"/>
    <m/>
  </r>
  <r>
    <d v="2026-01-10T00:00:00"/>
    <x v="8"/>
    <m/>
    <n v="253000"/>
    <s v="BSC"/>
    <s v="Bank"/>
    <m/>
  </r>
  <r>
    <d v="2026-01-10T00:00:00"/>
    <x v="6"/>
    <m/>
    <n v="118000"/>
    <s v="Faysal Akraam"/>
    <s v="Bank"/>
    <m/>
  </r>
  <r>
    <d v="2026-01-10T00:00:00"/>
    <x v="24"/>
    <n v="118000"/>
    <m/>
    <s v="Bill Nill"/>
    <s v="Bank"/>
    <m/>
  </r>
  <r>
    <d v="2026-01-10T00:00:00"/>
    <x v="10"/>
    <n v="150000"/>
    <m/>
    <s v="TID:254248"/>
    <s v="Bank"/>
    <m/>
  </r>
  <r>
    <d v="2026-01-10T00:00:00"/>
    <x v="6"/>
    <m/>
    <n v="53000"/>
    <s v="TID:953731"/>
    <s v="Bank"/>
    <m/>
  </r>
  <r>
    <d v="2026-01-10T00:00:00"/>
    <x v="15"/>
    <n v="5000"/>
    <m/>
    <s v="ghulam abbas"/>
    <s v="Bank"/>
    <m/>
  </r>
  <r>
    <d v="2026-01-10T00:00:00"/>
    <x v="2"/>
    <n v="16000"/>
    <m/>
    <s v="cement"/>
    <s v="Bank"/>
    <m/>
  </r>
  <r>
    <d v="2026-01-11T00:00:00"/>
    <x v="26"/>
    <n v="20000"/>
    <m/>
    <s v="atta"/>
    <s v="Bank"/>
    <m/>
  </r>
  <r>
    <d v="2026-01-11T00:00:00"/>
    <x v="6"/>
    <m/>
    <n v="75000"/>
    <s v="TID:640899"/>
    <s v="Bank"/>
    <m/>
  </r>
  <r>
    <d v="2026-01-11T00:00:00"/>
    <x v="34"/>
    <n v="50000"/>
    <m/>
    <s v="TID:518089"/>
    <s v="Bank"/>
    <m/>
  </r>
  <r>
    <d v="2026-01-11T00:00:00"/>
    <x v="6"/>
    <m/>
    <n v="62000"/>
    <s v="TID:134405"/>
    <s v="Bank"/>
    <m/>
  </r>
  <r>
    <d v="2026-01-11T00:00:00"/>
    <x v="15"/>
    <n v="32000"/>
    <m/>
    <s v="khalid sahab"/>
    <s v="Bank"/>
    <m/>
  </r>
  <r>
    <d v="2026-01-11T00:00:00"/>
    <x v="37"/>
    <n v="38750"/>
    <m/>
    <s v="Starch 10 bags"/>
    <s v="Bank"/>
    <m/>
  </r>
  <r>
    <d v="2026-01-11T00:00:00"/>
    <x v="2"/>
    <n v="1400"/>
    <m/>
    <s v="mazdoor"/>
    <s v="Bank"/>
    <m/>
  </r>
  <r>
    <d v="2026-01-11T00:00:00"/>
    <x v="16"/>
    <n v="500"/>
    <m/>
    <s v="raksha karaya"/>
    <s v="Bank"/>
    <m/>
  </r>
  <r>
    <d v="2026-01-12T00:00:00"/>
    <x v="6"/>
    <m/>
    <n v="400000"/>
    <s v="TID:876803"/>
    <s v="Bank"/>
    <m/>
  </r>
  <r>
    <d v="2026-01-12T00:00:00"/>
    <x v="7"/>
    <n v="43500"/>
    <m/>
    <s v="RED F3BS"/>
    <s v="Bank"/>
    <m/>
  </r>
  <r>
    <d v="2026-01-12T00:00:00"/>
    <x v="38"/>
    <n v="351000"/>
    <m/>
    <s v="TID:434978"/>
    <s v="Bank"/>
    <m/>
  </r>
  <r>
    <d v="2026-01-12T00:00:00"/>
    <x v="10"/>
    <n v="57000"/>
    <m/>
    <s v="Karaya-Rifatullah"/>
    <s v="Bank"/>
    <m/>
  </r>
  <r>
    <d v="2026-01-12T00:00:00"/>
    <x v="15"/>
    <n v="18000"/>
    <m/>
    <s v="khalid sahab"/>
    <s v="Bank"/>
    <m/>
  </r>
  <r>
    <d v="2026-01-12T00:00:00"/>
    <x v="1"/>
    <m/>
    <n v="5000"/>
    <s v="TID:674644"/>
    <s v="Bank"/>
    <m/>
  </r>
  <r>
    <d v="2026-01-12T00:00:00"/>
    <x v="15"/>
    <n v="20000"/>
    <m/>
    <s v="iqbal Fitter"/>
    <s v="Bank"/>
    <m/>
  </r>
  <r>
    <d v="2026-01-12T00:00:00"/>
    <x v="15"/>
    <n v="5000"/>
    <m/>
    <s v="iqbal Fitter"/>
    <s v="Bank"/>
    <m/>
  </r>
  <r>
    <d v="2026-01-12T00:00:00"/>
    <x v="11"/>
    <n v="40000"/>
    <m/>
    <s v="TID:808898"/>
    <s v="Bank"/>
    <m/>
  </r>
  <r>
    <d v="2026-01-12T00:00:00"/>
    <x v="6"/>
    <m/>
    <n v="50000"/>
    <s v="TID:196599"/>
    <s v="Bank"/>
    <m/>
  </r>
  <r>
    <d v="2026-01-12T00:00:00"/>
    <x v="6"/>
    <m/>
    <n v="693000"/>
    <s v="100+99+94+400"/>
    <s v="Bank"/>
    <m/>
  </r>
  <r>
    <d v="2026-01-12T00:00:00"/>
    <x v="9"/>
    <n v="15513"/>
    <m/>
    <s v="diesel"/>
    <s v="Bank"/>
    <m/>
  </r>
  <r>
    <d v="2026-01-12T00:00:00"/>
    <x v="13"/>
    <n v="202045"/>
    <m/>
    <s v="TID:562588"/>
    <s v="Bank"/>
    <m/>
  </r>
  <r>
    <d v="2026-01-12T00:00:00"/>
    <x v="10"/>
    <n v="175000"/>
    <m/>
    <s v="TID:899154"/>
    <s v="Bank"/>
    <m/>
  </r>
  <r>
    <d v="2026-01-12T00:00:00"/>
    <x v="25"/>
    <m/>
    <n v="400000"/>
    <s v="TID:134619"/>
    <s v="Bank"/>
    <m/>
  </r>
  <r>
    <d v="2026-01-12T00:00:00"/>
    <x v="3"/>
    <n v="5000"/>
    <m/>
    <s v="master abid"/>
    <s v="Bank"/>
    <m/>
  </r>
  <r>
    <d v="2026-01-12T00:00:00"/>
    <x v="4"/>
    <n v="501260"/>
    <m/>
    <s v="general"/>
    <s v="Bank"/>
    <m/>
  </r>
  <r>
    <d v="2026-01-13T00:00:00"/>
    <x v="4"/>
    <n v="40000"/>
    <m/>
    <s v="master Tanveer"/>
    <s v="Bank"/>
    <m/>
  </r>
  <r>
    <d v="2026-01-13T00:00:00"/>
    <x v="2"/>
    <n v="2200"/>
    <m/>
    <s v="mazdoor"/>
    <s v="Bank"/>
    <m/>
  </r>
  <r>
    <d v="2026-01-13T00:00:00"/>
    <x v="32"/>
    <m/>
    <n v="100000"/>
    <m/>
    <s v="Bank"/>
    <m/>
  </r>
  <r>
    <d v="2026-01-13T00:00:00"/>
    <x v="15"/>
    <n v="20000"/>
    <m/>
    <s v="Nasir opt"/>
    <s v="Bank"/>
    <m/>
  </r>
  <r>
    <d v="2026-01-13T00:00:00"/>
    <x v="15"/>
    <n v="1000"/>
    <m/>
    <s v="ali hasnain helper stenter"/>
    <s v="Bank"/>
    <m/>
  </r>
  <r>
    <d v="2026-01-13T00:00:00"/>
    <x v="1"/>
    <n v="2300"/>
    <m/>
    <m/>
    <s v="Bank"/>
    <m/>
  </r>
  <r>
    <d v="2026-01-13T00:00:00"/>
    <x v="2"/>
    <n v="1000"/>
    <m/>
    <s v="ghar"/>
    <s v="Bank"/>
    <m/>
  </r>
  <r>
    <d v="2026-01-13T00:00:00"/>
    <x v="2"/>
    <n v="300"/>
    <m/>
    <s v="medicine"/>
    <s v="Bank"/>
    <m/>
  </r>
  <r>
    <d v="2026-01-13T00:00:00"/>
    <x v="4"/>
    <n v="22000"/>
    <m/>
    <s v="shoaib"/>
    <s v="Bank"/>
    <m/>
  </r>
  <r>
    <d v="2026-01-13T00:00:00"/>
    <x v="4"/>
    <n v="17000"/>
    <m/>
    <s v="Ashraf Guard"/>
    <s v="Bank"/>
    <m/>
  </r>
  <r>
    <d v="2026-01-13T00:00:00"/>
    <x v="4"/>
    <n v="329640"/>
    <m/>
    <s v="general"/>
    <s v="Bank"/>
    <m/>
  </r>
  <r>
    <d v="2026-01-13T00:00:00"/>
    <x v="17"/>
    <n v="5000"/>
    <m/>
    <s v="petrol cash"/>
    <s v="Bank"/>
    <m/>
  </r>
  <r>
    <d v="2026-01-13T00:00:00"/>
    <x v="6"/>
    <m/>
    <n v="300000"/>
    <s v="100x3"/>
    <s v="Bank"/>
    <m/>
  </r>
  <r>
    <d v="2026-01-13T00:00:00"/>
    <x v="34"/>
    <n v="100704"/>
    <m/>
    <s v="TID:469135"/>
    <s v="Bank"/>
    <m/>
  </r>
  <r>
    <d v="2026-01-13T00:00:00"/>
    <x v="6"/>
    <m/>
    <n v="50000"/>
    <s v="TID:956033"/>
    <s v="Bank"/>
    <m/>
  </r>
  <r>
    <d v="2026-01-13T00:00:00"/>
    <x v="9"/>
    <n v="15513"/>
    <m/>
    <s v="diesel"/>
    <s v="Bank"/>
    <m/>
  </r>
  <r>
    <d v="2026-01-13T00:00:00"/>
    <x v="28"/>
    <m/>
    <n v="190000"/>
    <s v="TID:127303"/>
    <s v="Bank"/>
    <m/>
  </r>
  <r>
    <d v="2026-01-13T00:00:00"/>
    <x v="2"/>
    <n v="4500"/>
    <m/>
    <s v="optix"/>
    <s v="Bank"/>
    <m/>
  </r>
  <r>
    <d v="2026-01-13T00:00:00"/>
    <x v="1"/>
    <n v="400"/>
    <m/>
    <m/>
    <s v="Bank"/>
    <m/>
  </r>
  <r>
    <d v="2026-01-13T00:00:00"/>
    <x v="17"/>
    <n v="350"/>
    <m/>
    <s v="starch karaya"/>
    <s v="Bank"/>
    <m/>
  </r>
  <r>
    <d v="2026-01-14T00:00:00"/>
    <x v="28"/>
    <m/>
    <n v="100000"/>
    <s v="TID:532307"/>
    <s v="Bank"/>
    <m/>
  </r>
  <r>
    <d v="2026-01-14T00:00:00"/>
    <x v="28"/>
    <m/>
    <n v="160000"/>
    <s v="Cash BSC"/>
    <s v="Bank"/>
    <m/>
  </r>
  <r>
    <d v="2026-01-14T00:00:00"/>
    <x v="6"/>
    <n v="160000"/>
    <m/>
    <s v="ejaz sahab"/>
    <s v="Bank"/>
    <m/>
  </r>
  <r>
    <d v="2026-01-14T00:00:00"/>
    <x v="19"/>
    <m/>
    <n v="200000"/>
    <s v="TID:366911"/>
    <s v="Bank"/>
    <m/>
  </r>
  <r>
    <d v="2026-01-14T00:00:00"/>
    <x v="6"/>
    <m/>
    <n v="5100"/>
    <s v="parts"/>
    <s v="Bank"/>
    <m/>
  </r>
  <r>
    <d v="2026-01-14T00:00:00"/>
    <x v="9"/>
    <n v="5100"/>
    <m/>
    <s v="oarts"/>
    <s v="Bank"/>
    <m/>
  </r>
  <r>
    <d v="2026-01-14T00:00:00"/>
    <x v="9"/>
    <n v="3000"/>
    <m/>
    <s v="parts"/>
    <s v="Bank"/>
    <m/>
  </r>
  <r>
    <d v="2026-01-14T00:00:00"/>
    <x v="10"/>
    <n v="150062"/>
    <m/>
    <s v="TID:854707"/>
    <s v="Bank"/>
    <m/>
  </r>
  <r>
    <d v="2026-01-14T00:00:00"/>
    <x v="34"/>
    <n v="31500"/>
    <m/>
    <s v="freight"/>
    <s v="Bank"/>
    <m/>
  </r>
  <r>
    <d v="2026-01-14T00:00:00"/>
    <x v="9"/>
    <n v="1300"/>
    <m/>
    <s v="belts 16inch"/>
    <s v="Bank"/>
    <m/>
  </r>
  <r>
    <d v="2026-01-14T00:00:00"/>
    <x v="13"/>
    <n v="70000"/>
    <m/>
    <s v="freight"/>
    <s v="Bank"/>
    <m/>
  </r>
  <r>
    <d v="2026-01-14T00:00:00"/>
    <x v="13"/>
    <n v="5000"/>
    <m/>
    <s v="freight"/>
    <s v="Bank"/>
    <m/>
  </r>
  <r>
    <d v="2026-01-14T00:00:00"/>
    <x v="5"/>
    <n v="200460"/>
    <m/>
    <s v="TID:341685"/>
    <s v="Bank"/>
    <m/>
  </r>
  <r>
    <d v="2026-01-14T00:00:00"/>
    <x v="9"/>
    <n v="1800"/>
    <m/>
    <m/>
    <s v="Bank"/>
    <m/>
  </r>
  <r>
    <d v="2026-01-14T00:00:00"/>
    <x v="9"/>
    <n v="1000"/>
    <m/>
    <m/>
    <s v="Bank"/>
    <m/>
  </r>
  <r>
    <d v="2026-01-14T00:00:00"/>
    <x v="9"/>
    <n v="2530"/>
    <m/>
    <m/>
    <s v="Bank"/>
    <m/>
  </r>
  <r>
    <d v="2026-01-14T00:00:00"/>
    <x v="37"/>
    <n v="38750"/>
    <m/>
    <s v="starch"/>
    <s v="Bank"/>
    <m/>
  </r>
  <r>
    <d v="2026-01-14T00:00:00"/>
    <x v="9"/>
    <n v="2900"/>
    <m/>
    <s v="nut bolts"/>
    <s v="Bank"/>
    <m/>
  </r>
  <r>
    <d v="2026-01-14T00:00:00"/>
    <x v="9"/>
    <n v="4850"/>
    <m/>
    <m/>
    <s v="Bank"/>
    <m/>
  </r>
  <r>
    <d v="2026-01-14T00:00:00"/>
    <x v="9"/>
    <n v="1630"/>
    <m/>
    <m/>
    <s v="Bank"/>
    <m/>
  </r>
  <r>
    <d v="2026-01-14T00:00:00"/>
    <x v="10"/>
    <n v="48000"/>
    <m/>
    <s v="TID:822769"/>
    <s v="Bank"/>
    <m/>
  </r>
  <r>
    <d v="2026-01-14T00:00:00"/>
    <x v="6"/>
    <m/>
    <n v="126962"/>
    <s v="Kora sale 2189/58"/>
    <s v="Bank"/>
    <m/>
  </r>
  <r>
    <d v="2026-01-14T00:00:00"/>
    <x v="4"/>
    <n v="46400"/>
    <m/>
    <s v="imran jet"/>
    <s v="Bank"/>
    <m/>
  </r>
  <r>
    <d v="2026-01-14T00:00:00"/>
    <x v="17"/>
    <n v="1000"/>
    <m/>
    <s v="kora karaya"/>
    <s v="Bank"/>
    <m/>
  </r>
  <r>
    <d v="2026-01-14T00:00:00"/>
    <x v="17"/>
    <n v="600"/>
    <m/>
    <s v="starch"/>
    <s v="Bank"/>
    <m/>
  </r>
  <r>
    <d v="2026-01-15T00:00:00"/>
    <x v="9"/>
    <n v="1300"/>
    <m/>
    <s v="belts 16inch"/>
    <s v="Bank"/>
    <m/>
  </r>
  <r>
    <d v="2026-01-15T00:00:00"/>
    <x v="9"/>
    <n v="1000"/>
    <m/>
    <s v="welder"/>
    <s v="Bank"/>
    <m/>
  </r>
  <r>
    <d v="2026-01-15T00:00:00"/>
    <x v="2"/>
    <n v="1000"/>
    <m/>
    <s v="taha"/>
    <s v="Bank"/>
    <m/>
  </r>
  <r>
    <d v="2026-01-15T00:00:00"/>
    <x v="9"/>
    <n v="500"/>
    <m/>
    <s v="pin nuts"/>
    <s v="Bank"/>
    <m/>
  </r>
  <r>
    <d v="2026-01-15T00:00:00"/>
    <x v="9"/>
    <n v="6450"/>
    <m/>
    <s v="nuts"/>
    <s v="Bank"/>
    <m/>
  </r>
  <r>
    <d v="2026-01-15T00:00:00"/>
    <x v="11"/>
    <n v="50000"/>
    <m/>
    <s v="TID:090184"/>
    <s v="Bank"/>
    <m/>
  </r>
  <r>
    <d v="2026-01-15T00:00:00"/>
    <x v="6"/>
    <m/>
    <n v="160000"/>
    <s v="ejaz sahab"/>
    <s v="Bank"/>
    <m/>
  </r>
  <r>
    <d v="2026-01-15T00:00:00"/>
    <x v="5"/>
    <n v="95200"/>
    <m/>
    <s v="freight"/>
    <s v="Bank"/>
    <m/>
  </r>
  <r>
    <d v="2026-01-15T00:00:00"/>
    <x v="28"/>
    <m/>
    <n v="129357"/>
    <s v="TID:879536"/>
    <s v="Bank"/>
    <m/>
  </r>
  <r>
    <d v="2026-01-15T00:00:00"/>
    <x v="4"/>
    <n v="165000"/>
    <m/>
    <s v="Ashfaq Sahab theka"/>
    <s v="Bank"/>
    <m/>
  </r>
  <r>
    <d v="2026-01-15T00:00:00"/>
    <x v="34"/>
    <n v="100000"/>
    <m/>
    <s v="TID:293867"/>
    <s v="Bank"/>
    <m/>
  </r>
  <r>
    <d v="2026-01-15T00:00:00"/>
    <x v="10"/>
    <n v="140000"/>
    <m/>
    <s v="TID:812711"/>
    <s v="Bank"/>
    <m/>
  </r>
  <r>
    <d v="2026-01-15T00:00:00"/>
    <x v="36"/>
    <m/>
    <n v="285800"/>
    <m/>
    <s v="Bank"/>
    <m/>
  </r>
  <r>
    <d v="2026-01-15T00:00:00"/>
    <x v="9"/>
    <n v="2750"/>
    <m/>
    <s v="garari"/>
    <s v="Bank"/>
    <m/>
  </r>
  <r>
    <d v="2026-01-15T00:00:00"/>
    <x v="2"/>
    <n v="6300"/>
    <m/>
    <s v="accord fuel pump"/>
    <s v="Bank"/>
    <m/>
  </r>
  <r>
    <d v="2026-01-15T00:00:00"/>
    <x v="10"/>
    <n v="30000"/>
    <m/>
    <s v="TID:971130"/>
    <s v="Bank"/>
    <m/>
  </r>
  <r>
    <d v="2026-01-15T00:00:00"/>
    <x v="1"/>
    <n v="710"/>
    <m/>
    <m/>
    <s v="Bank"/>
    <m/>
  </r>
  <r>
    <d v="2026-01-15T00:00:00"/>
    <x v="2"/>
    <n v="250"/>
    <m/>
    <s v="coke ahmad"/>
    <s v="Bank"/>
    <m/>
  </r>
  <r>
    <d v="2026-01-16T00:00:00"/>
    <x v="15"/>
    <n v="20000"/>
    <m/>
    <s v="iqbal Fitter"/>
    <s v="Bank"/>
    <m/>
  </r>
  <r>
    <d v="2026-01-16T00:00:00"/>
    <x v="6"/>
    <m/>
    <n v="20000"/>
    <s v="iqbal Fitter"/>
    <s v="Bank"/>
    <m/>
  </r>
  <r>
    <d v="2026-01-16T00:00:00"/>
    <x v="9"/>
    <n v="15513"/>
    <m/>
    <s v="diesel"/>
    <s v="Bank"/>
    <m/>
  </r>
  <r>
    <d v="2026-01-16T00:00:00"/>
    <x v="6"/>
    <m/>
    <n v="15513"/>
    <s v="diesel"/>
    <s v="Bank"/>
    <m/>
  </r>
  <r>
    <d v="2026-01-16T00:00:00"/>
    <x v="9"/>
    <n v="1000"/>
    <m/>
    <s v="welder"/>
    <s v="Bank"/>
    <m/>
  </r>
  <r>
    <d v="2026-01-16T00:00:00"/>
    <x v="16"/>
    <n v="900"/>
    <m/>
    <s v="farman package"/>
    <s v="Bank"/>
    <m/>
  </r>
  <r>
    <d v="2026-01-16T00:00:00"/>
    <x v="6"/>
    <m/>
    <n v="50000"/>
    <s v="TID:908762"/>
    <s v="Bank"/>
    <m/>
  </r>
  <r>
    <d v="2026-01-16T00:00:00"/>
    <x v="9"/>
    <n v="15513"/>
    <m/>
    <s v="diesel"/>
    <s v="Bank"/>
    <m/>
  </r>
  <r>
    <d v="2026-01-16T00:00:00"/>
    <x v="9"/>
    <n v="1030"/>
    <m/>
    <s v="Valve"/>
    <s v="Bank"/>
    <m/>
  </r>
  <r>
    <d v="2026-01-16T00:00:00"/>
    <x v="17"/>
    <n v="5000"/>
    <m/>
    <s v="loader petrol"/>
    <s v="Bank"/>
    <m/>
  </r>
  <r>
    <d v="2026-01-16T00:00:00"/>
    <x v="17"/>
    <n v="5000"/>
    <m/>
    <s v="car"/>
    <s v="Bank"/>
    <m/>
  </r>
  <r>
    <d v="2026-01-16T00:00:00"/>
    <x v="9"/>
    <n v="1000"/>
    <m/>
    <s v="guage"/>
    <s v="Bank"/>
    <m/>
  </r>
  <r>
    <d v="2026-01-16T00:00:00"/>
    <x v="9"/>
    <n v="1100"/>
    <m/>
    <s v="belts 16inch"/>
    <s v="Bank"/>
    <m/>
  </r>
  <r>
    <d v="2026-01-16T00:00:00"/>
    <x v="9"/>
    <n v="1400"/>
    <m/>
    <s v="holder"/>
    <s v="Bank"/>
    <m/>
  </r>
  <r>
    <d v="2026-01-16T00:00:00"/>
    <x v="9"/>
    <n v="1220"/>
    <m/>
    <s v="elect"/>
    <s v="Bank"/>
    <m/>
  </r>
  <r>
    <d v="2026-01-16T00:00:00"/>
    <x v="9"/>
    <n v="3200"/>
    <m/>
    <s v="zodium 10number"/>
    <s v="Bank"/>
    <m/>
  </r>
  <r>
    <d v="2026-01-16T00:00:00"/>
    <x v="35"/>
    <n v="291250"/>
    <m/>
    <s v="Dyes"/>
    <s v="Bank"/>
    <m/>
  </r>
  <r>
    <d v="2026-01-16T00:00:00"/>
    <x v="39"/>
    <m/>
    <n v="300000"/>
    <s v="TID:553385"/>
    <s v="Bank"/>
    <m/>
  </r>
  <r>
    <d v="2026-01-16T00:00:00"/>
    <x v="6"/>
    <n v="300000"/>
    <m/>
    <s v="Ubaidullah"/>
    <s v="Bank"/>
    <m/>
  </r>
  <r>
    <d v="2026-01-16T00:00:00"/>
    <x v="6"/>
    <m/>
    <n v="291250"/>
    <s v="DYes"/>
    <s v="Bank"/>
    <m/>
  </r>
  <r>
    <d v="2026-01-16T00:00:00"/>
    <x v="6"/>
    <m/>
    <n v="100000"/>
    <s v="TID:335170"/>
    <s v="Bank"/>
    <m/>
  </r>
  <r>
    <d v="2026-01-16T00:00:00"/>
    <x v="4"/>
    <m/>
    <m/>
    <s v="Master Tanveer"/>
    <s v="Bank"/>
    <m/>
  </r>
  <r>
    <d v="2026-01-16T00:00:00"/>
    <x v="34"/>
    <n v="50000"/>
    <m/>
    <s v="TID:690942"/>
    <s v="Bank"/>
    <m/>
  </r>
  <r>
    <d v="2026-01-16T00:00:00"/>
    <x v="17"/>
    <n v="2500"/>
    <m/>
    <s v="raksha karaya"/>
    <s v="Bank"/>
    <m/>
  </r>
  <r>
    <d v="2026-01-16T00:00:00"/>
    <x v="25"/>
    <m/>
    <n v="300000"/>
    <m/>
    <s v="Bank"/>
    <m/>
  </r>
  <r>
    <d v="2026-01-16T00:00:00"/>
    <x v="10"/>
    <n v="100000"/>
    <m/>
    <s v="TID:205742"/>
    <s v="Bank"/>
    <m/>
  </r>
  <r>
    <d v="2026-01-16T00:00:00"/>
    <x v="13"/>
    <n v="125000"/>
    <m/>
    <s v="TID:625274"/>
    <s v="Bank"/>
    <m/>
  </r>
  <r>
    <d v="2026-01-16T00:00:00"/>
    <x v="16"/>
    <n v="1000"/>
    <m/>
    <s v="munawar"/>
    <s v="Bank"/>
    <m/>
  </r>
  <r>
    <d v="2026-01-16T00:00:00"/>
    <x v="1"/>
    <n v="1460"/>
    <m/>
    <m/>
    <s v="Bank"/>
    <m/>
  </r>
  <r>
    <d v="2026-01-17T00:00:00"/>
    <x v="37"/>
    <n v="38750"/>
    <m/>
    <s v="starch"/>
    <s v="Bank"/>
    <m/>
  </r>
  <r>
    <d v="2026-01-17T00:00:00"/>
    <x v="4"/>
    <n v="11500"/>
    <m/>
    <s v="ali raza"/>
    <s v="Bank"/>
    <m/>
  </r>
  <r>
    <d v="2026-01-17T00:00:00"/>
    <x v="17"/>
    <n v="1700"/>
    <m/>
    <s v="punture"/>
    <s v="Bank"/>
    <m/>
  </r>
  <r>
    <d v="2026-01-17T00:00:00"/>
    <x v="15"/>
    <n v="20000"/>
    <m/>
    <s v="shoaib folding"/>
    <s v="Bank"/>
    <m/>
  </r>
  <r>
    <d v="2026-01-17T00:00:00"/>
    <x v="15"/>
    <n v="50000"/>
    <m/>
    <s v="khubaib"/>
    <s v="Bank"/>
    <m/>
  </r>
  <r>
    <d v="2026-01-17T00:00:00"/>
    <x v="6"/>
    <m/>
    <n v="50000"/>
    <s v="khubaib"/>
    <s v="Bank"/>
    <m/>
  </r>
  <r>
    <d v="2026-01-17T00:00:00"/>
    <x v="15"/>
    <n v="3000"/>
    <m/>
    <s v="Nasir opt"/>
    <s v="Bank"/>
    <m/>
  </r>
  <r>
    <d v="2026-01-17T00:00:00"/>
    <x v="17"/>
    <n v="1000"/>
    <m/>
    <s v="bike"/>
    <s v="Bank"/>
    <m/>
  </r>
  <r>
    <d v="2026-01-17T00:00:00"/>
    <x v="6"/>
    <m/>
    <n v="50000"/>
    <s v="TID:410921"/>
    <s v="Bank"/>
    <m/>
  </r>
  <r>
    <d v="2026-01-17T00:00:00"/>
    <x v="6"/>
    <n v="5000"/>
    <m/>
    <s v="altaf"/>
    <s v="Bank"/>
    <m/>
  </r>
  <r>
    <d v="2026-01-17T00:00:00"/>
    <x v="17"/>
    <n v="2000"/>
    <m/>
    <s v="loader petrol"/>
    <s v="Bank"/>
    <m/>
  </r>
  <r>
    <d v="2026-01-17T00:00:00"/>
    <x v="15"/>
    <n v="10000"/>
    <m/>
    <s v="Naeem Electric"/>
    <s v="Bank"/>
    <m/>
  </r>
  <r>
    <d v="2026-01-17T00:00:00"/>
    <x v="25"/>
    <m/>
    <n v="350000"/>
    <s v="ABL"/>
    <s v="Bank"/>
    <m/>
  </r>
  <r>
    <d v="2026-01-18T00:00:00"/>
    <x v="10"/>
    <n v="100000"/>
    <m/>
    <s v="TID:783321"/>
    <s v="Bank"/>
    <m/>
  </r>
  <r>
    <d v="2026-01-18T00:00:00"/>
    <x v="6"/>
    <m/>
    <n v="100000"/>
    <s v="irfan punjabi"/>
    <s v="Bank"/>
    <m/>
  </r>
  <r>
    <d v="2026-01-18T00:00:00"/>
    <x v="34"/>
    <n v="100200"/>
    <m/>
    <s v="TID:484646"/>
    <s v="Bank"/>
    <m/>
  </r>
  <r>
    <d v="2026-01-18T00:00:00"/>
    <x v="1"/>
    <n v="4000"/>
    <m/>
    <s v="Padel"/>
    <s v="Bank"/>
    <m/>
  </r>
  <r>
    <d v="2026-01-18T00:00:00"/>
    <x v="1"/>
    <n v="2370"/>
    <m/>
    <s v="food"/>
    <s v="Bank"/>
    <m/>
  </r>
  <r>
    <d v="2026-01-18T00:00:00"/>
    <x v="1"/>
    <n v="760"/>
    <m/>
    <m/>
    <s v="Bank"/>
    <m/>
  </r>
  <r>
    <d v="2026-01-18T00:00:00"/>
    <x v="1"/>
    <n v="580"/>
    <m/>
    <s v="package"/>
    <s v="Bank"/>
    <m/>
  </r>
  <r>
    <d v="2026-01-18T00:00:00"/>
    <x v="16"/>
    <n v="426"/>
    <m/>
    <s v="crayons"/>
    <s v="Bank"/>
    <m/>
  </r>
  <r>
    <d v="2026-01-18T00:00:00"/>
    <x v="1"/>
    <m/>
    <m/>
    <m/>
    <s v="Bank"/>
    <m/>
  </r>
  <r>
    <d v="2026-01-17T00:00:00"/>
    <x v="15"/>
    <n v="500"/>
    <m/>
    <s v="Nadeem silai"/>
    <s v="Bank"/>
    <m/>
  </r>
  <r>
    <d v="2026-01-17T00:00:00"/>
    <x v="17"/>
    <n v="600"/>
    <m/>
    <s v="starch"/>
    <s v="Bank"/>
    <m/>
  </r>
  <r>
    <d v="2026-01-16T00:00:00"/>
    <x v="21"/>
    <m/>
    <n v="100000"/>
    <m/>
    <s v="Bank"/>
    <m/>
  </r>
  <r>
    <d v="2026-01-16T00:00:00"/>
    <x v="6"/>
    <n v="100000"/>
    <m/>
    <s v="Shahid qasai"/>
    <s v="Bank"/>
    <m/>
  </r>
  <r>
    <d v="2026-01-17T00:00:00"/>
    <x v="21"/>
    <m/>
    <n v="100000"/>
    <m/>
    <s v="Bank"/>
    <m/>
  </r>
  <r>
    <d v="2026-01-17T00:00:00"/>
    <x v="6"/>
    <n v="100000"/>
    <m/>
    <s v="Shahid qasai"/>
    <s v="Bank"/>
    <m/>
  </r>
  <r>
    <d v="2026-01-19T00:00:00"/>
    <x v="6"/>
    <m/>
    <n v="30000"/>
    <s v="5k*6"/>
    <s v="Bank"/>
    <m/>
  </r>
  <r>
    <d v="2026-01-19T00:00:00"/>
    <x v="4"/>
    <n v="5000"/>
    <m/>
    <s v="chakki"/>
    <s v="Bank"/>
    <m/>
  </r>
  <r>
    <d v="2026-01-19T00:00:00"/>
    <x v="4"/>
    <n v="3330"/>
    <m/>
    <s v="akhtar khan"/>
    <s v="Bank"/>
    <m/>
  </r>
  <r>
    <d v="2026-01-19T00:00:00"/>
    <x v="2"/>
    <n v="10000"/>
    <m/>
    <s v="mazdoor"/>
    <s v="Bank"/>
    <m/>
  </r>
  <r>
    <d v="2026-01-19T00:00:00"/>
    <x v="17"/>
    <n v="2400"/>
    <m/>
    <s v="puncture"/>
    <s v="Bank"/>
    <m/>
  </r>
  <r>
    <d v="2026-01-19T00:00:00"/>
    <x v="10"/>
    <n v="5000"/>
    <m/>
    <s v="unloading"/>
    <s v="Bank"/>
    <m/>
  </r>
  <r>
    <d v="2026-01-19T00:00:00"/>
    <x v="13"/>
    <n v="1000"/>
    <m/>
    <s v="unloading"/>
    <s v="Bank"/>
    <m/>
  </r>
  <r>
    <d v="2026-01-19T00:00:00"/>
    <x v="5"/>
    <n v="1000"/>
    <m/>
    <s v="unloading"/>
    <s v="Bank"/>
    <m/>
  </r>
  <r>
    <d v="2026-01-19T00:00:00"/>
    <x v="34"/>
    <n v="1000"/>
    <m/>
    <s v="unloading"/>
    <s v="Bank"/>
    <m/>
  </r>
  <r>
    <d v="2026-01-19T00:00:00"/>
    <x v="4"/>
    <n v="2000"/>
    <m/>
    <s v="ali hasnain helper stenter"/>
    <s v="Bank"/>
    <m/>
  </r>
  <r>
    <d v="2026-01-19T00:00:00"/>
    <x v="9"/>
    <n v="4000"/>
    <m/>
    <s v="welding plant"/>
    <s v="Bank"/>
    <m/>
  </r>
  <r>
    <d v="2026-01-19T00:00:00"/>
    <x v="9"/>
    <n v="140000"/>
    <m/>
    <s v="High Temp oil Boiler"/>
    <s v="Bank"/>
    <m/>
  </r>
  <r>
    <d v="2026-01-19T00:00:00"/>
    <x v="15"/>
    <n v="15000"/>
    <m/>
    <s v="Waqas ADM"/>
    <s v="Bank"/>
    <m/>
  </r>
  <r>
    <d v="2026-01-19T00:00:00"/>
    <x v="17"/>
    <n v="5000"/>
    <m/>
    <s v="kora karaya"/>
    <s v="Bank"/>
    <m/>
  </r>
  <r>
    <d v="2026-01-19T00:00:00"/>
    <x v="15"/>
    <n v="10000"/>
    <m/>
    <s v="master waheed"/>
    <s v="Bank"/>
    <m/>
  </r>
  <r>
    <d v="2026-01-19T00:00:00"/>
    <x v="10"/>
    <n v="100999"/>
    <m/>
    <s v="TID:823354"/>
    <s v="Bank"/>
    <m/>
  </r>
  <r>
    <d v="2026-01-19T00:00:00"/>
    <x v="1"/>
    <n v="2000"/>
    <m/>
    <m/>
    <s v="Bank"/>
    <m/>
  </r>
  <r>
    <d v="2026-01-20T00:00:00"/>
    <x v="1"/>
    <m/>
    <n v="9800"/>
    <m/>
    <s v="Bank"/>
    <m/>
  </r>
  <r>
    <d v="2026-01-20T00:00:00"/>
    <x v="9"/>
    <n v="9800"/>
    <m/>
    <s v="coil + flexible pipe"/>
    <s v="Bank"/>
    <m/>
  </r>
  <r>
    <d v="2026-01-20T00:00:00"/>
    <x v="39"/>
    <m/>
    <n v="350000"/>
    <s v="150K+200K"/>
    <s v="Bank"/>
    <m/>
  </r>
  <r>
    <d v="2026-01-20T00:00:00"/>
    <x v="6"/>
    <m/>
    <n v="650000"/>
    <m/>
    <s v="Bank"/>
    <m/>
  </r>
  <r>
    <d v="2026-01-20T00:00:00"/>
    <x v="6"/>
    <m/>
    <n v="200000"/>
    <m/>
    <s v="Bank"/>
    <m/>
  </r>
  <r>
    <d v="2026-01-20T00:00:00"/>
    <x v="6"/>
    <m/>
    <n v="249000"/>
    <m/>
    <s v="Bank"/>
    <m/>
  </r>
  <r>
    <d v="2026-01-20T00:00:00"/>
    <x v="6"/>
    <m/>
    <n v="360000"/>
    <s v="Bank Deposit"/>
    <s v="Bank"/>
    <m/>
  </r>
  <r>
    <d v="2026-01-20T00:00:00"/>
    <x v="39"/>
    <m/>
    <n v="100000"/>
    <s v="TID:417059"/>
    <s v="Bank"/>
    <m/>
  </r>
  <r>
    <d v="2026-01-20T00:00:00"/>
    <x v="7"/>
    <n v="12300"/>
    <m/>
    <s v="BP26"/>
    <s v="Bank"/>
    <m/>
  </r>
  <r>
    <d v="2026-01-20T00:00:00"/>
    <x v="6"/>
    <m/>
    <n v="190000"/>
    <s v="TID:804281"/>
    <s v="Bank"/>
    <m/>
  </r>
  <r>
    <d v="2026-01-20T00:00:00"/>
    <x v="6"/>
    <m/>
    <n v="60000"/>
    <s v="TID:853603"/>
    <s v="Bank"/>
    <m/>
  </r>
  <r>
    <d v="2026-01-20T00:00:00"/>
    <x v="19"/>
    <m/>
    <n v="100000"/>
    <s v="UBL"/>
    <s v="Bank"/>
    <m/>
  </r>
  <r>
    <d v="2026-01-20T00:00:00"/>
    <x v="21"/>
    <m/>
    <n v="100000"/>
    <m/>
    <s v="Bank"/>
    <m/>
  </r>
  <r>
    <d v="2026-01-20T00:00:00"/>
    <x v="6"/>
    <n v="100000"/>
    <m/>
    <s v="Shahid qasai"/>
    <s v="Bank"/>
    <m/>
  </r>
  <r>
    <d v="2026-01-20T00:00:00"/>
    <x v="18"/>
    <n v="2185118"/>
    <m/>
    <s v="LESCO"/>
    <s v="Bank"/>
    <m/>
  </r>
  <r>
    <d v="2026-01-20T00:00:00"/>
    <x v="16"/>
    <n v="8000"/>
    <m/>
    <s v="fire extinguishers x3"/>
    <s v="Bank"/>
    <m/>
  </r>
  <r>
    <d v="2026-01-20T00:00:00"/>
    <x v="16"/>
    <n v="2000"/>
    <m/>
    <s v="medicine"/>
    <s v="Bank"/>
    <m/>
  </r>
  <r>
    <d v="2026-01-20T00:00:00"/>
    <x v="9"/>
    <n v="1650"/>
    <m/>
    <m/>
    <s v="Bank"/>
    <m/>
  </r>
  <r>
    <d v="2026-01-20T00:00:00"/>
    <x v="9"/>
    <n v="2100"/>
    <m/>
    <m/>
    <s v="Bank"/>
    <m/>
  </r>
  <r>
    <d v="2026-01-20T00:00:00"/>
    <x v="9"/>
    <n v="1430"/>
    <m/>
    <m/>
    <s v="Bank"/>
    <m/>
  </r>
  <r>
    <d v="2026-01-20T00:00:00"/>
    <x v="9"/>
    <n v="1500"/>
    <m/>
    <m/>
    <s v="Bank"/>
    <m/>
  </r>
  <r>
    <d v="2026-01-20T00:00:00"/>
    <x v="17"/>
    <n v="5000"/>
    <m/>
    <s v="petrol"/>
    <s v="Bank"/>
    <m/>
  </r>
  <r>
    <d v="2026-01-21T00:00:00"/>
    <x v="6"/>
    <m/>
    <n v="15000"/>
    <s v="Cash"/>
    <s v="Bank"/>
    <m/>
  </r>
  <r>
    <d v="2026-01-21T00:00:00"/>
    <x v="9"/>
    <n v="4180"/>
    <m/>
    <s v="Amp meter"/>
    <s v="Bank"/>
    <m/>
  </r>
  <r>
    <d v="2026-01-21T00:00:00"/>
    <x v="2"/>
    <n v="6600"/>
    <m/>
    <s v="mazdoor"/>
    <s v="Bank"/>
    <m/>
  </r>
  <r>
    <d v="2026-01-21T00:00:00"/>
    <x v="17"/>
    <n v="1000"/>
    <m/>
    <s v="karaya"/>
    <s v="Bank"/>
    <m/>
  </r>
  <r>
    <d v="2026-01-21T00:00:00"/>
    <x v="15"/>
    <n v="1000"/>
    <m/>
    <s v="imtiaz opt"/>
    <s v="Bank"/>
    <m/>
  </r>
  <r>
    <d v="2026-01-21T00:00:00"/>
    <x v="17"/>
    <n v="2000"/>
    <m/>
    <s v="raksha karaya"/>
    <s v="Bank"/>
    <m/>
  </r>
  <r>
    <d v="2026-01-21T00:00:00"/>
    <x v="6"/>
    <m/>
    <n v="4180"/>
    <s v="Amp meter"/>
    <s v="Bank"/>
    <m/>
  </r>
  <r>
    <d v="2026-01-21T00:00:00"/>
    <x v="6"/>
    <m/>
    <n v="15513"/>
    <s v="diesel"/>
    <s v="Bank"/>
    <m/>
  </r>
  <r>
    <d v="2026-01-21T00:00:00"/>
    <x v="9"/>
    <n v="15513"/>
    <m/>
    <s v="diesel"/>
    <s v="Bank"/>
    <m/>
  </r>
  <r>
    <d v="2026-01-21T00:00:00"/>
    <x v="26"/>
    <n v="20000"/>
    <m/>
    <s v="atta"/>
    <s v="Bank"/>
    <m/>
  </r>
  <r>
    <d v="2026-01-21T00:00:00"/>
    <x v="15"/>
    <n v="3000"/>
    <m/>
    <s v="khubaib"/>
    <s v="Bank"/>
    <m/>
  </r>
  <r>
    <d v="2026-01-21T00:00:00"/>
    <x v="9"/>
    <n v="25500"/>
    <m/>
    <s v="boiler chemicals"/>
    <s v="Bank"/>
    <m/>
  </r>
  <r>
    <d v="2026-01-21T00:00:00"/>
    <x v="7"/>
    <n v="49200"/>
    <m/>
    <s v="BP26"/>
    <s v="Bank"/>
    <m/>
  </r>
  <r>
    <d v="2026-01-21T00:00:00"/>
    <x v="6"/>
    <m/>
    <n v="49200"/>
    <s v="BP26"/>
    <s v="Bank"/>
    <m/>
  </r>
  <r>
    <d v="2026-01-21T00:00:00"/>
    <x v="6"/>
    <m/>
    <n v="25500"/>
    <s v="boiler chemicals"/>
    <s v="Bank"/>
    <m/>
  </r>
  <r>
    <d v="2026-01-21T00:00:00"/>
    <x v="25"/>
    <m/>
    <n v="300000"/>
    <s v="TID:638585"/>
    <s v="Bank"/>
    <m/>
  </r>
  <r>
    <d v="2026-01-21T00:00:00"/>
    <x v="6"/>
    <n v="300000"/>
    <m/>
    <s v="Salman zaffar"/>
    <s v="Bank"/>
    <m/>
  </r>
  <r>
    <d v="2026-01-22T00:00:00"/>
    <x v="17"/>
    <n v="11100"/>
    <m/>
    <s v="raksha karaya"/>
    <s v="Bank"/>
    <m/>
  </r>
  <r>
    <d v="2026-01-22T00:00:00"/>
    <x v="6"/>
    <m/>
    <n v="118500"/>
    <s v="TID:115665"/>
    <s v="Bank"/>
    <m/>
  </r>
  <r>
    <d v="2026-01-22T00:00:00"/>
    <x v="15"/>
    <n v="100000"/>
    <m/>
    <s v="khalid sahab"/>
    <s v="Bank"/>
    <m/>
  </r>
  <r>
    <d v="2026-01-22T00:00:00"/>
    <x v="26"/>
    <n v="25950"/>
    <m/>
    <s v="Rashan bill Nill"/>
    <s v="Bank"/>
    <m/>
  </r>
  <r>
    <d v="2026-01-22T00:00:00"/>
    <x v="39"/>
    <m/>
    <n v="100000"/>
    <s v="TID:282717"/>
    <s v="Bank"/>
    <m/>
  </r>
  <r>
    <d v="2026-01-22T00:00:00"/>
    <x v="16"/>
    <n v="500"/>
    <m/>
    <s v="medicine"/>
    <s v="Bank"/>
    <m/>
  </r>
  <r>
    <d v="2026-01-22T00:00:00"/>
    <x v="15"/>
    <n v="10000"/>
    <m/>
    <s v="iqbal Fitter"/>
    <s v="Bank"/>
    <m/>
  </r>
  <r>
    <d v="2026-01-22T00:00:00"/>
    <x v="15"/>
    <n v="10000"/>
    <m/>
    <s v="Master Tanveer"/>
    <s v="Bank"/>
    <m/>
  </r>
  <r>
    <d v="2026-01-22T00:00:00"/>
    <x v="2"/>
    <n v="1000"/>
    <m/>
    <s v="naeem driver//mali"/>
    <s v="Bank"/>
    <m/>
  </r>
  <r>
    <d v="2026-01-22T00:00:00"/>
    <x v="4"/>
    <n v="50000"/>
    <m/>
    <s v="Ashfaq Sahab theka"/>
    <s v="Bank"/>
    <m/>
  </r>
  <r>
    <d v="2026-01-22T00:00:00"/>
    <x v="2"/>
    <n v="4000"/>
    <m/>
    <s v="grocceries"/>
    <s v="Bank"/>
    <m/>
  </r>
  <r>
    <d v="2026-01-22T00:00:00"/>
    <x v="17"/>
    <n v="500"/>
    <m/>
    <s v="bike"/>
    <s v="Bank"/>
    <m/>
  </r>
  <r>
    <d v="2026-01-23T00:00:00"/>
    <x v="3"/>
    <n v="20000"/>
    <m/>
    <s v="abid sahab"/>
    <s v="Bank"/>
    <m/>
  </r>
  <r>
    <d v="2026-01-23T00:00:00"/>
    <x v="17"/>
    <n v="5000"/>
    <m/>
    <s v="6 pheray"/>
    <s v="Bank"/>
    <m/>
  </r>
  <r>
    <m/>
    <x v="40"/>
    <m/>
    <m/>
    <m/>
    <m/>
    <m/>
  </r>
  <r>
    <d v="2026-01-23T00:00:00"/>
    <x v="16"/>
    <n v="130"/>
    <m/>
    <s v="package"/>
    <s v="Bank"/>
    <m/>
  </r>
  <r>
    <d v="2026-01-23T00:00:00"/>
    <x v="6"/>
    <m/>
    <n v="199000"/>
    <s v="TID:689702"/>
    <s v="Bank"/>
    <m/>
  </r>
  <r>
    <d v="2026-01-23T00:00:00"/>
    <x v="5"/>
    <n v="200100"/>
    <m/>
    <s v="TID:864276"/>
    <s v="Bank"/>
    <m/>
  </r>
  <r>
    <d v="2026-01-23T00:00:00"/>
    <x v="21"/>
    <m/>
    <n v="124302"/>
    <s v="TID:594554"/>
    <s v="Bank"/>
    <m/>
  </r>
  <r>
    <d v="2026-01-23T00:00:00"/>
    <x v="13"/>
    <n v="120000"/>
    <m/>
    <s v="TID:718636"/>
    <s v="Bank"/>
    <m/>
  </r>
  <r>
    <d v="2026-01-24T00:00:00"/>
    <x v="6"/>
    <m/>
    <n v="330000"/>
    <s v="TID:202050"/>
    <s v="Bank"/>
    <m/>
  </r>
  <r>
    <d v="2026-01-24T00:00:00"/>
    <x v="10"/>
    <n v="200005"/>
    <m/>
    <s v="TID:749744"/>
    <s v="Bank"/>
    <m/>
  </r>
  <r>
    <d v="2026-01-24T00:00:00"/>
    <x v="34"/>
    <n v="130000"/>
    <m/>
    <s v="TID:815907"/>
    <s v="Bank"/>
    <m/>
  </r>
  <r>
    <d v="2026-01-24T00:00:00"/>
    <x v="6"/>
    <m/>
    <n v="70000"/>
    <s v="TID:048910"/>
    <s v="Bank"/>
    <m/>
  </r>
  <r>
    <d v="2026-01-24T00:00:00"/>
    <x v="11"/>
    <n v="35000"/>
    <m/>
    <s v="TID:482867"/>
    <s v="Bank"/>
    <m/>
  </r>
  <r>
    <d v="2026-01-24T00:00:00"/>
    <x v="9"/>
    <n v="1200"/>
    <m/>
    <s v="dhaga cones"/>
    <s v="Bank"/>
    <m/>
  </r>
  <r>
    <d v="2026-01-24T00:00:00"/>
    <x v="9"/>
    <n v="1700"/>
    <m/>
    <s v="electric"/>
    <s v="Bank"/>
    <m/>
  </r>
  <r>
    <d v="2026-01-24T00:00:00"/>
    <x v="9"/>
    <n v="1320"/>
    <m/>
    <m/>
    <s v="Bank"/>
    <m/>
  </r>
  <r>
    <d v="2026-01-25T00:00:00"/>
    <x v="6"/>
    <m/>
    <n v="100000"/>
    <s v="TID:152405"/>
    <s v="Bank"/>
    <m/>
  </r>
  <r>
    <d v="2026-01-25T00:00:00"/>
    <x v="10"/>
    <n v="100000"/>
    <m/>
    <s v="TID:411138"/>
    <s v="Bank"/>
    <m/>
  </r>
  <r>
    <d v="2026-01-25T00:00:00"/>
    <x v="15"/>
    <n v="2000"/>
    <m/>
    <s v="Nasir opt"/>
    <s v="Bank"/>
    <m/>
  </r>
  <r>
    <d v="2026-01-25T00:00:00"/>
    <x v="2"/>
    <n v="4250"/>
    <m/>
    <s v="food"/>
    <s v="Bank"/>
    <m/>
  </r>
  <r>
    <d v="2026-01-25T00:00:00"/>
    <x v="17"/>
    <n v="3700"/>
    <m/>
    <s v="oil change"/>
    <s v="Bank"/>
    <m/>
  </r>
  <r>
    <d v="2026-01-24T00:00:00"/>
    <x v="17"/>
    <n v="5000"/>
    <m/>
    <s v="petrol"/>
    <s v="Bank"/>
    <m/>
  </r>
  <r>
    <d v="2026-01-25T00:00:00"/>
    <x v="2"/>
    <n v="2000"/>
    <m/>
    <s v="altaf"/>
    <s v="Bank"/>
    <m/>
  </r>
  <r>
    <d v="2026-01-25T00:00:00"/>
    <x v="40"/>
    <m/>
    <m/>
    <m/>
    <m/>
    <m/>
  </r>
  <r>
    <d v="2026-01-25T00:00:00"/>
    <x v="40"/>
    <m/>
    <m/>
    <m/>
    <m/>
    <m/>
  </r>
  <r>
    <d v="2026-01-25T00:00:00"/>
    <x v="40"/>
    <m/>
    <m/>
    <m/>
    <m/>
    <m/>
  </r>
  <r>
    <d v="2026-01-25T00:00:00"/>
    <x v="40"/>
    <m/>
    <m/>
    <m/>
    <m/>
    <m/>
  </r>
  <r>
    <d v="2026-01-25T00:00:00"/>
    <x v="40"/>
    <m/>
    <m/>
    <m/>
    <m/>
    <m/>
  </r>
  <r>
    <d v="2026-01-25T00:00:00"/>
    <x v="40"/>
    <m/>
    <m/>
    <m/>
    <m/>
    <m/>
  </r>
  <r>
    <d v="2026-01-25T00:00:00"/>
    <x v="40"/>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669301.2823701537"/>
    <n v="10"/>
    <n v="6560599.853694221"/>
  </r>
  <r>
    <x v="1"/>
    <n v="78653.072421360645"/>
    <n v="10"/>
    <n v="943836.86905632773"/>
  </r>
  <r>
    <x v="2"/>
    <n v="152184.52816386247"/>
    <n v="10"/>
    <n v="1619019.7512801758"/>
  </r>
  <r>
    <x v="3"/>
    <n v="8092.5384052670088"/>
    <n v="10.5"/>
    <n v="84971.653255303594"/>
  </r>
  <r>
    <x v="4"/>
    <n v="23995.976591075349"/>
    <n v="10"/>
    <n v="0"/>
  </r>
  <r>
    <x v="5"/>
    <n v="53605.52304316021"/>
    <n v="10"/>
    <n v="536055.2304316021"/>
  </r>
  <r>
    <x v="6"/>
    <n v="23250.731528895394"/>
    <n v="10"/>
    <n v="232507.31528895395"/>
  </r>
  <r>
    <x v="7"/>
    <n v="273579.00512070226"/>
    <n v="10"/>
    <n v="2961132.0409656186"/>
  </r>
  <r>
    <x v="8"/>
    <n v="69882.040965618144"/>
    <n v="10"/>
    <n v="838584.49158741767"/>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s v="Balance Nill"/>
    <m/>
    <m/>
    <m/>
    <x v="1"/>
    <n v="218250"/>
    <n v="-218250"/>
    <m/>
  </r>
  <r>
    <x v="9"/>
    <s v="Dyes"/>
    <m/>
    <m/>
    <n v="13500"/>
    <x v="5"/>
    <n v="13500"/>
    <n v="0"/>
    <m/>
  </r>
  <r>
    <x v="11"/>
    <s v="Dyes"/>
    <m/>
    <m/>
    <n v="66875"/>
    <x v="5"/>
    <n v="66875"/>
    <n v="0"/>
    <m/>
  </r>
  <r>
    <x v="11"/>
    <s v="Red F3BS"/>
    <m/>
    <m/>
    <n v="43500"/>
    <x v="1"/>
    <n v="0"/>
    <n v="43500"/>
    <m/>
  </r>
  <r>
    <x v="12"/>
    <s v="Dyes"/>
    <m/>
    <m/>
    <m/>
    <x v="1"/>
    <n v="43500"/>
    <n v="-43500"/>
    <m/>
  </r>
  <r>
    <x v="13"/>
    <s v="Dyes"/>
    <m/>
    <m/>
    <n v="291250"/>
    <x v="5"/>
    <n v="291250"/>
    <n v="0"/>
    <m/>
  </r>
  <r>
    <x v="14"/>
    <m/>
    <m/>
    <m/>
    <n v="255000"/>
    <x v="0"/>
    <n v="0"/>
    <n v="255000"/>
    <m/>
  </r>
  <r>
    <x v="15"/>
    <m/>
    <m/>
    <m/>
    <m/>
    <x v="6"/>
    <n v="0"/>
    <n v="0"/>
    <m/>
  </r>
  <r>
    <x v="15"/>
    <m/>
    <m/>
    <m/>
    <m/>
    <x v="6"/>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1"/>
    <x v="3"/>
    <x v="5"/>
    <n v="45"/>
    <n v="580"/>
    <m/>
    <n v="26100"/>
    <m/>
    <n v="26100"/>
  </r>
  <r>
    <x v="11"/>
    <x v="3"/>
    <x v="5"/>
    <n v="90"/>
    <n v="775"/>
    <m/>
    <n v="69750"/>
    <m/>
    <n v="69750"/>
  </r>
  <r>
    <x v="11"/>
    <x v="3"/>
    <x v="9"/>
    <n v="20"/>
    <n v="580"/>
    <m/>
    <n v="11600"/>
    <m/>
    <n v="11600"/>
  </r>
  <r>
    <x v="11"/>
    <x v="3"/>
    <x v="9"/>
    <n v="108"/>
    <n v="775"/>
    <m/>
    <n v="83700"/>
    <n v="0"/>
    <n v="83700"/>
  </r>
  <r>
    <x v="12"/>
    <x v="3"/>
    <x v="5"/>
    <m/>
    <m/>
    <m/>
    <n v="0"/>
    <n v="100000"/>
    <n v="-100000"/>
  </r>
  <r>
    <x v="13"/>
    <x v="6"/>
    <x v="5"/>
    <m/>
    <m/>
    <m/>
    <n v="0"/>
    <n v="0"/>
    <n v="0"/>
  </r>
  <r>
    <x v="13"/>
    <x v="3"/>
    <x v="5"/>
    <n v="116"/>
    <n v="775"/>
    <m/>
    <n v="89900"/>
    <m/>
    <n v="89900"/>
  </r>
  <r>
    <x v="13"/>
    <x v="3"/>
    <x v="5"/>
    <n v="20"/>
    <n v="580"/>
    <m/>
    <n v="11600"/>
    <m/>
    <n v="11600"/>
  </r>
  <r>
    <x v="12"/>
    <x v="3"/>
    <x v="5"/>
    <n v="90"/>
    <n v="775"/>
    <m/>
    <n v="69750"/>
    <m/>
    <n v="69750"/>
  </r>
  <r>
    <x v="12"/>
    <x v="3"/>
    <x v="5"/>
    <n v="58"/>
    <n v="580"/>
    <m/>
    <n v="33640"/>
    <m/>
    <n v="33640"/>
  </r>
  <r>
    <x v="14"/>
    <x v="3"/>
    <x v="5"/>
    <m/>
    <m/>
    <m/>
    <n v="0"/>
    <n v="250000"/>
    <n v="-250000"/>
  </r>
  <r>
    <x v="14"/>
    <x v="6"/>
    <x v="5"/>
    <m/>
    <m/>
    <m/>
    <n v="0"/>
    <n v="205401"/>
    <n v="-205401"/>
  </r>
  <r>
    <x v="14"/>
    <x v="8"/>
    <x v="5"/>
    <m/>
    <m/>
    <m/>
    <n v="0"/>
    <n v="11850"/>
    <n v="-11850"/>
  </r>
  <r>
    <x v="14"/>
    <x v="7"/>
    <x v="5"/>
    <m/>
    <m/>
    <m/>
    <n v="0"/>
    <n v="27000"/>
    <n v="-27000"/>
  </r>
  <r>
    <x v="14"/>
    <x v="0"/>
    <x v="5"/>
    <m/>
    <m/>
    <m/>
    <n v="0"/>
    <n v="1000"/>
    <n v="-1000"/>
  </r>
  <r>
    <x v="15"/>
    <x v="6"/>
    <x v="5"/>
    <n v="193"/>
    <n v="820"/>
    <m/>
    <n v="158260"/>
    <n v="50000"/>
    <n v="108260"/>
  </r>
  <r>
    <x v="15"/>
    <x v="6"/>
    <x v="5"/>
    <n v="185"/>
    <n v="820"/>
    <m/>
    <n v="151700"/>
    <m/>
    <n v="151700"/>
  </r>
  <r>
    <x v="16"/>
    <x v="6"/>
    <x v="5"/>
    <n v="202"/>
    <n v="820"/>
    <m/>
    <n v="165640"/>
    <n v="100111"/>
    <n v="65529"/>
  </r>
  <r>
    <x v="16"/>
    <x v="6"/>
    <x v="5"/>
    <n v="228"/>
    <n v="820"/>
    <m/>
    <n v="186960"/>
    <m/>
    <n v="186960"/>
  </r>
  <r>
    <x v="17"/>
    <x v="6"/>
    <x v="5"/>
    <n v="229"/>
    <n v="850"/>
    <m/>
    <n v="194650"/>
    <n v="200154"/>
    <n v="-5504"/>
  </r>
  <r>
    <x v="17"/>
    <x v="6"/>
    <x v="5"/>
    <n v="244"/>
    <n v="850"/>
    <m/>
    <n v="207400"/>
    <m/>
    <n v="207400"/>
  </r>
  <r>
    <x v="18"/>
    <x v="6"/>
    <x v="5"/>
    <m/>
    <m/>
    <m/>
    <n v="0"/>
    <n v="200100"/>
    <n v="-200100"/>
  </r>
  <r>
    <x v="19"/>
    <x v="6"/>
    <x v="5"/>
    <m/>
    <m/>
    <m/>
    <n v="0"/>
    <n v="204200"/>
    <n v="-204200"/>
  </r>
  <r>
    <x v="20"/>
    <x v="7"/>
    <x v="5"/>
    <n v="125"/>
    <n v="800"/>
    <m/>
    <n v="100000"/>
    <n v="20000"/>
    <n v="80000"/>
  </r>
  <r>
    <x v="15"/>
    <x v="0"/>
    <x v="5"/>
    <m/>
    <m/>
    <m/>
    <n v="0"/>
    <n v="200010"/>
    <n v="-200010"/>
  </r>
  <r>
    <x v="15"/>
    <x v="3"/>
    <x v="5"/>
    <n v="260"/>
    <n v="775"/>
    <m/>
    <n v="201500"/>
    <n v="0"/>
    <n v="201500"/>
  </r>
  <r>
    <x v="15"/>
    <x v="3"/>
    <x v="5"/>
    <n v="135"/>
    <n v="580"/>
    <m/>
    <n v="78300"/>
    <m/>
    <n v="78300"/>
  </r>
  <r>
    <x v="16"/>
    <x v="3"/>
    <x v="5"/>
    <n v="228"/>
    <n v="830"/>
    <m/>
    <n v="189240"/>
    <n v="175000"/>
    <n v="14240"/>
  </r>
  <r>
    <x v="18"/>
    <x v="3"/>
    <x v="5"/>
    <n v="30"/>
    <n v="580"/>
    <m/>
    <n v="17400"/>
    <n v="0"/>
    <n v="17400"/>
  </r>
  <r>
    <x v="18"/>
    <x v="3"/>
    <x v="5"/>
    <n v="106"/>
    <n v="775"/>
    <m/>
    <n v="82150"/>
    <m/>
    <n v="82150"/>
  </r>
  <r>
    <x v="20"/>
    <x v="3"/>
    <x v="5"/>
    <n v="190"/>
    <n v="775"/>
    <m/>
    <n v="147250"/>
    <n v="0"/>
    <n v="147250"/>
  </r>
  <r>
    <x v="20"/>
    <x v="3"/>
    <x v="5"/>
    <n v="35"/>
    <n v="580"/>
    <m/>
    <n v="20300"/>
    <m/>
    <n v="20300"/>
  </r>
  <r>
    <x v="19"/>
    <x v="3"/>
    <x v="5"/>
    <m/>
    <m/>
    <m/>
    <n v="0"/>
    <n v="250000"/>
    <n v="-250000"/>
  </r>
  <r>
    <x v="18"/>
    <x v="0"/>
    <x v="10"/>
    <n v="319"/>
    <n v="850"/>
    <n v="60400"/>
    <n v="271150"/>
    <n v="60400"/>
    <n v="210750"/>
  </r>
  <r>
    <x v="19"/>
    <x v="2"/>
    <x v="5"/>
    <m/>
    <m/>
    <m/>
    <n v="0"/>
    <n v="30000"/>
    <n v="-30000"/>
  </r>
  <r>
    <x v="21"/>
    <x v="6"/>
    <x v="5"/>
    <n v="182"/>
    <n v="820"/>
    <m/>
    <n v="149240"/>
    <n v="106500"/>
    <n v="42740"/>
  </r>
  <r>
    <x v="21"/>
    <x v="10"/>
    <x v="5"/>
    <n v="234"/>
    <n v="820"/>
    <m/>
    <n v="191880"/>
    <n v="36000"/>
    <n v="155880"/>
  </r>
  <r>
    <x v="22"/>
    <x v="10"/>
    <x v="5"/>
    <n v="216"/>
    <n v="820"/>
    <m/>
    <n v="177120"/>
    <n v="100100"/>
    <n v="77020"/>
  </r>
  <r>
    <x v="22"/>
    <x v="6"/>
    <x v="5"/>
    <m/>
    <m/>
    <m/>
    <n v="0"/>
    <n v="100514"/>
    <n v="-100514"/>
  </r>
  <r>
    <x v="23"/>
    <x v="10"/>
    <x v="5"/>
    <m/>
    <m/>
    <m/>
    <n v="0"/>
    <m/>
    <n v="0"/>
  </r>
  <r>
    <x v="23"/>
    <x v="6"/>
    <x v="5"/>
    <n v="242"/>
    <n v="820"/>
    <m/>
    <n v="198440"/>
    <n v="150200"/>
    <n v="48240"/>
  </r>
  <r>
    <x v="23"/>
    <x v="10"/>
    <x v="5"/>
    <m/>
    <m/>
    <m/>
    <n v="0"/>
    <n v="55780"/>
    <n v="-55780"/>
  </r>
  <r>
    <x v="23"/>
    <x v="3"/>
    <x v="5"/>
    <m/>
    <m/>
    <m/>
    <n v="0"/>
    <n v="200250"/>
    <n v="-200250"/>
  </r>
  <r>
    <x v="24"/>
    <x v="6"/>
    <x v="5"/>
    <n v="205"/>
    <n v="820"/>
    <m/>
    <n v="168100"/>
    <m/>
    <n v="168100"/>
  </r>
  <r>
    <x v="24"/>
    <x v="6"/>
    <x v="5"/>
    <n v="260"/>
    <n v="850"/>
    <m/>
    <n v="221000"/>
    <m/>
    <n v="221000"/>
  </r>
  <r>
    <x v="24"/>
    <x v="7"/>
    <x v="5"/>
    <n v="133"/>
    <n v="800"/>
    <m/>
    <n v="106400"/>
    <n v="15000"/>
    <n v="91400"/>
  </r>
  <r>
    <x v="25"/>
    <x v="0"/>
    <x v="5"/>
    <m/>
    <m/>
    <m/>
    <n v="0"/>
    <n v="202000"/>
    <n v="-202000"/>
  </r>
  <r>
    <x v="25"/>
    <x v="6"/>
    <x v="5"/>
    <m/>
    <m/>
    <m/>
    <n v="0"/>
    <n v="150000"/>
    <n v="-150000"/>
  </r>
  <r>
    <x v="26"/>
    <x v="6"/>
    <x v="11"/>
    <n v="268"/>
    <n v="850"/>
    <n v="57000"/>
    <n v="227800"/>
    <n v="232000"/>
    <n v="-4200"/>
  </r>
  <r>
    <x v="26"/>
    <x v="3"/>
    <x v="5"/>
    <m/>
    <m/>
    <m/>
    <n v="0"/>
    <n v="202045"/>
    <n v="-202045"/>
  </r>
  <r>
    <x v="26"/>
    <x v="7"/>
    <x v="5"/>
    <m/>
    <m/>
    <m/>
    <n v="0"/>
    <n v="40000"/>
    <n v="-40000"/>
  </r>
  <r>
    <x v="27"/>
    <x v="10"/>
    <x v="5"/>
    <n v="226"/>
    <n v="820"/>
    <m/>
    <n v="185320"/>
    <m/>
    <n v="185320"/>
  </r>
  <r>
    <x v="25"/>
    <x v="3"/>
    <x v="5"/>
    <n v="247"/>
    <n v="580"/>
    <m/>
    <n v="143260"/>
    <m/>
    <n v="143260"/>
  </r>
  <r>
    <x v="26"/>
    <x v="3"/>
    <x v="5"/>
    <n v="138"/>
    <n v="580"/>
    <m/>
    <n v="80040"/>
    <m/>
    <n v="80040"/>
  </r>
  <r>
    <x v="28"/>
    <x v="10"/>
    <x v="5"/>
    <n v="194"/>
    <n v="820"/>
    <n v="31500"/>
    <n v="159080"/>
    <n v="100704"/>
    <n v="58376"/>
  </r>
  <r>
    <x v="29"/>
    <x v="3"/>
    <x v="5"/>
    <n v="262"/>
    <n v="825"/>
    <n v="75000"/>
    <n v="216150"/>
    <n v="75000"/>
    <n v="141150"/>
  </r>
  <r>
    <x v="29"/>
    <x v="6"/>
    <x v="5"/>
    <n v="209"/>
    <n v="850"/>
    <n v="48000"/>
    <n v="177650"/>
    <n v="198062"/>
    <n v="-20412"/>
  </r>
  <r>
    <x v="29"/>
    <x v="0"/>
    <x v="5"/>
    <m/>
    <m/>
    <m/>
    <n v="0"/>
    <n v="200460"/>
    <n v="-200460"/>
  </r>
  <r>
    <x v="29"/>
    <x v="10"/>
    <x v="5"/>
    <m/>
    <m/>
    <m/>
    <n v="0"/>
    <n v="31500"/>
    <n v="-31500"/>
  </r>
  <r>
    <x v="30"/>
    <x v="0"/>
    <x v="12"/>
    <n v="522"/>
    <n v="850"/>
    <n v="95200"/>
    <n v="443700"/>
    <n v="95200"/>
    <n v="348500"/>
  </r>
  <r>
    <x v="30"/>
    <x v="6"/>
    <x v="5"/>
    <n v="213"/>
    <n v="830"/>
    <m/>
    <n v="176790"/>
    <n v="170000"/>
    <n v="6790"/>
  </r>
  <r>
    <x v="30"/>
    <x v="10"/>
    <x v="5"/>
    <n v="220"/>
    <n v="820"/>
    <m/>
    <n v="180400"/>
    <n v="100000"/>
    <n v="80400"/>
  </r>
  <r>
    <x v="31"/>
    <x v="6"/>
    <x v="5"/>
    <m/>
    <m/>
    <m/>
    <n v="0"/>
    <n v="100000"/>
    <n v="-100000"/>
  </r>
  <r>
    <x v="31"/>
    <x v="3"/>
    <x v="5"/>
    <m/>
    <m/>
    <m/>
    <n v="0"/>
    <n v="125000"/>
    <n v="-125000"/>
  </r>
  <r>
    <x v="31"/>
    <x v="10"/>
    <x v="5"/>
    <n v="216"/>
    <n v="820"/>
    <m/>
    <n v="177120"/>
    <n v="50000"/>
    <n v="127120"/>
  </r>
  <r>
    <x v="32"/>
    <x v="10"/>
    <x v="5"/>
    <n v="214"/>
    <n v="820"/>
    <m/>
    <n v="175480"/>
    <n v="100200"/>
    <n v="75280"/>
  </r>
  <r>
    <x v="32"/>
    <x v="3"/>
    <x v="5"/>
    <n v="141"/>
    <n v="580"/>
    <m/>
    <n v="81780"/>
    <n v="0"/>
    <n v="81780"/>
  </r>
  <r>
    <x v="33"/>
    <x v="6"/>
    <x v="5"/>
    <n v="220"/>
    <n v="850"/>
    <n v="66300"/>
    <n v="187000"/>
    <n v="105999"/>
    <n v="81001"/>
  </r>
  <r>
    <x v="9"/>
    <x v="9"/>
    <x v="5"/>
    <m/>
    <m/>
    <m/>
    <n v="0"/>
    <m/>
    <n v="0"/>
  </r>
  <r>
    <x v="9"/>
    <x v="9"/>
    <x v="5"/>
    <m/>
    <m/>
    <m/>
    <n v="0"/>
    <m/>
    <n v="0"/>
  </r>
  <r>
    <x v="9"/>
    <x v="9"/>
    <x v="5"/>
    <m/>
    <m/>
    <m/>
    <n v="0"/>
    <m/>
    <n v="0"/>
  </r>
  <r>
    <x v="9"/>
    <x v="9"/>
    <x v="5"/>
    <m/>
    <m/>
    <m/>
    <n v="0"/>
    <m/>
    <n v="0"/>
  </r>
  <r>
    <x v="9"/>
    <x v="9"/>
    <x v="5"/>
    <m/>
    <m/>
    <m/>
    <n v="0"/>
    <m/>
    <n v="0"/>
  </r>
  <r>
    <x v="9"/>
    <x v="9"/>
    <x v="5"/>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3"/>
    <s v="Starch"/>
    <n v="45"/>
    <m/>
    <n v="351000"/>
    <n v="0"/>
    <n v="351000"/>
  </r>
  <r>
    <d v="2025-12-23T00:00:00"/>
    <x v="1"/>
    <s v="PVA"/>
    <m/>
    <m/>
    <n v="0"/>
    <n v="150000"/>
    <n v="-150000"/>
  </r>
  <r>
    <d v="2026-01-10T00:00:00"/>
    <x v="1"/>
    <s v="Bill Nill"/>
    <m/>
    <m/>
    <n v="0"/>
    <n v="118000"/>
    <n v="-118000"/>
  </r>
  <r>
    <d v="2026-01-12T00:00:00"/>
    <x v="3"/>
    <s v="Starch"/>
    <m/>
    <m/>
    <n v="0"/>
    <n v="351000"/>
    <n v="-351000"/>
  </r>
  <r>
    <d v="2026-01-14T00:00:00"/>
    <x v="0"/>
    <s v="Starch"/>
    <m/>
    <m/>
    <n v="38750"/>
    <n v="38750"/>
    <n v="0"/>
  </r>
  <r>
    <d v="2026-01-17T00:00:00"/>
    <x v="0"/>
    <s v="Starch"/>
    <m/>
    <m/>
    <n v="38750"/>
    <n v="38750"/>
    <n v="0"/>
  </r>
  <r>
    <d v="2026-01-20T00:00:00"/>
    <x v="4"/>
    <s v="BP26"/>
    <m/>
    <m/>
    <n v="12300"/>
    <n v="12300"/>
    <n v="0"/>
  </r>
  <r>
    <d v="2026-01-20T00:00:00"/>
    <x v="3"/>
    <s v="Starch"/>
    <n v="45"/>
    <m/>
    <n v="351000"/>
    <n v="0"/>
    <n v="351000"/>
  </r>
  <r>
    <d v="2026-01-21T00:00:00"/>
    <x v="4"/>
    <s v="BP26"/>
    <m/>
    <m/>
    <n v="49200"/>
    <n v="49200"/>
    <n v="0"/>
  </r>
  <r>
    <d v="2026-01-22T00:00:00"/>
    <x v="2"/>
    <s v="PVA"/>
    <n v="2"/>
    <n v="125"/>
    <n v="60000"/>
    <n v="0"/>
    <n v="6000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1.7369209781855233"/>
    <n v="4427.5786393562548"/>
    <n v="57558.522311631314"/>
    <m/>
  </r>
  <r>
    <d v="2025-12-26T00:00:00"/>
    <x v="2"/>
    <n v="1281"/>
    <s v="Silky"/>
    <x v="15"/>
    <n v="20882"/>
    <n v="3112"/>
    <n v="2.8356080605362024"/>
    <n v="2845.6474030724216"/>
    <n v="36993.416239941478"/>
    <m/>
  </r>
  <r>
    <d v="2025-12-26T00:00:00"/>
    <x v="2"/>
    <n v="1282"/>
    <s v="Silky"/>
    <x v="16"/>
    <n v="11427"/>
    <n v="6074"/>
    <n v="3.621532159647813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37.153122100537104"/>
    <n v="11812.362838332116"/>
    <n v="153560.71689831751"/>
    <m/>
  </r>
  <r>
    <d v="2026-01-03T00:00:00"/>
    <x v="0"/>
    <n v="1315"/>
    <s v="Silky"/>
    <x v="35"/>
    <n v="12005"/>
    <n v="9524"/>
    <n v="-1.2821711996982401"/>
    <n v="8708.8514996342365"/>
    <n v="113215.06949524507"/>
    <m/>
  </r>
  <r>
    <d v="2026-01-03T00:00:00"/>
    <x v="0"/>
    <n v="1316"/>
    <s v="Silky"/>
    <x v="36"/>
    <m/>
    <n v="6008"/>
    <n v="1.3065122083183383"/>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1.4116059642816055"/>
    <n v="42813.643013899054"/>
    <n v="428136.43013899052"/>
    <m/>
  </r>
  <r>
    <d v="2026-01-05T00:00:00"/>
    <x v="2"/>
    <n v="1323"/>
    <s v="Chamki"/>
    <x v="40"/>
    <n v="51009"/>
    <n v="8175"/>
    <n v="1.4116059642816055"/>
    <n v="7475.3108997805421"/>
    <n v="74753.108997805422"/>
    <m/>
  </r>
  <r>
    <d v="2026-01-05T00:00:00"/>
    <x v="10"/>
    <n v="1324"/>
    <s v="Chamki"/>
    <x v="41"/>
    <n v="25470"/>
    <n v="13785"/>
    <n v="0.64619821819435685"/>
    <n v="12605.15727871251"/>
    <n v="126051.5727871251"/>
    <m/>
  </r>
  <r>
    <d v="2026-01-06T00:00:00"/>
    <x v="0"/>
    <n v="1325"/>
    <s v="Silky"/>
    <x v="36"/>
    <m/>
    <n v="39807"/>
    <n v="1.3065122083183383"/>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r>
    <d v="2026-01-09T00:00:00"/>
    <x v="0"/>
    <n v="1330"/>
    <s v="Silky"/>
    <x v="36"/>
    <n v="48429"/>
    <n v="6455"/>
    <n v="1.3065122083183383"/>
    <n v="5902.5237746891007"/>
    <n v="76732.809070958305"/>
    <m/>
  </r>
  <r>
    <d v="2026-01-09T00:00:00"/>
    <x v="0"/>
    <n v="1331"/>
    <s v="Silky"/>
    <x v="34"/>
    <m/>
    <n v="2740"/>
    <n v="37.153122100537104"/>
    <n v="2505.4864667154357"/>
    <n v="32571.324067300662"/>
    <m/>
  </r>
  <r>
    <d v="2026-01-09T00:00:00"/>
    <x v="0"/>
    <n v="1332"/>
    <s v="Silky"/>
    <x v="43"/>
    <n v="12052"/>
    <n v="12842"/>
    <n v="2.5649884395126605"/>
    <n v="11742.867593269935"/>
    <n v="152657.27871250917"/>
    <m/>
  </r>
  <r>
    <d v="2026-01-09T00:00:00"/>
    <x v="2"/>
    <n v="1333"/>
    <s v="Silky"/>
    <x v="15"/>
    <n v="20882"/>
    <n v="19077"/>
    <n v="2.8356080605362024"/>
    <n v="17444.22092172641"/>
    <n v="226774.87198244332"/>
    <m/>
  </r>
  <r>
    <d v="2026-01-09T00:00:00"/>
    <x v="2"/>
    <n v="1334"/>
    <s v="Silky"/>
    <x v="16"/>
    <n v="11427"/>
    <n v="5970"/>
    <n v="3.6215321596478134"/>
    <n v="5459.0343818580841"/>
    <n v="70967.446964155097"/>
    <m/>
  </r>
  <r>
    <d v="2026-01-09T00:00:00"/>
    <x v="2"/>
    <n v="1335"/>
    <s v="Silky"/>
    <x v="14"/>
    <n v="10254"/>
    <n v="6177"/>
    <n v="1.7369209781855233"/>
    <n v="5648.3174835406007"/>
    <n v="73428.127286027811"/>
    <m/>
  </r>
  <r>
    <d v="2026-01-09T00:00:00"/>
    <x v="2"/>
    <n v="1336"/>
    <s v="Silky"/>
    <x v="44"/>
    <n v="7371"/>
    <n v="7883"/>
    <n v="2.2072601687329723"/>
    <n v="7208.3028529626927"/>
    <n v="93707.937088514998"/>
    <m/>
  </r>
  <r>
    <d v="2026-01-09T00:00:00"/>
    <x v="1"/>
    <n v="1337"/>
    <s v="Silky"/>
    <x v="45"/>
    <n v="45911"/>
    <n v="2736"/>
    <n v="2.924358102156134"/>
    <n v="2501.8288222384786"/>
    <n v="32523.774689100221"/>
    <m/>
  </r>
  <r>
    <d v="2026-01-10T00:00:00"/>
    <x v="1"/>
    <n v="1338"/>
    <s v="Silky"/>
    <x v="45"/>
    <n v="45911"/>
    <n v="28328"/>
    <n v="2.924358102156134"/>
    <n v="25903.438185808343"/>
    <n v="336744.69641550846"/>
    <m/>
  </r>
  <r>
    <d v="2026-01-10T00:00:00"/>
    <x v="19"/>
    <n v="1339"/>
    <s v="Kataan"/>
    <x v="46"/>
    <n v="30098"/>
    <n v="31138"/>
    <n v="5.3992510104640843"/>
    <n v="28472.933430870522"/>
    <n v="284729.33430870523"/>
    <m/>
  </r>
  <r>
    <d v="2026-01-10T00:00:00"/>
    <x v="19"/>
    <n v="1340"/>
    <s v="Kataan"/>
    <x v="47"/>
    <n v="32275"/>
    <n v="16568"/>
    <n v="4.2921083841370802"/>
    <n v="15149.963423555231"/>
    <n v="151499.63423555231"/>
    <m/>
  </r>
  <r>
    <d v="2026-01-10T00:00:00"/>
    <x v="1"/>
    <n v="1341"/>
    <s v="Silky"/>
    <x v="45"/>
    <n v="45911"/>
    <n v="17676"/>
    <n v="2.924358102156134"/>
    <n v="16163.130943672277"/>
    <n v="210120.7022677396"/>
    <m/>
  </r>
  <r>
    <d v="2026-01-10T00:00:00"/>
    <x v="19"/>
    <n v="1342"/>
    <s v="Kataan"/>
    <x v="47"/>
    <n v="32275"/>
    <n v="12698"/>
    <n v="4.2921083841370802"/>
    <n v="11611.192392099489"/>
    <n v="116111.92392099489"/>
    <m/>
  </r>
  <r>
    <d v="2026-01-12T00:00:00"/>
    <x v="0"/>
    <n v="1343"/>
    <s v="Chamki"/>
    <x v="48"/>
    <n v="44988"/>
    <n v="19339"/>
    <n v="4.1502508447509854"/>
    <n v="17683.796634967082"/>
    <n v="176837.96634967084"/>
    <m/>
  </r>
  <r>
    <d v="2026-01-12T00:00:00"/>
    <x v="0"/>
    <s v="1344-a"/>
    <s v="Chamki"/>
    <x v="49"/>
    <n v="11450"/>
    <n v="300"/>
    <n v="1.3394326019109144"/>
    <n v="274.32333577176303"/>
    <n v="2743.2333577176305"/>
    <m/>
  </r>
  <r>
    <d v="2026-01-12T00:00:00"/>
    <x v="0"/>
    <s v="1344-b"/>
    <s v="Chamki"/>
    <x v="50"/>
    <n v="6629"/>
    <n v="930"/>
    <n v="5.1103622077760491"/>
    <n v="850.4023408924653"/>
    <n v="8504.0234089246533"/>
    <m/>
  </r>
  <r>
    <d v="2026-01-12T00:00:00"/>
    <x v="0"/>
    <s v="1344-c"/>
    <s v="Chamki"/>
    <x v="51"/>
    <n v="12001"/>
    <n v="928"/>
    <n v="1.7775707181680218"/>
    <n v="848.57351865398687"/>
    <n v="8485.7351865398687"/>
    <m/>
  </r>
  <r>
    <d v="2026-01-12T00:00:00"/>
    <x v="26"/>
    <n v="1345"/>
    <s v="Chamki"/>
    <x v="52"/>
    <n v="51307"/>
    <n v="29817"/>
    <n v="1.7543162764117"/>
    <n v="27264.996342355524"/>
    <n v="272649.96342355525"/>
    <m/>
  </r>
  <r>
    <d v="2026-01-12T00:00:00"/>
    <x v="0"/>
    <n v="1346"/>
    <s v="Chamki"/>
    <x v="49"/>
    <n v="11450"/>
    <n v="12054"/>
    <n v="1.3394326019109144"/>
    <n v="11022.311631309438"/>
    <n v="110223.11631309438"/>
    <m/>
  </r>
  <r>
    <d v="2026-01-12T00:00:00"/>
    <x v="0"/>
    <n v="1347"/>
    <s v="Chamki"/>
    <x v="48"/>
    <n v="44988"/>
    <n v="20583"/>
    <n v="4.1502508447509854"/>
    <n v="18821.324067300658"/>
    <n v="188213.24067300657"/>
    <m/>
  </r>
  <r>
    <d v="2026-01-12T00:00:00"/>
    <x v="0"/>
    <n v="1348"/>
    <s v="Chamki"/>
    <x v="53"/>
    <n v="28441"/>
    <n v="30546"/>
    <n v="1.7910690612815756"/>
    <n v="27931.602048280911"/>
    <n v="279316.02048280911"/>
    <m/>
  </r>
  <r>
    <d v="2026-01-12T00:00:00"/>
    <x v="0"/>
    <n v="1349"/>
    <s v="Chamki"/>
    <x v="51"/>
    <n v="12001"/>
    <n v="11963"/>
    <n v="1.7775707181680218"/>
    <n v="10939.100219458669"/>
    <n v="109391.00219458669"/>
    <m/>
  </r>
  <r>
    <d v="2026-01-12T00:00:00"/>
    <x v="0"/>
    <n v="1350"/>
    <s v="Chamki"/>
    <x v="50"/>
    <n v="6629"/>
    <n v="5949"/>
    <n v="5.1103622077760491"/>
    <n v="5439.8317483540604"/>
    <n v="54398.317483540603"/>
    <m/>
  </r>
  <r>
    <d v="2026-01-12T00:00:00"/>
    <x v="0"/>
    <n v="1351"/>
    <s v="Chamki"/>
    <x v="48"/>
    <n v="44988"/>
    <n v="7235"/>
    <n v="4.1502508447509854"/>
    <n v="6615.7644476956848"/>
    <n v="66157.644476956848"/>
    <m/>
  </r>
  <r>
    <d v="2026-01-13T00:00:00"/>
    <x v="26"/>
    <n v="1352"/>
    <s v="Chamki"/>
    <x v="52"/>
    <n v="51307"/>
    <n v="25308"/>
    <n v="1.7543162764117"/>
    <n v="23141.916605705926"/>
    <n v="231419.16605705925"/>
    <m/>
  </r>
  <r>
    <d v="2026-01-13T00:00:00"/>
    <x v="20"/>
    <n v="1353"/>
    <s v="Chamki"/>
    <x v="54"/>
    <n v="48184"/>
    <n v="23397"/>
    <n v="1.9053819660576892"/>
    <n v="21394.476956839797"/>
    <n v="213944.76956839795"/>
    <m/>
  </r>
  <r>
    <d v="2026-01-14T00:00:00"/>
    <x v="8"/>
    <n v="1354"/>
    <s v="Silky"/>
    <x v="55"/>
    <n v="24735"/>
    <n v="26408"/>
    <n v="2.3740900065936614"/>
    <n v="24147.768836869058"/>
    <n v="313920.99487929774"/>
    <m/>
  </r>
  <r>
    <d v="2026-01-14T00:00:00"/>
    <x v="8"/>
    <n v="1355"/>
    <s v="Silky"/>
    <x v="56"/>
    <n v="14961"/>
    <n v="14290"/>
    <n v="2.3552433596309044"/>
    <n v="13066.934893928312"/>
    <n v="169870.15362106805"/>
    <m/>
  </r>
  <r>
    <d v="2026-01-14T00:00:00"/>
    <x v="20"/>
    <n v="1356"/>
    <s v="Chamki"/>
    <x v="54"/>
    <n v="23397"/>
    <n v="6055"/>
    <n v="1.9053819660576892"/>
    <n v="5536.7593269934168"/>
    <n v="55367.593269934165"/>
    <m/>
  </r>
  <r>
    <d v="2026-01-15T00:00:00"/>
    <x v="7"/>
    <n v="1357"/>
    <s v="Silky"/>
    <x v="57"/>
    <n v="70035"/>
    <n v="48955"/>
    <n v="1.3960988990299512"/>
    <n v="44764.996342355524"/>
    <n v="581944.95245062176"/>
    <m/>
  </r>
  <r>
    <d v="2026-01-16T00:00:00"/>
    <x v="19"/>
    <n v="1358"/>
    <s v="Kataan"/>
    <x v="58"/>
    <n v="29033"/>
    <n v="26454"/>
    <n v="2.703860105611966"/>
    <n v="24189.831748354063"/>
    <n v="241898.31748354062"/>
    <m/>
  </r>
  <r>
    <d v="2026-01-16T00:00:00"/>
    <x v="19"/>
    <n v="1359"/>
    <s v="Kataan"/>
    <x v="59"/>
    <n v="28546"/>
    <n v="2148"/>
    <n v="51.639933205512669"/>
    <n v="1964.1550841258231"/>
    <n v="19641.550841258231"/>
    <m/>
  </r>
  <r>
    <d v="2026-01-16T00:00:00"/>
    <x v="7"/>
    <n v="1360"/>
    <s v="Silky"/>
    <x v="57"/>
    <n v="70035"/>
    <n v="18158"/>
    <n v="1.3960988990299512"/>
    <n v="16603.877103145576"/>
    <n v="215850.4023408925"/>
    <m/>
  </r>
  <r>
    <d v="2026-01-17T00:00:00"/>
    <x v="19"/>
    <n v="1361"/>
    <s v="Kataan"/>
    <x v="60"/>
    <n v="28559"/>
    <n v="29748"/>
    <n v="4.751910167974998"/>
    <n v="27201.901975128021"/>
    <n v="272019.0197512802"/>
    <m/>
  </r>
  <r>
    <d v="2026-01-17T00:00:00"/>
    <x v="19"/>
    <n v="1362"/>
    <s v="Kataan"/>
    <x v="58"/>
    <n v="29033"/>
    <n v="4438"/>
    <n v="2.703860105611966"/>
    <n v="4058.1565471836143"/>
    <n v="40581.56547183614"/>
    <m/>
  </r>
  <r>
    <d v="2026-01-17T00:00:00"/>
    <x v="19"/>
    <n v="1363"/>
    <s v="Kataan"/>
    <x v="47"/>
    <n v="32275"/>
    <n v="4515"/>
    <n v="4.2921083841370802"/>
    <n v="4128.5662033650333"/>
    <n v="41285.662033650333"/>
    <m/>
  </r>
  <r>
    <d v="2026-01-17T00:00:00"/>
    <x v="19"/>
    <n v="1364"/>
    <s v="Kataan"/>
    <x v="61"/>
    <n v="26975"/>
    <n v="11059"/>
    <n v="3.8029333020563456"/>
    <n v="10112.472567666424"/>
    <n v="101124.72567666424"/>
    <m/>
  </r>
  <r>
    <d v="2026-01-17T00:00:00"/>
    <x v="19"/>
    <n v="1365"/>
    <s v="Kataan"/>
    <x v="61"/>
    <n v="26975"/>
    <n v="17319"/>
    <n v="3.8029333020563456"/>
    <n v="15836.686174103879"/>
    <n v="158366.8617410388"/>
    <m/>
  </r>
  <r>
    <d v="2026-01-17T00:00:00"/>
    <x v="19"/>
    <n v="1366"/>
    <s v="Kataan"/>
    <x v="59"/>
    <n v="28546"/>
    <n v="12949"/>
    <n v="51.639933205512669"/>
    <n v="11840.709583028531"/>
    <n v="118407.09583028531"/>
    <m/>
  </r>
  <r>
    <d v="2026-01-17T00:00:00"/>
    <x v="18"/>
    <n v="1367"/>
    <s v="Chamki"/>
    <x v="62"/>
    <n v="36016"/>
    <n v="17259"/>
    <n v="1.7470127070241261"/>
    <n v="15781.821506949525"/>
    <n v="157818.21506949526"/>
    <m/>
  </r>
  <r>
    <d v="2026-01-19T00:00:00"/>
    <x v="18"/>
    <n v="1368"/>
    <s v="Chamki"/>
    <x v="62"/>
    <n v="36016"/>
    <n v="21440"/>
    <n v="1.7470127070241261"/>
    <n v="19604.974396488662"/>
    <n v="196049.74396488661"/>
    <m/>
  </r>
  <r>
    <d v="2026-01-19T00:00:00"/>
    <x v="5"/>
    <n v="1369"/>
    <s v="Chamki"/>
    <x v="63"/>
    <n v="52178"/>
    <n v="24313"/>
    <n v="0.57807578542899307"/>
    <n v="22232.077542062914"/>
    <n v="222320.77542062913"/>
    <m/>
  </r>
  <r>
    <d v="2026-01-20T00:00:00"/>
    <x v="5"/>
    <n v="1370"/>
    <s v="Chamki"/>
    <x v="63"/>
    <n v="52178"/>
    <n v="32419"/>
    <n v="0.57807578542899307"/>
    <n v="29644.294074615951"/>
    <n v="296442.94074615953"/>
    <m/>
  </r>
  <r>
    <d v="2026-01-20T00:00:00"/>
    <x v="0"/>
    <n v="1371"/>
    <s v="Chamki"/>
    <x v="64"/>
    <n v="57352"/>
    <n v="15219"/>
    <n v="21.526013255275004"/>
    <n v="13916.422823701538"/>
    <n v="139164.22823701537"/>
    <m/>
  </r>
  <r>
    <d v="2026-01-20T00:00:00"/>
    <x v="20"/>
    <n v="1372"/>
    <s v="Chamki"/>
    <x v="54"/>
    <n v="23397"/>
    <n v="22238"/>
    <n v="1.9053819660576892"/>
    <n v="20334.674469641552"/>
    <n v="203346.74469641552"/>
    <m/>
  </r>
  <r>
    <d v="2026-01-20T00:00:00"/>
    <x v="8"/>
    <n v="1373"/>
    <s v="Silky"/>
    <x v="65"/>
    <n v="31746"/>
    <n v="18900"/>
    <n v="1.9541356776177423"/>
    <n v="17282.370153621068"/>
    <n v="224670.81199707388"/>
    <m/>
  </r>
  <r>
    <d v="2026-01-20T00:00:00"/>
    <x v="7"/>
    <n v="1374"/>
    <s v="Silky"/>
    <x v="66"/>
    <n v="20503"/>
    <n v="11000"/>
    <n v="2.0251501368240525"/>
    <n v="10058.52231163131"/>
    <n v="130760.79005120703"/>
    <m/>
  </r>
  <r>
    <d v="2026-01-21T00:00:00"/>
    <x v="7"/>
    <n v="1375"/>
    <s v="Silky"/>
    <x v="67"/>
    <n v="16895"/>
    <n v="18197"/>
    <n v="1.5120500929511422"/>
    <n v="16639.539136795906"/>
    <n v="216314.00877834676"/>
    <m/>
  </r>
  <r>
    <d v="2026-01-21T00:00:00"/>
    <x v="7"/>
    <n v="1376"/>
    <s v="Silky"/>
    <x v="66"/>
    <n v="20503"/>
    <n v="10968"/>
    <n v="2.0251501368240525"/>
    <n v="10029.261155815655"/>
    <n v="130380.39502560352"/>
    <m/>
  </r>
  <r>
    <d v="2026-01-21T00:00:00"/>
    <x v="7"/>
    <n v="1377"/>
    <s v="Silky"/>
    <x v="68"/>
    <n v="6991"/>
    <n v="7531"/>
    <n v="1.4957783008083112"/>
    <n v="6886.4301389904904"/>
    <n v="89523.591806876371"/>
    <m/>
  </r>
  <r>
    <d v="2026-01-21T00:00:00"/>
    <x v="8"/>
    <n v="1378"/>
    <s v="Silky"/>
    <x v="65"/>
    <n v="31746"/>
    <n v="15139"/>
    <n v="1.9541356776177423"/>
    <n v="13843.269934162401"/>
    <n v="179962.50914411122"/>
    <m/>
  </r>
  <r>
    <d v="2026-01-21T00:00:00"/>
    <x v="8"/>
    <n v="1379"/>
    <s v="Silky"/>
    <x v="56"/>
    <n v="14961"/>
    <n v="1686"/>
    <n v="2.3552433596309044"/>
    <n v="1541.697147037308"/>
    <n v="20042.062911485005"/>
    <m/>
  </r>
  <r>
    <d v="2026-01-22T00:00:00"/>
    <x v="7"/>
    <n v="1380"/>
    <s v="Silky"/>
    <x v="57"/>
    <n v="70035"/>
    <n v="8408"/>
    <n v="1.3960988990299512"/>
    <n v="7688.3686905632776"/>
    <n v="99948.792977322606"/>
    <m/>
  </r>
  <r>
    <d v="2026-01-22T00:00:00"/>
    <x v="0"/>
    <n v="1381"/>
    <s v="Silky"/>
    <x v="69"/>
    <n v="50350"/>
    <n v="38195"/>
    <n v="1.5414410756017247"/>
    <n v="34925.932699341625"/>
    <n v="454037.12509144115"/>
    <m/>
  </r>
  <r>
    <d v="2026-01-22T00:00:00"/>
    <x v="0"/>
    <n v="1382"/>
    <s v="Silky"/>
    <x v="69"/>
    <n v="50350"/>
    <n v="16019"/>
    <n v="1.5414410756017247"/>
    <n v="14647.951719092905"/>
    <n v="190423.37234820778"/>
    <m/>
  </r>
  <r>
    <d v="2026-01-22T00:00:00"/>
    <x v="0"/>
    <n v="1383"/>
    <s v="Silky"/>
    <x v="34"/>
    <n v="24208"/>
    <n v="980"/>
    <n v="37.153122100537104"/>
    <n v="896.12289685442579"/>
    <n v="11649.597659107536"/>
    <m/>
  </r>
  <r>
    <d v="2026-01-22T00:00:00"/>
    <x v="0"/>
    <n v="1384"/>
    <s v="Chamki"/>
    <x v="64"/>
    <n v="57352"/>
    <n v="34000"/>
    <n v="21.526013255275004"/>
    <n v="31089.978054133142"/>
    <n v="310899.78054133139"/>
    <m/>
  </r>
  <r>
    <d v="2026-01-23T00:00:00"/>
    <x v="0"/>
    <n v="1385"/>
    <s v="Chamki"/>
    <x v="64"/>
    <n v="57352"/>
    <n v="12886"/>
    <n v="21.526013255275004"/>
    <m/>
    <m/>
    <m/>
  </r>
  <r>
    <d v="2026-01-23T00:00:00"/>
    <x v="0"/>
    <n v="1386"/>
    <s v="Chamki"/>
    <x v="70"/>
    <n v="38006"/>
    <n v="28436"/>
    <s v="NF"/>
    <m/>
    <m/>
    <m/>
  </r>
  <r>
    <d v="2026-01-23T00:00:00"/>
    <x v="0"/>
    <n v="1387"/>
    <s v="Chamki"/>
    <x v="71"/>
    <n v="13976"/>
    <n v="4368"/>
    <s v="NF"/>
    <m/>
    <m/>
    <m/>
  </r>
  <r>
    <d v="2026-01-23T00:00:00"/>
    <x v="5"/>
    <n v="1388"/>
    <s v="Chamki"/>
    <x v="72"/>
    <n v="22557"/>
    <n v="1891"/>
    <s v="NF"/>
    <m/>
    <m/>
    <m/>
  </r>
  <r>
    <d v="2026-01-24T00:00:00"/>
    <x v="7"/>
    <n v="1389"/>
    <s v="Chamki"/>
    <x v="73"/>
    <n v="50630"/>
    <n v="49876"/>
    <s v="NF"/>
    <m/>
    <m/>
    <m/>
  </r>
  <r>
    <d v="2026-01-24T00:00:00"/>
    <x v="0"/>
    <n v="1390"/>
    <s v="Chamki"/>
    <x v="70"/>
    <n v="38006"/>
    <n v="13087"/>
    <s v="NF"/>
    <m/>
    <m/>
    <m/>
  </r>
  <r>
    <d v="2026-01-24T00:00:00"/>
    <x v="0"/>
    <n v="1391"/>
    <s v="Chamki"/>
    <x v="74"/>
    <n v="100417"/>
    <n v="4343"/>
    <s v="NF"/>
    <m/>
    <m/>
    <m/>
  </r>
  <r>
    <d v="2026-01-24T00:00:00"/>
    <x v="7"/>
    <n v="1392"/>
    <s v="Chamki"/>
    <x v="73"/>
    <n v="50630"/>
    <n v="4298"/>
    <s v="NF"/>
    <m/>
    <m/>
    <m/>
  </r>
  <r>
    <d v="2026-01-24T00:00:00"/>
    <x v="7"/>
    <n v="1393"/>
    <s v="Chamki"/>
    <x v="75"/>
    <n v="26970"/>
    <n v="18078"/>
    <s v="NF"/>
    <m/>
    <m/>
    <m/>
  </r>
  <r>
    <d v="2026-01-23T00:00:00"/>
    <x v="27"/>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9">
      <pivotArea field="0" grandRow="1" outline="0" collapsedLevelsAreSubtotals="1" axis="axisRow" fieldPosition="0">
        <references count="1">
          <reference field="4294967294" count="1" selected="0">
            <x v="1"/>
          </reference>
        </references>
      </pivotArea>
    </format>
    <format dxfId="148">
      <pivotArea field="0" grandRow="1" outline="0" collapsedLevelsAreSubtotals="1" axis="axisRow" fieldPosition="0">
        <references count="1">
          <reference field="4294967294" count="1" selected="0">
            <x v="0"/>
          </reference>
        </references>
      </pivotArea>
    </format>
    <format dxfId="147">
      <pivotArea collapsedLevelsAreSubtotals="1" fieldPosition="0">
        <references count="2">
          <reference field="4294967294" count="1" selected="0">
            <x v="1"/>
          </reference>
          <reference field="0" count="0"/>
        </references>
      </pivotArea>
    </format>
    <format dxfId="146">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1" firstHeaderRow="0" firstDataRow="1" firstDataCol="1" rowPageCount="1" colPageCount="1"/>
  <pivotFields count="9">
    <pivotField axis="axisRow" numFmtId="14" showAll="0">
      <items count="170">
        <item m="1" x="153"/>
        <item m="1" x="154"/>
        <item m="1" x="155"/>
        <item m="1" x="156"/>
        <item m="1" x="157"/>
        <item m="1" x="158"/>
        <item m="1" x="159"/>
        <item m="1" x="168"/>
        <item m="1" x="149"/>
        <item m="1" x="160"/>
        <item m="1" x="161"/>
        <item m="1" x="162"/>
        <item m="1" x="163"/>
        <item m="1" x="164"/>
        <item m="1" x="165"/>
        <item m="1" x="166"/>
        <item m="1" x="120"/>
        <item m="1" x="121"/>
        <item m="1" x="167"/>
        <item m="1" x="122"/>
        <item m="1" x="119"/>
        <item m="1" x="123"/>
        <item m="1" x="125"/>
        <item m="1" x="126"/>
        <item m="1" x="127"/>
        <item m="1" x="129"/>
        <item m="1" x="130"/>
        <item m="1" x="131"/>
        <item m="1" x="124"/>
        <item m="1" x="128"/>
        <item m="1" x="132"/>
        <item m="1" x="133"/>
        <item m="1" x="134"/>
        <item m="1" x="135"/>
        <item m="1" x="118"/>
        <item m="1" x="136"/>
        <item m="1" x="150"/>
        <item m="1" x="151"/>
        <item m="1" x="152"/>
        <item m="1" x="137"/>
        <item m="1" x="138"/>
        <item m="1" x="139"/>
        <item m="1" x="140"/>
        <item m="1" x="141"/>
        <item m="1" x="142"/>
        <item m="1" x="143"/>
        <item m="1" x="144"/>
        <item m="1" x="145"/>
        <item m="1" x="146"/>
        <item m="1" x="147"/>
        <item m="1" x="148"/>
        <item m="1" x="89"/>
        <item m="1" x="90"/>
        <item m="1" x="91"/>
        <item m="1" x="92"/>
        <item m="1" x="93"/>
        <item m="1" x="94"/>
        <item m="1" x="95"/>
        <item m="1" x="96"/>
        <item m="1" x="98"/>
        <item m="1" x="99"/>
        <item m="1" x="100"/>
        <item m="1" x="97"/>
        <item m="1" x="101"/>
        <item m="1" x="102"/>
        <item m="1" x="103"/>
        <item m="1" x="104"/>
        <item m="1" x="105"/>
        <item m="1" x="106"/>
        <item m="1" x="107"/>
        <item m="1" x="108"/>
        <item m="1" x="109"/>
        <item m="1" x="110"/>
        <item m="1" x="111"/>
        <item m="1" x="112"/>
        <item m="1" x="113"/>
        <item m="1" x="114"/>
        <item m="1" x="115"/>
        <item m="1" x="116"/>
        <item m="1" x="117"/>
        <item m="1" x="35"/>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36"/>
        <item m="1" x="39"/>
        <item m="1" x="37"/>
        <item m="1" x="38"/>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x="0"/>
        <item x="1"/>
        <item x="2"/>
        <item x="3"/>
        <item x="4"/>
        <item x="5"/>
        <item x="6"/>
        <item x="7"/>
        <item x="9"/>
        <item x="8"/>
        <item x="10"/>
        <item x="11"/>
        <item x="12"/>
        <item x="13"/>
        <item x="14"/>
        <item m="1" x="34"/>
        <item x="15"/>
        <item x="16"/>
        <item x="17"/>
        <item x="18"/>
        <item x="19"/>
        <item x="20"/>
        <item x="21"/>
        <item x="22"/>
        <item x="23"/>
        <item x="24"/>
        <item x="25"/>
        <item x="26"/>
        <item x="27"/>
        <item x="28"/>
        <item x="29"/>
        <item x="30"/>
        <item x="31"/>
        <item x="32"/>
        <item x="33"/>
        <item t="default"/>
      </items>
    </pivotField>
    <pivotField axis="axisPage" showAll="0">
      <items count="14">
        <item x="1"/>
        <item x="0"/>
        <item x="9"/>
        <item m="1" x="12"/>
        <item x="2"/>
        <item x="3"/>
        <item x="4"/>
        <item m="1" x="11"/>
        <item x="5"/>
        <item x="6"/>
        <item x="7"/>
        <item x="8"/>
        <item x="10"/>
        <item t="default"/>
      </items>
    </pivotField>
    <pivotField axis="axisRow" showAll="0">
      <items count="68">
        <item m="1" x="57"/>
        <item m="1" x="41"/>
        <item m="1" x="53"/>
        <item m="1" x="23"/>
        <item m="1" x="58"/>
        <item m="1" x="59"/>
        <item m="1" x="54"/>
        <item m="1" x="55"/>
        <item m="1" x="56"/>
        <item m="1" x="34"/>
        <item m="1" x="60"/>
        <item m="1" x="61"/>
        <item m="1" x="62"/>
        <item m="1" x="63"/>
        <item m="1" x="64"/>
        <item m="1" x="65"/>
        <item m="1" x="30"/>
        <item m="1" x="31"/>
        <item m="1" x="66"/>
        <item m="1" x="32"/>
        <item x="0"/>
        <item m="1" x="33"/>
        <item m="1" x="35"/>
        <item m="1" x="36"/>
        <item m="1" x="37"/>
        <item m="1" x="38"/>
        <item m="1" x="39"/>
        <item m="1" x="40"/>
        <item m="1" x="42"/>
        <item m="1" x="43"/>
        <item m="1" x="25"/>
        <item m="1" x="44"/>
        <item m="1" x="45"/>
        <item m="1" x="46"/>
        <item m="1" x="29"/>
        <item m="1" x="47"/>
        <item m="1" x="48"/>
        <item m="1" x="27"/>
        <item m="1" x="49"/>
        <item m="1" x="50"/>
        <item m="1" x="51"/>
        <item m="1" x="52"/>
        <item m="1" x="15"/>
        <item m="1" x="16"/>
        <item m="1" x="17"/>
        <item m="1" x="18"/>
        <item m="1" x="19"/>
        <item m="1" x="20"/>
        <item m="1" x="21"/>
        <item m="1" x="22"/>
        <item m="1" x="24"/>
        <item m="1" x="26"/>
        <item m="1" x="28"/>
        <item m="1" x="14"/>
        <item x="5"/>
        <item x="1"/>
        <item x="2"/>
        <item m="1" x="13"/>
        <item x="3"/>
        <item x="4"/>
        <item x="6"/>
        <item x="7"/>
        <item x="8"/>
        <item x="9"/>
        <item x="10"/>
        <item x="11"/>
        <item x="1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3">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50"/>
    </i>
    <i r="1">
      <x v="54"/>
    </i>
    <i>
      <x v="151"/>
    </i>
    <i r="1">
      <x v="54"/>
    </i>
    <i>
      <x v="152"/>
    </i>
    <i r="1">
      <x v="54"/>
    </i>
    <i>
      <x v="153"/>
    </i>
    <i r="1">
      <x v="54"/>
    </i>
    <i r="1">
      <x v="64"/>
    </i>
    <i>
      <x v="154"/>
    </i>
    <i r="1">
      <x v="54"/>
    </i>
    <i>
      <x v="155"/>
    </i>
    <i r="1">
      <x v="54"/>
    </i>
    <i>
      <x v="156"/>
    </i>
    <i r="1">
      <x v="54"/>
    </i>
    <i>
      <x v="157"/>
    </i>
    <i r="1">
      <x v="54"/>
    </i>
    <i>
      <x v="158"/>
    </i>
    <i r="1">
      <x v="54"/>
    </i>
    <i>
      <x v="159"/>
    </i>
    <i r="1">
      <x v="54"/>
    </i>
    <i>
      <x v="160"/>
    </i>
    <i r="1">
      <x v="54"/>
    </i>
    <i>
      <x v="161"/>
    </i>
    <i r="1">
      <x v="54"/>
    </i>
    <i r="1">
      <x v="65"/>
    </i>
    <i>
      <x v="162"/>
    </i>
    <i r="1">
      <x v="54"/>
    </i>
    <i>
      <x v="163"/>
    </i>
    <i r="1">
      <x v="54"/>
    </i>
    <i>
      <x v="164"/>
    </i>
    <i r="1">
      <x v="54"/>
    </i>
    <i>
      <x v="165"/>
    </i>
    <i r="1">
      <x v="54"/>
    </i>
    <i r="1">
      <x v="66"/>
    </i>
    <i>
      <x v="166"/>
    </i>
    <i r="1">
      <x v="54"/>
    </i>
    <i>
      <x v="167"/>
    </i>
    <i r="1">
      <x v="54"/>
    </i>
    <i>
      <x v="168"/>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1">
      <pivotArea dataOnly="0" labelOnly="1" outline="0" fieldPosition="0">
        <references count="1">
          <reference field="1" count="1">
            <x v="1"/>
          </reference>
        </references>
      </pivotArea>
    </format>
    <format dxfId="11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81">
        <item x="15"/>
        <item x="19"/>
        <item m="1" x="43"/>
        <item m="1" x="66"/>
        <item m="1" x="70"/>
        <item x="37"/>
        <item x="5"/>
        <item x="16"/>
        <item x="9"/>
        <item x="26"/>
        <item x="4"/>
        <item m="1" x="78"/>
        <item x="29"/>
        <item x="17"/>
        <item x="24"/>
        <item m="1" x="76"/>
        <item x="2"/>
        <item x="31"/>
        <item x="1"/>
        <item x="28"/>
        <item x="40"/>
        <item x="22"/>
        <item m="1" x="79"/>
        <item x="30"/>
        <item x="8"/>
        <item m="1" x="77"/>
        <item m="1" x="69"/>
        <item m="1" x="50"/>
        <item m="1" x="71"/>
        <item m="1" x="72"/>
        <item m="1" x="73"/>
        <item m="1" x="74"/>
        <item x="39"/>
        <item m="1" x="75"/>
        <item x="32"/>
        <item x="12"/>
        <item x="35"/>
        <item x="14"/>
        <item m="1" x="65"/>
        <item m="1" x="61"/>
        <item x="23"/>
        <item x="13"/>
        <item m="1" x="49"/>
        <item m="1" x="67"/>
        <item x="6"/>
        <item m="1" x="68"/>
        <item m="1" x="56"/>
        <item m="1" x="47"/>
        <item x="7"/>
        <item m="1" x="57"/>
        <item m="1" x="58"/>
        <item m="1" x="59"/>
        <item m="1" x="60"/>
        <item m="1" x="62"/>
        <item x="33"/>
        <item m="1" x="44"/>
        <item m="1" x="63"/>
        <item m="1" x="64"/>
        <item m="1" x="42"/>
        <item m="1" x="46"/>
        <item m="1" x="41"/>
        <item x="18"/>
        <item m="1" x="45"/>
        <item x="38"/>
        <item m="1" x="55"/>
        <item x="3"/>
        <item m="1" x="51"/>
        <item m="1" x="52"/>
        <item x="21"/>
        <item m="1" x="48"/>
        <item x="10"/>
        <item m="1" x="53"/>
        <item x="11"/>
        <item m="1" x="54"/>
        <item x="0"/>
        <item x="20"/>
        <item x="25"/>
        <item x="27"/>
        <item x="34"/>
        <item x="36"/>
        <item t="default"/>
      </items>
    </pivotField>
    <pivotField dataField="1" showAll="0"/>
    <pivotField dataField="1" showAll="0"/>
    <pivotField showAll="0"/>
    <pivotField showAll="0"/>
    <pivotField showAll="0"/>
  </pivotFields>
  <rowFields count="1">
    <field x="1"/>
  </rowFields>
  <rowItems count="42">
    <i>
      <x/>
    </i>
    <i>
      <x v="1"/>
    </i>
    <i>
      <x v="5"/>
    </i>
    <i>
      <x v="6"/>
    </i>
    <i>
      <x v="7"/>
    </i>
    <i>
      <x v="8"/>
    </i>
    <i>
      <x v="9"/>
    </i>
    <i>
      <x v="10"/>
    </i>
    <i>
      <x v="12"/>
    </i>
    <i>
      <x v="13"/>
    </i>
    <i>
      <x v="14"/>
    </i>
    <i>
      <x v="16"/>
    </i>
    <i>
      <x v="17"/>
    </i>
    <i>
      <x v="18"/>
    </i>
    <i>
      <x v="19"/>
    </i>
    <i>
      <x v="20"/>
    </i>
    <i>
      <x v="21"/>
    </i>
    <i>
      <x v="23"/>
    </i>
    <i>
      <x v="24"/>
    </i>
    <i>
      <x v="32"/>
    </i>
    <i>
      <x v="34"/>
    </i>
    <i>
      <x v="35"/>
    </i>
    <i>
      <x v="36"/>
    </i>
    <i>
      <x v="37"/>
    </i>
    <i>
      <x v="40"/>
    </i>
    <i>
      <x v="41"/>
    </i>
    <i>
      <x v="44"/>
    </i>
    <i>
      <x v="48"/>
    </i>
    <i>
      <x v="54"/>
    </i>
    <i>
      <x v="61"/>
    </i>
    <i>
      <x v="63"/>
    </i>
    <i>
      <x v="65"/>
    </i>
    <i>
      <x v="68"/>
    </i>
    <i>
      <x v="70"/>
    </i>
    <i>
      <x v="72"/>
    </i>
    <i>
      <x v="74"/>
    </i>
    <i>
      <x v="75"/>
    </i>
    <i>
      <x v="76"/>
    </i>
    <i>
      <x v="77"/>
    </i>
    <i>
      <x v="78"/>
    </i>
    <i>
      <x v="79"/>
    </i>
    <i t="grand">
      <x/>
    </i>
  </rowItems>
  <colFields count="1">
    <field x="-2"/>
  </colFields>
  <colItems count="2">
    <i>
      <x/>
    </i>
    <i i="1">
      <x v="1"/>
    </i>
  </colItems>
  <dataFields count="2">
    <dataField name="Sum of Credit" fld="3" baseField="0" baseItem="0"/>
    <dataField name="Sum of Debit" fld="2" baseField="0" baseItem="0"/>
  </dataFields>
  <formats count="1">
    <format dxfId="9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6" firstHeaderRow="0" firstDataRow="1" firstDataCol="1" rowPageCount="1" colPageCount="1"/>
  <pivotFields count="9">
    <pivotField axis="axisRow" showAll="0">
      <items count="67">
        <item m="1" x="61"/>
        <item m="1" x="62"/>
        <item m="1" x="63"/>
        <item m="1" x="64"/>
        <item m="1" x="65"/>
        <item m="1" x="60"/>
        <item m="1" x="48"/>
        <item m="1" x="49"/>
        <item m="1" x="53"/>
        <item m="1" x="54"/>
        <item m="1" x="50"/>
        <item m="1" x="55"/>
        <item m="1" x="56"/>
        <item m="1" x="57"/>
        <item m="1" x="58"/>
        <item m="1" x="59"/>
        <item m="1" x="47"/>
        <item m="1" x="51"/>
        <item m="1" x="52"/>
        <item m="1" x="40"/>
        <item m="1" x="41"/>
        <item m="1" x="42"/>
        <item m="1" x="43"/>
        <item m="1" x="44"/>
        <item m="1" x="45"/>
        <item m="1" x="46"/>
        <item m="1" x="16"/>
        <item m="1" x="32"/>
        <item m="1" x="33"/>
        <item m="1" x="34"/>
        <item m="1" x="35"/>
        <item m="1" x="36"/>
        <item m="1" x="37"/>
        <item m="1" x="38"/>
        <item m="1" x="39"/>
        <item m="1" x="17"/>
        <item m="1" x="18"/>
        <item m="1" x="19"/>
        <item m="1" x="20"/>
        <item m="1" x="21"/>
        <item m="1" x="22"/>
        <item m="1" x="23"/>
        <item m="1" x="25"/>
        <item m="1" x="26"/>
        <item m="1" x="24"/>
        <item m="1" x="27"/>
        <item m="1" x="28"/>
        <item m="1" x="29"/>
        <item m="1" x="30"/>
        <item m="1" x="31"/>
        <item x="0"/>
        <item x="1"/>
        <item x="2"/>
        <item x="3"/>
        <item x="4"/>
        <item x="5"/>
        <item x="6"/>
        <item x="7"/>
        <item x="8"/>
        <item x="9"/>
        <item x="10"/>
        <item x="11"/>
        <item x="12"/>
        <item x="15"/>
        <item x="13"/>
        <item x="14"/>
        <item t="default"/>
      </items>
    </pivotField>
    <pivotField showAll="0"/>
    <pivotField showAll="0"/>
    <pivotField showAll="0"/>
    <pivotField dataField="1" showAll="0"/>
    <pivotField axis="axisPage" showAll="0">
      <items count="10">
        <item x="0"/>
        <item x="6"/>
        <item m="1" x="8"/>
        <item m="1" x="7"/>
        <item x="1"/>
        <item x="2"/>
        <item x="3"/>
        <item x="4"/>
        <item x="5"/>
        <item t="default"/>
      </items>
    </pivotField>
    <pivotField showAll="0"/>
    <pivotField dataField="1" showAll="0"/>
    <pivotField showAll="0"/>
  </pivotFields>
  <rowFields count="1">
    <field x="0"/>
  </rowFields>
  <rowItems count="17">
    <i>
      <x v="50"/>
    </i>
    <i>
      <x v="51"/>
    </i>
    <i>
      <x v="52"/>
    </i>
    <i>
      <x v="53"/>
    </i>
    <i>
      <x v="54"/>
    </i>
    <i>
      <x v="55"/>
    </i>
    <i>
      <x v="56"/>
    </i>
    <i>
      <x v="57"/>
    </i>
    <i>
      <x v="58"/>
    </i>
    <i>
      <x v="59"/>
    </i>
    <i>
      <x v="60"/>
    </i>
    <i>
      <x v="61"/>
    </i>
    <i>
      <x v="62"/>
    </i>
    <i>
      <x v="63"/>
    </i>
    <i>
      <x v="64"/>
    </i>
    <i>
      <x v="65"/>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0"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7"/>
        <item x="5"/>
        <item x="10"/>
        <item x="8"/>
        <item x="9"/>
        <item x="7"/>
        <item x="11"/>
        <item x="12"/>
        <item x="13"/>
        <item x="14"/>
        <item x="15"/>
        <item x="16"/>
        <item x="17"/>
        <item x="18"/>
        <item x="19"/>
        <item x="20"/>
        <item x="21"/>
        <item x="22"/>
        <item x="23"/>
        <item x="24"/>
        <item x="25"/>
        <item x="26"/>
        <item t="default"/>
      </items>
    </pivotField>
    <pivotField showAll="0"/>
    <pivotField showAll="0"/>
    <pivotField axis="axisRow" showAll="0">
      <items count="397">
        <item m="1" x="379"/>
        <item m="1" x="380"/>
        <item m="1" x="378"/>
        <item m="1" x="377"/>
        <item m="1" x="381"/>
        <item m="1" x="383"/>
        <item m="1" x="382"/>
        <item m="1" x="384"/>
        <item m="1" x="385"/>
        <item m="1" x="386"/>
        <item m="1" x="387"/>
        <item m="1" x="388"/>
        <item m="1" x="389"/>
        <item m="1" x="390"/>
        <item m="1" x="315"/>
        <item m="1" x="337"/>
        <item m="1" x="391"/>
        <item m="1" x="392"/>
        <item m="1" x="393"/>
        <item m="1" x="345"/>
        <item m="1" x="344"/>
        <item m="1" x="394"/>
        <item m="1" x="395"/>
        <item m="1" x="354"/>
        <item m="1" x="346"/>
        <item m="1" x="347"/>
        <item m="1" x="348"/>
        <item m="1" x="349"/>
        <item m="1" x="350"/>
        <item m="1" x="351"/>
        <item m="1" x="352"/>
        <item m="1" x="353"/>
        <item m="1" x="355"/>
        <item m="1" x="375"/>
        <item m="1" x="356"/>
        <item m="1" x="376"/>
        <item m="1" x="357"/>
        <item m="1" x="358"/>
        <item m="1" x="359"/>
        <item m="1" x="360"/>
        <item m="1" x="361"/>
        <item m="1" x="292"/>
        <item m="1" x="362"/>
        <item m="1" x="363"/>
        <item m="1" x="364"/>
        <item m="1" x="365"/>
        <item m="1" x="366"/>
        <item m="1" x="367"/>
        <item m="1" x="368"/>
        <item m="1" x="369"/>
        <item m="1" x="370"/>
        <item m="1" x="371"/>
        <item m="1" x="372"/>
        <item m="1" x="373"/>
        <item m="1" x="374"/>
        <item x="0"/>
        <item m="1" x="291"/>
        <item m="1" x="293"/>
        <item m="1" x="294"/>
        <item m="1" x="295"/>
        <item m="1" x="296"/>
        <item m="1" x="297"/>
        <item m="1" x="298"/>
        <item m="1" x="299"/>
        <item m="1" x="300"/>
        <item m="1" x="301"/>
        <item m="1" x="302"/>
        <item m="1" x="303"/>
        <item m="1" x="304"/>
        <item m="1" x="305"/>
        <item x="6"/>
        <item m="1" x="306"/>
        <item m="1" x="307"/>
        <item m="1" x="308"/>
        <item m="1" x="309"/>
        <item m="1" x="310"/>
        <item m="1" x="311"/>
        <item m="1" x="312"/>
        <item m="1" x="313"/>
        <item m="1" x="314"/>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8"/>
        <item m="1" x="339"/>
        <item m="1" x="340"/>
        <item m="1" x="341"/>
        <item m="1" x="342"/>
        <item m="1" x="343"/>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x="24"/>
        <item m="1" x="260"/>
        <item m="1" x="261"/>
        <item m="1" x="262"/>
        <item m="1" x="263"/>
        <item m="1" x="264"/>
        <item m="1" x="265"/>
        <item m="1" x="266"/>
        <item m="1" x="267"/>
        <item m="1" x="268"/>
        <item m="1" x="269"/>
        <item m="1" x="270"/>
        <item m="1" x="290"/>
        <item m="1" x="271"/>
        <item m="1" x="272"/>
        <item m="1" x="273"/>
        <item m="1" x="274"/>
        <item m="1" x="275"/>
        <item m="1" x="276"/>
        <item m="1" x="277"/>
        <item m="1" x="278"/>
        <item m="1" x="279"/>
        <item m="1" x="280"/>
        <item m="1" x="281"/>
        <item m="1" x="282"/>
        <item m="1" x="283"/>
        <item m="1" x="284"/>
        <item m="1" x="285"/>
        <item m="1" x="286"/>
        <item m="1" x="287"/>
        <item m="1" x="288"/>
        <item m="1" x="289"/>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86"/>
        <item m="1" x="209"/>
        <item m="1" x="77"/>
        <item m="1" x="78"/>
        <item m="1" x="79"/>
        <item m="1" x="80"/>
        <item m="1" x="81"/>
        <item m="1" x="82"/>
        <item m="1" x="83"/>
        <item m="1" x="84"/>
        <item m="1" x="85"/>
        <item m="1" x="87"/>
        <item m="1" x="88"/>
        <item m="1" x="89"/>
        <item m="1" x="90"/>
        <item m="1" x="91"/>
        <item m="1" x="92"/>
        <item m="1" x="93"/>
        <item m="1" x="94"/>
        <item m="1" x="95"/>
        <item m="1" x="96"/>
        <item m="1" x="97"/>
        <item m="1" x="98"/>
        <item m="1" x="99"/>
        <item m="1" x="100"/>
        <item x="3"/>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x="7"/>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x="4"/>
        <item m="1" x="152"/>
        <item m="1" x="153"/>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x="43"/>
        <item x="44"/>
        <item x="45"/>
        <item x="46"/>
        <item x="47"/>
        <item x="48"/>
        <item x="49"/>
        <item x="50"/>
        <item x="51"/>
        <item m="1" x="76"/>
        <item x="52"/>
        <item x="54"/>
        <item x="55"/>
        <item x="56"/>
        <item x="57"/>
        <item x="58"/>
        <item x="59"/>
        <item x="60"/>
        <item x="61"/>
        <item x="62"/>
        <item x="63"/>
        <item x="65"/>
        <item x="66"/>
        <item x="53"/>
        <item x="64"/>
        <item x="67"/>
        <item x="68"/>
        <item x="69"/>
        <item x="70"/>
        <item x="71"/>
        <item x="72"/>
        <item x="73"/>
        <item x="74"/>
        <item x="75"/>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7">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2"/>
    </i>
    <i>
      <x v="373"/>
    </i>
    <i>
      <x v="374"/>
    </i>
    <i>
      <x v="375"/>
    </i>
    <i>
      <x v="376"/>
    </i>
    <i>
      <x v="377"/>
    </i>
    <i>
      <x v="378"/>
    </i>
    <i>
      <x v="379"/>
    </i>
    <i>
      <x v="380"/>
    </i>
    <i>
      <x v="381"/>
    </i>
    <i>
      <x v="382"/>
    </i>
    <i>
      <x v="383"/>
    </i>
    <i>
      <x v="384"/>
    </i>
    <i>
      <x v="385"/>
    </i>
    <i>
      <x v="386"/>
    </i>
    <i>
      <x v="387"/>
    </i>
    <i>
      <x v="388"/>
    </i>
    <i>
      <x v="389"/>
    </i>
    <i>
      <x v="390"/>
    </i>
    <i>
      <x v="391"/>
    </i>
    <i>
      <x v="392"/>
    </i>
    <i>
      <x v="393"/>
    </i>
    <i>
      <x v="394"/>
    </i>
    <i>
      <x v="39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8">
      <pivotArea type="all" dataOnly="0" outline="0" fieldPosition="0"/>
    </format>
    <format dxfId="47">
      <pivotArea outline="0" collapsedLevelsAreSubtotals="1" fieldPosition="0"/>
    </format>
    <format dxfId="46">
      <pivotArea field="4" type="button" dataOnly="0" labelOnly="1" outline="0" axis="axisRow" fieldPosition="0"/>
    </format>
    <format dxfId="45">
      <pivotArea dataOnly="0" labelOnly="1" fieldPosition="0">
        <references count="1">
          <reference field="4" count="0"/>
        </references>
      </pivotArea>
    </format>
    <format dxfId="44">
      <pivotArea dataOnly="0" labelOnly="1" grandRow="1" outline="0" fieldPosition="0"/>
    </format>
    <format dxfId="43">
      <pivotArea dataOnly="0" labelOnly="1" outline="0" fieldPosition="0">
        <references count="1">
          <reference field="4294967294" count="2">
            <x v="0"/>
            <x v="1"/>
          </reference>
        </references>
      </pivotArea>
    </format>
    <format dxfId="42">
      <pivotArea grandRow="1" outline="0" collapsedLevelsAreSubtotals="1" fieldPosition="0"/>
    </format>
    <format dxfId="41">
      <pivotArea field="4" type="button" dataOnly="0" labelOnly="1" outline="0" axis="axisRow" fieldPosition="0"/>
    </format>
    <format dxfId="4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96">
        <i x="6" s="1"/>
        <i x="27" s="1"/>
        <i x="22" s="1"/>
        <i x="5" s="1"/>
        <i x="4" s="1"/>
        <i x="3" s="1"/>
        <i x="23" s="1"/>
        <i x="16" s="1"/>
        <i x="15" s="1"/>
        <i x="2" s="1"/>
        <i x="14" s="1"/>
        <i x="7" s="1"/>
        <i x="44" s="1"/>
        <i x="1" s="1"/>
        <i x="10" s="1"/>
        <i x="9" s="1"/>
        <i x="39" s="1"/>
        <i x="13" s="1"/>
        <i x="11" s="1"/>
        <i x="18" s="1"/>
        <i x="19" s="1"/>
        <i x="17" s="1"/>
        <i x="12" s="1"/>
        <i x="8" s="1"/>
        <i x="29" s="1"/>
        <i x="28" s="1"/>
        <i x="41" s="1"/>
        <i x="26" s="1"/>
        <i x="21" s="1"/>
        <i x="45" s="1"/>
        <i x="25" s="1"/>
        <i x="40" s="1"/>
        <i x="42" s="1"/>
        <i x="24" s="1"/>
        <i x="30" s="1"/>
        <i x="43" s="1"/>
        <i x="35" s="1"/>
        <i x="32" s="1"/>
        <i x="33" s="1"/>
        <i x="34" s="1"/>
        <i x="38" s="1"/>
        <i x="36" s="1"/>
        <i x="37" s="1"/>
        <i x="47" s="1"/>
        <i x="46" s="1"/>
        <i x="59" s="1"/>
        <i x="61" s="1"/>
        <i x="60" s="1"/>
        <i x="58" s="1"/>
        <i x="54" s="1"/>
        <i x="63" s="1"/>
        <i x="72" s="1"/>
        <i x="48" s="1"/>
        <i x="66" s="1"/>
        <i x="67" s="1"/>
        <i x="68" s="1"/>
        <i x="57" s="1"/>
        <i x="49" s="1"/>
        <i x="50" s="1"/>
        <i x="51" s="1"/>
        <i x="55" s="1"/>
        <i x="62" s="1"/>
        <i x="75" s="1"/>
        <i x="73" s="1"/>
        <i x="70" s="1"/>
        <i x="56" s="1"/>
        <i x="65" s="1"/>
        <i x="71" s="1"/>
        <i x="69" s="1"/>
        <i x="74" s="1"/>
        <i x="31" s="1"/>
        <i x="20" s="1"/>
        <i x="52" s="1"/>
        <i x="53" s="1"/>
        <i x="64" s="1"/>
        <i x="350" s="1" nd="1"/>
        <i x="379" s="1" nd="1"/>
        <i x="380" s="1" nd="1"/>
        <i x="388" s="1" nd="1"/>
        <i x="378" s="1" nd="1"/>
        <i x="377" s="1" nd="1"/>
        <i x="381" s="1" nd="1"/>
        <i x="392" s="1" nd="1"/>
        <i x="384" s="1" nd="1"/>
        <i x="385" s="1" nd="1"/>
        <i x="382" s="1" nd="1"/>
        <i x="383" s="1" nd="1"/>
        <i x="393" s="1" nd="1"/>
        <i x="386" s="1" nd="1"/>
        <i x="387" s="1" nd="1"/>
        <i x="390" s="1" nd="1"/>
        <i x="391" s="1" nd="1"/>
        <i x="389" s="1" nd="1"/>
        <i x="345" s="1" nd="1"/>
        <i x="395" s="1" nd="1"/>
        <i x="344" s="1" nd="1"/>
        <i x="394" s="1" nd="1"/>
        <i x="347" s="1" nd="1"/>
        <i x="308" s="1" nd="1"/>
        <i x="346" s="1" nd="1"/>
        <i x="348" s="1" nd="1"/>
        <i x="354" s="1" nd="1"/>
        <i x="349" s="1" nd="1"/>
        <i x="351" s="1" nd="1"/>
        <i x="367" s="1" nd="1"/>
        <i x="291" s="1" nd="1"/>
        <i x="355" s="1" nd="1"/>
        <i x="296" s="1" nd="1"/>
        <i x="361" s="1" nd="1"/>
        <i x="356" s="1" nd="1"/>
        <i x="359" s="1" nd="1"/>
        <i x="364" s="1" nd="1"/>
        <i x="375" s="1" nd="1"/>
        <i x="357" s="1" nd="1"/>
        <i x="369" s="1" nd="1"/>
        <i x="372" s="1" nd="1"/>
        <i x="363" s="1" nd="1"/>
        <i x="352" s="1" nd="1"/>
        <i x="360" s="1" nd="1"/>
        <i x="353" s="1" nd="1"/>
        <i x="358" s="1" nd="1"/>
        <i x="292" s="1" nd="1"/>
        <i x="362" s="1" nd="1"/>
        <i x="368" s="1" nd="1"/>
        <i x="365" s="1" nd="1"/>
        <i x="370" s="1" nd="1"/>
        <i x="366" s="1" nd="1"/>
        <i x="332" s="1" nd="1"/>
        <i x="371" s="1" nd="1"/>
        <i x="373" s="1" nd="1"/>
        <i x="294" s="1" nd="1"/>
        <i x="301" s="1" nd="1"/>
        <i x="374" s="1" nd="1"/>
        <i x="298" s="1" nd="1"/>
        <i x="299" s="1" nd="1"/>
        <i x="293" s="1" nd="1"/>
        <i x="297" s="1" nd="1"/>
        <i x="185" s="1" nd="1"/>
        <i x="295" s="1" nd="1"/>
        <i x="304" s="1" nd="1"/>
        <i x="300" s="1" nd="1"/>
        <i x="302" s="1" nd="1"/>
        <i x="305" s="1" nd="1"/>
        <i x="312" s="1" nd="1"/>
        <i x="303" s="1" nd="1"/>
        <i x="311" s="1" nd="1"/>
        <i x="316" s="1" nd="1"/>
        <i x="310" s="1" nd="1"/>
        <i x="313" s="1" nd="1"/>
        <i x="323" s="1" nd="1"/>
        <i x="309" s="1" nd="1"/>
        <i x="306" s="1" nd="1"/>
        <i x="307" s="1" nd="1"/>
        <i x="322" s="1" nd="1"/>
        <i x="181" s="1" nd="1"/>
        <i x="315" s="1" nd="1"/>
        <i x="326" s="1" nd="1"/>
        <i x="321" s="1" nd="1"/>
        <i x="314" s="1" nd="1"/>
        <i x="338" s="1" nd="1"/>
        <i x="319" s="1" nd="1"/>
        <i x="329" s="1" nd="1"/>
        <i x="327" s="1" nd="1"/>
        <i x="317" s="1" nd="1"/>
        <i x="325" s="1" nd="1"/>
        <i x="324" s="1" nd="1"/>
        <i x="320" s="1" nd="1"/>
        <i x="330" s="1" nd="1"/>
        <i x="328" s="1" nd="1"/>
        <i x="331" s="1" nd="1"/>
        <i x="318" s="1" nd="1"/>
        <i x="260" s="1" nd="1"/>
        <i x="333" s="1" nd="1"/>
        <i x="334" s="1" nd="1"/>
        <i x="219" s="1" nd="1"/>
        <i x="221" s="1" nd="1"/>
        <i x="341" s="1" nd="1"/>
        <i x="215" s="1" nd="1"/>
        <i x="261" s="1" nd="1"/>
        <i x="335" s="1" nd="1"/>
        <i x="336" s="1" nd="1"/>
        <i x="218" s="1" nd="1"/>
        <i x="343" s="1" nd="1"/>
        <i x="217" s="1" nd="1"/>
        <i x="232" s="1" nd="1"/>
        <i x="342" s="1" nd="1"/>
        <i x="337" s="1" nd="1"/>
        <i x="236" s="1" nd="1"/>
        <i x="340" s="1" nd="1"/>
        <i x="339" s="1" nd="1"/>
        <i x="257" s="1" nd="1"/>
        <i x="210" s="1" nd="1"/>
        <i x="222" s="1" nd="1"/>
        <i x="258" s="1" nd="1"/>
        <i x="256" s="1" nd="1"/>
        <i x="214" s="1" nd="1"/>
        <i x="216" s="1" nd="1"/>
        <i x="220" s="1" nd="1"/>
        <i x="211" s="1" nd="1"/>
        <i x="246" s="1" nd="1"/>
        <i x="251" s="1" nd="1"/>
        <i x="212" s="1" nd="1"/>
        <i x="213" s="1" nd="1"/>
        <i x="223" s="1" nd="1"/>
        <i x="226" s="1" nd="1"/>
        <i x="233" s="1" nd="1"/>
        <i x="225" s="1" nd="1"/>
        <i x="228" s="1" nd="1"/>
        <i x="227" s="1" nd="1"/>
        <i x="269" s="1" nd="1"/>
        <i x="224" s="1" nd="1"/>
        <i x="249" s="1" nd="1"/>
        <i x="264" s="1" nd="1"/>
        <i x="229" s="1" nd="1"/>
        <i x="254" s="1" nd="1"/>
        <i x="266" s="1" nd="1"/>
        <i x="238" s="1" nd="1"/>
        <i x="278" s="1" nd="1"/>
        <i x="237" s="1" nd="1"/>
        <i x="234" s="1" nd="1"/>
        <i x="230" s="1" nd="1"/>
        <i x="231" s="1" nd="1"/>
        <i x="250" s="1" nd="1"/>
        <i x="239" s="1" nd="1"/>
        <i x="162" s="1" nd="1"/>
        <i x="240" s="1" nd="1"/>
        <i x="235" s="1" nd="1"/>
        <i x="242" s="1" nd="1"/>
        <i x="243" s="1" nd="1"/>
        <i x="271" s="1" nd="1"/>
        <i x="241" s="1" nd="1"/>
        <i x="259" s="1" nd="1"/>
        <i x="247" s="1" nd="1"/>
        <i x="244" s="1" nd="1"/>
        <i x="248" s="1" nd="1"/>
        <i x="245" s="1" nd="1"/>
        <i x="252" s="1" nd="1"/>
        <i x="270" s="1" nd="1"/>
        <i x="265" s="1" nd="1"/>
        <i x="284" s="1" nd="1"/>
        <i x="253" s="1" nd="1"/>
        <i x="155" s="1" nd="1"/>
        <i x="263" s="1" nd="1"/>
        <i x="255" s="1" nd="1"/>
        <i x="279" s="1" nd="1"/>
        <i x="262" s="1" nd="1"/>
        <i x="277" s="1" nd="1"/>
        <i x="163" s="1" nd="1"/>
        <i x="268" s="1" nd="1"/>
        <i x="267" s="1" nd="1"/>
        <i x="283" s="1" nd="1"/>
        <i x="280" s="1" nd="1"/>
        <i x="174" s="1" nd="1"/>
        <i x="288" s="1" nd="1"/>
        <i x="272" s="1" nd="1"/>
        <i x="281" s="1" nd="1"/>
        <i x="286" s="1" nd="1"/>
        <i x="165" s="1" nd="1"/>
        <i x="191" s="1" nd="1"/>
        <i x="290" s="1" nd="1"/>
        <i x="287" s="1" nd="1"/>
        <i x="156" s="1" nd="1"/>
        <i x="176" s="1" nd="1"/>
        <i x="282" s="1" nd="1"/>
        <i x="158" s="1" nd="1"/>
        <i x="273" s="1" nd="1"/>
        <i x="276" s="1" nd="1"/>
        <i x="173" s="1" nd="1"/>
        <i x="285" s="1" nd="1"/>
        <i x="274" s="1" nd="1"/>
        <i x="275" s="1" nd="1"/>
        <i x="160" s="1" nd="1"/>
        <i x="178" s="1" nd="1"/>
        <i x="179" s="1" nd="1"/>
        <i x="192" s="1" nd="1"/>
        <i x="289" s="1" nd="1"/>
        <i x="154" s="1" nd="1"/>
        <i x="177" s="1" nd="1"/>
        <i x="170" s="1" nd="1"/>
        <i x="157" s="1" nd="1"/>
        <i x="161" s="1" nd="1"/>
        <i x="167" s="1" nd="1"/>
        <i x="159" s="1" nd="1"/>
        <i x="183" s="1" nd="1"/>
        <i x="187" s="1" nd="1"/>
        <i x="188" s="1" nd="1"/>
        <i x="180" s="1" nd="1"/>
        <i x="164" s="1" nd="1"/>
        <i x="166" s="1" nd="1"/>
        <i x="168" s="1" nd="1"/>
        <i x="171" s="1" nd="1"/>
        <i x="184" s="1" nd="1"/>
        <i x="169" s="1" nd="1"/>
        <i x="190" s="1" nd="1"/>
        <i x="122" s="1" nd="1"/>
        <i x="101" s="1" nd="1"/>
        <i x="205" s="1" nd="1"/>
        <i x="172" s="1" nd="1"/>
        <i x="193" s="1" nd="1"/>
        <i x="189" s="1" nd="1"/>
        <i x="175" s="1" nd="1"/>
        <i x="197" s="1" nd="1"/>
        <i x="133" s="1" nd="1"/>
        <i x="96" s="1" nd="1"/>
        <i x="182" s="1" nd="1"/>
        <i x="206" s="1" nd="1"/>
        <i x="186" s="1" nd="1"/>
        <i x="209" s="1" nd="1"/>
        <i x="196" s="1" nd="1"/>
        <i x="201" s="1" nd="1"/>
        <i x="78" s="1" nd="1"/>
        <i x="198" s="1" nd="1"/>
        <i x="200" s="1" nd="1"/>
        <i x="118" s="1" nd="1"/>
        <i x="86" s="1" nd="1"/>
        <i x="195" s="1" nd="1"/>
        <i x="83" s="1" nd="1"/>
        <i x="194" s="1" nd="1"/>
        <i x="95" s="1" nd="1"/>
        <i x="79" s="1" nd="1"/>
        <i x="77" s="1" nd="1"/>
        <i x="199" s="1" nd="1"/>
        <i x="93" s="1" nd="1"/>
        <i x="87" s="1" nd="1"/>
        <i x="98" s="1" nd="1"/>
        <i x="115" s="1" nd="1"/>
        <i x="92" s="1" nd="1"/>
        <i x="103" s="1" nd="1"/>
        <i x="97" s="1" nd="1"/>
        <i x="94" s="1" nd="1"/>
        <i x="207" s="1" nd="1"/>
        <i x="151" s="1" nd="1"/>
        <i x="105" s="1" nd="1"/>
        <i x="106" s="1" nd="1"/>
        <i x="203" s="1" nd="1"/>
        <i x="202" s="1" nd="1"/>
        <i x="80" s="1" nd="1"/>
        <i x="82" s="1" nd="1"/>
        <i x="113" s="1" nd="1"/>
        <i x="89" s="1" nd="1"/>
        <i x="208" s="1" nd="1"/>
        <i x="147" s="1" nd="1"/>
        <i x="138" s="1" nd="1"/>
        <i x="126" s="1" nd="1"/>
        <i x="100" s="1" nd="1"/>
        <i x="85" s="1" nd="1"/>
        <i x="116" s="1" nd="1"/>
        <i x="135" s="1" nd="1"/>
        <i x="127" s="1" nd="1"/>
        <i x="123" s="1" nd="1"/>
        <i x="91" s="1" nd="1"/>
        <i x="111" s="1" nd="1"/>
        <i x="110" s="1" nd="1"/>
        <i x="125" s="1" nd="1"/>
        <i x="112" s="1" nd="1"/>
        <i x="204" s="1" nd="1"/>
        <i x="88" s="1" nd="1"/>
        <i x="84" s="1" nd="1"/>
        <i x="114" s="1" nd="1"/>
        <i x="81" s="1" nd="1"/>
        <i x="119" s="1" nd="1"/>
        <i x="120" s="1" nd="1"/>
        <i x="124" s="1" nd="1"/>
        <i x="104" s="1" nd="1"/>
        <i x="99" s="1" nd="1"/>
        <i x="132" s="1" nd="1"/>
        <i x="131" s="1" nd="1"/>
        <i x="136" s="1" nd="1"/>
        <i x="90" s="1" nd="1"/>
        <i x="134" s="1" nd="1"/>
        <i x="121" s="1" nd="1"/>
        <i x="102" s="1" nd="1"/>
        <i x="107" s="1" nd="1"/>
        <i x="108" s="1" nd="1"/>
        <i x="117" s="1" nd="1"/>
        <i x="109" s="1" nd="1"/>
        <i x="128" s="1" nd="1"/>
        <i x="139" s="1" nd="1"/>
        <i x="129" s="1" nd="1"/>
        <i x="145" s="1" nd="1"/>
        <i x="142" s="1" nd="1"/>
        <i x="140" s="1" nd="1"/>
        <i x="152" s="1" nd="1"/>
        <i x="146" s="1" nd="1"/>
        <i x="153" s="1" nd="1"/>
        <i x="148" s="1" nd="1"/>
        <i x="149" s="1" nd="1"/>
        <i x="130" s="1" nd="1"/>
        <i x="143" s="1" nd="1"/>
        <i x="150" s="1" nd="1"/>
        <i x="141" s="1" nd="1"/>
        <i x="144" s="1" nd="1"/>
        <i x="137" s="1" nd="1"/>
        <i x="76" s="1" nd="1"/>
        <i x="37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5">
      <calculatedColumnFormula>B49</calculatedColumnFormula>
    </tableColumn>
    <tableColumn id="2" xr3:uid="{7EDCC2ED-0339-42B3-9633-FFEA7A3DD9F3}" name="Tiyaar" dataDxfId="144">
      <calculatedColumnFormula>SUMIFS(ledger!G:G, ledger!B:B, B2, ledger!E:E, "&lt;&gt;*RD*") / 1.0936</calculatedColumnFormula>
    </tableColumn>
    <tableColumn id="3" xr3:uid="{CC1535DD-3FE7-4F55-8040-E7643388A78E}" name="Rate"/>
    <tableColumn id="4" xr3:uid="{059CB70B-ADAD-4985-84AA-0D530BAC5567}" name="Total" dataDxfId="143">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2" dataDxfId="141">
  <autoFilter ref="B7:E20" xr:uid="{449E5D32-DF9C-4018-96AB-CA98E118D910}"/>
  <tableColumns count="4">
    <tableColumn id="1" xr3:uid="{F663704C-91DD-4BB9-B7EB-EEB0C5EDED6C}" name="Description" dataDxfId="140"/>
    <tableColumn id="2" xr3:uid="{6D94D495-CD0B-4FD3-9771-81D731982A97}" name="Rate" dataDxfId="139" dataCellStyle="Comma"/>
    <tableColumn id="3" xr3:uid="{2D14CEAD-3602-40E7-A488-3584EBC9141E}" name="gazana" dataDxfId="138" dataCellStyle="Comma"/>
    <tableColumn id="4" xr3:uid="{06FEE63C-6480-4079-8426-51BC26B38B34}" name="sum" dataDxfId="137"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6" totalsRowDxfId="135" dataCellStyle="Comma">
      <totalsRowFormula>SUM(Table12[Amount])</totalsRowFormula>
    </tableColumn>
    <tableColumn id="3" xr3:uid="{12F975D1-A51D-47BD-82DF-F0C35A709016}" name="Description"/>
    <tableColumn id="4" xr3:uid="{96712812-B120-49C2-B905-59FC86A743E8}" name="cost per meter" totalsRowFunction="custom" dataDxfId="134" totalsRowDxfId="133">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2" dataDxfId="131" headerRowCellStyle="Comma" dataCellStyle="Comma">
  <autoFilter ref="B2:C5" xr:uid="{136E8F7F-D03F-4198-8335-91A003EA9E45}"/>
  <tableColumns count="2">
    <tableColumn id="1" xr3:uid="{279FA697-9952-479A-AC05-0D4992B41374}" name="Column1" dataDxfId="130" dataCellStyle="Comma"/>
    <tableColumn id="2" xr3:uid="{8A64998B-65EF-41CD-BCB0-3DDB7B359C54}" name="Column2" dataDxfId="12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8"/>
    <tableColumn id="2" xr3:uid="{51D27FA2-8DDF-4369-BAF7-7D1FE90E16A0}" name="Column2" dataDxfId="12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26" totalsRowDxfId="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02" totalsRowCount="1" headerRowDxfId="124" dataDxfId="123" headerRowCellStyle="Comma" dataCellStyle="Comma">
  <autoFilter ref="A1:K201" xr:uid="{11DACEC6-751B-4B1D-817F-5C5BCD38EF6D}"/>
  <tableColumns count="11">
    <tableColumn id="1" xr3:uid="{2FCE3FA8-A48C-4685-8919-AE44C6C71FD9}" name="Date" dataDxfId="122" dataCellStyle="Comma"/>
    <tableColumn id="2" xr3:uid="{5780FD5F-0890-44E6-B59C-8E37A559FE36}" name="Party Name" dataDxfId="121" dataCellStyle="Comma"/>
    <tableColumn id="3" xr3:uid="{5B3ECD85-9174-40AC-BFBD-49CAC97A83D3}" name="Bill Number" dataDxfId="120" dataCellStyle="Comma"/>
    <tableColumn id="4" xr3:uid="{11B50761-04B6-4262-AD4D-7182450037D1}" name="Quality" dataDxfId="119" dataCellStyle="Comma"/>
    <tableColumn id="5" xr3:uid="{2C556969-B713-4967-BD24-466AACCBE5F5}" name="Shipment Number" dataDxfId="118" totalsRowDxfId="14" dataCellStyle="Comma"/>
    <tableColumn id="6" xr3:uid="{F4E1FD2B-9017-4DEB-B772-BF447ECE56F7}" name="Kora/metre" dataDxfId="117" totalsRowDxfId="13" dataCellStyle="Comma"/>
    <tableColumn id="7" xr3:uid="{52ACC1DA-7A76-4A90-B809-3A1AE728E7EA}" name="Tiyaar/gaz" dataDxfId="116" totalsRowDxfId="12" dataCellStyle="Comma"/>
    <tableColumn id="8" xr3:uid="{31A0FF5E-56F0-44D1-9865-73256B964660}" name="shortage %" dataDxfId="115" totalsRowDxfId="11" dataCellStyle="Comma">
      <calculatedColumnFormula>_xlfn.XLOOKUP(Table1[[#This Row],[Shipment Number]], 'pivot '!A:A,'pivot '!G:G, "NF")</calculatedColumnFormula>
    </tableColumn>
    <tableColumn id="9" xr3:uid="{F99075E0-AC8E-094D-BB85-272AD2C6C568}" name="tiyar/meters" totalsRowFunction="custom" dataDxfId="114" totalsRowDxfId="10"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113" totalsRowDxfId="9"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112" totalsRowDxfId="8"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109" headerRowBorderDxfId="108" tableBorderDxfId="107">
  <autoFilter ref="A1:I121" xr:uid="{F8E8C957-ABE7-4E4F-8D4E-7D44E26B334F}"/>
  <tableColumns count="9">
    <tableColumn id="1" xr3:uid="{C2E817D6-AB98-4DDD-8890-736B27F261CD}" name="Date" dataDxfId="106" totalsRowDxfId="105"/>
    <tableColumn id="2" xr3:uid="{CFB51890-CCDC-463C-81C9-3F8BD7469CB9}" name="Party Name"/>
    <tableColumn id="3" xr3:uid="{A113D971-1C9D-4733-99C4-BD0CC4333209}" name="Vehicle Number"/>
    <tableColumn id="4" xr3:uid="{49780304-3DD1-4AE9-98EE-2BC7EB8F3B57}" name="Weight" dataDxfId="104" totalsRowDxfId="103" dataCellStyle="Comma"/>
    <tableColumn id="5" xr3:uid="{FCAF1BC6-1D8C-42AD-8BBC-F924BF2DC7FE}" name="Rate" dataDxfId="102" totalsRowDxfId="101" dataCellStyle="Comma"/>
    <tableColumn id="6" xr3:uid="{8C70A624-4134-410C-9C45-9FDEB51D51BF}" name="Rent" dataDxfId="100" totalsRowDxfId="99" dataCellStyle="Comma"/>
    <tableColumn id="7" xr3:uid="{EBCE10AE-9634-4982-9C95-37ABC8A7078C}" name="Total" totalsRowFunction="sum" dataDxfId="98" totalsRowDxfId="97" dataCellStyle="Comma">
      <calculatedColumnFormula>D2*E2</calculatedColumnFormula>
    </tableColumn>
    <tableColumn id="9" xr3:uid="{D4788559-C94A-44D9-B9AE-E72B214355AC}" name="Paid" totalsRowFunction="sum" dataDxfId="96" totalsRowDxfId="95" dataCellStyle="Comma"/>
    <tableColumn id="8" xr3:uid="{E26F5BF0-1875-4FC6-994D-49F202ED562B}" name="balance" totalsRowFunction="sum" dataDxfId="94" totalsRowDxfId="93"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28" totalsRowCount="1">
  <autoFilter ref="A1:G627" xr:uid="{CB032221-B416-47A8-9A76-693DE76CFD04}"/>
  <tableColumns count="7">
    <tableColumn id="1" xr3:uid="{554B1EED-65B6-4E9A-B646-82727FAC40DE}" name="Date" dataDxfId="91" totalsRowDxfId="35"/>
    <tableColumn id="2" xr3:uid="{32259059-42CF-4947-83DE-115AA430BE2B}" name="Party"/>
    <tableColumn id="3" xr3:uid="{A1320223-D55D-483C-91C3-AB19B95CC9D8}" name="Debit" totalsRowFunction="sum" dataDxfId="90" totalsRowDxfId="34" dataCellStyle="Comma"/>
    <tableColumn id="4" xr3:uid="{E9745767-9FF0-4B1C-9052-FF335D1D7588}" name="Credit" totalsRowFunction="sum" dataDxfId="89" totalsRowDxfId="33" dataCellStyle="Comma"/>
    <tableColumn id="5" xr3:uid="{5C88A48E-2467-4E6D-B626-2442B7FD0BE4}" name="Description"/>
    <tableColumn id="6" xr3:uid="{63CA4666-144E-4BE6-8B7C-7CB992BD3041}" name="Mode" totalsRowFunction="custom" dataDxfId="88" totalsRowDxfId="32">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7" tableBorderDxfId="86" totalsRowBorderDxfId="85">
  <autoFilter ref="J3:K6" xr:uid="{DCE01694-23ED-48BF-8B92-4186B9ED10A8}"/>
  <tableColumns count="2">
    <tableColumn id="1" xr3:uid="{C8484DAF-2989-4C2F-9AEC-A6917E1C57F6}" name="Type" dataDxfId="84"/>
    <tableColumn id="2" xr3:uid="{B07B7A2A-4D4E-4654-BED6-FE2F0A7BEC34}" name="Amount" dataDxfId="8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2" headerRowBorderDxfId="81" tableBorderDxfId="80" totalsRowBorderDxfId="79">
  <autoFilter ref="M3:O6" xr:uid="{D166BDD1-ACD7-45D7-8AE9-7350373F8CEB}"/>
  <tableColumns count="3">
    <tableColumn id="1" xr3:uid="{64F0205E-DEA7-4571-BA86-E4374A5FEE28}" name="Type" totalsRowLabel="Total" dataDxfId="78" totalsRowDxfId="77"/>
    <tableColumn id="2" xr3:uid="{15FA05F9-789C-4459-9BE0-5C1EC84D3365}" name="amount" totalsRowFunction="custom" dataDxfId="76" totalsRowDxfId="75">
      <totalsRowFormula>SUM(N5:N6)</totalsRowFormula>
    </tableColumn>
    <tableColumn id="3" xr3:uid="{3681D409-90C6-44D0-BDE2-4B5943A516F0}" name="Actual" totalsRowFunction="custom" totalsRowDxfId="74">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3" totalsRowDxfId="72"/>
    <tableColumn id="2" xr3:uid="{5B9D0FEE-4304-4C5C-A05C-5B27CF7841D3}" name="Type"/>
    <tableColumn id="3" xr3:uid="{6A91CA0D-C802-4C6F-9F39-CA53687E8EDE}" name="Description"/>
    <tableColumn id="4" xr3:uid="{A251D40C-AB87-4BB4-85F8-444B20E32FDF}" name="Total" totalsRowFunction="custom" dataDxfId="71" totalsRowDxfId="70"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4" totalsRowCount="1" headerRowDxfId="69" headerRowBorderDxfId="68">
  <autoFilter ref="A1:I2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7"/>
    <tableColumn id="4" xr3:uid="{1889A312-9B41-4EC4-BD8F-05252F27084A}" name="Price" totalsRowFunction="sum"/>
    <tableColumn id="6" xr3:uid="{8B974B20-F003-4E67-8660-024FA4F324A9}" name="Party"/>
    <tableColumn id="7" xr3:uid="{0A5A5C21-FD61-47DA-9F54-66A6479FA557}" name="Paid" dataDxfId="66">
      <calculatedColumnFormula>SUMIFS(Table14[Debit], Table14[Date], Table8[[#This Row],[Date]], Table14[Party], Table8[[#This Row],[Party]])</calculatedColumnFormula>
    </tableColumn>
    <tableColumn id="8" xr3:uid="{8DCB3B43-2161-4081-82EC-CDB0F4DE4E6F}" name="Balance" totalsRowFunction="sum" dataDxfId="6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1" totalsRowCount="1" headerRowDxfId="64" headerRowBorderDxfId="63">
  <autoFilter ref="A4:H20" xr:uid="{A4C80688-A8BA-4BA7-90B4-791CD99446B4}"/>
  <sortState xmlns:xlrd2="http://schemas.microsoft.com/office/spreadsheetml/2017/richdata2" ref="A5:H6">
    <sortCondition ref="A4:A6"/>
  </sortState>
  <tableColumns count="8">
    <tableColumn id="1" xr3:uid="{4A818912-918E-4111-ACFC-BC93FEF7C1AD}" name="Date" dataDxfId="62" totalsRowDxfId="61"/>
    <tableColumn id="8" xr3:uid="{477ACFD5-62AF-4F69-974B-E9B974C11D7D}" name="Party Name" dataDxfId="6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9">
      <calculatedColumnFormula>Table2[[#This Row],[Quantity]]*200*Table2[[#This Row],[Boxes]]</calculatedColumnFormula>
    </tableColumn>
    <tableColumn id="6" xr3:uid="{30432929-CBD4-4BA8-B63F-CD0F6CF6405F}" name="Paid" totalsRowFunction="sum" dataDxfId="58">
      <calculatedColumnFormula>SUMIFS(Table14[Debit], Table14[Date], Table2[[#This Row],[Date]], Table14[Party], Table2[[#This Row],[Party Name]])</calculatedColumnFormula>
    </tableColumn>
    <tableColumn id="7" xr3:uid="{BB689DF2-5D1E-436D-84C4-9745D88E8F3D}" name="Balance" totalsRowFunction="sum" dataDxfId="5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6" totalsRowDxfId="5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54" totalsRowDxfId="53"/>
    <tableColumn id="2" xr3:uid="{053BFC14-4828-417C-9F9F-95B6E232A945}" name="Amount" totalsRowFunction="custom" dataDxfId="52" totalsRowDxfId="5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0" totalsRowDxfId="4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39" totalsRowDxfId="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38" totalsRowDxfId="0"/>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51">
      <calculatedColumnFormula>Billing!Q5</calculatedColumnFormula>
    </tableColumn>
    <tableColumn id="2" xr3:uid="{7093A59E-B58F-487D-888A-9AA8156B5F9A}" name="Amount Paid" dataDxfId="150">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37"/>
    <tableColumn id="2" xr3:uid="{F72CFEEB-BA11-4A49-BD19-88592EB6A27C}" name="Credit" dataDxfId="36"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abSelected="1" topLeftCell="A63" zoomScale="109" zoomScaleNormal="80" workbookViewId="0">
      <selection activeCell="P109" sqref="P10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669301.2823701537</v>
      </c>
      <c r="D2">
        <v>10</v>
      </c>
      <c r="E2" s="14">
        <f>(SUMIFS(ledger!G:G, ledger!B:B, B2, ledger!E:E, "&lt;&gt;*RD*",ledger!D:D, "Silky") / 1.0936)*12 + (SUMIFS(ledger!G:G, ledger!B:B, B2, ledger!E:E, "&lt;&gt;*RD*",ledger!D:D, "Chamki") / 1.0936)*10</f>
        <v>6560599.853694221</v>
      </c>
      <c r="I2" t="s">
        <v>21</v>
      </c>
      <c r="Q2" t="s">
        <v>1</v>
      </c>
    </row>
    <row r="3" spans="2:33" x14ac:dyDescent="0.3">
      <c r="B3" t="str">
        <f t="shared" si="0"/>
        <v>Ejaz Sahab</v>
      </c>
      <c r="C3" s="18">
        <f>SUMIFS(ledger!G:G, ledger!B:B, B3, ledger!E:E, "&lt;&gt;*RD*") / 1.0936</f>
        <v>78653.072421360645</v>
      </c>
      <c r="D3">
        <v>10</v>
      </c>
      <c r="E3" s="14">
        <f>(SUMIFS(ledger!G:G, ledger!B:B, B3, ledger!E:E, "&lt;&gt;*RD*",ledger!D:D, "Silky") / 1.0936)*12 + (SUMIFS(ledger!G:G, ledger!B:B, B3, ledger!E:E, "&lt;&gt;*RD*",ledger!D:D, "Chamki") / 1.0936)*10</f>
        <v>943836.86905632773</v>
      </c>
      <c r="I3" t="s">
        <v>22</v>
      </c>
    </row>
    <row r="4" spans="2:33" x14ac:dyDescent="0.3">
      <c r="B4" t="str">
        <f t="shared" si="0"/>
        <v>Arshad</v>
      </c>
      <c r="C4" s="18">
        <f>SUMIFS(ledger!G:G, ledger!B:B, B4, ledger!E:E, "&lt;&gt;*RD*") / 1.0936</f>
        <v>152184.52816386247</v>
      </c>
      <c r="D4">
        <v>10</v>
      </c>
      <c r="E4" s="14">
        <f>(SUMIFS(ledger!G:G, ledger!B:B, B4, ledger!E:E, "&lt;&gt;*RD*",ledger!D:D, "Silky") / 1.0936)*12 + (SUMIFS(ledger!G:G, ledger!B:B, B4, ledger!E:E, "&lt;&gt;*RD*",ledger!D:D, "Chamki") / 1.0936)*10</f>
        <v>1619019.7512801758</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2">_xlfn.UNIQUE(Table1[Party Name])</f>
        <v>BSC</v>
      </c>
      <c r="R5" s="22" cm="1">
        <f t="array" ref="R5">_xlfn.BYROW(B49,_xlfn.LAMBDA(_xlpm.party,SUMIFS(ledger!G:G,ledger!B:B,_xlpm.party,ledger!E:E,"&lt;&gt;*RD*")))+_xlfn.IFNA(C84,0)</f>
        <v>3266886.8824</v>
      </c>
      <c r="S5" s="22" cm="1">
        <f t="array" ref="S5">_xlfn.BYROW(B49, _xlfn.LAMBDA(_xlpm.party, SUMIFS(ledger!G:G, ledger!B:B, _xlpm.party, ledger!E:E, "&lt;&gt;*RD*") / 1.0936 ))+_xlfn.IFNA(D84,0)</f>
        <v>2987277.6905632778</v>
      </c>
      <c r="T5" s="22" cm="1">
        <f t="array" ref="T5">(_xlfn.BYROW(B49,_xlfn.LAMBDA(_xlpm.party,SUMIFS(ledger!G:G,ledger!B:B,_xlpm.party,ledger!E:E,"&lt;&gt;*RD*",ledger!D:D,"Chamki")+SUMIFS(ledger!G:G, ledger!B:B, _xlpm.party, ledger!E:E, "&lt;&gt;*RD*", ledger!D:D, "Crinkle")))/1.0936)+_xlfn.IFNA(E84,0)</f>
        <v>2556874.4352596928</v>
      </c>
      <c r="U5" s="70" cm="1">
        <f t="array" ref="U5">(_xlfn.BYROW(B49,_xlfn.LAMBDA(_xlpm.party,SUMIFS(ledger!G:G,ledger!B:B,_xlpm.party,ledger!E:E,"&lt;&gt;*RD*",ledger!D:D,"Silky")))/1.0936)+_xlfn.IFNA(F84,0)</f>
        <v>430403.2553035845</v>
      </c>
      <c r="V5" s="22" cm="1">
        <f t="array" ref="V5">(_xlfn.BYROW(B49,_xlfn.LAMBDA(_xlpm.party,
(SUMIFS(ledger!J:J,ledger!B:B,_xlpm.party,ledger!E:E,"&lt;&gt;*RD*",ledger!D:D,"Chamki",ledger!C:C,"&lt;&gt;November Closing CF")+
SUMIFS(ledger!J:J,ledger!B:B,_xlpm.party,ledger!E:E,"&lt;&gt;*RD*",ledger!D:D,"Crinkle",ledger!C:C,"&lt;&gt;November Closing CF")
)+_xlfn.IFNA(G84,0))))</f>
        <v>25568744.352596931</v>
      </c>
      <c r="W5" s="70" cm="1">
        <f t="array" ref="W5">_xlfn.BYROW(B49, _xlfn.LAMBDA(_xlpm.party,
   SUMIFS(ledger!J:J, ledger!B:B, _xlpm.party, ledger!E:E, "&lt;&gt;*RD*", ledger!D:D, "Silky", ledger!C:C, "&lt;&gt;November Closing CF")
)) + _xlfn.IFNA(H84, 0)</f>
        <v>5506886.4301389912</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31075630.782735921</v>
      </c>
      <c r="AD5" s="22">
        <f>(SUMIF(Table14[Party],Q5,Table14[Credit]))+_xlfn.IFNA(O84,0)</f>
        <v>19750734</v>
      </c>
      <c r="AE5" s="33">
        <f>AC5-AD5</f>
        <v>11324896.782735921</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3713863.386978786</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5195319.1294806153</v>
      </c>
      <c r="AD6" s="22">
        <f>(SUMIF(Table14[Party],Q6,Table14[Credit]))+_xlfn.IFNA(O85,0)</f>
        <v>5195319</v>
      </c>
      <c r="AE6" s="33">
        <f t="shared" ref="AE6:AE31" si="2">AC6-AD6</f>
        <v>0.12948061525821686</v>
      </c>
      <c r="AF6" s="21">
        <v>10</v>
      </c>
      <c r="AG6" s="21">
        <v>13</v>
      </c>
    </row>
    <row r="7" spans="2:33" x14ac:dyDescent="0.3">
      <c r="B7" t="str">
        <f t="shared" si="0"/>
        <v>Sajad Khan</v>
      </c>
      <c r="C7" s="18">
        <f>SUMIFS(ledger!G:G, ledger!B:B, B7, ledger!E:E, "&lt;&gt;*RD*") / 1.0936</f>
        <v>53605.52304316021</v>
      </c>
      <c r="D7">
        <v>10</v>
      </c>
      <c r="E7" s="14" cm="1">
        <f t="array" ref="E7">(SUMIFS(ledger!G:G, ledger!B:B, B7, ledger!E:E, "&lt;&gt;*RD*",ledger!D:D, "Silky") / 1.0936)*12 + (SUMIFS(ledger!G:G, ledger!B:B, B7, ledger!E:E, "&lt;&gt;*RD*",ledger!D:D, "Chamki") / 1.0936)*10 +(SUMIFS(ledger!G:G, ledger!B:B, party, ledger!E:E, "&lt;&gt;*RD*", ledger!D:D, "Crinkle")/ 1.0936)*10</f>
        <v>536055.2304316021</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1632304.3160204829</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7896185.076810535</v>
      </c>
      <c r="AD7" s="22">
        <f>(SUMIF(Table14[Party],Q7,Table14[Credit]))+_xlfn.IFNA(O86,0)</f>
        <v>7835501</v>
      </c>
      <c r="AE7" s="33">
        <f t="shared" si="2"/>
        <v>60684.076810535043</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273579.00512070226</v>
      </c>
      <c r="D9">
        <v>10</v>
      </c>
      <c r="E9" s="14">
        <f>(SUMIFS(ledger!G:G, ledger!B:B, B9, ledger!E:E, "&lt;&gt;*RD*",ledger!D:D, "Silky") / 1.0936)*12 + (SUMIFS(ledger!G:G, ledger!B:B, B9, ledger!E:E, "&lt;&gt;*RD*",ledger!D:D, "Chamki") / 1.0936)*10</f>
        <v>2961132.0409656186</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69882.040965618144</v>
      </c>
      <c r="D10">
        <v>10</v>
      </c>
      <c r="E10" s="14">
        <f>(SUMIFS(ledger!G:G, ledger!B:B, B10, ledger!E:E, "&lt;&gt;*RD*",ledger!D:D, "Silky") / 1.0936)*12 + (SUMIFS(ledger!G:G, ledger!B:B, B10, ledger!E:E, "&lt;&gt;*RD*",ledger!D:D, "Chamki") / 1.0936)*10</f>
        <v>838584.49158741767</v>
      </c>
      <c r="I10" t="s">
        <v>35</v>
      </c>
      <c r="Q10" s="24" t="str">
        <v>Sajad Khan</v>
      </c>
      <c r="R10" s="22" cm="1">
        <f t="array" ref="R10">_xlfn.BYROW(B54,_xlfn.LAMBDA(_xlpm.party,SUMIFS(ledger!G:G,ledger!B:B,_xlpm.party,ledger!E:E,"&lt;&gt;*RD*")))+_xlfn.IFNA(C89,0)</f>
        <v>924174</v>
      </c>
      <c r="S10" s="22" cm="1">
        <f t="array" ref="S10">_xlfn.BYROW(B54, _xlfn.LAMBDA(_xlpm.party, SUMIFS(ledger!G:G, ledger!B:B, _xlpm.party, ledger!E:E, "&lt;&gt;*RD*") / 1.0936 ))+_xlfn.IFNA(D89,0)</f>
        <v>845074.98171177774</v>
      </c>
      <c r="T10" s="22" cm="1">
        <f t="array" ref="T10">(_xlfn.BYROW(B54,_xlfn.LAMBDA(_xlpm.party,SUMIFS(ledger!G:G,ledger!B:B,_xlpm.party,ledger!E:E,"&lt;&gt;*RD*",ledger!D:D,"Chamki")+SUMIFS(ledger!G:G, ledger!B:B, _xlpm.party, ledger!E:E, "&lt;&gt;*RD*", ledger!D:D, "Crinkle")))/1.0936)+_xlfn.IFNA(E89,0)</f>
        <v>839585.77176298469</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8395857.7176298462</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8467217.446964154</v>
      </c>
      <c r="AD10" s="22">
        <f>(SUMIF(Table14[Party],Q10,Table14[Credit]))+_xlfn.IFNA(O89,0)</f>
        <v>7997871</v>
      </c>
      <c r="AE10" s="33">
        <f t="shared" si="2"/>
        <v>469346.44696415402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660793</v>
      </c>
      <c r="S12" s="22" cm="1">
        <f t="array" ref="S12">_xlfn.BYROW(B56, _xlfn.LAMBDA(_xlpm.party, SUMIFS(ledger!G:G, ledger!B:B, _xlpm.party, ledger!E:E, "&lt;&gt;*RD*") / 1.0936 ))+_xlfn.IFNA(D91,0)</f>
        <v>604236.46671543526</v>
      </c>
      <c r="T12" s="22" cm="1">
        <f t="array" ref="T12">(_xlfn.BYROW(B56,_xlfn.LAMBDA(_xlpm.party,SUMIFS(ledger!G:G,ledger!B:B,_xlpm.party,ledger!E:E,"&lt;&gt;*RD*",ledger!D:D,"Chamki")+SUMIFS(ledger!G:G, ledger!B:B, _xlpm.party, ledger!E:E, "&lt;&gt;*RD*", ledger!D:D, "Crinkle")))/1.0936)+_xlfn.IFNA(E91,0)</f>
        <v>466377.10314557434</v>
      </c>
      <c r="U12" s="70" cm="1">
        <f t="array" ref="U12">(_xlfn.BYROW(B56,_xlfn.LAMBDA(_xlpm.party,SUMIFS(ledger!G:G,ledger!B:B,_xlpm.party,ledger!E:E,"&lt;&gt;*RD*",ledger!D:D,"Silky")))/1.0936)+_xlfn.IFNA(F91,0)</f>
        <v>137859.36356986102</v>
      </c>
      <c r="V12" s="22" cm="1">
        <f t="array" ref="V12">(_xlfn.BYROW(B56,_xlfn.LAMBDA(_xlpm.party,
(SUMIFS(ledger!J:J,ledger!B:B,_xlpm.party,ledger!E:E,"&lt;&gt;*RD*",ledger!D:D,"Chamki",ledger!C:C,"&lt;&gt;November Closing CF")+
SUMIFS(ledger!J:J,ledger!B:B,_xlpm.party,ledger!E:E,"&lt;&gt;*RD*",ledger!D:D,"Crinkle",ledger!C:C,"&lt;&gt;November Closing CF")
)+_xlfn.IFNA(G91,0))))</f>
        <v>4663771.0314557431</v>
      </c>
      <c r="W12" s="70" cm="1">
        <f t="array" ref="W12">_xlfn.BYROW(B56, _xlfn.LAMBDA(_xlpm.party,
   SUMIFS(ledger!J:J, ledger!B:B, _xlpm.party, ledger!E:E, "&lt;&gt;*RD*", ledger!D:D, "Silky", ledger!C:C, "&lt;&gt;November Closing CF")
)) + _xlfn.IFNA(H91, 0)</f>
        <v>1792171.7264081931</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6455942.757863936</v>
      </c>
      <c r="AD12" s="22">
        <f>(SUMIF(Table14[Party],Q12,Table14[Credit]))+_xlfn.IFNA(O91,0)</f>
        <v>4330540</v>
      </c>
      <c r="AE12" s="33">
        <f t="shared" si="2"/>
        <v>2125402.757863936</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143273</v>
      </c>
      <c r="S13" s="22" cm="1">
        <f t="array" ref="S13">_xlfn.BYROW(B57, _xlfn.LAMBDA(_xlpm.party, SUMIFS(ledger!G:G, ledger!B:B, _xlpm.party, ledger!E:E, "&lt;&gt;*RD*") / 1.0936 ))+_xlfn.IFNA(D92,0)</f>
        <v>131010.42428675934</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84877.468910021955</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1088411.6678858814</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1549741.2216532552</v>
      </c>
      <c r="AD13" s="22">
        <f>(SUMIF(Table14[Party],Q13,Table14[Credit]))+_xlfn.IFNA(O92,0)</f>
        <v>1490190</v>
      </c>
      <c r="AE13" s="33">
        <f t="shared" si="2"/>
        <v>59551.221653255168</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2869679</v>
      </c>
      <c r="AE15" s="33">
        <f t="shared" si="2"/>
        <v>10021.073152889963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21707792.450621802</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21707792.450621802</v>
      </c>
      <c r="D23" t="s">
        <v>32</v>
      </c>
      <c r="I23" t="s">
        <v>196</v>
      </c>
      <c r="Q23" s="21" t="str">
        <v>Amjad sohail</v>
      </c>
      <c r="R23" s="22" cm="1">
        <f t="array" ref="R23">_xlfn.BYROW(B67,_xlfn.LAMBDA(_xlpm.party,SUMIFS(ledger!G:G,ledger!B:B,_xlpm.party,ledger!E:E,"&lt;&gt;*RD*")))+_xlfn.IFNA(C102,0)</f>
        <v>320608</v>
      </c>
      <c r="S23" s="22" cm="1">
        <f t="array" ref="S23">_xlfn.BYROW(B67, _xlfn.LAMBDA(_xlpm.party, SUMIFS(ledger!G:G, ledger!B:B, _xlpm.party, ledger!E:E, "&lt;&gt;*RD*") / 1.0936 ))+_xlfn.IFNA(D102,0)</f>
        <v>293167.52011704462</v>
      </c>
      <c r="T23" s="22" cm="1">
        <f t="array" ref="T23">(_xlfn.BYROW(B67,_xlfn.LAMBDA(_xlpm.party,SUMIFS(ledger!G:G,ledger!B:B,_xlpm.party,ledger!E:E,"&lt;&gt;*RD*",ledger!D:D,"Chamki")+SUMIFS(ledger!G:G, ledger!B:B, _xlpm.party, ledger!E:E, "&lt;&gt;*RD*", ledger!D:D, "Crinkle")))/1.0936)+_xlfn.IFNA(E102,0)</f>
        <v>249333.39429407462</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2493333.9429407464</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3063177.5786393564</v>
      </c>
      <c r="AD23" s="22">
        <f>(SUMIF(Table14[Party],Q23,Table14[Credit]))+_xlfn.IFNA(O102,0)</f>
        <v>2709310</v>
      </c>
      <c r="AE23" s="33">
        <f t="shared" si="2"/>
        <v>353867.57863935642</v>
      </c>
      <c r="AF23" s="21">
        <v>10</v>
      </c>
      <c r="AG23" s="21">
        <v>13</v>
      </c>
    </row>
    <row r="24" spans="2:33" x14ac:dyDescent="0.3">
      <c r="I24" t="s">
        <v>195</v>
      </c>
      <c r="Q24" t="str">
        <v>Salman Zaffar</v>
      </c>
      <c r="R24" s="22" cm="1">
        <f t="array" ref="R24">_xlfn.BYROW(B68,_xlfn.LAMBDA(_xlpm.party,SUMIFS(ledger!G:G,ledger!B:B,_xlpm.party,ledger!E:E,"&lt;&gt;*RD*")))+_xlfn.IFNA(C103,0)</f>
        <v>275656</v>
      </c>
      <c r="S24" s="22" cm="1">
        <f t="array" ref="S24">_xlfn.BYROW(B68, _xlfn.LAMBDA(_xlpm.party, SUMIFS(ledger!G:G, ledger!B:B, _xlpm.party, ledger!E:E, "&lt;&gt;*RD*") / 1.0936 ))+_xlfn.IFNA(D103,0)</f>
        <v>252062.91148500369</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1545665.6912948061</v>
      </c>
      <c r="AB24" s="70" cm="1">
        <f t="array" ref="AB24">_xlfn.BYROW(B68, _xlfn.LAMBDA(_xlpm.party,
   SUMIFS(ledger!J:J, ledger!B:B, _xlpm.party, ledger!E:E, "&lt;&gt;*RD*", ledger!D:D, "Munaar", ledger!C:C, "&lt;&gt;November Closing CF")
))+ _xlfn.IFNA(M103, 0)</f>
        <v>0</v>
      </c>
      <c r="AC24" s="39">
        <f t="shared" si="1"/>
        <v>2641798.6466715438</v>
      </c>
      <c r="AD24" s="22">
        <f>(SUMIF(Table14[Party],Q24,Table14[Credit]))+_xlfn.IFNA(O103,0)</f>
        <v>2446025</v>
      </c>
      <c r="AE24" s="33">
        <f t="shared" si="2"/>
        <v>195773.64667154383</v>
      </c>
      <c r="AF24" s="21">
        <v>10</v>
      </c>
      <c r="AG24" s="21">
        <v>13</v>
      </c>
    </row>
    <row r="25" spans="2:33" x14ac:dyDescent="0.3">
      <c r="I25" t="s">
        <v>201</v>
      </c>
      <c r="Q25" t="str">
        <v>Shahid Qasayi</v>
      </c>
      <c r="R25" s="22" cm="1">
        <f t="array" ref="R25">_xlfn.BYROW(B69,_xlfn.LAMBDA(_xlpm.party,SUMIFS(ledger!G:G,ledger!B:B,_xlpm.party,ledger!E:E,"&lt;&gt;*RD*")))+_xlfn.IFNA(C104,0)</f>
        <v>315508</v>
      </c>
      <c r="S25" s="22" cm="1">
        <f t="array" ref="S25">_xlfn.BYROW(B69, _xlfn.LAMBDA(_xlpm.party, SUMIFS(ledger!G:G, ledger!B:B, _xlpm.party, ledger!E:E, "&lt;&gt;*RD*") / 1.0936 ))+_xlfn.IFNA(D104,0)</f>
        <v>288504.0234089247</v>
      </c>
      <c r="T25" s="22" cm="1">
        <f t="array" ref="T25">(_xlfn.BYROW(B69,_xlfn.LAMBDA(_xlpm.party,SUMIFS(ledger!G:G,ledger!B:B,_xlpm.party,ledger!E:E,"&lt;&gt;*RD*",ledger!D:D,"Chamki")+SUMIFS(ledger!G:G, ledger!B:B, _xlpm.party, ledger!E:E, "&lt;&gt;*RD*", ledger!D:D, "Crinkle")))/1.0936)+_xlfn.IFNA(E104,0)</f>
        <v>238964.88661302123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2389648.8661302123</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2936559.985369422</v>
      </c>
      <c r="AD25" s="22">
        <f>(SUMIF(Table14[Party],Q25,Table14[Credit]))+_xlfn.IFNA(O104,0)</f>
        <v>2886197</v>
      </c>
      <c r="AE25" s="33">
        <f t="shared" si="2"/>
        <v>50362.985369422007</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Gauhar Kashif</v>
      </c>
      <c r="R31" s="22" cm="1">
        <f t="array" ref="R31">_xlfn.BYROW(B75,_xlfn.LAMBDA(_xlpm.party,SUMIFS(ledger!G:G,ledger!B:B,_xlpm.party,ledger!E:E,"&lt;&gt;*RD*")))+_xlfn.IFNA(C110,0)</f>
        <v>55125</v>
      </c>
      <c r="S31" s="22" cm="1">
        <f t="array" ref="S31">_xlfn.BYROW(B75, _xlfn.LAMBDA(_xlpm.party, SUMIFS(ledger!G:G, ledger!B:B, _xlpm.party, ledger!E:E, "&lt;&gt;*RD*") / 1.0936 ))+_xlfn.IFNA(D110,0)</f>
        <v>50406.91294806145</v>
      </c>
      <c r="T31" s="22" cm="1">
        <f t="array" ref="T31">(_xlfn.BYROW(B75,_xlfn.LAMBDA(_xlpm.party,SUMIFS(ledger!G:G,ledger!B:B,_xlpm.party,ledger!E:E,"&lt;&gt;*RD*",ledger!D:D,"Chamki")+SUMIFS(ledger!G:G, ledger!B:B, _xlpm.party, ledger!E:E, "&lt;&gt;*RD*", ledger!D:D, "Crinkle")))/1.0936)+_xlfn.IFNA(E110,0)</f>
        <v>50406.91294806145</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504069.1294806145</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504069.1294806145</v>
      </c>
      <c r="AD31" s="22">
        <f>(SUMIF(Table14[Party],Q31,Table14[Credit]))+_xlfn.IFNA(O110,0)</f>
        <v>485800</v>
      </c>
      <c r="AE31" s="33">
        <f t="shared" si="2"/>
        <v>18269.129480614502</v>
      </c>
      <c r="AF31" s="21">
        <v>10</v>
      </c>
      <c r="AG31" s="21">
        <v>13</v>
      </c>
    </row>
    <row r="32" spans="2:33" x14ac:dyDescent="0.3">
      <c r="Q32">
        <v>0</v>
      </c>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731947.8824</v>
      </c>
      <c r="D49" s="22" cm="1">
        <f t="array" ref="D49:D76">_xlfn.BYROW(_xlfn.ANCHORARRAY(B49), _xlfn.LAMBDA(_xlpm.party, SUMIFS(ledger!G:G, ledger!B:B, _xlpm.party, ledger!E:E, "&lt;&gt;*RD*") / 1.0936 ))</f>
        <v>669301.2823701537</v>
      </c>
      <c r="E49" s="63" cm="1">
        <f t="array" ref="E49:E76">(_xlfn.BYROW(_xlfn.ANCHORARRAY(B49),_xlfn.LAMBDA(_xlpm.party,SUMIFS(ledger!G:G,ledger!B:B,_xlpm.party,ledger!E:E,"&lt;&gt;*RD*",ledger!D:D,"Chamki")+SUMIFS(ledger!G:G, ledger!B:B, _xlpm.party, ledger!E:E, "&lt;&gt;*RD*", ledger!D:D, "Crinkle")))/1.0936)</f>
        <v>521366.93708851503</v>
      </c>
      <c r="F49" s="63" cm="1">
        <f t="array" ref="F49:F76">(_xlfn.BYROW(_xlfn.ANCHORARRAY(B49),_xlfn.LAMBDA(_xlpm.party,SUMIFS(ledger!G:G,ledger!B:B,_xlpm.party,ledger!E:E,"&lt;&gt;*RD*",ledger!D:D,"Silky")))/1.0936)</f>
        <v>147934.34528163864</v>
      </c>
      <c r="G49" s="22" cm="1">
        <f t="array" ref="G49">(_xlfn.BYROW(B49,_xlfn.LAMBDA(_xlpm.party,
(SUMIFS(ledger!J:J,ledger!B:B,_xlpm.party,ledger!E:E,"&lt;&gt;*RD*",ledger!D:D,"Chamki",ledger!C:C,"&lt;&gt;November Closing CF")+
SUMIFS(ledger!J:J,ledger!B:B,_xlpm.party,ledger!E:E,"&lt;&gt;*RD*",ledger!D:D,"Crinkle",ledger!C:C,"&lt;&gt;November Closing CF")
))))</f>
        <v>5213669.3708851496</v>
      </c>
      <c r="H49" s="22" cm="1">
        <f t="array" ref="H49">_xlfn.BYROW(B49, _xlfn.LAMBDA(_xlpm.party,
   SUMIFS(ledger!J:J, ledger!B:B, _xlpm.party, ledger!E:E, "&lt;&gt;*RD*", ledger!D:D, "Silky", ledger!C:C, "&lt;&gt;November Closing CF")
))</f>
        <v>1923146.4886613025</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7136815.8595464518</v>
      </c>
      <c r="O49" s="22">
        <f>(SUMIF(Table14[Party],B49,Table14[Credit]))</f>
        <v>0</v>
      </c>
      <c r="P49" s="37">
        <f>N49-O49</f>
        <v>7136815.8595464518</v>
      </c>
      <c r="Q49" s="21">
        <v>10</v>
      </c>
      <c r="R49" s="21">
        <v>12</v>
      </c>
    </row>
    <row r="50" spans="1:23" x14ac:dyDescent="0.3">
      <c r="B50" s="24" t="str">
        <v>Ejaz Sahab</v>
      </c>
      <c r="C50" s="22">
        <v>86015</v>
      </c>
      <c r="D50" s="22">
        <v>78653.072421360645</v>
      </c>
      <c r="E50" s="63">
        <v>0</v>
      </c>
      <c r="F50" s="63">
        <v>78653.072421360645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1022489.9414776884</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1022489.9414776884</v>
      </c>
      <c r="O50" s="22">
        <f>(SUMIF(Table14[Party],B50,Table14[Credit]))</f>
        <v>1231415</v>
      </c>
      <c r="P50" s="37">
        <f>N50-O50</f>
        <v>-208925.05852231162</v>
      </c>
      <c r="Q50" s="21">
        <v>10</v>
      </c>
      <c r="R50" s="21">
        <v>12</v>
      </c>
    </row>
    <row r="51" spans="1:23" x14ac:dyDescent="0.3">
      <c r="B51" s="24" t="str">
        <v>Arshad</v>
      </c>
      <c r="C51" s="22">
        <v>166429</v>
      </c>
      <c r="D51" s="22">
        <v>152184.52816386247</v>
      </c>
      <c r="E51" s="63">
        <v>103597.29334308706</v>
      </c>
      <c r="F51" s="63">
        <v>48587.234820775426</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631634.05267008045</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1667606.986100951</v>
      </c>
      <c r="O51" s="22">
        <f>(SUMIF(Table14[Party],B51,Table14[Credit]))</f>
        <v>1832566</v>
      </c>
      <c r="P51" s="37">
        <f>N51-O51</f>
        <v>-164959.01389904902</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58623</v>
      </c>
      <c r="D54" s="22">
        <v>53605.52304316021</v>
      </c>
      <c r="E54" s="63">
        <v>53605.52304316021</v>
      </c>
      <c r="F54" s="63">
        <v>0</v>
      </c>
      <c r="G54" s="22" cm="1">
        <f t="array" ref="G54">(_xlfn.BYROW(B54,_xlfn.LAMBDA(_xlpm.party,
(SUMIFS(ledger!J:J,ledger!B:B,_xlpm.party,ledger!E:E,"&lt;&gt;*RD*",ledger!D:D,"Chamki",ledger!C:C,"&lt;&gt;November Closing CF")+
SUMIFS(ledger!J:J,ledger!B:B,_xlpm.party,ledger!E:E,"&lt;&gt;*RD*",ledger!D:D,"Crinkle",ledger!C:C,"&lt;&gt;November Closing CF")
))))</f>
        <v>536055.2304316021</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536055.2304316021</v>
      </c>
      <c r="O54" s="22">
        <f>(SUMIF(Table14[Party],B54,Table14[Credit]))</f>
        <v>600000</v>
      </c>
      <c r="P54" s="37">
        <f t="shared" si="5"/>
        <v>-63944.769568397896</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300000</v>
      </c>
      <c r="P55" s="37">
        <f t="shared" si="5"/>
        <v>-67492.68471104608</v>
      </c>
      <c r="Q55" s="21">
        <v>10</v>
      </c>
      <c r="R55" s="21">
        <v>12</v>
      </c>
    </row>
    <row r="56" spans="1:23" x14ac:dyDescent="0.3">
      <c r="B56" s="24" t="str">
        <v>Azam</v>
      </c>
      <c r="C56" s="22">
        <v>299186</v>
      </c>
      <c r="D56" s="22">
        <v>273579.00512070226</v>
      </c>
      <c r="E56" s="63">
        <v>160908.01024140455</v>
      </c>
      <c r="F56" s="63">
        <v>112670.99487929774</v>
      </c>
      <c r="G56" s="22" cm="1">
        <f t="array" ref="G56">(_xlfn.BYROW(B56,_xlfn.LAMBDA(_xlpm.party,
(SUMIFS(ledger!J:J,ledger!B:B,_xlpm.party,ledger!E:E,"&lt;&gt;*RD*",ledger!D:D,"Chamki",ledger!C:C,"&lt;&gt;November Closing CF")+
SUMIFS(ledger!J:J,ledger!B:B,_xlpm.party,ledger!E:E,"&lt;&gt;*RD*",ledger!D:D,"Crinkle",ledger!C:C,"&lt;&gt;November Closing CF")
))))</f>
        <v>1609080.1024140455</v>
      </c>
      <c r="H56" s="22" cm="1">
        <f t="array" ref="H56">_xlfn.BYROW(B56, _xlfn.LAMBDA(_xlpm.party,
   SUMIFS(ledger!J:J, ledger!B:B, _xlpm.party, ledger!E:E, "&lt;&gt;*RD*", ledger!D:D, "Silky", ledger!C:C, "&lt;&gt;November Closing CF")
))</f>
        <v>1464722.9334308705</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3073803.035844916</v>
      </c>
      <c r="O56" s="22">
        <f>(SUMIF(Table14[Party],B56,Table14[Credit]))</f>
        <v>1007920</v>
      </c>
      <c r="P56" s="37">
        <f t="shared" ref="P56:P78" si="6">N56-O56</f>
        <v>2065883.035844916</v>
      </c>
      <c r="Q56" s="21">
        <v>10</v>
      </c>
      <c r="R56" s="21">
        <v>12</v>
      </c>
    </row>
    <row r="57" spans="1:23" x14ac:dyDescent="0.3">
      <c r="B57" s="24" t="str">
        <v>Ubaidullah</v>
      </c>
      <c r="C57" s="22">
        <v>76423</v>
      </c>
      <c r="D57" s="22">
        <v>69882.040965618144</v>
      </c>
      <c r="E57" s="63">
        <v>0</v>
      </c>
      <c r="F57" s="63">
        <v>69882.040965618144</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908466.53255303577</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908466.53255303577</v>
      </c>
      <c r="O57" s="22">
        <f>SUMIF(Table14[Party], B57, Table14[Credit])</f>
        <v>850000</v>
      </c>
      <c r="P57" s="37">
        <f t="shared" si="6"/>
        <v>58466.532553035766</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669301.2823701537</v>
      </c>
      <c r="W58" s="18">
        <v>6560599.853694221</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1063699</v>
      </c>
      <c r="P59" s="37">
        <f t="shared" si="6"/>
        <v>-38561.83833211381</v>
      </c>
      <c r="Q59" s="21">
        <v>10</v>
      </c>
      <c r="R59" s="21">
        <v>12</v>
      </c>
      <c r="U59" s="4" t="s">
        <v>22</v>
      </c>
      <c r="V59" s="5">
        <v>78653.072421360645</v>
      </c>
      <c r="W59" s="18">
        <v>943836.86905632773</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152184.52816386247</v>
      </c>
      <c r="W60" s="18">
        <v>1619019.7512801758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53605.52304316021</v>
      </c>
      <c r="W63" s="18">
        <v>536055.2304316021</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273579.00512070226</v>
      </c>
      <c r="W65" s="18">
        <v>2961132.0409656186</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69882.040965618144</v>
      </c>
      <c r="W66" s="18">
        <v>838584.49158741767</v>
      </c>
    </row>
    <row r="67" spans="2:23" x14ac:dyDescent="0.3">
      <c r="B67" s="81" t="str">
        <v>Amjad sohail</v>
      </c>
      <c r="C67" s="22">
        <v>38699</v>
      </c>
      <c r="D67" s="22">
        <v>35386.795903438186</v>
      </c>
      <c r="E67" s="63">
        <v>35386.795903438186</v>
      </c>
      <c r="F67" s="63">
        <v>0</v>
      </c>
      <c r="G67" s="22" cm="1">
        <f t="array" ref="G67">(_xlfn.BYROW(B67,_xlfn.LAMBDA(_xlpm.party,
(SUMIFS(ledger!J:J,ledger!B:B,_xlpm.party,ledger!E:E,"&lt;&gt;*RD*",ledger!D:D,"Chamki",ledger!C:C,"&lt;&gt;November Closing CF")+
SUMIFS(ledger!J:J,ledger!B:B,_xlpm.party,ledger!E:E,"&lt;&gt;*RD*",ledger!D:D,"Crinkle",ledger!C:C,"&lt;&gt;November Closing CF")
))))</f>
        <v>353867.9590343819</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353867.9590343819</v>
      </c>
      <c r="O67" s="22">
        <f>SUMIF(Table14[Party], B67, Table14[Credit])</f>
        <v>409310</v>
      </c>
      <c r="P67" s="37">
        <f t="shared" si="6"/>
        <v>-55442.0409656181</v>
      </c>
      <c r="Q67" s="21">
        <v>10</v>
      </c>
      <c r="R67" s="21">
        <v>12</v>
      </c>
      <c r="U67" s="4" t="s">
        <v>148</v>
      </c>
      <c r="V67" s="5">
        <v>0</v>
      </c>
      <c r="W67" s="18">
        <v>0</v>
      </c>
    </row>
    <row r="68" spans="2:23" x14ac:dyDescent="0.3">
      <c r="B68" s="81" t="str">
        <v>Salman Zaffar</v>
      </c>
      <c r="C68" s="22">
        <v>210876</v>
      </c>
      <c r="D68" s="22">
        <v>192827.35918068766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1545665.6912948061</v>
      </c>
      <c r="M68" s="70" cm="1">
        <f t="array" ref="M68">_xlfn.BYROW(B68, _xlfn.LAMBDA(_xlpm.party,
   SUMIFS(ledger!J:J, ledger!B:B, _xlpm.party, ledger!E:E, "&lt;&gt;*RD*", ledger!D:D, "Munaar", ledger!C:C, "&lt;&gt;November Closing CF")
))</f>
        <v>0</v>
      </c>
      <c r="N68" s="39">
        <f t="shared" si="4"/>
        <v>1928273.5918068762</v>
      </c>
      <c r="O68" s="22">
        <f>SUMIF(Table14[Party], B68, Table14[Credit])</f>
        <v>2446025</v>
      </c>
      <c r="P68" s="37">
        <f t="shared" si="6"/>
        <v>-517751.40819312376</v>
      </c>
      <c r="Q68" s="21">
        <v>10</v>
      </c>
      <c r="R68" s="21">
        <v>12</v>
      </c>
      <c r="U68" s="4" t="s">
        <v>27</v>
      </c>
      <c r="V68" s="5">
        <v>102513.7161667886</v>
      </c>
      <c r="W68" s="18">
        <v>1025137.161667886</v>
      </c>
    </row>
    <row r="69" spans="2:23" x14ac:dyDescent="0.3">
      <c r="B69" s="81" t="str">
        <v>Shahid Qasayi</v>
      </c>
      <c r="C69" s="22">
        <v>139379</v>
      </c>
      <c r="D69" s="22">
        <v>127449.70738844185</v>
      </c>
      <c r="E69" s="63">
        <v>125469.09290416972</v>
      </c>
      <c r="F69" s="21">
        <v>0</v>
      </c>
      <c r="G69" s="22" cm="1">
        <f t="array" ref="G69">(_xlfn.BYROW(B69,_xlfn.LAMBDA(_xlpm.party,
(SUMIFS(ledger!J:J,ledger!B:B,_xlpm.party,ledger!E:E,"&lt;&gt;*RD*",ledger!D:D,"Chamki",ledger!C:C,"&lt;&gt;November Closing CF")+
SUMIFS(ledger!J:J,ledger!B:B,_xlpm.party,ledger!E:E,"&lt;&gt;*RD*",ledger!D:D,"Crinkle",ledger!C:C,"&lt;&gt;November Closing CF")
))))</f>
        <v>1254690.9290416972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1278458.3028529626</v>
      </c>
      <c r="O69" s="22">
        <f>SUMIF(Table14[Party], B69, Table14[Credit])</f>
        <v>1417872</v>
      </c>
      <c r="P69" s="37">
        <f t="shared" si="6"/>
        <v>-139413.69714703737</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t="str">
        <v>Gauhar Kashif</v>
      </c>
      <c r="C75">
        <v>55125</v>
      </c>
      <c r="D75">
        <v>50406.91294806145</v>
      </c>
      <c r="E75">
        <v>50406.91294806145</v>
      </c>
      <c r="F75">
        <v>0</v>
      </c>
      <c r="G75" s="22" cm="1">
        <f t="array" ref="G75">(_xlfn.BYROW(B75,_xlfn.LAMBDA(_xlpm.party,
(SUMIFS(ledger!J:J,ledger!B:B,_xlpm.party,ledger!E:E,"&lt;&gt;*RD*",ledger!D:D,"Chamki",ledger!C:C,"&lt;&gt;November Closing CF")+
SUMIFS(ledger!J:J,ledger!B:B,_xlpm.party,ledger!E:E,"&lt;&gt;*RD*",ledger!D:D,"Crinkle",ledger!C:C,"&lt;&gt;November Closing CF")
))))</f>
        <v>504069.1294806145</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504069.1294806145</v>
      </c>
      <c r="O75" s="22">
        <f>SUMIF(Table14[Party], B75, Table14[Credit])</f>
        <v>485800</v>
      </c>
      <c r="P75" s="37">
        <f t="shared" si="6"/>
        <v>18269.129480614502</v>
      </c>
      <c r="U75" s="4" t="s">
        <v>28</v>
      </c>
      <c r="V75" s="14">
        <v>1604935.8836869055</v>
      </c>
      <c r="W75" s="14">
        <v>15884958.851499632</v>
      </c>
    </row>
    <row r="76" spans="2:23" x14ac:dyDescent="0.3">
      <c r="B76">
        <v>0</v>
      </c>
      <c r="C76">
        <v>0</v>
      </c>
      <c r="D76">
        <v>0</v>
      </c>
      <c r="E76">
        <v>0</v>
      </c>
      <c r="F76">
        <v>0</v>
      </c>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11">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t="str">
        <v>Gauhar Kashif</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B111">
        <v>0</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9"/>
        <v>#N/A</v>
      </c>
      <c r="O111" s="22" t="e">
        <f>_xlfn.XLOOKUP($B76,[1]Billing!$Q$5:$Q$40,[1]Billing!$AD$5:$AD$40)</f>
        <v>#N/A</v>
      </c>
      <c r="P111" s="37" t="e">
        <f t="shared" si="10"/>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2"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t="s">
        <v>483</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0</v>
      </c>
      <c r="D14" s="66" t="e" cm="1">
        <f t="array" ref="D14">_xlfn.XLOOKUP($B$6,_xlfn.ANCHORARRAY( Billing!$Q$5), INDEX(Billing!U5:U25, _xlfn.SEQUENCE(ROWS(_xlfn.ANCHORARRAY(Billing!$Q$5)))), "Not Found")</f>
        <v>#REF!</v>
      </c>
      <c r="E14" s="66" t="e">
        <f ca="1">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485800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18269.129480614502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Gauhar Kashif</v>
      </c>
    </row>
    <row r="31" spans="2:10" x14ac:dyDescent="0.3">
      <c r="J31">
        <v>0</v>
      </c>
    </row>
  </sheetData>
  <conditionalFormatting sqref="E20">
    <cfRule type="cellIs" dxfId="5" priority="1" operator="lessThan">
      <formula>20000</formula>
    </cfRule>
    <cfRule type="cellIs" dxfId="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14"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Wood!K6+((363*810)+(830*233)+(146*580))-(2000*810)</f>
        <v>7647520</v>
      </c>
      <c r="D4" t="s">
        <v>190</v>
      </c>
      <c r="E4" s="43">
        <f ca="1">Table12[[#This Row],[Amount]]/Table1[[#Totals],[tiyar/meters]]</f>
        <v>3.7887259216300295</v>
      </c>
    </row>
    <row r="5" spans="1:5" x14ac:dyDescent="0.3">
      <c r="B5" t="s">
        <v>48</v>
      </c>
      <c r="C5" s="11">
        <f>SUM(Table8[Price])+Dyes!P56-(291000)</f>
        <v>1862035</v>
      </c>
      <c r="E5" s="43">
        <f ca="1">Table12[[#This Row],[Amount]]/Table1[[#Totals],[tiyar/meters]]</f>
        <v>0.92248732549668022</v>
      </c>
    </row>
    <row r="6" spans="1:5" x14ac:dyDescent="0.3">
      <c r="B6" t="s">
        <v>49</v>
      </c>
      <c r="C6" s="11">
        <f>SUM(Table2[Price])+Finish!K30-38750</f>
        <v>968850</v>
      </c>
      <c r="D6" t="s">
        <v>189</v>
      </c>
      <c r="E6" s="43">
        <f ca="1">Table12[[#This Row],[Amount]]/Table1[[#Totals],[tiyar/meters]]</f>
        <v>0.47998659816139794</v>
      </c>
    </row>
    <row r="7" spans="1:5" x14ac:dyDescent="0.3">
      <c r="B7" t="s">
        <v>50</v>
      </c>
      <c r="C7" s="11">
        <f>SUMIFS(Table14[Debit], Table14[Party],Table12[[#This Row],[Type]])</f>
        <v>45311</v>
      </c>
      <c r="E7" s="43">
        <f ca="1">Table12[[#This Row],[Amount]]/Table1[[#Totals],[tiyar/meters]]</f>
        <v>2.2447925632751303E-2</v>
      </c>
    </row>
    <row r="8" spans="1:5" x14ac:dyDescent="0.3">
      <c r="B8" t="s">
        <v>51</v>
      </c>
      <c r="C8" s="11">
        <f>Electricity!E3</f>
        <v>2185118</v>
      </c>
      <c r="E8" s="43">
        <f ca="1">Table12[[#This Row],[Amount]]/Table1[[#Totals],[tiyar/meters]]</f>
        <v>1.0825487489304202</v>
      </c>
    </row>
    <row r="9" spans="1:5" x14ac:dyDescent="0.3">
      <c r="B9" t="s">
        <v>52</v>
      </c>
      <c r="C9" s="11">
        <f>SUMIFS(Table14[Debit], Table14[Party],Table12[[#This Row],[Type]])+SUMIFS(Table14[Debit], Table14[Party],"Advance Salary")</f>
        <v>1856930</v>
      </c>
      <c r="E9" s="43">
        <f ca="1">Table12[[#This Row],[Amount]]/Table1[[#Totals],[tiyar/meters]]</f>
        <v>0.91995821202853345</v>
      </c>
    </row>
    <row r="10" spans="1:5" x14ac:dyDescent="0.3">
      <c r="B10" t="s">
        <v>53</v>
      </c>
      <c r="C10" s="11">
        <f>Table5[[#Totals],[Amount]]</f>
        <v>157680</v>
      </c>
      <c r="E10" s="43">
        <f ca="1">Table12[[#This Row],[Amount]]/Table1[[#Totals],[tiyar/meters]]</f>
        <v>7.8117651646889844E-2</v>
      </c>
    </row>
    <row r="11" spans="1:5" x14ac:dyDescent="0.3">
      <c r="B11" t="s">
        <v>54</v>
      </c>
      <c r="C11" s="11">
        <f>Table13[[#Totals],[Debit]]</f>
        <v>184591</v>
      </c>
      <c r="E11" s="43">
        <f ca="1">Table12[[#This Row],[Amount]]/Table1[[#Totals],[tiyar/meters]]</f>
        <v>9.1449869578583476E-2</v>
      </c>
    </row>
    <row r="12" spans="1:5" x14ac:dyDescent="0.3">
      <c r="B12" t="s">
        <v>55</v>
      </c>
      <c r="C12" s="11">
        <f>Table15[[#Totals],[Amount]]</f>
        <v>700103</v>
      </c>
      <c r="E12" s="43">
        <f ca="1">Table12[[#This Row],[Amount]]/Table1[[#Totals],[tiyar/meters]]</f>
        <v>0.34684425590399875</v>
      </c>
    </row>
    <row r="13" spans="1:5" x14ac:dyDescent="0.3">
      <c r="C13" s="11"/>
      <c r="E13" s="43">
        <f ca="1">Table12[[#This Row],[Amount]]/Table1[[#Totals],[tiyar/meters]]</f>
        <v>0</v>
      </c>
    </row>
    <row r="14" spans="1:5" x14ac:dyDescent="0.3">
      <c r="C14" s="14">
        <f>SUM(Table12[Amount])</f>
        <v>15608138</v>
      </c>
      <c r="E14" s="43">
        <f ca="1">SUM(Table12[cost per meter])</f>
        <v>7.7325665090092848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21707792.450621802</v>
      </c>
    </row>
    <row r="4" spans="1:3" x14ac:dyDescent="0.3">
      <c r="B4" s="11" t="s">
        <v>44</v>
      </c>
      <c r="C4" s="11">
        <f>Table12[[#Totals],[Amount]]</f>
        <v>15608138</v>
      </c>
    </row>
    <row r="5" spans="1:3" x14ac:dyDescent="0.3">
      <c r="A5" s="6"/>
      <c r="B5" s="15" t="s">
        <v>68</v>
      </c>
      <c r="C5" s="15">
        <f>C3-C4</f>
        <v>6099654.4506218024</v>
      </c>
    </row>
    <row r="10" spans="1:3" ht="15" thickBot="1" x14ac:dyDescent="0.35">
      <c r="B10" t="s">
        <v>66</v>
      </c>
      <c r="C10" s="14" t="s">
        <v>67</v>
      </c>
    </row>
    <row r="11" spans="1:3" x14ac:dyDescent="0.3">
      <c r="B11" s="56" t="s">
        <v>0</v>
      </c>
      <c r="C11" s="57">
        <f>C3</f>
        <v>21707792.450621802</v>
      </c>
    </row>
    <row r="12" spans="1:3" x14ac:dyDescent="0.3">
      <c r="B12" s="58" t="s">
        <v>69</v>
      </c>
      <c r="C12" s="59">
        <f>SUM(Table14[Credit])</f>
        <v>34095391</v>
      </c>
    </row>
    <row r="13" spans="1:3" ht="15" thickBot="1" x14ac:dyDescent="0.35">
      <c r="B13" s="74" t="s">
        <v>93</v>
      </c>
      <c r="C13" s="73">
        <f>(C11-C12)</f>
        <v>-12387598.549378198</v>
      </c>
    </row>
    <row r="14" spans="1:3" ht="15" thickBot="1" x14ac:dyDescent="0.35">
      <c r="B14" s="58"/>
      <c r="C14" s="59"/>
    </row>
    <row r="15" spans="1:3" x14ac:dyDescent="0.3">
      <c r="B15" s="56" t="s">
        <v>44</v>
      </c>
      <c r="C15" s="57">
        <f>C4</f>
        <v>15608138</v>
      </c>
    </row>
    <row r="16" spans="1:3" x14ac:dyDescent="0.3">
      <c r="B16" s="58" t="s">
        <v>70</v>
      </c>
      <c r="C16" s="59">
        <f>SUM(Table14[Debit])</f>
        <v>34049303</v>
      </c>
    </row>
    <row r="17" spans="2:6" ht="15" thickBot="1" x14ac:dyDescent="0.35">
      <c r="B17" s="74" t="s">
        <v>71</v>
      </c>
      <c r="C17" s="73">
        <f>C15-C16</f>
        <v>-18441165</v>
      </c>
    </row>
    <row r="18" spans="2:6" ht="15" thickBot="1" x14ac:dyDescent="0.35">
      <c r="B18" s="58"/>
      <c r="C18" s="59"/>
    </row>
    <row r="19" spans="2:6" ht="15" thickBot="1" x14ac:dyDescent="0.35">
      <c r="B19" s="75" t="s">
        <v>72</v>
      </c>
      <c r="C19" s="76">
        <f>Table18[[#Totals],[amount]]</f>
        <v>96088</v>
      </c>
    </row>
    <row r="20" spans="2:6" ht="15" thickBot="1" x14ac:dyDescent="0.35">
      <c r="B20" s="71"/>
      <c r="C20" s="72"/>
    </row>
    <row r="21" spans="2:6" ht="15" thickBot="1" x14ac:dyDescent="0.35">
      <c r="B21" s="60" t="s">
        <v>73</v>
      </c>
      <c r="C21" s="61">
        <f>(C13-C17)+C19</f>
        <v>6149654.4506218024</v>
      </c>
      <c r="E21" s="79" t="s">
        <v>74</v>
      </c>
      <c r="F21" s="80">
        <f>C5*0.05</f>
        <v>304982.72253109014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workbookViewId="0">
      <selection activeCell="B36" sqref="B36:B4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6273</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5350</v>
      </c>
      <c r="E32">
        <f>SUMIFS(Table14[Credit], Table14[Date], Table13[[#This Row],[Date]], Table14[Party], "Transport")</f>
        <v>0</v>
      </c>
    </row>
    <row r="33" spans="2:6" x14ac:dyDescent="0.3">
      <c r="B33" s="1">
        <v>46036</v>
      </c>
      <c r="D33">
        <f>SUMIFS(Table14[Debit], Table14[Date], Table13[[#This Row],[Date]], Table14[Party], "Transport")</f>
        <v>1600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12500</v>
      </c>
      <c r="E35">
        <f>SUMIFS(Table14[Credit], Table14[Date], Table13[[#This Row],[Date]], Table14[Party], "Transport")</f>
        <v>0</v>
      </c>
    </row>
    <row r="36" spans="2:6" x14ac:dyDescent="0.3">
      <c r="B36" s="1">
        <v>46039</v>
      </c>
      <c r="D36">
        <f>SUMIFS(Table14[Debit], Table14[Date], Table13[[#This Row],[Date]], Table14[Party], "Transport")</f>
        <v>5300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7400</v>
      </c>
      <c r="E38" s="138">
        <f>SUMIFS(Table14[Credit], Table14[Date], Table13[[#This Row],[Date]], Table14[Party], "Transport")</f>
        <v>0</v>
      </c>
    </row>
    <row r="39" spans="2:6" x14ac:dyDescent="0.3">
      <c r="B39" s="1">
        <v>46042</v>
      </c>
      <c r="D39">
        <f>SUMIFS(Table14[Debit], Table14[Date], Table13[[#This Row],[Date]], Table14[Party], "Transport")</f>
        <v>5000</v>
      </c>
      <c r="E39" s="138">
        <f>SUMIFS(Table14[Credit], Table14[Date], Table13[[#This Row],[Date]], Table14[Party], "Transport")</f>
        <v>0</v>
      </c>
    </row>
    <row r="40" spans="2:6" x14ac:dyDescent="0.3">
      <c r="B40" s="1">
        <v>46043</v>
      </c>
      <c r="D40">
        <f>SUMIFS(Table14[Debit], Table14[Date], Table13[[#This Row],[Date]], Table14[Party], "Transport")</f>
        <v>3000</v>
      </c>
      <c r="E40" s="138">
        <f>SUMIFS(Table14[Credit], Table14[Date], Table13[[#This Row],[Date]], Table14[Party], "Transport")</f>
        <v>0</v>
      </c>
    </row>
    <row r="41" spans="2:6" x14ac:dyDescent="0.3">
      <c r="B41" s="1">
        <v>46044</v>
      </c>
      <c r="D41">
        <f>SUMIFS(Table14[Debit], Table14[Date], Table13[[#This Row],[Date]], Table14[Party], "Transport")</f>
        <v>11600</v>
      </c>
      <c r="E41" s="138">
        <f>SUMIFS(Table14[Credit], Table14[Date], Table13[[#This Row],[Date]], Table14[Party], "Transport")</f>
        <v>0</v>
      </c>
    </row>
    <row r="42" spans="2:6" x14ac:dyDescent="0.3">
      <c r="B42" s="1">
        <v>46045</v>
      </c>
      <c r="D42">
        <f>SUMIFS(Table14[Debit], Table14[Date], Table13[[#This Row],[Date]], Table14[Party], "Transport")</f>
        <v>5000</v>
      </c>
      <c r="E42" s="138">
        <f>SUMIFS(Table14[Credit], Table14[Date], Table13[[#This Row],[Date]], Table14[Party], "Transport")</f>
        <v>0</v>
      </c>
    </row>
    <row r="43" spans="2:6" x14ac:dyDescent="0.3">
      <c r="B43" s="1">
        <v>46046</v>
      </c>
      <c r="D43">
        <f>SUMIFS(Table14[Debit], Table14[Date], Table13[[#This Row],[Date]], Table14[Party], "Transport")</f>
        <v>5000</v>
      </c>
      <c r="E43" s="138">
        <f>SUMIFS(Table14[Credit], Table14[Date], Table13[[#This Row],[Date]], Table14[Party], "Transport")</f>
        <v>0</v>
      </c>
    </row>
    <row r="44" spans="2:6" x14ac:dyDescent="0.3">
      <c r="B44" s="1"/>
      <c r="D44">
        <f>SUBTOTAL(109,Table13[Debit])</f>
        <v>184591</v>
      </c>
      <c r="E44">
        <f>SUBTOTAL(109,Table13[Credit])</f>
        <v>0</v>
      </c>
      <c r="F44">
        <f>Table13[[#Totals],[Debit]]-Table13[[#Totals],[Credit]]</f>
        <v>184591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02"/>
  <sheetViews>
    <sheetView topLeftCell="A181" zoomScale="115" zoomScaleNormal="115" workbookViewId="0">
      <selection activeCell="D203" sqref="D20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1.7369209781855233</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2.8356080605362024</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3.6215321596478134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37.153122100537104</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f>_xlfn.XLOOKUP(Table1[[#This Row],[Shipment Number]], 'pivot '!A:A,'pivot '!G:G, "NF")</f>
        <v>1.3065122083183383</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f>_xlfn.XLOOKUP(Table1[[#This Row],[Shipment Number]], 'pivot '!A:A,'pivot '!G:G, "NF")</f>
        <v>1.3065122083183383</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s="122">
        <v>46031</v>
      </c>
      <c r="B135" s="124" t="s">
        <v>21</v>
      </c>
      <c r="C135" s="119">
        <v>1330</v>
      </c>
      <c r="D135" s="119" t="s">
        <v>86</v>
      </c>
      <c r="E135" s="11">
        <v>2008</v>
      </c>
      <c r="F135" s="11">
        <v>48429</v>
      </c>
      <c r="G135" s="11">
        <v>6455</v>
      </c>
      <c r="H135" s="120">
        <f>_xlfn.XLOOKUP(Table1[[#This Row],[Shipment Number]], 'pivot '!A:A,'pivot '!G:G, "NF")</f>
        <v>1.3065122083183383</v>
      </c>
      <c r="I135" s="121">
        <f>Table1[[#This Row],[Tiyaar/gaz]]/1.0936</f>
        <v>5902.5237746891007</v>
      </c>
      <c r="J135" s="121"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76732.809070958305</v>
      </c>
      <c r="K135" s="119"/>
    </row>
    <row r="136" spans="1:17" x14ac:dyDescent="0.3">
      <c r="A136" s="122">
        <v>46031</v>
      </c>
      <c r="B136" s="124" t="s">
        <v>21</v>
      </c>
      <c r="C136" s="119">
        <v>1331</v>
      </c>
      <c r="D136" s="119" t="s">
        <v>86</v>
      </c>
      <c r="E136" s="11">
        <v>2006</v>
      </c>
      <c r="F136" s="11"/>
      <c r="G136" s="11">
        <v>2740</v>
      </c>
      <c r="H136" s="120">
        <f>_xlfn.XLOOKUP(Table1[[#This Row],[Shipment Number]], 'pivot '!A:A,'pivot '!G:G, "NF")</f>
        <v>37.153122100537104</v>
      </c>
      <c r="I136" s="121">
        <f>Table1[[#This Row],[Tiyaar/gaz]]/1.0936</f>
        <v>2505.4864667154357</v>
      </c>
      <c r="J136" s="121"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32571.324067300662</v>
      </c>
      <c r="K136" s="119"/>
    </row>
    <row r="137" spans="1:17" x14ac:dyDescent="0.3">
      <c r="A137" s="122">
        <v>46031</v>
      </c>
      <c r="B137" s="124" t="s">
        <v>21</v>
      </c>
      <c r="C137" s="119">
        <v>1332</v>
      </c>
      <c r="D137" s="119" t="s">
        <v>86</v>
      </c>
      <c r="E137" s="11">
        <v>2002</v>
      </c>
      <c r="F137" s="11">
        <v>12052</v>
      </c>
      <c r="G137" s="11">
        <v>12842</v>
      </c>
      <c r="H137" s="120">
        <f>_xlfn.XLOOKUP(Table1[[#This Row],[Shipment Number]], 'pivot '!A:A,'pivot '!G:G, "NF")</f>
        <v>2.5649884395126605</v>
      </c>
      <c r="I137" s="121">
        <f>Table1[[#This Row],[Tiyaar/gaz]]/1.0936</f>
        <v>11742.867593269935</v>
      </c>
      <c r="J137" s="121"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152657.27871250917</v>
      </c>
      <c r="K137" s="119"/>
    </row>
    <row r="138" spans="1:17" x14ac:dyDescent="0.3">
      <c r="A138" s="122">
        <v>46031</v>
      </c>
      <c r="B138" s="124" t="s">
        <v>9</v>
      </c>
      <c r="C138" s="119">
        <v>1333</v>
      </c>
      <c r="D138" s="119" t="s">
        <v>86</v>
      </c>
      <c r="E138" s="11">
        <v>1948</v>
      </c>
      <c r="F138" s="11">
        <v>20882</v>
      </c>
      <c r="G138" s="11">
        <v>19077</v>
      </c>
      <c r="H138" s="120">
        <f>_xlfn.XLOOKUP(Table1[[#This Row],[Shipment Number]], 'pivot '!A:A,'pivot '!G:G, "NF")</f>
        <v>2.8356080605362024</v>
      </c>
      <c r="I138" s="121">
        <f>Table1[[#This Row],[Tiyaar/gaz]]/1.0936</f>
        <v>17444.22092172641</v>
      </c>
      <c r="J138" s="121"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226774.87198244332</v>
      </c>
      <c r="K138" s="119"/>
    </row>
    <row r="139" spans="1:17" x14ac:dyDescent="0.3">
      <c r="A139" s="122">
        <v>46031</v>
      </c>
      <c r="B139" s="124" t="s">
        <v>9</v>
      </c>
      <c r="C139" s="119">
        <v>1334</v>
      </c>
      <c r="D139" s="119" t="s">
        <v>86</v>
      </c>
      <c r="E139" s="11">
        <v>1947</v>
      </c>
      <c r="F139" s="11">
        <v>11427</v>
      </c>
      <c r="G139" s="11">
        <v>5970</v>
      </c>
      <c r="H139" s="120">
        <f>_xlfn.XLOOKUP(Table1[[#This Row],[Shipment Number]], 'pivot '!A:A,'pivot '!G:G, "NF")</f>
        <v>3.6215321596478134</v>
      </c>
      <c r="I139" s="121">
        <f>Table1[[#This Row],[Tiyaar/gaz]]/1.0936</f>
        <v>5459.0343818580841</v>
      </c>
      <c r="J139" s="121"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70967.446964155097</v>
      </c>
      <c r="K139" s="119"/>
    </row>
    <row r="140" spans="1:17" x14ac:dyDescent="0.3">
      <c r="A140" s="122">
        <v>46031</v>
      </c>
      <c r="B140" s="124" t="s">
        <v>9</v>
      </c>
      <c r="C140" s="119">
        <v>1335</v>
      </c>
      <c r="D140" s="119" t="s">
        <v>86</v>
      </c>
      <c r="E140" s="11">
        <v>1954</v>
      </c>
      <c r="F140" s="11">
        <v>10254</v>
      </c>
      <c r="G140" s="11">
        <v>6177</v>
      </c>
      <c r="H140" s="120">
        <f>_xlfn.XLOOKUP(Table1[[#This Row],[Shipment Number]], 'pivot '!A:A,'pivot '!G:G, "NF")</f>
        <v>1.7369209781855233</v>
      </c>
      <c r="I140" s="121">
        <f>Table1[[#This Row],[Tiyaar/gaz]]/1.0936</f>
        <v>5648.3174835406007</v>
      </c>
      <c r="J140" s="121"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73428.127286027811</v>
      </c>
      <c r="K140" s="119"/>
    </row>
    <row r="141" spans="1:17" x14ac:dyDescent="0.3">
      <c r="A141" s="122">
        <v>46031</v>
      </c>
      <c r="B141" s="124" t="s">
        <v>9</v>
      </c>
      <c r="C141" s="119">
        <v>1336</v>
      </c>
      <c r="D141" s="119" t="s">
        <v>86</v>
      </c>
      <c r="E141" s="11">
        <v>1969</v>
      </c>
      <c r="F141" s="11">
        <v>7371</v>
      </c>
      <c r="G141" s="11">
        <v>7883</v>
      </c>
      <c r="H141" s="120">
        <f>_xlfn.XLOOKUP(Table1[[#This Row],[Shipment Number]], 'pivot '!A:A,'pivot '!G:G, "NF")</f>
        <v>2.2072601687329723</v>
      </c>
      <c r="I141" s="121">
        <f>Table1[[#This Row],[Tiyaar/gaz]]/1.0936</f>
        <v>7208.3028529626927</v>
      </c>
      <c r="J141" s="121"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93707.937088514998</v>
      </c>
      <c r="K141" s="119"/>
    </row>
    <row r="142" spans="1:17" x14ac:dyDescent="0.3">
      <c r="A142" s="122">
        <v>46031</v>
      </c>
      <c r="B142" s="124" t="s">
        <v>22</v>
      </c>
      <c r="C142" s="119">
        <v>1337</v>
      </c>
      <c r="D142" s="119" t="s">
        <v>86</v>
      </c>
      <c r="E142" s="11">
        <v>1994</v>
      </c>
      <c r="F142" s="11">
        <v>45911</v>
      </c>
      <c r="G142" s="11">
        <v>2736</v>
      </c>
      <c r="H142" s="120">
        <f>_xlfn.XLOOKUP(Table1[[#This Row],[Shipment Number]], 'pivot '!A:A,'pivot '!G:G, "NF")</f>
        <v>2.924358102156134</v>
      </c>
      <c r="I142" s="121">
        <f>Table1[[#This Row],[Tiyaar/gaz]]/1.0936</f>
        <v>2501.8288222384786</v>
      </c>
      <c r="J142" s="121"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32523.774689100221</v>
      </c>
      <c r="K142" s="119"/>
    </row>
    <row r="143" spans="1:17" x14ac:dyDescent="0.3">
      <c r="A143" s="122">
        <v>46032</v>
      </c>
      <c r="B143" s="124" t="s">
        <v>22</v>
      </c>
      <c r="C143" s="119">
        <v>1338</v>
      </c>
      <c r="D143" s="119" t="s">
        <v>86</v>
      </c>
      <c r="E143" s="11">
        <v>1994</v>
      </c>
      <c r="F143" s="11">
        <v>45911</v>
      </c>
      <c r="G143" s="11">
        <v>28328</v>
      </c>
      <c r="H143" s="120">
        <f>_xlfn.XLOOKUP(Table1[[#This Row],[Shipment Number]], 'pivot '!A:A,'pivot '!G:G, "NF")</f>
        <v>2.924358102156134</v>
      </c>
      <c r="I143" s="121">
        <f>Table1[[#This Row],[Tiyaar/gaz]]/1.0936</f>
        <v>25903.438185808343</v>
      </c>
      <c r="J143" s="121"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336744.69641550846</v>
      </c>
      <c r="K143" s="119"/>
    </row>
    <row r="144" spans="1:17" x14ac:dyDescent="0.3">
      <c r="A144" s="122">
        <v>46032</v>
      </c>
      <c r="B144" s="124" t="s">
        <v>184</v>
      </c>
      <c r="C144" s="119">
        <v>1339</v>
      </c>
      <c r="D144" s="119" t="s">
        <v>212</v>
      </c>
      <c r="E144" s="11">
        <v>2011</v>
      </c>
      <c r="F144" s="11">
        <v>30098</v>
      </c>
      <c r="G144" s="11">
        <v>31138</v>
      </c>
      <c r="H144" s="120">
        <f>_xlfn.XLOOKUP(Table1[[#This Row],[Shipment Number]], 'pivot '!A:A,'pivot '!G:G, "NF")</f>
        <v>5.3992510104640843</v>
      </c>
      <c r="I144" s="121">
        <f>Table1[[#This Row],[Tiyaar/gaz]]/1.0936</f>
        <v>28472.933430870522</v>
      </c>
      <c r="J144" s="121"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284729.33430870523</v>
      </c>
      <c r="K144" s="119"/>
    </row>
    <row r="145" spans="1:11" x14ac:dyDescent="0.3">
      <c r="A145" s="122">
        <v>46032</v>
      </c>
      <c r="B145" s="124" t="s">
        <v>184</v>
      </c>
      <c r="C145" s="119">
        <v>1340</v>
      </c>
      <c r="D145" s="119" t="s">
        <v>212</v>
      </c>
      <c r="E145" s="11">
        <v>2010</v>
      </c>
      <c r="F145" s="11">
        <v>32275</v>
      </c>
      <c r="G145" s="11">
        <v>16568</v>
      </c>
      <c r="H145" s="120">
        <f>_xlfn.XLOOKUP(Table1[[#This Row],[Shipment Number]], 'pivot '!A:A,'pivot '!G:G, "NF")</f>
        <v>4.2921083841370802</v>
      </c>
      <c r="I145" s="121">
        <f>Table1[[#This Row],[Tiyaar/gaz]]/1.0936</f>
        <v>15149.963423555231</v>
      </c>
      <c r="J145" s="121"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151499.63423555231</v>
      </c>
      <c r="K145" s="119"/>
    </row>
    <row r="146" spans="1:11" x14ac:dyDescent="0.3">
      <c r="A146" s="122">
        <v>46032</v>
      </c>
      <c r="B146" s="124" t="s">
        <v>22</v>
      </c>
      <c r="C146" s="119">
        <v>1341</v>
      </c>
      <c r="D146" s="119" t="s">
        <v>86</v>
      </c>
      <c r="E146" s="11">
        <v>1994</v>
      </c>
      <c r="F146" s="11">
        <v>45911</v>
      </c>
      <c r="G146" s="11">
        <v>17676</v>
      </c>
      <c r="H146" s="120">
        <f>_xlfn.XLOOKUP(Table1[[#This Row],[Shipment Number]], 'pivot '!A:A,'pivot '!G:G, "NF")</f>
        <v>2.924358102156134</v>
      </c>
      <c r="I146" s="121">
        <f>Table1[[#This Row],[Tiyaar/gaz]]/1.0936</f>
        <v>16163.130943672277</v>
      </c>
      <c r="J146" s="121"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210120.7022677396</v>
      </c>
      <c r="K146" s="119"/>
    </row>
    <row r="147" spans="1:11" x14ac:dyDescent="0.3">
      <c r="A147" s="122">
        <v>46032</v>
      </c>
      <c r="B147" s="124" t="s">
        <v>184</v>
      </c>
      <c r="C147" s="119">
        <v>1342</v>
      </c>
      <c r="D147" s="119" t="s">
        <v>212</v>
      </c>
      <c r="E147" s="11">
        <v>2010</v>
      </c>
      <c r="F147" s="11">
        <v>32275</v>
      </c>
      <c r="G147" s="11">
        <v>12698</v>
      </c>
      <c r="H147" s="120">
        <f>_xlfn.XLOOKUP(Table1[[#This Row],[Shipment Number]], 'pivot '!A:A,'pivot '!G:G, "NF")</f>
        <v>4.2921083841370802</v>
      </c>
      <c r="I147" s="121">
        <f>Table1[[#This Row],[Tiyaar/gaz]]/1.0936</f>
        <v>11611.192392099489</v>
      </c>
      <c r="J147" s="121"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116111.92392099489</v>
      </c>
      <c r="K147" s="119"/>
    </row>
    <row r="148" spans="1:11" x14ac:dyDescent="0.3">
      <c r="A148" s="122">
        <v>46034</v>
      </c>
      <c r="B148" s="124" t="s">
        <v>21</v>
      </c>
      <c r="C148" s="119">
        <v>1343</v>
      </c>
      <c r="D148" s="119" t="s">
        <v>85</v>
      </c>
      <c r="E148" s="11">
        <v>2022</v>
      </c>
      <c r="F148" s="11">
        <v>44988</v>
      </c>
      <c r="G148" s="11">
        <v>19339</v>
      </c>
      <c r="H148" s="120">
        <f>_xlfn.XLOOKUP(Table1[[#This Row],[Shipment Number]], 'pivot '!A:A,'pivot '!G:G, "NF")</f>
        <v>4.1502508447509854</v>
      </c>
      <c r="I148" s="121">
        <f>Table1[[#This Row],[Tiyaar/gaz]]/1.0936</f>
        <v>17683.796634967082</v>
      </c>
      <c r="J148" s="121"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176837.96634967084</v>
      </c>
      <c r="K148" s="119"/>
    </row>
    <row r="149" spans="1:11" x14ac:dyDescent="0.3">
      <c r="A149" s="122">
        <v>46034</v>
      </c>
      <c r="B149" s="124" t="s">
        <v>21</v>
      </c>
      <c r="C149" s="119" t="s">
        <v>478</v>
      </c>
      <c r="D149" s="119" t="s">
        <v>85</v>
      </c>
      <c r="E149" s="11">
        <v>2027</v>
      </c>
      <c r="F149" s="11">
        <v>11450</v>
      </c>
      <c r="G149" s="11">
        <v>300</v>
      </c>
      <c r="H149" s="120">
        <f>_xlfn.XLOOKUP(Table1[[#This Row],[Shipment Number]], 'pivot '!A:A,'pivot '!G:G, "NF")</f>
        <v>1.3394326019109144</v>
      </c>
      <c r="I149" s="121">
        <f>Table1[[#This Row],[Tiyaar/gaz]]/1.0936</f>
        <v>274.32333577176303</v>
      </c>
      <c r="J149" s="121"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2743.2333577176305</v>
      </c>
      <c r="K149" s="119"/>
    </row>
    <row r="150" spans="1:11" x14ac:dyDescent="0.3">
      <c r="A150" s="122">
        <v>46034</v>
      </c>
      <c r="B150" s="124" t="s">
        <v>21</v>
      </c>
      <c r="C150" s="119" t="s">
        <v>479</v>
      </c>
      <c r="D150" s="119" t="s">
        <v>85</v>
      </c>
      <c r="E150" s="11">
        <v>2028</v>
      </c>
      <c r="F150" s="11">
        <v>6629</v>
      </c>
      <c r="G150" s="11">
        <v>930</v>
      </c>
      <c r="H150" s="120">
        <f>_xlfn.XLOOKUP(Table1[[#This Row],[Shipment Number]], 'pivot '!A:A,'pivot '!G:G, "NF")</f>
        <v>5.1103622077760491</v>
      </c>
      <c r="I150" s="121">
        <f>Table1[[#This Row],[Tiyaar/gaz]]/1.0936</f>
        <v>850.4023408924653</v>
      </c>
      <c r="J150" s="121"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8504.0234089246533</v>
      </c>
      <c r="K150" s="119"/>
    </row>
    <row r="151" spans="1:11" x14ac:dyDescent="0.3">
      <c r="A151" s="122">
        <v>46034</v>
      </c>
      <c r="B151" s="124" t="s">
        <v>21</v>
      </c>
      <c r="C151" s="119" t="s">
        <v>480</v>
      </c>
      <c r="D151" s="119" t="s">
        <v>85</v>
      </c>
      <c r="E151" s="11">
        <v>2029</v>
      </c>
      <c r="F151" s="11">
        <v>12001</v>
      </c>
      <c r="G151" s="11">
        <v>928</v>
      </c>
      <c r="H151" s="120">
        <f>_xlfn.XLOOKUP(Table1[[#This Row],[Shipment Number]], 'pivot '!A:A,'pivot '!G:G, "NF")</f>
        <v>1.7775707181680218</v>
      </c>
      <c r="I151" s="121">
        <f>Table1[[#This Row],[Tiyaar/gaz]]/1.0936</f>
        <v>848.57351865398687</v>
      </c>
      <c r="J151" s="121"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8485.7351865398687</v>
      </c>
      <c r="K151" s="119"/>
    </row>
    <row r="152" spans="1:11" x14ac:dyDescent="0.3">
      <c r="A152" s="122">
        <v>46034</v>
      </c>
      <c r="B152" s="124" t="s">
        <v>437</v>
      </c>
      <c r="C152" s="119">
        <v>1345</v>
      </c>
      <c r="D152" s="119" t="s">
        <v>85</v>
      </c>
      <c r="E152" s="11" t="s">
        <v>481</v>
      </c>
      <c r="F152" s="11">
        <v>51307</v>
      </c>
      <c r="G152" s="11">
        <v>29817</v>
      </c>
      <c r="H152" s="120">
        <f>_xlfn.XLOOKUP(Table1[[#This Row],[Shipment Number]], 'pivot '!A:A,'pivot '!G:G, "NF")</f>
        <v>1.7543162764117</v>
      </c>
      <c r="I152" s="121">
        <f>Table1[[#This Row],[Tiyaar/gaz]]/1.0936</f>
        <v>27264.996342355524</v>
      </c>
      <c r="J152" s="121"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152" s="119"/>
    </row>
    <row r="153" spans="1:11" x14ac:dyDescent="0.3">
      <c r="A153" s="122">
        <v>46034</v>
      </c>
      <c r="B153" s="124" t="s">
        <v>21</v>
      </c>
      <c r="C153" s="119">
        <v>1346</v>
      </c>
      <c r="D153" s="119" t="s">
        <v>85</v>
      </c>
      <c r="E153" s="11">
        <v>2027</v>
      </c>
      <c r="F153" s="11">
        <v>11450</v>
      </c>
      <c r="G153" s="11">
        <f>12354-300</f>
        <v>12054</v>
      </c>
      <c r="H153" s="120">
        <f>_xlfn.XLOOKUP(Table1[[#This Row],[Shipment Number]], 'pivot '!A:A,'pivot '!G:G, "NF")</f>
        <v>1.3394326019109144</v>
      </c>
      <c r="I153" s="121">
        <f>Table1[[#This Row],[Tiyaar/gaz]]/1.0936</f>
        <v>11022.311631309438</v>
      </c>
      <c r="J153" s="121"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110223.11631309438</v>
      </c>
      <c r="K153" s="119"/>
    </row>
    <row r="154" spans="1:11" x14ac:dyDescent="0.3">
      <c r="A154" s="122">
        <v>46034</v>
      </c>
      <c r="B154" s="124" t="s">
        <v>21</v>
      </c>
      <c r="C154" s="119">
        <v>1347</v>
      </c>
      <c r="D154" s="119" t="s">
        <v>85</v>
      </c>
      <c r="E154" s="11">
        <v>2022</v>
      </c>
      <c r="F154" s="11">
        <v>44988</v>
      </c>
      <c r="G154" s="11">
        <v>20583</v>
      </c>
      <c r="H154" s="120">
        <f>_xlfn.XLOOKUP(Table1[[#This Row],[Shipment Number]], 'pivot '!A:A,'pivot '!G:G, "NF")</f>
        <v>4.1502508447509854</v>
      </c>
      <c r="I154" s="121">
        <f>Table1[[#This Row],[Tiyaar/gaz]]/1.0936</f>
        <v>18821.324067300658</v>
      </c>
      <c r="J154" s="121"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188213.24067300657</v>
      </c>
      <c r="K154" s="119"/>
    </row>
    <row r="155" spans="1:11" x14ac:dyDescent="0.3">
      <c r="A155" s="122">
        <v>46034</v>
      </c>
      <c r="B155" s="124" t="s">
        <v>21</v>
      </c>
      <c r="C155" s="119">
        <v>1348</v>
      </c>
      <c r="D155" s="119" t="s">
        <v>85</v>
      </c>
      <c r="E155" s="11" t="s">
        <v>564</v>
      </c>
      <c r="F155" s="11">
        <v>28441</v>
      </c>
      <c r="G155" s="11">
        <v>30546</v>
      </c>
      <c r="H155" s="120">
        <f>_xlfn.XLOOKUP(Table1[[#This Row],[Shipment Number]], 'pivot '!A:A,'pivot '!G:G, "NF")</f>
        <v>1.7910690612815756</v>
      </c>
      <c r="I155" s="121">
        <f>Table1[[#This Row],[Tiyaar/gaz]]/1.0936</f>
        <v>27931.602048280911</v>
      </c>
      <c r="J155" s="121"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279316.02048280911</v>
      </c>
      <c r="K155" s="119"/>
    </row>
    <row r="156" spans="1:11" x14ac:dyDescent="0.3">
      <c r="A156" s="122">
        <v>46034</v>
      </c>
      <c r="B156" s="124" t="s">
        <v>21</v>
      </c>
      <c r="C156" s="119">
        <v>1349</v>
      </c>
      <c r="D156" s="119" t="s">
        <v>85</v>
      </c>
      <c r="E156" s="11">
        <v>2029</v>
      </c>
      <c r="F156" s="11">
        <v>12001</v>
      </c>
      <c r="G156" s="11">
        <v>11963</v>
      </c>
      <c r="H156" s="120">
        <f>_xlfn.XLOOKUP(Table1[[#This Row],[Shipment Number]], 'pivot '!A:A,'pivot '!G:G, "NF")</f>
        <v>1.7775707181680218</v>
      </c>
      <c r="I156" s="121">
        <f>Table1[[#This Row],[Tiyaar/gaz]]/1.0936</f>
        <v>10939.100219458669</v>
      </c>
      <c r="J156" s="121"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109391.00219458669</v>
      </c>
      <c r="K156" s="119"/>
    </row>
    <row r="157" spans="1:11" x14ac:dyDescent="0.3">
      <c r="A157" s="122">
        <v>46034</v>
      </c>
      <c r="B157" s="124" t="s">
        <v>21</v>
      </c>
      <c r="C157" s="119">
        <v>1350</v>
      </c>
      <c r="D157" s="119" t="s">
        <v>85</v>
      </c>
      <c r="E157" s="11">
        <v>2028</v>
      </c>
      <c r="F157" s="11">
        <v>6629</v>
      </c>
      <c r="G157" s="11">
        <v>5949</v>
      </c>
      <c r="H157" s="120">
        <f>_xlfn.XLOOKUP(Table1[[#This Row],[Shipment Number]], 'pivot '!A:A,'pivot '!G:G, "NF")</f>
        <v>5.1103622077760491</v>
      </c>
      <c r="I157" s="121">
        <f>Table1[[#This Row],[Tiyaar/gaz]]/1.0936</f>
        <v>5439.8317483540604</v>
      </c>
      <c r="J157" s="121"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54398.317483540603</v>
      </c>
      <c r="K157" s="119"/>
    </row>
    <row r="158" spans="1:11" x14ac:dyDescent="0.3">
      <c r="A158" s="122">
        <v>46034</v>
      </c>
      <c r="B158" s="124" t="s">
        <v>21</v>
      </c>
      <c r="C158" s="119">
        <v>1351</v>
      </c>
      <c r="D158" s="119" t="s">
        <v>85</v>
      </c>
      <c r="E158" s="11">
        <v>2022</v>
      </c>
      <c r="F158" s="11">
        <v>44988</v>
      </c>
      <c r="G158" s="11">
        <v>7235</v>
      </c>
      <c r="H158" s="120">
        <f>_xlfn.XLOOKUP(Table1[[#This Row],[Shipment Number]], 'pivot '!A:A,'pivot '!G:G, "NF")</f>
        <v>4.1502508447509854</v>
      </c>
      <c r="I158" s="121">
        <f>Table1[[#This Row],[Tiyaar/gaz]]/1.0936</f>
        <v>6615.7644476956848</v>
      </c>
      <c r="J158" s="121"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66157.644476956848</v>
      </c>
      <c r="K158" s="119"/>
    </row>
    <row r="159" spans="1:11" x14ac:dyDescent="0.3">
      <c r="A159" s="122">
        <v>46035</v>
      </c>
      <c r="B159" s="124" t="s">
        <v>437</v>
      </c>
      <c r="C159" s="119">
        <v>1352</v>
      </c>
      <c r="D159" s="119" t="s">
        <v>85</v>
      </c>
      <c r="E159" s="11" t="s">
        <v>481</v>
      </c>
      <c r="F159" s="11">
        <v>51307</v>
      </c>
      <c r="G159" s="11">
        <v>25308</v>
      </c>
      <c r="H159" s="120">
        <f>_xlfn.XLOOKUP(Table1[[#This Row],[Shipment Number]], 'pivot '!A:A,'pivot '!G:G, "NF")</f>
        <v>1.7543162764117</v>
      </c>
      <c r="I159" s="121">
        <f>Table1[[#This Row],[Tiyaar/gaz]]/1.0936</f>
        <v>23141.916605705926</v>
      </c>
      <c r="J159" s="121"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231419.16605705925</v>
      </c>
      <c r="K159" s="119"/>
    </row>
    <row r="160" spans="1:11" x14ac:dyDescent="0.3">
      <c r="A160" s="126">
        <v>46035</v>
      </c>
      <c r="B160" s="124" t="s">
        <v>193</v>
      </c>
      <c r="C160" s="119">
        <v>1353</v>
      </c>
      <c r="D160" s="119" t="s">
        <v>85</v>
      </c>
      <c r="E160" s="11">
        <v>2018</v>
      </c>
      <c r="F160" s="11">
        <v>48184</v>
      </c>
      <c r="G160" s="11">
        <v>23397</v>
      </c>
      <c r="H160" s="120">
        <f>_xlfn.XLOOKUP(Table1[[#This Row],[Shipment Number]], 'pivot '!A:A,'pivot '!G:G, "NF")</f>
        <v>1.9053819660576892</v>
      </c>
      <c r="I160" s="121">
        <f>Table1[[#This Row],[Tiyaar/gaz]]/1.0936</f>
        <v>21394.476956839797</v>
      </c>
      <c r="J160" s="121"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213944.76956839795</v>
      </c>
      <c r="K160" s="119"/>
    </row>
    <row r="161" spans="1:12" x14ac:dyDescent="0.3">
      <c r="A161" s="122">
        <v>46036</v>
      </c>
      <c r="B161" s="124" t="s">
        <v>35</v>
      </c>
      <c r="C161" s="119">
        <v>1354</v>
      </c>
      <c r="D161" s="119" t="s">
        <v>86</v>
      </c>
      <c r="E161" s="11">
        <v>2030</v>
      </c>
      <c r="F161" s="11">
        <v>24735</v>
      </c>
      <c r="G161" s="11">
        <v>26408</v>
      </c>
      <c r="H161" s="120">
        <f>_xlfn.XLOOKUP(Table1[[#This Row],[Shipment Number]], 'pivot '!A:A,'pivot '!G:G, "NF")</f>
        <v>2.3740900065936614</v>
      </c>
      <c r="I161" s="121">
        <f>Table1[[#This Row],[Tiyaar/gaz]]/1.0936</f>
        <v>24147.768836869058</v>
      </c>
      <c r="J161" s="121"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313920.99487929774</v>
      </c>
      <c r="K161" s="119"/>
    </row>
    <row r="162" spans="1:12" x14ac:dyDescent="0.3">
      <c r="A162" s="122">
        <v>46036</v>
      </c>
      <c r="B162" s="124" t="s">
        <v>35</v>
      </c>
      <c r="C162" s="119">
        <v>1355</v>
      </c>
      <c r="D162" s="119" t="s">
        <v>86</v>
      </c>
      <c r="E162" s="11">
        <v>2037</v>
      </c>
      <c r="F162" s="11">
        <v>14961</v>
      </c>
      <c r="G162" s="11">
        <v>14290</v>
      </c>
      <c r="H162" s="120">
        <f>_xlfn.XLOOKUP(Table1[[#This Row],[Shipment Number]], 'pivot '!A:A,'pivot '!G:G, "NF")</f>
        <v>2.3552433596309044</v>
      </c>
      <c r="I162" s="121">
        <f>Table1[[#This Row],[Tiyaar/gaz]]/1.0936</f>
        <v>13066.934893928312</v>
      </c>
      <c r="J162" s="121"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169870.15362106805</v>
      </c>
      <c r="K162" s="119"/>
    </row>
    <row r="163" spans="1:12" x14ac:dyDescent="0.3">
      <c r="A163" s="122">
        <v>46036</v>
      </c>
      <c r="B163" s="124" t="s">
        <v>193</v>
      </c>
      <c r="C163" s="119">
        <v>1356</v>
      </c>
      <c r="D163" s="119" t="s">
        <v>85</v>
      </c>
      <c r="E163" s="11">
        <v>2018</v>
      </c>
      <c r="F163" s="11">
        <v>23397</v>
      </c>
      <c r="G163" s="11">
        <v>6055</v>
      </c>
      <c r="H163" s="120">
        <f>_xlfn.XLOOKUP(Table1[[#This Row],[Shipment Number]], 'pivot '!A:A,'pivot '!G:G, "NF")</f>
        <v>1.9053819660576892</v>
      </c>
      <c r="I163" s="121">
        <f>Table1[[#This Row],[Tiyaar/gaz]]/1.0936</f>
        <v>5536.7593269934168</v>
      </c>
      <c r="J163" s="121"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55367.593269934165</v>
      </c>
      <c r="K163" s="119"/>
      <c r="L163"/>
    </row>
    <row r="164" spans="1:12" x14ac:dyDescent="0.3">
      <c r="A164" s="122">
        <v>46037</v>
      </c>
      <c r="B164" s="124" t="s">
        <v>152</v>
      </c>
      <c r="C164" s="119">
        <v>1357</v>
      </c>
      <c r="D164" s="119" t="s">
        <v>86</v>
      </c>
      <c r="E164" s="11">
        <v>2026</v>
      </c>
      <c r="F164" s="11">
        <v>70035</v>
      </c>
      <c r="G164" s="11">
        <v>48955</v>
      </c>
      <c r="H164" s="120">
        <f>_xlfn.XLOOKUP(Table1[[#This Row],[Shipment Number]], 'pivot '!A:A,'pivot '!G:G, "NF")</f>
        <v>1.3960988990299512</v>
      </c>
      <c r="I164" s="121">
        <f>Table1[[#This Row],[Tiyaar/gaz]]/1.0936</f>
        <v>44764.996342355524</v>
      </c>
      <c r="J164" s="121"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581944.95245062176</v>
      </c>
      <c r="K164" s="119"/>
    </row>
    <row r="165" spans="1:12" x14ac:dyDescent="0.3">
      <c r="A165" s="122">
        <v>46038</v>
      </c>
      <c r="B165" s="124" t="s">
        <v>184</v>
      </c>
      <c r="C165" s="119">
        <v>1358</v>
      </c>
      <c r="D165" s="119" t="s">
        <v>212</v>
      </c>
      <c r="E165" s="11">
        <v>2016</v>
      </c>
      <c r="F165" s="11">
        <v>29033</v>
      </c>
      <c r="G165" s="11">
        <v>26454</v>
      </c>
      <c r="H165" s="120">
        <f>_xlfn.XLOOKUP(Table1[[#This Row],[Shipment Number]], 'pivot '!A:A,'pivot '!G:G, "NF")</f>
        <v>2.703860105611966</v>
      </c>
      <c r="I165" s="121">
        <f>Table1[[#This Row],[Tiyaar/gaz]]/1.0936</f>
        <v>24189.831748354063</v>
      </c>
      <c r="J165" s="121"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241898.31748354062</v>
      </c>
      <c r="K165" s="119"/>
    </row>
    <row r="166" spans="1:12" x14ac:dyDescent="0.3">
      <c r="A166" s="122">
        <v>46038</v>
      </c>
      <c r="B166" s="124" t="s">
        <v>184</v>
      </c>
      <c r="C166" s="119">
        <v>1359</v>
      </c>
      <c r="D166" s="119" t="s">
        <v>212</v>
      </c>
      <c r="E166" s="11">
        <v>2012</v>
      </c>
      <c r="F166" s="11">
        <v>28546</v>
      </c>
      <c r="G166" s="11">
        <v>2148</v>
      </c>
      <c r="H166" s="120">
        <f>_xlfn.XLOOKUP(Table1[[#This Row],[Shipment Number]], 'pivot '!A:A,'pivot '!G:G, "NF")</f>
        <v>51.639933205512669</v>
      </c>
      <c r="I166" s="121">
        <f>Table1[[#This Row],[Tiyaar/gaz]]/1.0936</f>
        <v>1964.1550841258231</v>
      </c>
      <c r="J166" s="121"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19641.550841258231</v>
      </c>
      <c r="K166" s="119"/>
    </row>
    <row r="167" spans="1:12" x14ac:dyDescent="0.3">
      <c r="A167" s="122">
        <v>46038</v>
      </c>
      <c r="B167" s="124" t="s">
        <v>152</v>
      </c>
      <c r="C167" s="119">
        <v>1360</v>
      </c>
      <c r="D167" s="119" t="s">
        <v>86</v>
      </c>
      <c r="E167" s="11">
        <v>2026</v>
      </c>
      <c r="F167" s="11">
        <v>70035</v>
      </c>
      <c r="G167" s="11">
        <v>18158</v>
      </c>
      <c r="H167" s="120">
        <f>_xlfn.XLOOKUP(Table1[[#This Row],[Shipment Number]], 'pivot '!A:A,'pivot '!G:G, "NF")</f>
        <v>1.3960988990299512</v>
      </c>
      <c r="I167" s="121">
        <f>Table1[[#This Row],[Tiyaar/gaz]]/1.0936</f>
        <v>16603.877103145576</v>
      </c>
      <c r="J167" s="121"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215850.4023408925</v>
      </c>
      <c r="K167" s="119"/>
    </row>
    <row r="168" spans="1:12" x14ac:dyDescent="0.3">
      <c r="A168" s="122">
        <v>46039</v>
      </c>
      <c r="B168" s="124" t="s">
        <v>184</v>
      </c>
      <c r="C168" s="119">
        <v>1361</v>
      </c>
      <c r="D168" s="119" t="s">
        <v>212</v>
      </c>
      <c r="E168" s="11">
        <v>2014</v>
      </c>
      <c r="F168" s="11">
        <v>28559</v>
      </c>
      <c r="G168" s="11">
        <v>29748</v>
      </c>
      <c r="H168" s="120">
        <f>_xlfn.XLOOKUP(Table1[[#This Row],[Shipment Number]], 'pivot '!A:A,'pivot '!G:G, "NF")</f>
        <v>4.751910167974998</v>
      </c>
      <c r="I168" s="121">
        <f>Table1[[#This Row],[Tiyaar/gaz]]/1.0936</f>
        <v>27201.901975128021</v>
      </c>
      <c r="J168" s="121"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272019.0197512802</v>
      </c>
      <c r="K168" s="119"/>
    </row>
    <row r="169" spans="1:12" x14ac:dyDescent="0.3">
      <c r="A169" s="122">
        <v>46039</v>
      </c>
      <c r="B169" s="124" t="s">
        <v>184</v>
      </c>
      <c r="C169" s="119">
        <v>1362</v>
      </c>
      <c r="D169" s="119" t="s">
        <v>212</v>
      </c>
      <c r="E169" s="11">
        <v>2016</v>
      </c>
      <c r="F169" s="11">
        <v>29033</v>
      </c>
      <c r="G169" s="11">
        <v>4438</v>
      </c>
      <c r="H169" s="120">
        <f>_xlfn.XLOOKUP(Table1[[#This Row],[Shipment Number]], 'pivot '!A:A,'pivot '!G:G, "NF")</f>
        <v>2.703860105611966</v>
      </c>
      <c r="I169" s="121">
        <f>Table1[[#This Row],[Tiyaar/gaz]]/1.0936</f>
        <v>4058.1565471836143</v>
      </c>
      <c r="J169" s="121"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40581.56547183614</v>
      </c>
      <c r="K169" s="119"/>
    </row>
    <row r="170" spans="1:12" x14ac:dyDescent="0.3">
      <c r="A170" s="122">
        <v>46039</v>
      </c>
      <c r="B170" s="124" t="s">
        <v>184</v>
      </c>
      <c r="C170" s="119">
        <v>1363</v>
      </c>
      <c r="D170" s="119" t="s">
        <v>212</v>
      </c>
      <c r="E170" s="11">
        <v>2010</v>
      </c>
      <c r="F170" s="11">
        <v>32275</v>
      </c>
      <c r="G170" s="11">
        <v>4515</v>
      </c>
      <c r="H170" s="120">
        <f>_xlfn.XLOOKUP(Table1[[#This Row],[Shipment Number]], 'pivot '!A:A,'pivot '!G:G, "NF")</f>
        <v>4.2921083841370802</v>
      </c>
      <c r="I170" s="121">
        <f>Table1[[#This Row],[Tiyaar/gaz]]/1.0936</f>
        <v>4128.5662033650333</v>
      </c>
      <c r="J170" s="121"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41285.662033650333</v>
      </c>
      <c r="K170" s="119"/>
    </row>
    <row r="171" spans="1:12" x14ac:dyDescent="0.3">
      <c r="A171" s="122">
        <v>46039</v>
      </c>
      <c r="B171" s="124" t="s">
        <v>184</v>
      </c>
      <c r="C171" s="119">
        <v>1364</v>
      </c>
      <c r="D171" s="119" t="s">
        <v>212</v>
      </c>
      <c r="E171" s="11">
        <v>2013</v>
      </c>
      <c r="F171" s="11">
        <v>26975</v>
      </c>
      <c r="G171" s="11">
        <v>11059</v>
      </c>
      <c r="H171" s="120">
        <f>_xlfn.XLOOKUP(Table1[[#This Row],[Shipment Number]], 'pivot '!A:A,'pivot '!G:G, "NF")</f>
        <v>3.8029333020563456</v>
      </c>
      <c r="I171" s="121">
        <f>Table1[[#This Row],[Tiyaar/gaz]]/1.0936</f>
        <v>10112.472567666424</v>
      </c>
      <c r="J171" s="121"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101124.72567666424</v>
      </c>
      <c r="K171" s="119"/>
    </row>
    <row r="172" spans="1:12" x14ac:dyDescent="0.3">
      <c r="A172" s="122">
        <v>46039</v>
      </c>
      <c r="B172" s="124" t="s">
        <v>184</v>
      </c>
      <c r="C172" s="119">
        <v>1365</v>
      </c>
      <c r="D172" s="119" t="s">
        <v>212</v>
      </c>
      <c r="E172" s="11">
        <v>2013</v>
      </c>
      <c r="F172" s="11">
        <v>26975</v>
      </c>
      <c r="G172" s="11">
        <v>17319</v>
      </c>
      <c r="H172" s="120">
        <f>_xlfn.XLOOKUP(Table1[[#This Row],[Shipment Number]], 'pivot '!A:A,'pivot '!G:G, "NF")</f>
        <v>3.8029333020563456</v>
      </c>
      <c r="I172" s="121">
        <f>Table1[[#This Row],[Tiyaar/gaz]]/1.0936</f>
        <v>15836.686174103879</v>
      </c>
      <c r="J172" s="121"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158366.8617410388</v>
      </c>
      <c r="K172" s="119"/>
    </row>
    <row r="173" spans="1:12" x14ac:dyDescent="0.3">
      <c r="A173" s="122">
        <v>46039</v>
      </c>
      <c r="B173" s="124" t="s">
        <v>184</v>
      </c>
      <c r="C173" s="119">
        <v>1366</v>
      </c>
      <c r="D173" s="119" t="s">
        <v>212</v>
      </c>
      <c r="E173" s="11">
        <v>2012</v>
      </c>
      <c r="F173" s="11">
        <v>28546</v>
      </c>
      <c r="G173" s="11">
        <v>12949</v>
      </c>
      <c r="H173" s="120">
        <f>_xlfn.XLOOKUP(Table1[[#This Row],[Shipment Number]], 'pivot '!A:A,'pivot '!G:G, "NF")</f>
        <v>51.639933205512669</v>
      </c>
      <c r="I173" s="121">
        <f>Table1[[#This Row],[Tiyaar/gaz]]/1.0936</f>
        <v>11840.709583028531</v>
      </c>
      <c r="J173" s="121"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118407.09583028531</v>
      </c>
      <c r="K173" s="119"/>
    </row>
    <row r="174" spans="1:12" x14ac:dyDescent="0.3">
      <c r="A174" s="122">
        <v>46039</v>
      </c>
      <c r="B174" s="124" t="s">
        <v>179</v>
      </c>
      <c r="C174" s="119">
        <v>1367</v>
      </c>
      <c r="D174" s="119" t="s">
        <v>85</v>
      </c>
      <c r="E174" s="11">
        <v>2031</v>
      </c>
      <c r="F174" s="11">
        <v>36016</v>
      </c>
      <c r="G174" s="11">
        <v>17259</v>
      </c>
      <c r="H174" s="120">
        <f>_xlfn.XLOOKUP(Table1[[#This Row],[Shipment Number]], 'pivot '!A:A,'pivot '!G:G, "NF")</f>
        <v>1.7470127070241261</v>
      </c>
      <c r="I174" s="121">
        <f>Table1[[#This Row],[Tiyaar/gaz]]/1.0936</f>
        <v>15781.821506949525</v>
      </c>
      <c r="J174" s="121"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157818.21506949526</v>
      </c>
      <c r="K174" s="119"/>
    </row>
    <row r="175" spans="1:12" x14ac:dyDescent="0.3">
      <c r="A175" s="122">
        <v>46041</v>
      </c>
      <c r="B175" s="124" t="s">
        <v>179</v>
      </c>
      <c r="C175" s="119">
        <v>1368</v>
      </c>
      <c r="D175" s="119" t="s">
        <v>85</v>
      </c>
      <c r="E175" s="11">
        <v>2031</v>
      </c>
      <c r="F175" s="11">
        <v>36016</v>
      </c>
      <c r="G175" s="11">
        <v>21440</v>
      </c>
      <c r="H175" s="120">
        <f>_xlfn.XLOOKUP(Table1[[#This Row],[Shipment Number]], 'pivot '!A:A,'pivot '!G:G, "NF")</f>
        <v>1.7470127070241261</v>
      </c>
      <c r="I175" s="121">
        <f>Table1[[#This Row],[Tiyaar/gaz]]/1.0936</f>
        <v>19604.974396488662</v>
      </c>
      <c r="J175" s="121"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196049.74396488661</v>
      </c>
      <c r="K175" s="119"/>
    </row>
    <row r="176" spans="1:12" x14ac:dyDescent="0.3">
      <c r="A176" s="122">
        <v>46041</v>
      </c>
      <c r="B176" s="124" t="s">
        <v>25</v>
      </c>
      <c r="C176" s="119">
        <v>1369</v>
      </c>
      <c r="D176" s="119" t="s">
        <v>85</v>
      </c>
      <c r="E176" s="11">
        <v>2019</v>
      </c>
      <c r="F176" s="11">
        <v>52178</v>
      </c>
      <c r="G176" s="11">
        <v>24313</v>
      </c>
      <c r="H176" s="120">
        <f>_xlfn.XLOOKUP(Table1[[#This Row],[Shipment Number]], 'pivot '!A:A,'pivot '!G:G, "NF")</f>
        <v>0.57807578542899307</v>
      </c>
      <c r="I176" s="121">
        <f>Table1[[#This Row],[Tiyaar/gaz]]/1.0936</f>
        <v>22232.077542062914</v>
      </c>
      <c r="J176" s="121"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222320.77542062913</v>
      </c>
      <c r="K176" s="119"/>
    </row>
    <row r="177" spans="1:11" x14ac:dyDescent="0.3">
      <c r="A177" s="122">
        <v>46042</v>
      </c>
      <c r="B177" s="124" t="s">
        <v>25</v>
      </c>
      <c r="C177" s="119">
        <v>1370</v>
      </c>
      <c r="D177" s="119" t="s">
        <v>85</v>
      </c>
      <c r="E177" s="11">
        <v>2019</v>
      </c>
      <c r="F177" s="11">
        <v>52178</v>
      </c>
      <c r="G177" s="11">
        <v>32419</v>
      </c>
      <c r="H177" s="120">
        <f>_xlfn.XLOOKUP(Table1[[#This Row],[Shipment Number]], 'pivot '!A:A,'pivot '!G:G, "NF")</f>
        <v>0.57807578542899307</v>
      </c>
      <c r="I177" s="121">
        <f>Table1[[#This Row],[Tiyaar/gaz]]/1.0936</f>
        <v>29644.294074615951</v>
      </c>
      <c r="J177" s="121"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296442.94074615953</v>
      </c>
      <c r="K177" s="119"/>
    </row>
    <row r="178" spans="1:11" x14ac:dyDescent="0.3">
      <c r="A178" s="122">
        <v>46042</v>
      </c>
      <c r="B178" s="124" t="s">
        <v>21</v>
      </c>
      <c r="C178" s="119">
        <v>1371</v>
      </c>
      <c r="D178" s="119" t="s">
        <v>85</v>
      </c>
      <c r="E178" s="11" t="s">
        <v>563</v>
      </c>
      <c r="F178" s="11">
        <v>57352</v>
      </c>
      <c r="G178" s="11">
        <v>15219</v>
      </c>
      <c r="H178" s="120">
        <f>_xlfn.XLOOKUP(Table1[[#This Row],[Shipment Number]], 'pivot '!A:A,'pivot '!G:G, "NF")</f>
        <v>0.98078086143266319</v>
      </c>
      <c r="I178" s="121">
        <f>Table1[[#This Row],[Tiyaar/gaz]]/1.0936</f>
        <v>13916.422823701538</v>
      </c>
      <c r="J178" s="121"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139164.22823701537</v>
      </c>
      <c r="K178" s="119"/>
    </row>
    <row r="179" spans="1:11" x14ac:dyDescent="0.3">
      <c r="A179" s="122">
        <v>46042</v>
      </c>
      <c r="B179" s="124" t="s">
        <v>193</v>
      </c>
      <c r="C179" s="119">
        <v>1372</v>
      </c>
      <c r="D179" s="119" t="s">
        <v>85</v>
      </c>
      <c r="E179" s="11">
        <v>2018</v>
      </c>
      <c r="F179" s="11">
        <v>23397</v>
      </c>
      <c r="G179" s="11">
        <v>22238</v>
      </c>
      <c r="H179" s="120">
        <f>_xlfn.XLOOKUP(Table1[[#This Row],[Shipment Number]], 'pivot '!A:A,'pivot '!G:G, "NF")</f>
        <v>1.9053819660576892</v>
      </c>
      <c r="I179" s="121">
        <f>Table1[[#This Row],[Tiyaar/gaz]]/1.0936</f>
        <v>20334.674469641552</v>
      </c>
      <c r="J179" s="121"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203346.74469641552</v>
      </c>
      <c r="K179" s="119"/>
    </row>
    <row r="180" spans="1:11" x14ac:dyDescent="0.3">
      <c r="A180" s="122">
        <v>46042</v>
      </c>
      <c r="B180" s="124" t="s">
        <v>35</v>
      </c>
      <c r="C180" s="119">
        <v>1373</v>
      </c>
      <c r="D180" s="119" t="s">
        <v>86</v>
      </c>
      <c r="E180" s="11">
        <v>2039</v>
      </c>
      <c r="F180" s="11">
        <v>31746</v>
      </c>
      <c r="G180" s="11">
        <v>18900</v>
      </c>
      <c r="H180" s="120">
        <f>_xlfn.XLOOKUP(Table1[[#This Row],[Shipment Number]], 'pivot '!A:A,'pivot '!G:G, "NF")</f>
        <v>1.9541356776177423</v>
      </c>
      <c r="I180" s="121">
        <f>Table1[[#This Row],[Tiyaar/gaz]]/1.0936</f>
        <v>17282.370153621068</v>
      </c>
      <c r="J180" s="121"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224670.81199707388</v>
      </c>
      <c r="K180" s="119"/>
    </row>
    <row r="181" spans="1:11" x14ac:dyDescent="0.3">
      <c r="A181" s="139">
        <v>46042</v>
      </c>
      <c r="B181" s="140" t="s">
        <v>152</v>
      </c>
      <c r="C181" s="141">
        <v>1374</v>
      </c>
      <c r="D181" s="141" t="s">
        <v>86</v>
      </c>
      <c r="E181" s="142">
        <v>2023</v>
      </c>
      <c r="F181" s="142">
        <v>20503</v>
      </c>
      <c r="G181" s="142">
        <v>11000</v>
      </c>
      <c r="H181" s="143">
        <f>_xlfn.XLOOKUP(Table1[[#This Row],[Shipment Number]], 'pivot '!A:A,'pivot '!G:G, "NF")</f>
        <v>2.0251501368240525</v>
      </c>
      <c r="I181" s="144">
        <f>Table1[[#This Row],[Tiyaar/gaz]]/1.0936</f>
        <v>10058.52231163131</v>
      </c>
      <c r="J181" s="144"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130760.79005120703</v>
      </c>
      <c r="K181" s="119"/>
    </row>
    <row r="182" spans="1:11" x14ac:dyDescent="0.3">
      <c r="A182" s="122">
        <v>46043</v>
      </c>
      <c r="B182" s="124" t="s">
        <v>152</v>
      </c>
      <c r="C182" s="119">
        <v>1375</v>
      </c>
      <c r="D182" s="119" t="s">
        <v>86</v>
      </c>
      <c r="E182" s="11">
        <v>2024</v>
      </c>
      <c r="F182" s="11">
        <v>16895</v>
      </c>
      <c r="G182" s="11">
        <v>18197</v>
      </c>
      <c r="H182" s="120">
        <f>_xlfn.XLOOKUP(Table1[[#This Row],[Shipment Number]], 'pivot '!A:A,'pivot '!G:G, "NF")</f>
        <v>1.5120500929511422</v>
      </c>
      <c r="I182" s="121">
        <f>Table1[[#This Row],[Tiyaar/gaz]]/1.0936</f>
        <v>16639.539136795906</v>
      </c>
      <c r="J182" s="121" cm="1">
        <f t="array" ref="J1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182" s="119"/>
    </row>
    <row r="183" spans="1:11" x14ac:dyDescent="0.3">
      <c r="A183" s="122">
        <v>46043</v>
      </c>
      <c r="B183" s="124" t="s">
        <v>152</v>
      </c>
      <c r="C183" s="119">
        <v>1376</v>
      </c>
      <c r="D183" s="119" t="s">
        <v>86</v>
      </c>
      <c r="E183" s="11">
        <v>2023</v>
      </c>
      <c r="F183" s="11">
        <v>20503</v>
      </c>
      <c r="G183" s="11">
        <v>10968</v>
      </c>
      <c r="H183" s="120">
        <f>_xlfn.XLOOKUP(Table1[[#This Row],[Shipment Number]], 'pivot '!A:A,'pivot '!G:G, "NF")</f>
        <v>2.0251501368240525</v>
      </c>
      <c r="I183" s="121">
        <f>Table1[[#This Row],[Tiyaar/gaz]]/1.0936</f>
        <v>10029.261155815655</v>
      </c>
      <c r="J183" s="121" cm="1">
        <f t="array" ref="J1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183" s="119"/>
    </row>
    <row r="184" spans="1:11" x14ac:dyDescent="0.3">
      <c r="A184" s="122">
        <v>46043</v>
      </c>
      <c r="B184" s="124" t="s">
        <v>152</v>
      </c>
      <c r="C184" s="119">
        <v>1377</v>
      </c>
      <c r="D184" s="119" t="s">
        <v>86</v>
      </c>
      <c r="E184" s="11">
        <v>2025</v>
      </c>
      <c r="F184" s="11">
        <v>6991</v>
      </c>
      <c r="G184" s="11">
        <v>7531</v>
      </c>
      <c r="H184" s="120">
        <f>_xlfn.XLOOKUP(Table1[[#This Row],[Shipment Number]], 'pivot '!A:A,'pivot '!G:G, "NF")</f>
        <v>1.4957783008083112</v>
      </c>
      <c r="I184" s="121">
        <f>Table1[[#This Row],[Tiyaar/gaz]]/1.0936</f>
        <v>6886.4301389904904</v>
      </c>
      <c r="J184" s="121" cm="1">
        <f t="array" ref="J1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184" s="119"/>
    </row>
    <row r="185" spans="1:11" x14ac:dyDescent="0.3">
      <c r="A185" s="122">
        <v>46043</v>
      </c>
      <c r="B185" s="124" t="s">
        <v>35</v>
      </c>
      <c r="C185" s="119">
        <v>1378</v>
      </c>
      <c r="D185" s="119" t="s">
        <v>86</v>
      </c>
      <c r="E185" s="11">
        <v>2039</v>
      </c>
      <c r="F185" s="11">
        <v>31746</v>
      </c>
      <c r="G185" s="11">
        <v>15139</v>
      </c>
      <c r="H185" s="120">
        <f>_xlfn.XLOOKUP(Table1[[#This Row],[Shipment Number]], 'pivot '!A:A,'pivot '!G:G, "NF")</f>
        <v>1.9541356776177423</v>
      </c>
      <c r="I185" s="121">
        <f>Table1[[#This Row],[Tiyaar/gaz]]/1.0936</f>
        <v>13843.269934162401</v>
      </c>
      <c r="J185" s="121" cm="1">
        <f t="array" ref="J1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185" s="119"/>
    </row>
    <row r="186" spans="1:11" x14ac:dyDescent="0.3">
      <c r="A186" s="122">
        <v>46043</v>
      </c>
      <c r="B186" s="124" t="s">
        <v>35</v>
      </c>
      <c r="C186" s="119">
        <v>1379</v>
      </c>
      <c r="D186" s="119" t="s">
        <v>86</v>
      </c>
      <c r="E186" s="11">
        <v>2037</v>
      </c>
      <c r="F186" s="11">
        <v>14961</v>
      </c>
      <c r="G186" s="11">
        <v>1686</v>
      </c>
      <c r="H186" s="120">
        <f>_xlfn.XLOOKUP(Table1[[#This Row],[Shipment Number]], 'pivot '!A:A,'pivot '!G:G, "NF")</f>
        <v>2.3552433596309044</v>
      </c>
      <c r="I186" s="121">
        <f>Table1[[#This Row],[Tiyaar/gaz]]/1.0936</f>
        <v>1541.697147037308</v>
      </c>
      <c r="J186" s="121" cm="1">
        <f t="array" ref="J1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186" s="119"/>
    </row>
    <row r="187" spans="1:11" x14ac:dyDescent="0.3">
      <c r="A187" s="122">
        <v>46044</v>
      </c>
      <c r="B187" s="124" t="s">
        <v>152</v>
      </c>
      <c r="C187" s="119">
        <v>1380</v>
      </c>
      <c r="D187" s="119" t="s">
        <v>86</v>
      </c>
      <c r="E187" s="11">
        <v>2026</v>
      </c>
      <c r="F187" s="11">
        <v>70035</v>
      </c>
      <c r="G187" s="11">
        <v>8408</v>
      </c>
      <c r="H187" s="120">
        <f>_xlfn.XLOOKUP(Table1[[#This Row],[Shipment Number]], 'pivot '!A:A,'pivot '!G:G, "NF")</f>
        <v>1.3960988990299512</v>
      </c>
      <c r="I187" s="121">
        <f>Table1[[#This Row],[Tiyaar/gaz]]/1.0936</f>
        <v>7688.3686905632776</v>
      </c>
      <c r="J187" s="121" cm="1">
        <f t="array" ref="J1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187" s="119"/>
    </row>
    <row r="188" spans="1:11" x14ac:dyDescent="0.3">
      <c r="A188" s="122">
        <v>46044</v>
      </c>
      <c r="B188" s="124" t="s">
        <v>21</v>
      </c>
      <c r="C188" s="119">
        <v>1381</v>
      </c>
      <c r="D188" s="119" t="s">
        <v>86</v>
      </c>
      <c r="E188" s="11">
        <v>2041</v>
      </c>
      <c r="F188" s="11">
        <v>50350</v>
      </c>
      <c r="G188" s="11">
        <v>38195</v>
      </c>
      <c r="H188" s="120">
        <f>_xlfn.XLOOKUP(Table1[[#This Row],[Shipment Number]], 'pivot '!A:A,'pivot '!G:G, "NF")</f>
        <v>1.5414410756017247</v>
      </c>
      <c r="I188" s="121">
        <f>Table1[[#This Row],[Tiyaar/gaz]]/1.0936</f>
        <v>34925.932699341625</v>
      </c>
      <c r="J188" s="121" cm="1">
        <f t="array" ref="J1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188" s="119"/>
    </row>
    <row r="189" spans="1:11" x14ac:dyDescent="0.3">
      <c r="A189" s="122">
        <v>46044</v>
      </c>
      <c r="B189" s="124" t="s">
        <v>21</v>
      </c>
      <c r="C189" s="119">
        <v>1382</v>
      </c>
      <c r="D189" s="119" t="s">
        <v>86</v>
      </c>
      <c r="E189" s="11">
        <v>2041</v>
      </c>
      <c r="F189" s="11">
        <v>50350</v>
      </c>
      <c r="G189" s="11">
        <v>16019</v>
      </c>
      <c r="H189" s="120">
        <f>_xlfn.XLOOKUP(Table1[[#This Row],[Shipment Number]], 'pivot '!A:A,'pivot '!G:G, "NF")</f>
        <v>1.5414410756017247</v>
      </c>
      <c r="I189" s="121">
        <f>Table1[[#This Row],[Tiyaar/gaz]]/1.0936</f>
        <v>14647.951719092905</v>
      </c>
      <c r="J189" s="121" cm="1">
        <f t="array" ref="J1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189" s="119"/>
    </row>
    <row r="190" spans="1:11" x14ac:dyDescent="0.3">
      <c r="A190" s="122">
        <v>46044</v>
      </c>
      <c r="B190" s="124" t="s">
        <v>21</v>
      </c>
      <c r="C190" s="119">
        <v>1383</v>
      </c>
      <c r="D190" s="119" t="s">
        <v>86</v>
      </c>
      <c r="E190" s="11">
        <v>2006</v>
      </c>
      <c r="F190" s="11">
        <v>24208</v>
      </c>
      <c r="G190" s="11">
        <v>980</v>
      </c>
      <c r="H190" s="120">
        <f>_xlfn.XLOOKUP(Table1[[#This Row],[Shipment Number]], 'pivot '!A:A,'pivot '!G:G, "NF")</f>
        <v>37.153122100537104</v>
      </c>
      <c r="I190" s="121">
        <f>Table1[[#This Row],[Tiyaar/gaz]]/1.0936</f>
        <v>896.12289685442579</v>
      </c>
      <c r="J190" s="121" cm="1">
        <f t="array" ref="J1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190" s="119"/>
    </row>
    <row r="191" spans="1:11" x14ac:dyDescent="0.3">
      <c r="A191" s="122">
        <v>46044</v>
      </c>
      <c r="B191" s="124" t="s">
        <v>21</v>
      </c>
      <c r="C191" s="119">
        <v>1384</v>
      </c>
      <c r="D191" s="119" t="s">
        <v>85</v>
      </c>
      <c r="E191" s="11" t="s">
        <v>563</v>
      </c>
      <c r="F191" s="11">
        <v>57352</v>
      </c>
      <c r="G191" s="11">
        <v>34000</v>
      </c>
      <c r="H191" s="120">
        <f>_xlfn.XLOOKUP(Table1[[#This Row],[Shipment Number]], 'pivot '!A:A,'pivot '!G:G, "NF")</f>
        <v>0.98078086143266319</v>
      </c>
      <c r="I191" s="121">
        <f>Table1[[#This Row],[Tiyaar/gaz]]/1.0936</f>
        <v>31089.978054133142</v>
      </c>
      <c r="J191" s="121" cm="1">
        <f t="array" ref="J1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191" s="119"/>
    </row>
    <row r="192" spans="1:11" x14ac:dyDescent="0.3">
      <c r="A192" s="122">
        <v>46045</v>
      </c>
      <c r="B192" s="124" t="s">
        <v>21</v>
      </c>
      <c r="C192" s="119">
        <v>1385</v>
      </c>
      <c r="D192" s="119" t="s">
        <v>85</v>
      </c>
      <c r="E192" s="11" t="s">
        <v>563</v>
      </c>
      <c r="F192" s="11">
        <v>57352</v>
      </c>
      <c r="G192" s="11">
        <v>12886</v>
      </c>
      <c r="H192" s="120">
        <f>_xlfn.XLOOKUP(Table1[[#This Row],[Shipment Number]], 'pivot '!A:A,'pivot '!G:G, "NF")</f>
        <v>0.98078086143266319</v>
      </c>
      <c r="I192" s="121">
        <f>Table1[[#This Row],[Tiyaar/gaz]]/1.0936</f>
        <v>11783.101682516461</v>
      </c>
      <c r="J192" s="121" cm="1">
        <f t="array" ref="J1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192" s="119"/>
    </row>
    <row r="193" spans="1:11" x14ac:dyDescent="0.3">
      <c r="A193" s="122">
        <v>46045</v>
      </c>
      <c r="B193" s="124" t="s">
        <v>21</v>
      </c>
      <c r="C193" s="119">
        <v>1386</v>
      </c>
      <c r="D193" s="119" t="s">
        <v>85</v>
      </c>
      <c r="E193" s="11">
        <v>2035</v>
      </c>
      <c r="F193" s="11">
        <v>38006</v>
      </c>
      <c r="G193" s="11">
        <v>28436</v>
      </c>
      <c r="H193" s="120">
        <f>_xlfn.XLOOKUP(Table1[[#This Row],[Shipment Number]], 'pivot '!A:A,'pivot '!G:G, "NF")</f>
        <v>9.7108603458096354E-2</v>
      </c>
      <c r="I193" s="121">
        <f>Table1[[#This Row],[Tiyaar/gaz]]/1.0936</f>
        <v>26002.194586686175</v>
      </c>
      <c r="J193" s="121" cm="1">
        <f t="array" ref="J1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193" s="119"/>
    </row>
    <row r="194" spans="1:11" x14ac:dyDescent="0.3">
      <c r="A194" s="122">
        <v>46045</v>
      </c>
      <c r="B194" s="124" t="s">
        <v>21</v>
      </c>
      <c r="C194" s="119">
        <v>1387</v>
      </c>
      <c r="D194" s="119" t="s">
        <v>85</v>
      </c>
      <c r="E194" s="11">
        <v>2040</v>
      </c>
      <c r="F194" s="11">
        <v>13976</v>
      </c>
      <c r="G194" s="11">
        <v>4368</v>
      </c>
      <c r="H194" s="120">
        <f>_xlfn.XLOOKUP(Table1[[#This Row],[Shipment Number]], 'pivot '!A:A,'pivot '!G:G, "NF")</f>
        <v>71.421381161728178</v>
      </c>
      <c r="I194" s="121">
        <f>Table1[[#This Row],[Tiyaar/gaz]]/1.0936</f>
        <v>3994.1477688368695</v>
      </c>
      <c r="J194" s="121" cm="1">
        <f t="array" ref="J1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194" s="119"/>
    </row>
    <row r="195" spans="1:11" x14ac:dyDescent="0.3">
      <c r="A195" s="122">
        <v>46045</v>
      </c>
      <c r="B195" s="124" t="s">
        <v>25</v>
      </c>
      <c r="C195" s="119">
        <v>1388</v>
      </c>
      <c r="D195" s="119" t="s">
        <v>85</v>
      </c>
      <c r="E195" s="11">
        <v>2020</v>
      </c>
      <c r="F195" s="11">
        <v>22557</v>
      </c>
      <c r="G195" s="11">
        <v>1891</v>
      </c>
      <c r="H195" s="120">
        <f>_xlfn.XLOOKUP(Table1[[#This Row],[Shipment Number]], 'pivot '!A:A,'pivot '!G:G, "NF")</f>
        <v>92.334302316436819</v>
      </c>
      <c r="I195" s="121">
        <f>Table1[[#This Row],[Tiyaar/gaz]]/1.0936</f>
        <v>1729.1514264813461</v>
      </c>
      <c r="J195" s="121" cm="1">
        <f t="array" ref="J1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195" s="119"/>
    </row>
    <row r="196" spans="1:11" x14ac:dyDescent="0.3">
      <c r="A196" s="122">
        <v>46046</v>
      </c>
      <c r="B196" s="124" t="s">
        <v>152</v>
      </c>
      <c r="C196" s="119">
        <v>1389</v>
      </c>
      <c r="D196" s="119" t="s">
        <v>85</v>
      </c>
      <c r="E196" s="11">
        <v>2034</v>
      </c>
      <c r="F196" s="11">
        <v>50630</v>
      </c>
      <c r="G196" s="11">
        <v>49876</v>
      </c>
      <c r="H196" s="120">
        <f>_xlfn.XLOOKUP(Table1[[#This Row],[Shipment Number]], 'pivot '!A:A,'pivot '!G:G, "NF")</f>
        <v>2.1581908479854519</v>
      </c>
      <c r="I196" s="121">
        <f>Table1[[#This Row],[Tiyaar/gaz]]/1.0936</f>
        <v>45607.168983174837</v>
      </c>
      <c r="J196" s="121" cm="1">
        <f t="array" ref="J1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196" s="119"/>
    </row>
    <row r="197" spans="1:11" x14ac:dyDescent="0.3">
      <c r="A197" s="122">
        <v>46046</v>
      </c>
      <c r="B197" s="124" t="s">
        <v>21</v>
      </c>
      <c r="C197" s="119">
        <v>1390</v>
      </c>
      <c r="D197" s="119" t="s">
        <v>85</v>
      </c>
      <c r="E197" s="11">
        <v>2035</v>
      </c>
      <c r="F197" s="11">
        <v>38006</v>
      </c>
      <c r="G197" s="11">
        <v>13087</v>
      </c>
      <c r="H197" s="120">
        <f>_xlfn.XLOOKUP(Table1[[#This Row],[Shipment Number]], 'pivot '!A:A,'pivot '!G:G, "NF")</f>
        <v>9.7108603458096354E-2</v>
      </c>
      <c r="I197" s="121">
        <f>Table1[[#This Row],[Tiyaar/gaz]]/1.0936</f>
        <v>11966.898317483541</v>
      </c>
      <c r="J197" s="121" cm="1">
        <f t="array" ref="J1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197" s="119"/>
    </row>
    <row r="198" spans="1:11" x14ac:dyDescent="0.3">
      <c r="A198" s="122">
        <v>46046</v>
      </c>
      <c r="B198" s="124" t="s">
        <v>21</v>
      </c>
      <c r="C198" s="119">
        <v>1391</v>
      </c>
      <c r="D198" s="119" t="s">
        <v>85</v>
      </c>
      <c r="E198" s="11">
        <v>2046</v>
      </c>
      <c r="F198" s="11">
        <v>100417</v>
      </c>
      <c r="G198" s="11">
        <v>4343</v>
      </c>
      <c r="H198" s="120">
        <f>_xlfn.XLOOKUP(Table1[[#This Row],[Shipment Number]], 'pivot '!A:A,'pivot '!G:G, "NF")</f>
        <v>96.045204008428968</v>
      </c>
      <c r="I198" s="121">
        <f>Table1[[#This Row],[Tiyaar/gaz]]/1.0936</f>
        <v>3971.2874908558892</v>
      </c>
      <c r="J198" s="121" cm="1">
        <f t="array" ref="J1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198" s="119"/>
    </row>
    <row r="199" spans="1:11" x14ac:dyDescent="0.3">
      <c r="A199" s="122">
        <v>46046</v>
      </c>
      <c r="B199" s="124" t="s">
        <v>152</v>
      </c>
      <c r="C199" s="119">
        <v>1392</v>
      </c>
      <c r="D199" s="119" t="s">
        <v>85</v>
      </c>
      <c r="E199" s="11">
        <v>2034</v>
      </c>
      <c r="F199" s="11">
        <v>50630</v>
      </c>
      <c r="G199" s="11">
        <v>4298</v>
      </c>
      <c r="H199" s="120">
        <f>_xlfn.XLOOKUP(Table1[[#This Row],[Shipment Number]], 'pivot '!A:A,'pivot '!G:G, "NF")</f>
        <v>2.1581908479854519</v>
      </c>
      <c r="I199" s="121">
        <f>Table1[[#This Row],[Tiyaar/gaz]]/1.0936</f>
        <v>3930.1389904901248</v>
      </c>
      <c r="J199" s="121" cm="1">
        <f t="array" ref="J1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199" s="119"/>
    </row>
    <row r="200" spans="1:11" x14ac:dyDescent="0.3">
      <c r="A200" s="122">
        <v>46046</v>
      </c>
      <c r="B200" s="124" t="s">
        <v>152</v>
      </c>
      <c r="C200" s="119">
        <v>1393</v>
      </c>
      <c r="D200" s="119" t="s">
        <v>85</v>
      </c>
      <c r="E200" s="11">
        <v>2033</v>
      </c>
      <c r="F200" s="11">
        <v>26970</v>
      </c>
      <c r="G200" s="11">
        <v>18078</v>
      </c>
      <c r="H200" s="120">
        <f>_xlfn.XLOOKUP(Table1[[#This Row],[Shipment Number]], 'pivot '!A:A,'pivot '!G:G, "NF")</f>
        <v>38.706992163120354</v>
      </c>
      <c r="I200" s="121">
        <f>Table1[[#This Row],[Tiyaar/gaz]]/1.0936</f>
        <v>16530.724213606438</v>
      </c>
      <c r="J200" s="121" cm="1">
        <f t="array" ref="J2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200" s="119"/>
    </row>
    <row r="201" spans="1:11" x14ac:dyDescent="0.3">
      <c r="A201" s="122">
        <v>46045</v>
      </c>
      <c r="B201" s="124"/>
      <c r="C201" s="119"/>
      <c r="D201" s="119"/>
      <c r="E201" s="11"/>
      <c r="F201" s="11"/>
      <c r="G201" s="11"/>
      <c r="H201" s="120" t="e">
        <f>_xlfn.XLOOKUP(Table1[[#This Row],[Shipment Number]], 'pivot '!A:A,'pivot '!G:G, "NF")</f>
        <v>#DIV/0!</v>
      </c>
      <c r="I201" s="134"/>
      <c r="J201" s="121"/>
      <c r="K201" s="119"/>
    </row>
    <row r="202" spans="1:11" x14ac:dyDescent="0.3">
      <c r="A202"/>
      <c r="B202"/>
      <c r="C202"/>
      <c r="D202"/>
      <c r="E202" s="14"/>
      <c r="F202" s="14"/>
      <c r="G202" s="14"/>
      <c r="H202" s="43"/>
      <c r="I202" s="94" cm="1">
        <f t="array" aca="1" ref="I202" ca="1">SUMPRODUCT( SUBTOTAL(109, OFFSET(Table1[tiyar/meters], ROW(Table1[tiyar/meters])-MIN(ROW(Table1[tiyar/meters])), 0, 1)), --(Table1[Bill Number]&lt;&gt;"November Closing CF") )</f>
        <v>2018493.8573518656</v>
      </c>
      <c r="J202" s="43" cm="1">
        <f t="array" aca="1" ref="J202" ca="1">SUMPRODUCT( SUBTOTAL(109, OFFSET(Table1[billing], ROW(Table1[billing])-MIN(ROW(Table1[billing])), 0, 1)), --(Table1[Bill Number]&lt;&gt;"November Closing CF") )</f>
        <v>21707792.450621806</v>
      </c>
      <c r="K202" s="14">
        <f>SUMIFS(Table1[billing], Table1[Bill Number], "&lt;&gt;November Closing CF")</f>
        <v>21707792.450621806</v>
      </c>
    </row>
  </sheetData>
  <phoneticPr fontId="7" alignment="center"/>
  <conditionalFormatting sqref="H2:H202">
    <cfRule type="cellIs" dxfId="3"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106" zoomScale="145" zoomScaleNormal="90" workbookViewId="0">
      <selection activeCell="A116" sqref="A11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8695420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770010</v>
      </c>
      <c r="O40" s="14">
        <v>185000</v>
      </c>
      <c r="P40" s="14">
        <v>585010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631</v>
      </c>
      <c r="N41" s="14">
        <v>509890</v>
      </c>
      <c r="O41" s="14">
        <v>185000</v>
      </c>
      <c r="P41" s="14">
        <v>324890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128</v>
      </c>
      <c r="N43" s="14">
        <v>95300</v>
      </c>
      <c r="O43" s="14">
        <v>0</v>
      </c>
      <c r="P43" s="14">
        <v>95300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46022</v>
      </c>
      <c r="M50" s="14">
        <v>773</v>
      </c>
      <c r="N50" s="14">
        <v>589760</v>
      </c>
      <c r="O50" s="14">
        <v>250010</v>
      </c>
      <c r="P50" s="14">
        <v>339750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773</v>
      </c>
      <c r="N51" s="14">
        <v>589760</v>
      </c>
      <c r="O51" s="14">
        <v>250010</v>
      </c>
      <c r="P51" s="14">
        <v>339750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26">
        <v>46023</v>
      </c>
      <c r="M52" s="14">
        <v>658</v>
      </c>
      <c r="N52" s="14">
        <v>541840</v>
      </c>
      <c r="O52" s="14">
        <v>275111</v>
      </c>
      <c r="P52" s="14">
        <v>266729</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42" t="s">
        <v>103</v>
      </c>
      <c r="M53" s="14">
        <v>658</v>
      </c>
      <c r="N53" s="14">
        <v>541840</v>
      </c>
      <c r="O53" s="14">
        <v>275111</v>
      </c>
      <c r="P53" s="14">
        <v>266729</v>
      </c>
    </row>
    <row r="54" spans="1:16" x14ac:dyDescent="0.3">
      <c r="A54" s="1">
        <v>46019</v>
      </c>
      <c r="B54" t="s">
        <v>169</v>
      </c>
      <c r="D54" s="11">
        <v>116</v>
      </c>
      <c r="E54" s="11">
        <v>775</v>
      </c>
      <c r="F54" s="11"/>
      <c r="G54" s="11">
        <f t="shared" ref="G54:G55" si="10">D54*E54</f>
        <v>89900</v>
      </c>
      <c r="H54" s="11"/>
      <c r="I54" s="11">
        <f>(D54*E54)-Table3[[#This Row],[Paid]]</f>
        <v>89900</v>
      </c>
      <c r="L54" s="26">
        <v>46024</v>
      </c>
      <c r="M54" s="14">
        <v>473</v>
      </c>
      <c r="N54" s="14">
        <v>402050</v>
      </c>
      <c r="O54" s="14">
        <v>200154</v>
      </c>
      <c r="P54" s="14">
        <v>201896</v>
      </c>
    </row>
    <row r="55" spans="1:16" x14ac:dyDescent="0.3">
      <c r="A55" s="1">
        <v>46019</v>
      </c>
      <c r="B55" t="s">
        <v>169</v>
      </c>
      <c r="D55" s="11">
        <v>20</v>
      </c>
      <c r="E55" s="11">
        <v>580</v>
      </c>
      <c r="F55" s="11"/>
      <c r="G55" s="11">
        <f t="shared" si="10"/>
        <v>11600</v>
      </c>
      <c r="H55" s="11"/>
      <c r="I55" s="11">
        <f>(D55*E55)-Table3[[#This Row],[Paid]]</f>
        <v>11600</v>
      </c>
      <c r="L55" s="42" t="s">
        <v>103</v>
      </c>
      <c r="M55" s="14">
        <v>473</v>
      </c>
      <c r="N55" s="14">
        <v>402050</v>
      </c>
      <c r="O55" s="14">
        <v>200154</v>
      </c>
      <c r="P55" s="14">
        <v>201896</v>
      </c>
    </row>
    <row r="56" spans="1:16" x14ac:dyDescent="0.3">
      <c r="A56" s="1">
        <v>46020</v>
      </c>
      <c r="B56" t="s">
        <v>169</v>
      </c>
      <c r="D56" s="11">
        <v>90</v>
      </c>
      <c r="E56" s="11">
        <v>775</v>
      </c>
      <c r="F56" s="11"/>
      <c r="G56" s="11">
        <f t="shared" ref="G56:G62" si="11">D56*E56</f>
        <v>69750</v>
      </c>
      <c r="H56" s="11"/>
      <c r="I56" s="11">
        <f>(D56*E56)-Table3[[#This Row],[Paid]]</f>
        <v>69750</v>
      </c>
      <c r="L56" s="26">
        <v>46025</v>
      </c>
      <c r="M56" s="14">
        <v>455</v>
      </c>
      <c r="N56" s="14">
        <v>370700</v>
      </c>
      <c r="O56" s="14">
        <v>260500</v>
      </c>
      <c r="P56" s="14">
        <v>110200</v>
      </c>
    </row>
    <row r="57" spans="1:16" x14ac:dyDescent="0.3">
      <c r="A57" s="1">
        <v>46020</v>
      </c>
      <c r="B57" t="s">
        <v>169</v>
      </c>
      <c r="D57" s="11">
        <v>58</v>
      </c>
      <c r="E57" s="11">
        <v>580</v>
      </c>
      <c r="F57" s="11"/>
      <c r="G57" s="11">
        <f t="shared" si="11"/>
        <v>33640</v>
      </c>
      <c r="H57" s="11"/>
      <c r="I57" s="11">
        <f>(D57*E57)-Table3[[#This Row],[Paid]]</f>
        <v>33640</v>
      </c>
      <c r="L57" s="42" t="s">
        <v>103</v>
      </c>
      <c r="M57" s="14">
        <v>136</v>
      </c>
      <c r="N57" s="14">
        <v>99550</v>
      </c>
      <c r="O57" s="14">
        <v>200100</v>
      </c>
      <c r="P57" s="14">
        <v>-100550</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394</v>
      </c>
      <c r="M58" s="14">
        <v>319</v>
      </c>
      <c r="N58" s="14">
        <v>271150</v>
      </c>
      <c r="O58" s="14">
        <v>60400</v>
      </c>
      <c r="P58" s="14">
        <v>210750</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46027</v>
      </c>
      <c r="M59" s="14"/>
      <c r="N59" s="14">
        <v>0</v>
      </c>
      <c r="O59" s="14">
        <v>484200</v>
      </c>
      <c r="P59" s="14">
        <v>-484200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c r="N60" s="14">
        <v>0</v>
      </c>
      <c r="O60" s="14">
        <v>484200</v>
      </c>
      <c r="P60" s="14">
        <v>-484200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26">
        <v>46026</v>
      </c>
      <c r="M61" s="14">
        <v>350</v>
      </c>
      <c r="N61" s="14">
        <v>267550</v>
      </c>
      <c r="O61" s="14">
        <v>20000</v>
      </c>
      <c r="P61" s="14">
        <v>247550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42" t="s">
        <v>103</v>
      </c>
      <c r="M62" s="14">
        <v>350</v>
      </c>
      <c r="N62" s="14">
        <v>267550</v>
      </c>
      <c r="O62" s="14">
        <v>20000</v>
      </c>
      <c r="P62" s="14">
        <v>247550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26">
        <v>46028</v>
      </c>
      <c r="M63" s="14">
        <v>416</v>
      </c>
      <c r="N63" s="14">
        <v>341120</v>
      </c>
      <c r="O63" s="14">
        <v>142500</v>
      </c>
      <c r="P63" s="14">
        <v>198620</v>
      </c>
    </row>
    <row r="64" spans="1:16" x14ac:dyDescent="0.3">
      <c r="A64" s="1">
        <v>46022</v>
      </c>
      <c r="B64" t="s">
        <v>200</v>
      </c>
      <c r="D64" s="11">
        <v>185</v>
      </c>
      <c r="E64" s="11">
        <v>820</v>
      </c>
      <c r="F64" s="11"/>
      <c r="G64" s="11">
        <f t="shared" si="12"/>
        <v>151700</v>
      </c>
      <c r="H64" s="11"/>
      <c r="I64" s="11">
        <f>(D64*E64)-Table3[[#This Row],[Paid]]</f>
        <v>151700</v>
      </c>
      <c r="L64" s="42" t="s">
        <v>103</v>
      </c>
      <c r="M64" s="14">
        <v>416</v>
      </c>
      <c r="N64" s="14">
        <v>341120</v>
      </c>
      <c r="O64" s="14">
        <v>142500</v>
      </c>
      <c r="P64" s="14">
        <v>198620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26">
        <v>46029</v>
      </c>
      <c r="M65" s="14">
        <v>216</v>
      </c>
      <c r="N65" s="14">
        <v>177120</v>
      </c>
      <c r="O65" s="14">
        <v>200614</v>
      </c>
      <c r="P65" s="14">
        <v>-23494</v>
      </c>
    </row>
    <row r="66" spans="1:16" x14ac:dyDescent="0.3">
      <c r="A66" s="1">
        <v>46023</v>
      </c>
      <c r="B66" t="s">
        <v>200</v>
      </c>
      <c r="D66" s="11">
        <v>228</v>
      </c>
      <c r="E66" s="11">
        <v>820</v>
      </c>
      <c r="F66" s="11"/>
      <c r="G66" s="11">
        <f t="shared" ref="G66:G67" si="13">D66*E66</f>
        <v>186960</v>
      </c>
      <c r="H66" s="11"/>
      <c r="I66" s="11">
        <f>(D66*E66)-Table3[[#This Row],[Paid]]</f>
        <v>186960</v>
      </c>
      <c r="L66" s="42" t="s">
        <v>103</v>
      </c>
      <c r="M66" s="14">
        <v>216</v>
      </c>
      <c r="N66" s="14">
        <v>177120</v>
      </c>
      <c r="O66" s="14">
        <v>200614</v>
      </c>
      <c r="P66" s="14">
        <v>-23494</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26">
        <v>46030</v>
      </c>
      <c r="M67" s="14">
        <v>242</v>
      </c>
      <c r="N67" s="14">
        <v>198440</v>
      </c>
      <c r="O67" s="14">
        <v>406230</v>
      </c>
      <c r="P67" s="14">
        <v>-207790</v>
      </c>
    </row>
    <row r="68" spans="1:16" x14ac:dyDescent="0.3">
      <c r="A68" s="1">
        <v>46024</v>
      </c>
      <c r="B68" t="s">
        <v>200</v>
      </c>
      <c r="D68" s="11">
        <v>244</v>
      </c>
      <c r="E68" s="11">
        <v>850</v>
      </c>
      <c r="F68" s="11"/>
      <c r="G68" s="11">
        <f t="shared" ref="G68:G69" si="14">D68*E68</f>
        <v>207400</v>
      </c>
      <c r="H68" s="11"/>
      <c r="I68" s="11">
        <f>(D68*E68)-Table3[[#This Row],[Paid]]</f>
        <v>207400</v>
      </c>
      <c r="L68" s="42" t="s">
        <v>103</v>
      </c>
      <c r="M68" s="14">
        <v>242</v>
      </c>
      <c r="N68" s="14">
        <v>198440</v>
      </c>
      <c r="O68" s="14">
        <v>406230</v>
      </c>
      <c r="P68" s="14">
        <v>-207790</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c r="L69" s="26">
        <v>46031</v>
      </c>
      <c r="M69" s="14">
        <v>598</v>
      </c>
      <c r="N69" s="14">
        <v>495500</v>
      </c>
      <c r="O69" s="14">
        <v>15000</v>
      </c>
      <c r="P69" s="14">
        <v>480500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c r="L70" s="42" t="s">
        <v>103</v>
      </c>
      <c r="M70" s="14">
        <v>598</v>
      </c>
      <c r="N70" s="14">
        <v>495500</v>
      </c>
      <c r="O70" s="14">
        <v>15000</v>
      </c>
      <c r="P70" s="14">
        <v>480500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c r="L71" s="26">
        <v>46032</v>
      </c>
      <c r="M71" s="14">
        <v>247</v>
      </c>
      <c r="N71" s="14">
        <v>143260</v>
      </c>
      <c r="O71" s="14">
        <v>352000</v>
      </c>
      <c r="P71" s="14">
        <v>-208740</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c r="L72" s="42" t="s">
        <v>103</v>
      </c>
      <c r="M72" s="14">
        <v>247</v>
      </c>
      <c r="N72" s="14">
        <v>143260</v>
      </c>
      <c r="O72" s="14">
        <v>352000</v>
      </c>
      <c r="P72" s="14">
        <v>-208740</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c r="L73" s="26">
        <v>46034</v>
      </c>
      <c r="M73" s="14">
        <v>406</v>
      </c>
      <c r="N73" s="14">
        <v>307840</v>
      </c>
      <c r="O73" s="14">
        <v>474045</v>
      </c>
      <c r="P73" s="14">
        <v>-166205</v>
      </c>
    </row>
    <row r="74" spans="1:16" x14ac:dyDescent="0.3">
      <c r="A74" s="1">
        <v>46022</v>
      </c>
      <c r="B74" t="s">
        <v>169</v>
      </c>
      <c r="D74" s="11">
        <v>135</v>
      </c>
      <c r="E74" s="11">
        <v>580</v>
      </c>
      <c r="F74" s="11"/>
      <c r="G74" s="11">
        <f t="shared" si="16"/>
        <v>78300</v>
      </c>
      <c r="H74" s="11"/>
      <c r="I74" s="11">
        <f>(D74*E74)-Table3[[#This Row],[Paid]]</f>
        <v>78300</v>
      </c>
      <c r="L74" s="42" t="s">
        <v>103</v>
      </c>
      <c r="M74" s="14">
        <v>138</v>
      </c>
      <c r="N74" s="14">
        <v>80040</v>
      </c>
      <c r="O74" s="14">
        <v>242045</v>
      </c>
      <c r="P74" s="14">
        <v>-162005</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c r="L75" s="42" t="s">
        <v>482</v>
      </c>
      <c r="M75" s="14">
        <v>268</v>
      </c>
      <c r="N75" s="14">
        <v>227800</v>
      </c>
      <c r="O75" s="14">
        <v>232000</v>
      </c>
      <c r="P75" s="14">
        <v>-4200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c r="L76" s="26">
        <v>46033</v>
      </c>
      <c r="M76" s="14">
        <v>226</v>
      </c>
      <c r="N76" s="14">
        <v>185320</v>
      </c>
      <c r="O76" s="14"/>
      <c r="P76" s="14">
        <v>185320</v>
      </c>
    </row>
    <row r="77" spans="1:16" x14ac:dyDescent="0.3">
      <c r="A77" s="1">
        <v>46025</v>
      </c>
      <c r="B77" t="s">
        <v>169</v>
      </c>
      <c r="D77" s="11">
        <v>106</v>
      </c>
      <c r="E77" s="11">
        <v>775</v>
      </c>
      <c r="F77" s="11"/>
      <c r="G77" s="11">
        <f t="shared" si="17"/>
        <v>82150</v>
      </c>
      <c r="H77" s="11"/>
      <c r="I77" s="11">
        <f>(D77*E77)-Table3[[#This Row],[Paid]]</f>
        <v>82150</v>
      </c>
      <c r="L77" s="42" t="s">
        <v>103</v>
      </c>
      <c r="M77" s="14">
        <v>226</v>
      </c>
      <c r="N77" s="14">
        <v>185320</v>
      </c>
      <c r="O77" s="14"/>
      <c r="P77" s="14">
        <v>185320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c r="L78" s="26">
        <v>46035</v>
      </c>
      <c r="M78" s="14">
        <v>194</v>
      </c>
      <c r="N78" s="14">
        <v>159080</v>
      </c>
      <c r="O78" s="14">
        <v>100704</v>
      </c>
      <c r="P78" s="14">
        <v>58376</v>
      </c>
    </row>
    <row r="79" spans="1:16" x14ac:dyDescent="0.3">
      <c r="A79" s="1">
        <v>46026</v>
      </c>
      <c r="B79" t="s">
        <v>169</v>
      </c>
      <c r="D79" s="11">
        <v>35</v>
      </c>
      <c r="E79" s="11">
        <v>580</v>
      </c>
      <c r="F79" s="11"/>
      <c r="G79" s="11">
        <f t="shared" ref="G79:G80" si="18">D79*E79</f>
        <v>20300</v>
      </c>
      <c r="H79" s="11"/>
      <c r="I79" s="11">
        <f>(D79*E79)-Table3[[#This Row],[Paid]]</f>
        <v>20300</v>
      </c>
      <c r="L79" s="42" t="s">
        <v>103</v>
      </c>
      <c r="M79" s="14">
        <v>194</v>
      </c>
      <c r="N79" s="14">
        <v>159080</v>
      </c>
      <c r="O79" s="14">
        <v>100704</v>
      </c>
      <c r="P79" s="14">
        <v>58376</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c r="L80" s="26">
        <v>46036</v>
      </c>
      <c r="M80" s="14">
        <v>471</v>
      </c>
      <c r="N80" s="14">
        <v>393800</v>
      </c>
      <c r="O80" s="14">
        <v>505022</v>
      </c>
      <c r="P80" s="14">
        <v>-111222</v>
      </c>
    </row>
    <row r="81" spans="1:16"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c r="L81" s="42" t="s">
        <v>103</v>
      </c>
      <c r="M81" s="14">
        <v>471</v>
      </c>
      <c r="N81" s="14">
        <v>393800</v>
      </c>
      <c r="O81" s="14">
        <v>505022</v>
      </c>
      <c r="P81" s="14">
        <v>-111222</v>
      </c>
    </row>
    <row r="82" spans="1:16"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c r="L82" s="26">
        <v>46037</v>
      </c>
      <c r="M82" s="14">
        <v>955</v>
      </c>
      <c r="N82" s="14">
        <v>800890</v>
      </c>
      <c r="O82" s="14">
        <v>365200</v>
      </c>
      <c r="P82" s="14">
        <v>435690</v>
      </c>
    </row>
    <row r="83" spans="1:16"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c r="L83" s="42" t="s">
        <v>103</v>
      </c>
      <c r="M83" s="14">
        <v>433</v>
      </c>
      <c r="N83" s="14">
        <v>357190</v>
      </c>
      <c r="O83" s="14">
        <v>270000</v>
      </c>
      <c r="P83" s="14">
        <v>87190</v>
      </c>
    </row>
    <row r="84" spans="1:16"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c r="L84" s="42" t="s">
        <v>519</v>
      </c>
      <c r="M84" s="14">
        <v>522</v>
      </c>
      <c r="N84" s="14">
        <v>443700</v>
      </c>
      <c r="O84" s="14">
        <v>95200</v>
      </c>
      <c r="P84" s="14">
        <v>348500</v>
      </c>
    </row>
    <row r="85" spans="1:16" x14ac:dyDescent="0.3">
      <c r="A85" s="1">
        <v>46029</v>
      </c>
      <c r="B85" t="s">
        <v>424</v>
      </c>
      <c r="D85" s="11">
        <v>216</v>
      </c>
      <c r="E85" s="11">
        <v>820</v>
      </c>
      <c r="F85" s="11"/>
      <c r="G85" s="11">
        <f t="shared" si="19"/>
        <v>177120</v>
      </c>
      <c r="H85" s="11">
        <f>SUMIFS(Table14[Debit], Table14[Date], Table3[[#This Row],[Date]], Table14[Party], Table3[[#This Row],[Party Name]])</f>
        <v>100100</v>
      </c>
      <c r="I85" s="11">
        <f>(D85*E85)-Table3[[#This Row],[Paid]]</f>
        <v>77020</v>
      </c>
      <c r="L85" s="26">
        <v>46038</v>
      </c>
      <c r="M85" s="14">
        <v>216</v>
      </c>
      <c r="N85" s="14">
        <v>177120</v>
      </c>
      <c r="O85" s="14">
        <v>275000</v>
      </c>
      <c r="P85" s="14">
        <v>-97880</v>
      </c>
    </row>
    <row r="86" spans="1:16" x14ac:dyDescent="0.3">
      <c r="A86" s="1">
        <v>46029</v>
      </c>
      <c r="B86" t="s">
        <v>200</v>
      </c>
      <c r="D86" s="11"/>
      <c r="E86" s="11"/>
      <c r="F86" s="11"/>
      <c r="G86" s="11">
        <f t="shared" si="19"/>
        <v>0</v>
      </c>
      <c r="H86" s="11">
        <f>SUMIFS(Table14[Debit], Table14[Date], Table3[[#This Row],[Date]], Table14[Party], Table3[[#This Row],[Party Name]])</f>
        <v>100514</v>
      </c>
      <c r="I86" s="11">
        <f>(D86*E86)-Table3[[#This Row],[Paid]]</f>
        <v>-100514</v>
      </c>
      <c r="L86" s="42" t="s">
        <v>103</v>
      </c>
      <c r="M86" s="14">
        <v>216</v>
      </c>
      <c r="N86" s="14">
        <v>177120</v>
      </c>
      <c r="O86" s="14">
        <v>275000</v>
      </c>
      <c r="P86" s="14">
        <v>-97880</v>
      </c>
    </row>
    <row r="87" spans="1:16" x14ac:dyDescent="0.3">
      <c r="A87" s="1">
        <v>46030</v>
      </c>
      <c r="B87" t="s">
        <v>424</v>
      </c>
      <c r="D87" s="11"/>
      <c r="E87" s="11"/>
      <c r="F87" s="11"/>
      <c r="G87" s="11">
        <f t="shared" si="19"/>
        <v>0</v>
      </c>
      <c r="H87" s="11"/>
      <c r="I87" s="11">
        <f>(D87*E87)-Table3[[#This Row],[Paid]]</f>
        <v>0</v>
      </c>
      <c r="L87" s="26">
        <v>46040</v>
      </c>
      <c r="M87" s="14">
        <v>355</v>
      </c>
      <c r="N87" s="14">
        <v>257260</v>
      </c>
      <c r="O87" s="14">
        <v>100200</v>
      </c>
      <c r="P87" s="14">
        <v>157060</v>
      </c>
    </row>
    <row r="88" spans="1:16" x14ac:dyDescent="0.3">
      <c r="A88" s="1">
        <v>46030</v>
      </c>
      <c r="B88" t="s">
        <v>200</v>
      </c>
      <c r="D88" s="11">
        <v>242</v>
      </c>
      <c r="E88" s="11">
        <v>820</v>
      </c>
      <c r="F88" s="11"/>
      <c r="G88" s="11">
        <f t="shared" si="19"/>
        <v>198440</v>
      </c>
      <c r="H88" s="11">
        <f>SUMIFS(Table14[Debit], Table14[Date], Table3[[#This Row],[Date]], Table14[Party], Table3[[#This Row],[Party Name]])</f>
        <v>150200</v>
      </c>
      <c r="I88" s="11">
        <f>(D88*E88)-Table3[[#This Row],[Paid]]</f>
        <v>48240</v>
      </c>
      <c r="L88" s="42" t="s">
        <v>103</v>
      </c>
      <c r="M88" s="14">
        <v>355</v>
      </c>
      <c r="N88" s="14">
        <v>257260</v>
      </c>
      <c r="O88" s="14">
        <v>100200</v>
      </c>
      <c r="P88" s="14">
        <v>157060</v>
      </c>
    </row>
    <row r="89" spans="1:16" x14ac:dyDescent="0.3">
      <c r="A89" s="1">
        <v>46030</v>
      </c>
      <c r="B89" t="s">
        <v>424</v>
      </c>
      <c r="D89" s="11"/>
      <c r="E89" s="11"/>
      <c r="F89" s="11"/>
      <c r="G89" s="11">
        <f t="shared" si="19"/>
        <v>0</v>
      </c>
      <c r="H89" s="11">
        <f>SUMIFS(Table14[Debit], Table14[Date], Table3[[#This Row],[Date]], Table14[Party], Table3[[#This Row],[Party Name]])</f>
        <v>55780</v>
      </c>
      <c r="I89" s="11">
        <f>(D89*E89)-Table3[[#This Row],[Paid]]</f>
        <v>-55780</v>
      </c>
      <c r="L89" s="26">
        <v>46041</v>
      </c>
      <c r="M89" s="14">
        <v>220</v>
      </c>
      <c r="N89" s="14">
        <v>187000</v>
      </c>
      <c r="O89" s="14">
        <v>105999</v>
      </c>
      <c r="P89" s="14">
        <v>81001</v>
      </c>
    </row>
    <row r="90" spans="1:16" x14ac:dyDescent="0.3">
      <c r="A90" s="1">
        <v>46030</v>
      </c>
      <c r="B90" t="s">
        <v>169</v>
      </c>
      <c r="D90" s="11"/>
      <c r="E90" s="11"/>
      <c r="F90" s="11"/>
      <c r="G90" s="11">
        <f t="shared" si="19"/>
        <v>0</v>
      </c>
      <c r="H90" s="11">
        <f>SUMIFS(Table14[Debit], Table14[Date], Table3[[#This Row],[Date]], Table14[Party], Table3[[#This Row],[Party Name]])</f>
        <v>200250</v>
      </c>
      <c r="I90" s="11">
        <f>(D90*E90)-Table3[[#This Row],[Paid]]</f>
        <v>-200250</v>
      </c>
      <c r="L90" s="42" t="s">
        <v>103</v>
      </c>
      <c r="M90" s="14">
        <v>220</v>
      </c>
      <c r="N90" s="14">
        <v>187000</v>
      </c>
      <c r="O90" s="14">
        <v>105999</v>
      </c>
      <c r="P90" s="14">
        <v>81001</v>
      </c>
    </row>
    <row r="91" spans="1:16" x14ac:dyDescent="0.3">
      <c r="A91" s="1">
        <v>46031</v>
      </c>
      <c r="B91" t="s">
        <v>200</v>
      </c>
      <c r="D91" s="11">
        <v>205</v>
      </c>
      <c r="E91" s="11">
        <v>820</v>
      </c>
      <c r="F91" s="11"/>
      <c r="G91" s="11">
        <f t="shared" ref="G91:G98" si="20">D91*E91</f>
        <v>168100</v>
      </c>
      <c r="H91" s="11"/>
      <c r="I91" s="11">
        <f>(D91*E91)-Table3[[#This Row],[Paid]]</f>
        <v>168100</v>
      </c>
      <c r="L91" s="26" t="s">
        <v>28</v>
      </c>
      <c r="M91" s="14">
        <v>10981</v>
      </c>
      <c r="N91" s="14">
        <v>8695420</v>
      </c>
      <c r="O91" s="14">
        <v>7229390</v>
      </c>
      <c r="P91" s="14">
        <v>4787458</v>
      </c>
    </row>
    <row r="92" spans="1:16" x14ac:dyDescent="0.3">
      <c r="A92" s="1">
        <v>46031</v>
      </c>
      <c r="B92" t="s">
        <v>200</v>
      </c>
      <c r="D92" s="11">
        <v>260</v>
      </c>
      <c r="E92" s="11">
        <v>850</v>
      </c>
      <c r="F92" s="11"/>
      <c r="G92" s="11">
        <f t="shared" si="20"/>
        <v>221000</v>
      </c>
      <c r="H92" s="11"/>
      <c r="I92" s="11">
        <f>(D92*E92)-Table3[[#This Row],[Paid]]</f>
        <v>221000</v>
      </c>
    </row>
    <row r="93" spans="1:16" x14ac:dyDescent="0.3">
      <c r="A93" s="1">
        <v>46031</v>
      </c>
      <c r="B93" t="s">
        <v>202</v>
      </c>
      <c r="D93" s="11">
        <v>133</v>
      </c>
      <c r="E93" s="11">
        <v>800</v>
      </c>
      <c r="F93" s="11"/>
      <c r="G93" s="11">
        <f t="shared" si="20"/>
        <v>106400</v>
      </c>
      <c r="H93" s="11">
        <f>SUMIFS(Table14[Debit], Table14[Date], Table3[[#This Row],[Date]], Table14[Party], Table3[[#This Row],[Party Name]])</f>
        <v>15000</v>
      </c>
      <c r="I93" s="11">
        <f>(D93*E93)-Table3[[#This Row],[Paid]]</f>
        <v>91400</v>
      </c>
    </row>
    <row r="94" spans="1:16" x14ac:dyDescent="0.3">
      <c r="A94" s="1">
        <v>46032</v>
      </c>
      <c r="B94" t="s">
        <v>94</v>
      </c>
      <c r="D94" s="11"/>
      <c r="E94" s="11"/>
      <c r="F94" s="11"/>
      <c r="G94" s="11">
        <f t="shared" si="20"/>
        <v>0</v>
      </c>
      <c r="H94" s="11">
        <f>SUMIFS(Table14[Debit], Table14[Date], Table3[[#This Row],[Date]], Table14[Party], Table3[[#This Row],[Party Name]])</f>
        <v>202000</v>
      </c>
      <c r="I94" s="11">
        <f>(D94*E94)-Table3[[#This Row],[Paid]]</f>
        <v>-202000</v>
      </c>
    </row>
    <row r="95" spans="1:16" x14ac:dyDescent="0.3">
      <c r="A95" s="1">
        <v>46032</v>
      </c>
      <c r="B95" t="s">
        <v>200</v>
      </c>
      <c r="D95" s="11"/>
      <c r="E95" s="11"/>
      <c r="F95" s="11"/>
      <c r="G95" s="11">
        <f t="shared" si="20"/>
        <v>0</v>
      </c>
      <c r="H95" s="11">
        <f>SUMIFS(Table14[Debit], Table14[Date], Table3[[#This Row],[Date]], Table14[Party], Table3[[#This Row],[Party Name]])</f>
        <v>150000</v>
      </c>
      <c r="I95" s="11">
        <f>(D95*E95)-Table3[[#This Row],[Paid]]</f>
        <v>-150000</v>
      </c>
    </row>
    <row r="96" spans="1:16" x14ac:dyDescent="0.3">
      <c r="A96" s="1">
        <v>46034</v>
      </c>
      <c r="B96" t="s">
        <v>200</v>
      </c>
      <c r="C96" t="s">
        <v>482</v>
      </c>
      <c r="D96" s="11">
        <v>268</v>
      </c>
      <c r="E96" s="11">
        <v>850</v>
      </c>
      <c r="F96" s="11">
        <v>57000</v>
      </c>
      <c r="G96" s="11">
        <f t="shared" si="20"/>
        <v>227800</v>
      </c>
      <c r="H96" s="11">
        <f>SUMIFS(Table14[Debit], Table14[Date], Table3[[#This Row],[Date]], Table14[Party], Table3[[#This Row],[Party Name]])</f>
        <v>232000</v>
      </c>
      <c r="I96" s="11">
        <f>(D96*E96)-Table3[[#This Row],[Paid]]</f>
        <v>-4200</v>
      </c>
    </row>
    <row r="97" spans="1:9" x14ac:dyDescent="0.3">
      <c r="A97" s="1">
        <v>46034</v>
      </c>
      <c r="B97" t="s">
        <v>169</v>
      </c>
      <c r="D97" s="11"/>
      <c r="E97" s="11"/>
      <c r="F97" s="11"/>
      <c r="G97" s="11">
        <f t="shared" si="20"/>
        <v>0</v>
      </c>
      <c r="H97" s="11">
        <f>SUMIFS(Table14[Debit], Table14[Date], Table3[[#This Row],[Date]], Table14[Party], Table3[[#This Row],[Party Name]])</f>
        <v>202045</v>
      </c>
      <c r="I97" s="11">
        <f>(D97*E97)-Table3[[#This Row],[Paid]]</f>
        <v>-202045</v>
      </c>
    </row>
    <row r="98" spans="1:9" x14ac:dyDescent="0.3">
      <c r="A98" s="1">
        <v>46034</v>
      </c>
      <c r="B98" t="s">
        <v>202</v>
      </c>
      <c r="D98" s="11"/>
      <c r="E98" s="11"/>
      <c r="F98" s="11"/>
      <c r="G98" s="11">
        <f t="shared" si="20"/>
        <v>0</v>
      </c>
      <c r="H98" s="11">
        <f>SUMIFS(Table14[Debit], Table14[Date], Table3[[#This Row],[Date]], Table14[Party], Table3[[#This Row],[Party Name]])</f>
        <v>40000</v>
      </c>
      <c r="I98" s="11">
        <f>(D98*E98)-Table3[[#This Row],[Paid]]</f>
        <v>-40000</v>
      </c>
    </row>
    <row r="99" spans="1:9" x14ac:dyDescent="0.3">
      <c r="A99" s="1">
        <v>46033</v>
      </c>
      <c r="B99" t="s">
        <v>424</v>
      </c>
      <c r="D99" s="11">
        <v>226</v>
      </c>
      <c r="E99" s="11">
        <v>820</v>
      </c>
      <c r="F99" s="11"/>
      <c r="G99" s="11">
        <f t="shared" ref="G99:G102" si="21">D99*E99</f>
        <v>185320</v>
      </c>
      <c r="H99" s="11"/>
      <c r="I99" s="11">
        <f>(D99*E99)-Table3[[#This Row],[Paid]]</f>
        <v>185320</v>
      </c>
    </row>
    <row r="100" spans="1:9" x14ac:dyDescent="0.3">
      <c r="A100" s="1">
        <v>46032</v>
      </c>
      <c r="B100" t="s">
        <v>169</v>
      </c>
      <c r="D100" s="11">
        <v>247</v>
      </c>
      <c r="E100" s="11">
        <v>580</v>
      </c>
      <c r="F100" s="11"/>
      <c r="G100" s="11">
        <f t="shared" si="21"/>
        <v>143260</v>
      </c>
      <c r="H100" s="11"/>
      <c r="I100" s="11">
        <f>(D100*E100)-Table3[[#This Row],[Paid]]</f>
        <v>143260</v>
      </c>
    </row>
    <row r="101" spans="1:9" x14ac:dyDescent="0.3">
      <c r="A101" s="1">
        <v>46034</v>
      </c>
      <c r="B101" t="s">
        <v>169</v>
      </c>
      <c r="D101" s="11">
        <v>138</v>
      </c>
      <c r="E101" s="11">
        <v>580</v>
      </c>
      <c r="F101" s="11"/>
      <c r="G101" s="11">
        <f t="shared" si="21"/>
        <v>80040</v>
      </c>
      <c r="H101" s="11"/>
      <c r="I101" s="11">
        <f>(D101*E101)-Table3[[#This Row],[Paid]]</f>
        <v>80040</v>
      </c>
    </row>
    <row r="102" spans="1:9" x14ac:dyDescent="0.3">
      <c r="A102" s="1">
        <v>46035</v>
      </c>
      <c r="B102" t="s">
        <v>424</v>
      </c>
      <c r="D102" s="11">
        <v>194</v>
      </c>
      <c r="E102" s="11">
        <v>820</v>
      </c>
      <c r="F102" s="11">
        <v>31500</v>
      </c>
      <c r="G102" s="11">
        <f t="shared" si="21"/>
        <v>159080</v>
      </c>
      <c r="H102" s="11">
        <f>SUMIFS(Table14[Debit], Table14[Date], Table3[[#This Row],[Date]], Table14[Party], Table3[[#This Row],[Party Name]])</f>
        <v>100704</v>
      </c>
      <c r="I102" s="11">
        <f>(D102*E102)-Table3[[#This Row],[Paid]]</f>
        <v>58376</v>
      </c>
    </row>
    <row r="103" spans="1:9" x14ac:dyDescent="0.3">
      <c r="A103" s="1">
        <v>46036</v>
      </c>
      <c r="B103" t="s">
        <v>169</v>
      </c>
      <c r="D103" s="11">
        <v>262</v>
      </c>
      <c r="E103" s="11">
        <v>825</v>
      </c>
      <c r="F103" s="11">
        <v>75000</v>
      </c>
      <c r="G103" s="11">
        <f t="shared" ref="G103:G110" si="22">D103*E103</f>
        <v>216150</v>
      </c>
      <c r="H103" s="11">
        <f>SUMIFS(Table14[Debit], Table14[Date], Table3[[#This Row],[Date]], Table14[Party], Table3[[#This Row],[Party Name]])</f>
        <v>75000</v>
      </c>
      <c r="I103" s="11">
        <f>(D103*E103)-Table3[[#This Row],[Paid]]</f>
        <v>141150</v>
      </c>
    </row>
    <row r="104" spans="1:9" x14ac:dyDescent="0.3">
      <c r="A104" s="1">
        <v>46036</v>
      </c>
      <c r="B104" t="s">
        <v>200</v>
      </c>
      <c r="D104" s="11">
        <v>209</v>
      </c>
      <c r="E104" s="11">
        <v>850</v>
      </c>
      <c r="F104" s="11">
        <v>48000</v>
      </c>
      <c r="G104" s="11">
        <f t="shared" si="22"/>
        <v>177650</v>
      </c>
      <c r="H104" s="11">
        <f>SUMIFS(Table14[Debit], Table14[Date], Table3[[#This Row],[Date]], Table14[Party], Table3[[#This Row],[Party Name]])</f>
        <v>198062</v>
      </c>
      <c r="I104" s="11">
        <f>(D104*E104)-Table3[[#This Row],[Paid]]</f>
        <v>-20412</v>
      </c>
    </row>
    <row r="105" spans="1:9" x14ac:dyDescent="0.3">
      <c r="A105" s="1">
        <v>46036</v>
      </c>
      <c r="B105" t="s">
        <v>94</v>
      </c>
      <c r="D105" s="11"/>
      <c r="E105" s="11"/>
      <c r="F105" s="11"/>
      <c r="G105" s="11">
        <f t="shared" si="22"/>
        <v>0</v>
      </c>
      <c r="H105" s="11">
        <f>SUMIFS(Table14[Debit], Table14[Date], Table3[[#This Row],[Date]], Table14[Party], Table3[[#This Row],[Party Name]])</f>
        <v>200460</v>
      </c>
      <c r="I105" s="11">
        <f>(D105*E105)-Table3[[#This Row],[Paid]]</f>
        <v>-200460</v>
      </c>
    </row>
    <row r="106" spans="1:9" x14ac:dyDescent="0.3">
      <c r="A106" s="1">
        <v>46036</v>
      </c>
      <c r="B106" t="s">
        <v>424</v>
      </c>
      <c r="D106" s="11"/>
      <c r="E106" s="11"/>
      <c r="F106" s="11"/>
      <c r="G106" s="11">
        <f t="shared" si="22"/>
        <v>0</v>
      </c>
      <c r="H106" s="11">
        <f>SUMIFS(Table14[Debit], Table14[Date], Table3[[#This Row],[Date]], Table14[Party], Table3[[#This Row],[Party Name]])</f>
        <v>31500</v>
      </c>
      <c r="I106" s="11">
        <f>(D106*E106)-Table3[[#This Row],[Paid]]</f>
        <v>-31500</v>
      </c>
    </row>
    <row r="107" spans="1:9" x14ac:dyDescent="0.3">
      <c r="A107" s="1">
        <v>46037</v>
      </c>
      <c r="B107" t="s">
        <v>94</v>
      </c>
      <c r="C107" t="s">
        <v>519</v>
      </c>
      <c r="D107" s="11">
        <v>522</v>
      </c>
      <c r="E107" s="11">
        <v>850</v>
      </c>
      <c r="F107" s="11">
        <v>95200</v>
      </c>
      <c r="G107" s="11">
        <f t="shared" si="22"/>
        <v>443700</v>
      </c>
      <c r="H107" s="11">
        <f>SUMIFS(Table14[Debit], Table14[Date], Table3[[#This Row],[Date]], Table14[Party], Table3[[#This Row],[Party Name]])</f>
        <v>95200</v>
      </c>
      <c r="I107" s="11">
        <f>(D107*E107)-Table3[[#This Row],[Paid]]</f>
        <v>348500</v>
      </c>
    </row>
    <row r="108" spans="1:9" x14ac:dyDescent="0.3">
      <c r="A108" s="1">
        <v>46037</v>
      </c>
      <c r="B108" t="s">
        <v>200</v>
      </c>
      <c r="D108" s="11">
        <v>213</v>
      </c>
      <c r="E108" s="11">
        <v>830</v>
      </c>
      <c r="F108" s="11"/>
      <c r="G108" s="11">
        <f t="shared" si="22"/>
        <v>176790</v>
      </c>
      <c r="H108" s="11">
        <f>SUMIFS(Table14[Debit], Table14[Date], Table3[[#This Row],[Date]], Table14[Party], Table3[[#This Row],[Party Name]])</f>
        <v>170000</v>
      </c>
      <c r="I108" s="11">
        <f>(D108*E108)-Table3[[#This Row],[Paid]]</f>
        <v>6790</v>
      </c>
    </row>
    <row r="109" spans="1:9" x14ac:dyDescent="0.3">
      <c r="A109" s="1">
        <v>46037</v>
      </c>
      <c r="B109" t="s">
        <v>424</v>
      </c>
      <c r="D109" s="11">
        <v>220</v>
      </c>
      <c r="E109" s="11">
        <v>820</v>
      </c>
      <c r="F109" s="11"/>
      <c r="G109" s="11">
        <f t="shared" si="22"/>
        <v>180400</v>
      </c>
      <c r="H109" s="11">
        <f>SUMIFS(Table14[Debit], Table14[Date], Table3[[#This Row],[Date]], Table14[Party], Table3[[#This Row],[Party Name]])</f>
        <v>100000</v>
      </c>
      <c r="I109" s="11">
        <f>(D109*E109)-Table3[[#This Row],[Paid]]</f>
        <v>80400</v>
      </c>
    </row>
    <row r="110" spans="1:9" x14ac:dyDescent="0.3">
      <c r="A110" s="1">
        <v>46038</v>
      </c>
      <c r="B110" t="s">
        <v>200</v>
      </c>
      <c r="D110" s="11"/>
      <c r="E110" s="11"/>
      <c r="F110" s="11"/>
      <c r="G110" s="11">
        <f t="shared" si="22"/>
        <v>0</v>
      </c>
      <c r="H110" s="11">
        <f>SUMIFS(Table14[Debit], Table14[Date], Table3[[#This Row],[Date]], Table14[Party], Table3[[#This Row],[Party Name]])</f>
        <v>100000</v>
      </c>
      <c r="I110" s="11">
        <f>(D110*E110)-Table3[[#This Row],[Paid]]</f>
        <v>-100000</v>
      </c>
    </row>
    <row r="111" spans="1:9" x14ac:dyDescent="0.3">
      <c r="A111" s="1">
        <v>46038</v>
      </c>
      <c r="B111" t="s">
        <v>169</v>
      </c>
      <c r="D111" s="11"/>
      <c r="E111" s="11"/>
      <c r="F111" s="11"/>
      <c r="G111" s="11">
        <f t="shared" ref="G111:G112" si="23">D111*E111</f>
        <v>0</v>
      </c>
      <c r="H111" s="11">
        <f>SUMIFS(Table14[Debit], Table14[Date], Table3[[#This Row],[Date]], Table14[Party], Table3[[#This Row],[Party Name]])</f>
        <v>125000</v>
      </c>
      <c r="I111" s="11">
        <f>(D111*E111)-Table3[[#This Row],[Paid]]</f>
        <v>-125000</v>
      </c>
    </row>
    <row r="112" spans="1:9" x14ac:dyDescent="0.3">
      <c r="A112" s="1">
        <v>46038</v>
      </c>
      <c r="B112" t="s">
        <v>424</v>
      </c>
      <c r="D112" s="11">
        <v>216</v>
      </c>
      <c r="E112" s="11">
        <v>820</v>
      </c>
      <c r="F112" s="11"/>
      <c r="G112" s="11">
        <f t="shared" si="23"/>
        <v>177120</v>
      </c>
      <c r="H112" s="11">
        <f>SUMIFS(Table14[Debit], Table14[Date], Table3[[#This Row],[Date]], Table14[Party], Table3[[#This Row],[Party Name]])</f>
        <v>50000</v>
      </c>
      <c r="I112" s="11">
        <f>(D112*E112)-Table3[[#This Row],[Paid]]</f>
        <v>127120</v>
      </c>
    </row>
    <row r="113" spans="1:9" x14ac:dyDescent="0.3">
      <c r="A113" s="1">
        <v>46040</v>
      </c>
      <c r="B113" t="s">
        <v>424</v>
      </c>
      <c r="D113" s="11">
        <v>214</v>
      </c>
      <c r="E113" s="11">
        <v>820</v>
      </c>
      <c r="F113" s="11"/>
      <c r="G113" s="11">
        <f>D113*E113</f>
        <v>175480</v>
      </c>
      <c r="H113" s="11">
        <f>SUMIFS(Table14[Debit], Table14[Date], Table3[[#This Row],[Date]], Table14[Party], Table3[[#This Row],[Party Name]])</f>
        <v>100200</v>
      </c>
      <c r="I113" s="11">
        <f>(D113*E113)-Table3[[#This Row],[Paid]]</f>
        <v>75280</v>
      </c>
    </row>
    <row r="114" spans="1:9" x14ac:dyDescent="0.3">
      <c r="A114" s="1">
        <v>46040</v>
      </c>
      <c r="B114" t="s">
        <v>169</v>
      </c>
      <c r="D114" s="11">
        <v>141</v>
      </c>
      <c r="E114" s="11">
        <v>580</v>
      </c>
      <c r="F114" s="11"/>
      <c r="G114" s="11">
        <f>D114*E114</f>
        <v>81780</v>
      </c>
      <c r="H114" s="11">
        <f>SUMIFS(Table14[Debit], Table14[Date], Table3[[#This Row],[Date]], Table14[Party], Table3[[#This Row],[Party Name]])</f>
        <v>0</v>
      </c>
      <c r="I114" s="11">
        <f>(D114*E114)-Table3[[#This Row],[Paid]]</f>
        <v>81780</v>
      </c>
    </row>
    <row r="115" spans="1:9" x14ac:dyDescent="0.3">
      <c r="A115" s="1">
        <v>46041</v>
      </c>
      <c r="B115" t="s">
        <v>200</v>
      </c>
      <c r="D115" s="11">
        <v>220</v>
      </c>
      <c r="E115" s="11">
        <v>850</v>
      </c>
      <c r="F115" s="11">
        <v>66300</v>
      </c>
      <c r="G115" s="11">
        <f>D115*E115</f>
        <v>187000</v>
      </c>
      <c r="H115" s="11">
        <f>SUMIFS(Table14[Debit], Table14[Date], Table3[[#This Row],[Date]], Table14[Party], Table3[[#This Row],[Party Name]])</f>
        <v>105999</v>
      </c>
      <c r="I115" s="11">
        <f>(D115*E115)-Table3[[#This Row],[Paid]]</f>
        <v>81001</v>
      </c>
    </row>
    <row r="116" spans="1:9" x14ac:dyDescent="0.3">
      <c r="A116" s="1"/>
      <c r="D116" s="11"/>
      <c r="E116" s="11"/>
      <c r="F116" s="11"/>
      <c r="G116" s="11">
        <f t="shared" ref="G116:G121" si="24">D116*E116</f>
        <v>0</v>
      </c>
      <c r="H116" s="11"/>
      <c r="I116" s="11">
        <f>(D116*E116)-Table3[[#This Row],[Paid]]</f>
        <v>0</v>
      </c>
    </row>
    <row r="117" spans="1:9" x14ac:dyDescent="0.3">
      <c r="A117" s="1"/>
      <c r="D117" s="11"/>
      <c r="E117" s="11"/>
      <c r="F117" s="11"/>
      <c r="G117" s="11">
        <f t="shared" si="24"/>
        <v>0</v>
      </c>
      <c r="H117" s="11"/>
      <c r="I117" s="11">
        <f>(D117*E117)-Table3[[#This Row],[Paid]]</f>
        <v>0</v>
      </c>
    </row>
    <row r="118" spans="1:9" x14ac:dyDescent="0.3">
      <c r="A118" s="1"/>
      <c r="D118" s="11"/>
      <c r="E118" s="11"/>
      <c r="F118" s="11"/>
      <c r="G118" s="11">
        <f t="shared" si="24"/>
        <v>0</v>
      </c>
      <c r="H118" s="11"/>
      <c r="I118" s="11">
        <f>(D118*E118)-Table3[[#This Row],[Paid]]</f>
        <v>0</v>
      </c>
    </row>
    <row r="119" spans="1:9" x14ac:dyDescent="0.3">
      <c r="A119" s="1"/>
      <c r="D119" s="11"/>
      <c r="E119" s="11"/>
      <c r="F119" s="11"/>
      <c r="G119" s="11">
        <f t="shared" si="24"/>
        <v>0</v>
      </c>
      <c r="H119" s="11"/>
      <c r="I119" s="11">
        <f>(D119*E119)-Table3[[#This Row],[Paid]]</f>
        <v>0</v>
      </c>
    </row>
    <row r="120" spans="1:9" x14ac:dyDescent="0.3">
      <c r="A120" s="1"/>
      <c r="D120" s="11"/>
      <c r="E120" s="11"/>
      <c r="F120" s="11"/>
      <c r="G120" s="11">
        <f t="shared" si="24"/>
        <v>0</v>
      </c>
      <c r="H120" s="11"/>
      <c r="I120" s="11">
        <f>(D120*E120)-Table3[[#This Row],[Paid]]</f>
        <v>0</v>
      </c>
    </row>
    <row r="121" spans="1:9" x14ac:dyDescent="0.3">
      <c r="A121" s="1"/>
      <c r="D121" s="11"/>
      <c r="E121" s="11"/>
      <c r="F121" s="11"/>
      <c r="G121" s="11">
        <f t="shared" si="24"/>
        <v>0</v>
      </c>
      <c r="H121" s="11"/>
      <c r="I121" s="11">
        <f>(D121*E121)-Table3[[#This Row],[Paid]]</f>
        <v>0</v>
      </c>
    </row>
    <row r="122" spans="1:9" x14ac:dyDescent="0.3">
      <c r="A122" s="1"/>
      <c r="D122" s="14"/>
      <c r="E122" s="14"/>
      <c r="F122" s="14"/>
      <c r="G122" s="14">
        <f>SUBTOTAL(109,Table3[Total])</f>
        <v>8695420</v>
      </c>
      <c r="H122" s="14">
        <f>SUBTOTAL(109,Table3[Paid])</f>
        <v>7229390</v>
      </c>
      <c r="I122" s="14">
        <f>SUBTOTAL(109,Table3[balance])</f>
        <v>4787458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628"/>
  <sheetViews>
    <sheetView topLeftCell="A620" zoomScale="158" workbookViewId="0">
      <selection activeCell="A600" sqref="A60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7377462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34049303</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34095391</v>
      </c>
      <c r="M5" s="45" t="s">
        <v>108</v>
      </c>
      <c r="N5" s="46">
        <f>(SUMIFS(Table14[Credit],Table14[Mode],"Bank")-SUMIFS(Table14[Debit],Table14[Mode],"Bank")-SUMIFS(Table14[Withdrawal],Table14[Mode],"Transfer"))</f>
        <v>707004</v>
      </c>
      <c r="O5">
        <v>360000</v>
      </c>
    </row>
    <row r="6" spans="1:16" x14ac:dyDescent="0.3">
      <c r="A6" s="38">
        <v>46009</v>
      </c>
      <c r="B6" t="s">
        <v>177</v>
      </c>
      <c r="C6" s="96">
        <v>3600</v>
      </c>
      <c r="D6" s="96"/>
      <c r="E6" t="s">
        <v>218</v>
      </c>
      <c r="F6" s="111" t="s">
        <v>108</v>
      </c>
      <c r="J6" s="52" t="s">
        <v>43</v>
      </c>
      <c r="K6" s="53">
        <f>(K5-K4)</f>
        <v>46088</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96088</v>
      </c>
      <c r="O7" s="90">
        <f>SUM(O5,O6)</f>
        <v>410000</v>
      </c>
      <c r="P7" s="14">
        <f>Table18[[#Totals],[amount]]-Table18[[#Totals],[Actual]]</f>
        <v>-313912</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568800</v>
      </c>
    </row>
    <row r="165" spans="1:12" x14ac:dyDescent="0.3">
      <c r="A165" s="38">
        <v>46018</v>
      </c>
      <c r="B165" t="s">
        <v>54</v>
      </c>
      <c r="C165" s="11">
        <v>2500</v>
      </c>
      <c r="D165" s="11"/>
      <c r="E165" t="s">
        <v>236</v>
      </c>
      <c r="F165" s="111" t="s">
        <v>108</v>
      </c>
      <c r="J165" s="4" t="s">
        <v>9</v>
      </c>
      <c r="K165" s="14">
        <v>1832566</v>
      </c>
      <c r="L165" s="14"/>
    </row>
    <row r="166" spans="1:12" x14ac:dyDescent="0.3">
      <c r="A166" s="38">
        <v>46018</v>
      </c>
      <c r="B166" t="s">
        <v>55</v>
      </c>
      <c r="C166" s="11">
        <v>1000</v>
      </c>
      <c r="D166" s="11"/>
      <c r="F166" s="111" t="s">
        <v>108</v>
      </c>
      <c r="J166" s="4" t="s">
        <v>461</v>
      </c>
      <c r="K166" s="14"/>
      <c r="L166" s="14">
        <v>116250</v>
      </c>
    </row>
    <row r="167" spans="1:12" x14ac:dyDescent="0.3">
      <c r="A167" s="38">
        <v>46018</v>
      </c>
      <c r="B167" t="s">
        <v>50</v>
      </c>
      <c r="C167" s="11">
        <v>1000</v>
      </c>
      <c r="D167" s="11"/>
      <c r="E167" t="s">
        <v>217</v>
      </c>
      <c r="F167" s="111" t="s">
        <v>108</v>
      </c>
      <c r="J167" s="4" t="s">
        <v>94</v>
      </c>
      <c r="K167" s="14"/>
      <c r="L167" s="14">
        <v>1615215</v>
      </c>
    </row>
    <row r="168" spans="1:12" x14ac:dyDescent="0.3">
      <c r="A168" s="38">
        <v>46019</v>
      </c>
      <c r="B168" t="s">
        <v>55</v>
      </c>
      <c r="C168" s="96">
        <v>2630</v>
      </c>
      <c r="D168" s="96"/>
      <c r="E168" t="s">
        <v>328</v>
      </c>
      <c r="F168" s="111" t="s">
        <v>108</v>
      </c>
      <c r="J168" s="4" t="s">
        <v>50</v>
      </c>
      <c r="K168" s="14"/>
      <c r="L168" s="14">
        <v>45311</v>
      </c>
    </row>
    <row r="169" spans="1:12" x14ac:dyDescent="0.3">
      <c r="A169" s="116">
        <v>46019</v>
      </c>
      <c r="B169" t="s">
        <v>55</v>
      </c>
      <c r="C169" s="11">
        <v>21000</v>
      </c>
      <c r="D169" s="11"/>
      <c r="E169" t="s">
        <v>329</v>
      </c>
      <c r="F169" s="111" t="s">
        <v>108</v>
      </c>
      <c r="J169" s="4" t="s">
        <v>55</v>
      </c>
      <c r="K169" s="14"/>
      <c r="L169" s="14">
        <v>700103</v>
      </c>
    </row>
    <row r="170" spans="1:12" x14ac:dyDescent="0.3">
      <c r="A170" s="38">
        <v>46019</v>
      </c>
      <c r="B170" t="s">
        <v>54</v>
      </c>
      <c r="C170" s="11">
        <v>1000</v>
      </c>
      <c r="D170" s="11"/>
      <c r="E170" t="s">
        <v>236</v>
      </c>
      <c r="F170" s="111" t="s">
        <v>108</v>
      </c>
      <c r="J170" s="4" t="s">
        <v>113</v>
      </c>
      <c r="K170" s="14"/>
      <c r="L170" s="14">
        <v>157680</v>
      </c>
    </row>
    <row r="171" spans="1:12" x14ac:dyDescent="0.3">
      <c r="A171" s="116">
        <v>46020</v>
      </c>
      <c r="B171" t="s">
        <v>198</v>
      </c>
      <c r="C171" s="11">
        <v>61000</v>
      </c>
      <c r="D171" s="11"/>
      <c r="E171" t="s">
        <v>18</v>
      </c>
      <c r="F171" s="111" t="s">
        <v>108</v>
      </c>
      <c r="J171" s="4" t="s">
        <v>52</v>
      </c>
      <c r="K171" s="14"/>
      <c r="L171" s="14">
        <v>1288130</v>
      </c>
    </row>
    <row r="172" spans="1:12" x14ac:dyDescent="0.3">
      <c r="A172" s="38">
        <v>46020</v>
      </c>
      <c r="B172" t="s">
        <v>198</v>
      </c>
      <c r="C172" s="11">
        <v>100000</v>
      </c>
      <c r="D172" s="11"/>
      <c r="F172" s="111" t="s">
        <v>108</v>
      </c>
      <c r="J172" s="4" t="s">
        <v>339</v>
      </c>
      <c r="K172" s="14">
        <v>84970</v>
      </c>
      <c r="L172" s="14"/>
    </row>
    <row r="173" spans="1:12" x14ac:dyDescent="0.3">
      <c r="A173" s="116">
        <v>46020</v>
      </c>
      <c r="B173" t="s">
        <v>9</v>
      </c>
      <c r="C173" s="11"/>
      <c r="D173" s="11">
        <v>200000</v>
      </c>
      <c r="F173" s="111" t="s">
        <v>108</v>
      </c>
      <c r="J173" s="4" t="s">
        <v>54</v>
      </c>
      <c r="K173" s="14"/>
      <c r="L173" s="14">
        <v>188291</v>
      </c>
    </row>
    <row r="174" spans="1:12" x14ac:dyDescent="0.3">
      <c r="A174" s="38">
        <v>46020</v>
      </c>
      <c r="B174" t="s">
        <v>169</v>
      </c>
      <c r="C174" s="11">
        <v>100000</v>
      </c>
      <c r="D174" s="11"/>
      <c r="F174" s="111" t="s">
        <v>108</v>
      </c>
      <c r="J174" s="4" t="s">
        <v>116</v>
      </c>
      <c r="K174" s="14"/>
      <c r="L174" s="14">
        <v>268000</v>
      </c>
    </row>
    <row r="175" spans="1:12" x14ac:dyDescent="0.3">
      <c r="A175" s="116">
        <v>46020</v>
      </c>
      <c r="B175" t="s">
        <v>192</v>
      </c>
      <c r="C175" s="11"/>
      <c r="D175" s="11">
        <v>975000</v>
      </c>
      <c r="E175" t="s">
        <v>330</v>
      </c>
      <c r="F175" s="111" t="s">
        <v>108</v>
      </c>
      <c r="J175" s="4" t="s">
        <v>177</v>
      </c>
      <c r="K175" s="14">
        <v>7500</v>
      </c>
      <c r="L175" s="14">
        <v>759410</v>
      </c>
    </row>
    <row r="176" spans="1:12" x14ac:dyDescent="0.3">
      <c r="A176" s="38">
        <v>46020</v>
      </c>
      <c r="B176" t="s">
        <v>54</v>
      </c>
      <c r="C176" s="11">
        <v>10000</v>
      </c>
      <c r="D176" s="11"/>
      <c r="E176" t="s">
        <v>236</v>
      </c>
      <c r="F176" s="111" t="s">
        <v>108</v>
      </c>
      <c r="J176" s="4" t="s">
        <v>337</v>
      </c>
      <c r="K176" s="14"/>
      <c r="L176" s="14">
        <v>1500</v>
      </c>
    </row>
    <row r="177" spans="1:12" x14ac:dyDescent="0.3">
      <c r="A177" s="116">
        <v>46020</v>
      </c>
      <c r="B177" t="s">
        <v>54</v>
      </c>
      <c r="C177" s="11">
        <v>7950</v>
      </c>
      <c r="D177" s="11"/>
      <c r="E177" t="s">
        <v>236</v>
      </c>
      <c r="F177" s="111" t="s">
        <v>108</v>
      </c>
      <c r="J177" s="4" t="s">
        <v>222</v>
      </c>
      <c r="K177" s="14">
        <v>404311</v>
      </c>
      <c r="L177" s="14">
        <v>127623</v>
      </c>
    </row>
    <row r="178" spans="1:12" x14ac:dyDescent="0.3">
      <c r="A178" s="38">
        <v>46020</v>
      </c>
      <c r="B178" t="s">
        <v>233</v>
      </c>
      <c r="C178" s="11">
        <v>15000</v>
      </c>
      <c r="D178" s="11"/>
      <c r="E178" t="s">
        <v>238</v>
      </c>
      <c r="F178" s="111" t="s">
        <v>108</v>
      </c>
      <c r="J178" s="4" t="s">
        <v>326</v>
      </c>
      <c r="K178" s="14">
        <v>1231415</v>
      </c>
      <c r="L178" s="14"/>
    </row>
    <row r="179" spans="1:12" x14ac:dyDescent="0.3">
      <c r="A179" s="116">
        <v>46020</v>
      </c>
      <c r="B179" t="s">
        <v>219</v>
      </c>
      <c r="C179" s="11">
        <v>5000</v>
      </c>
      <c r="D179" s="11"/>
      <c r="E179" t="s">
        <v>220</v>
      </c>
      <c r="F179" s="111" t="s">
        <v>108</v>
      </c>
      <c r="J179" s="4" t="s">
        <v>103</v>
      </c>
      <c r="K179" s="14"/>
      <c r="L179" s="14"/>
    </row>
    <row r="180" spans="1:12" x14ac:dyDescent="0.3">
      <c r="A180" s="38">
        <v>46020</v>
      </c>
      <c r="B180" t="s">
        <v>177</v>
      </c>
      <c r="C180" s="11">
        <v>7200</v>
      </c>
      <c r="D180" s="11"/>
      <c r="F180" s="111" t="s">
        <v>108</v>
      </c>
      <c r="J180" s="4" t="s">
        <v>277</v>
      </c>
      <c r="K180" s="14">
        <v>600000</v>
      </c>
      <c r="L180" s="14"/>
    </row>
    <row r="181" spans="1:12" x14ac:dyDescent="0.3">
      <c r="A181" s="116">
        <v>46020</v>
      </c>
      <c r="B181" t="s">
        <v>192</v>
      </c>
      <c r="C181" s="96"/>
      <c r="D181" s="96">
        <v>50000</v>
      </c>
      <c r="E181" t="s">
        <v>284</v>
      </c>
      <c r="F181" s="111" t="s">
        <v>108</v>
      </c>
      <c r="J181" s="4" t="s">
        <v>341</v>
      </c>
      <c r="K181" s="14">
        <v>849664</v>
      </c>
      <c r="L181" s="14"/>
    </row>
    <row r="182" spans="1:12" x14ac:dyDescent="0.3">
      <c r="A182" s="38">
        <v>46020</v>
      </c>
      <c r="B182" t="s">
        <v>192</v>
      </c>
      <c r="C182" s="11"/>
      <c r="D182" s="11">
        <v>30000</v>
      </c>
      <c r="E182" t="s">
        <v>234</v>
      </c>
      <c r="F182" s="111" t="s">
        <v>108</v>
      </c>
      <c r="J182" s="4" t="s">
        <v>224</v>
      </c>
      <c r="K182" s="14">
        <v>1063699</v>
      </c>
      <c r="L182" s="14"/>
    </row>
    <row r="183" spans="1:12" x14ac:dyDescent="0.3">
      <c r="A183" s="116">
        <v>46020</v>
      </c>
      <c r="B183" t="s">
        <v>166</v>
      </c>
      <c r="C183" s="11"/>
      <c r="D183" s="11">
        <v>100000</v>
      </c>
      <c r="E183" t="s">
        <v>21</v>
      </c>
      <c r="F183" s="111" t="s">
        <v>108</v>
      </c>
      <c r="J183" s="4" t="s">
        <v>528</v>
      </c>
      <c r="K183" s="14">
        <v>850000</v>
      </c>
      <c r="L183" s="14"/>
    </row>
    <row r="184" spans="1:12" x14ac:dyDescent="0.3">
      <c r="A184" s="38">
        <v>46020</v>
      </c>
      <c r="B184" t="s">
        <v>192</v>
      </c>
      <c r="C184" s="11">
        <v>100000</v>
      </c>
      <c r="D184" s="11"/>
      <c r="E184" t="s">
        <v>335</v>
      </c>
      <c r="F184" s="111" t="s">
        <v>108</v>
      </c>
      <c r="J184" s="4" t="s">
        <v>26</v>
      </c>
      <c r="K184" s="14">
        <v>300000</v>
      </c>
      <c r="L184" s="14"/>
    </row>
    <row r="185" spans="1:12" x14ac:dyDescent="0.3">
      <c r="A185" s="116">
        <v>46021</v>
      </c>
      <c r="B185" t="s">
        <v>224</v>
      </c>
      <c r="C185" s="11"/>
      <c r="D185" s="11">
        <v>68900</v>
      </c>
      <c r="E185" t="s">
        <v>352</v>
      </c>
      <c r="F185" s="111" t="s">
        <v>108</v>
      </c>
      <c r="J185" s="4" t="s">
        <v>149</v>
      </c>
      <c r="K185" s="14"/>
      <c r="L185" s="14">
        <v>80000</v>
      </c>
    </row>
    <row r="186" spans="1:12" x14ac:dyDescent="0.3">
      <c r="A186" s="38">
        <v>46021</v>
      </c>
      <c r="B186" t="s">
        <v>192</v>
      </c>
      <c r="C186" s="96"/>
      <c r="D186" s="96">
        <v>194000</v>
      </c>
      <c r="F186" s="111" t="s">
        <v>108</v>
      </c>
      <c r="J186" s="4" t="s">
        <v>64</v>
      </c>
      <c r="K186" s="14"/>
      <c r="L186" s="14">
        <v>371625</v>
      </c>
    </row>
    <row r="187" spans="1:12" x14ac:dyDescent="0.3">
      <c r="A187" s="116">
        <v>46021</v>
      </c>
      <c r="B187" t="s">
        <v>199</v>
      </c>
      <c r="C187" s="11"/>
      <c r="D187" s="11">
        <v>100000</v>
      </c>
      <c r="E187" t="s">
        <v>338</v>
      </c>
      <c r="F187" s="111" t="s">
        <v>108</v>
      </c>
      <c r="J187" s="4" t="s">
        <v>152</v>
      </c>
      <c r="K187" s="14">
        <v>1007920</v>
      </c>
      <c r="L187" s="14"/>
    </row>
    <row r="188" spans="1:12" x14ac:dyDescent="0.3">
      <c r="A188" s="38">
        <v>46021</v>
      </c>
      <c r="B188" t="s">
        <v>199</v>
      </c>
      <c r="C188" s="96"/>
      <c r="D188" s="96">
        <v>100000</v>
      </c>
      <c r="E188" t="s">
        <v>225</v>
      </c>
      <c r="F188" s="111" t="s">
        <v>108</v>
      </c>
      <c r="J188" s="4" t="s">
        <v>166</v>
      </c>
      <c r="K188" s="14">
        <v>1620000</v>
      </c>
      <c r="L188" s="14"/>
    </row>
    <row r="189" spans="1:12" x14ac:dyDescent="0.3">
      <c r="A189" s="116">
        <v>46021</v>
      </c>
      <c r="B189" t="s">
        <v>339</v>
      </c>
      <c r="C189" s="11"/>
      <c r="D189" s="11">
        <v>84970</v>
      </c>
      <c r="F189" s="111" t="s">
        <v>108</v>
      </c>
      <c r="J189" s="4" t="s">
        <v>169</v>
      </c>
      <c r="K189" s="14"/>
      <c r="L189" s="14">
        <v>2215595</v>
      </c>
    </row>
    <row r="190" spans="1:12" x14ac:dyDescent="0.3">
      <c r="A190" s="38">
        <v>46021</v>
      </c>
      <c r="B190" t="s">
        <v>222</v>
      </c>
      <c r="C190" s="11">
        <f>883+150+150</f>
        <v>1183</v>
      </c>
      <c r="D190" s="11"/>
      <c r="F190" s="111" t="s">
        <v>108</v>
      </c>
      <c r="J190" s="4" t="s">
        <v>192</v>
      </c>
      <c r="K190" s="14">
        <v>12717793</v>
      </c>
      <c r="L190" s="14">
        <v>14840982</v>
      </c>
    </row>
    <row r="191" spans="1:12" x14ac:dyDescent="0.3">
      <c r="A191" s="116">
        <v>46021</v>
      </c>
      <c r="B191" t="s">
        <v>229</v>
      </c>
      <c r="C191" s="11">
        <v>200401</v>
      </c>
      <c r="D191" s="11"/>
      <c r="E191" t="s">
        <v>340</v>
      </c>
      <c r="F191" s="111" t="s">
        <v>108</v>
      </c>
      <c r="J191" s="4" t="s">
        <v>198</v>
      </c>
      <c r="K191" s="14"/>
      <c r="L191" s="14">
        <v>1180500</v>
      </c>
    </row>
    <row r="192" spans="1:12" x14ac:dyDescent="0.3">
      <c r="A192" s="38">
        <v>46021</v>
      </c>
      <c r="B192" t="s">
        <v>341</v>
      </c>
      <c r="C192" s="11"/>
      <c r="D192" s="11">
        <v>239960</v>
      </c>
      <c r="F192" s="111" t="s">
        <v>108</v>
      </c>
      <c r="J192" s="4" t="s">
        <v>179</v>
      </c>
      <c r="K192" s="14">
        <v>409310</v>
      </c>
      <c r="L192" s="14"/>
    </row>
    <row r="193" spans="1:12" x14ac:dyDescent="0.3">
      <c r="A193" s="116">
        <v>46021</v>
      </c>
      <c r="B193" t="s">
        <v>169</v>
      </c>
      <c r="C193" s="11">
        <v>250000</v>
      </c>
      <c r="D193" s="11"/>
      <c r="F193" s="111" t="s">
        <v>108</v>
      </c>
      <c r="J193" s="4" t="s">
        <v>51</v>
      </c>
      <c r="K193" s="14"/>
      <c r="L193" s="14">
        <v>4232983</v>
      </c>
    </row>
    <row r="194" spans="1:12" x14ac:dyDescent="0.3">
      <c r="A194" s="38">
        <v>46021</v>
      </c>
      <c r="B194" t="s">
        <v>326</v>
      </c>
      <c r="C194" s="11"/>
      <c r="D194" s="11">
        <v>60000</v>
      </c>
      <c r="E194" t="s">
        <v>342</v>
      </c>
      <c r="F194" s="111" t="s">
        <v>108</v>
      </c>
      <c r="J194" s="4" t="s">
        <v>466</v>
      </c>
      <c r="K194" s="14"/>
      <c r="L194" s="14">
        <v>351000</v>
      </c>
    </row>
    <row r="195" spans="1:12" x14ac:dyDescent="0.3">
      <c r="A195" s="116">
        <v>46021</v>
      </c>
      <c r="B195" t="s">
        <v>192</v>
      </c>
      <c r="C195" s="11">
        <v>60000</v>
      </c>
      <c r="D195" s="11"/>
      <c r="E195" t="s">
        <v>343</v>
      </c>
      <c r="F195" s="111" t="s">
        <v>108</v>
      </c>
      <c r="J195" s="4" t="s">
        <v>219</v>
      </c>
      <c r="K195" s="14"/>
      <c r="L195" s="14">
        <v>48400</v>
      </c>
    </row>
    <row r="196" spans="1:12" x14ac:dyDescent="0.3">
      <c r="A196" s="38">
        <v>46021</v>
      </c>
      <c r="B196" t="s">
        <v>256</v>
      </c>
      <c r="C196" s="11">
        <v>11850</v>
      </c>
      <c r="D196" s="11"/>
      <c r="E196" t="s">
        <v>294</v>
      </c>
      <c r="F196" s="111" t="s">
        <v>108</v>
      </c>
      <c r="J196" s="4" t="s">
        <v>199</v>
      </c>
      <c r="K196" s="14">
        <v>1417872</v>
      </c>
      <c r="L196" s="14"/>
    </row>
    <row r="197" spans="1:12" x14ac:dyDescent="0.3">
      <c r="A197" s="116">
        <v>46021</v>
      </c>
      <c r="B197" t="s">
        <v>202</v>
      </c>
      <c r="C197" s="11">
        <v>27000</v>
      </c>
      <c r="D197" s="11"/>
      <c r="E197" t="s">
        <v>230</v>
      </c>
      <c r="F197" s="111" t="s">
        <v>108</v>
      </c>
      <c r="J197" s="4" t="s">
        <v>229</v>
      </c>
      <c r="K197" s="14"/>
      <c r="L197" s="14">
        <v>3570271</v>
      </c>
    </row>
    <row r="198" spans="1:12" x14ac:dyDescent="0.3">
      <c r="A198" s="38">
        <v>46021</v>
      </c>
      <c r="B198" t="s">
        <v>233</v>
      </c>
      <c r="C198" s="11">
        <v>1300</v>
      </c>
      <c r="D198" s="11"/>
      <c r="E198" t="s">
        <v>344</v>
      </c>
      <c r="F198" s="111" t="s">
        <v>108</v>
      </c>
      <c r="J198" s="4" t="s">
        <v>202</v>
      </c>
      <c r="K198" s="14"/>
      <c r="L198" s="14">
        <v>267000</v>
      </c>
    </row>
    <row r="199" spans="1:12" x14ac:dyDescent="0.3">
      <c r="A199" s="116">
        <v>46021</v>
      </c>
      <c r="B199" t="s">
        <v>233</v>
      </c>
      <c r="C199" s="11">
        <v>60000</v>
      </c>
      <c r="D199" s="11"/>
      <c r="E199" t="s">
        <v>290</v>
      </c>
      <c r="F199" s="111" t="s">
        <v>108</v>
      </c>
      <c r="J199" s="4" t="s">
        <v>216</v>
      </c>
      <c r="K199" s="14">
        <v>6766546</v>
      </c>
      <c r="L199" s="14"/>
    </row>
    <row r="200" spans="1:12" x14ac:dyDescent="0.3">
      <c r="A200" s="38">
        <v>46021</v>
      </c>
      <c r="B200" t="s">
        <v>94</v>
      </c>
      <c r="C200" s="11">
        <v>1000</v>
      </c>
      <c r="D200" s="11"/>
      <c r="E200" t="s">
        <v>345</v>
      </c>
      <c r="F200" s="111" t="s">
        <v>108</v>
      </c>
      <c r="J200" s="4" t="s">
        <v>256</v>
      </c>
      <c r="K200" s="14"/>
      <c r="L200" s="14">
        <v>66850</v>
      </c>
    </row>
    <row r="201" spans="1:12" x14ac:dyDescent="0.3">
      <c r="A201" s="116">
        <v>46021</v>
      </c>
      <c r="B201" t="s">
        <v>229</v>
      </c>
      <c r="C201" s="11">
        <v>5000</v>
      </c>
      <c r="D201" s="11"/>
      <c r="E201" t="s">
        <v>345</v>
      </c>
      <c r="F201" s="111" t="s">
        <v>108</v>
      </c>
      <c r="J201" s="4" t="s">
        <v>286</v>
      </c>
      <c r="K201" s="14">
        <v>2446025</v>
      </c>
      <c r="L201" s="14"/>
    </row>
    <row r="202" spans="1:12" x14ac:dyDescent="0.3">
      <c r="A202" s="38">
        <v>46021</v>
      </c>
      <c r="B202" t="s">
        <v>50</v>
      </c>
      <c r="C202" s="11">
        <v>1000</v>
      </c>
      <c r="D202" s="11"/>
      <c r="E202" t="s">
        <v>345</v>
      </c>
      <c r="F202" s="111" t="s">
        <v>108</v>
      </c>
      <c r="J202" s="4" t="s">
        <v>302</v>
      </c>
      <c r="K202" s="14"/>
      <c r="L202" s="14">
        <v>162500</v>
      </c>
    </row>
    <row r="203" spans="1:12" x14ac:dyDescent="0.3">
      <c r="A203" s="116">
        <v>46021</v>
      </c>
      <c r="B203" t="s">
        <v>177</v>
      </c>
      <c r="C203" s="11">
        <v>3600</v>
      </c>
      <c r="D203" s="11"/>
      <c r="E203" t="s">
        <v>218</v>
      </c>
      <c r="F203" s="111" t="s">
        <v>108</v>
      </c>
      <c r="J203" s="4" t="s">
        <v>410</v>
      </c>
      <c r="K203" s="14"/>
      <c r="L203" s="14">
        <v>825284</v>
      </c>
    </row>
    <row r="204" spans="1:12" x14ac:dyDescent="0.3">
      <c r="A204" s="38">
        <v>46021</v>
      </c>
      <c r="B204" t="s">
        <v>192</v>
      </c>
      <c r="C204" s="11">
        <v>200000</v>
      </c>
      <c r="D204" s="11"/>
      <c r="E204" t="s">
        <v>346</v>
      </c>
      <c r="F204" s="111" t="s">
        <v>108</v>
      </c>
      <c r="J204" s="4" t="s">
        <v>437</v>
      </c>
      <c r="K204" s="14">
        <v>485800</v>
      </c>
      <c r="L204" s="14"/>
    </row>
    <row r="205" spans="1:12" x14ac:dyDescent="0.3">
      <c r="A205" s="116">
        <v>46021</v>
      </c>
      <c r="B205" t="s">
        <v>55</v>
      </c>
      <c r="C205" s="11">
        <v>1000</v>
      </c>
      <c r="D205" s="11"/>
      <c r="E205" t="s">
        <v>347</v>
      </c>
      <c r="F205" s="111" t="s">
        <v>108</v>
      </c>
      <c r="J205" s="4" t="s">
        <v>28</v>
      </c>
      <c r="K205" s="14">
        <v>34095391</v>
      </c>
      <c r="L205" s="14">
        <v>34049303</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c r="D330" s="11"/>
      <c r="F330" s="111" t="s">
        <v>108</v>
      </c>
    </row>
    <row r="331" spans="1:6" x14ac:dyDescent="0.3">
      <c r="A331" s="38">
        <v>46029</v>
      </c>
      <c r="B331" t="s">
        <v>198</v>
      </c>
      <c r="C331" s="11">
        <v>218250</v>
      </c>
      <c r="D331" s="11"/>
      <c r="E331" t="s">
        <v>294</v>
      </c>
      <c r="F331" s="111" t="s">
        <v>108</v>
      </c>
    </row>
    <row r="332" spans="1:6" x14ac:dyDescent="0.3">
      <c r="A332" s="38">
        <v>46029</v>
      </c>
      <c r="B332" t="s">
        <v>55</v>
      </c>
      <c r="C332" s="11">
        <v>7400</v>
      </c>
      <c r="D332" s="11"/>
      <c r="E332" t="s">
        <v>425</v>
      </c>
      <c r="F332" s="111" t="s">
        <v>108</v>
      </c>
    </row>
    <row r="333" spans="1:6" x14ac:dyDescent="0.3">
      <c r="A333" s="38">
        <v>46029</v>
      </c>
      <c r="B333" t="s">
        <v>55</v>
      </c>
      <c r="C333" s="11">
        <v>6600</v>
      </c>
      <c r="D333" s="11"/>
      <c r="E333" t="s">
        <v>426</v>
      </c>
      <c r="F333" s="111" t="s">
        <v>108</v>
      </c>
    </row>
    <row r="334" spans="1:6" x14ac:dyDescent="0.3">
      <c r="A334" s="38">
        <v>46029</v>
      </c>
      <c r="B334" t="s">
        <v>233</v>
      </c>
      <c r="C334" s="11">
        <v>10000</v>
      </c>
      <c r="D334" s="11"/>
      <c r="E334" t="s">
        <v>427</v>
      </c>
      <c r="F334" s="111" t="s">
        <v>108</v>
      </c>
    </row>
    <row r="335" spans="1:6" x14ac:dyDescent="0.3">
      <c r="A335" s="38">
        <v>46029</v>
      </c>
      <c r="B335" t="s">
        <v>326</v>
      </c>
      <c r="C335" s="11"/>
      <c r="D335" s="11">
        <v>100000</v>
      </c>
      <c r="E335" t="s">
        <v>428</v>
      </c>
      <c r="F335" s="111" t="s">
        <v>108</v>
      </c>
    </row>
    <row r="336" spans="1:6" x14ac:dyDescent="0.3">
      <c r="A336" s="38">
        <v>46029</v>
      </c>
      <c r="B336" t="s">
        <v>326</v>
      </c>
      <c r="C336" s="11"/>
      <c r="D336" s="11">
        <v>43970</v>
      </c>
      <c r="E336" t="s">
        <v>429</v>
      </c>
      <c r="F336" s="111" t="s">
        <v>108</v>
      </c>
    </row>
    <row r="337" spans="1:6" x14ac:dyDescent="0.3">
      <c r="A337" s="38">
        <v>46029</v>
      </c>
      <c r="B337" t="s">
        <v>286</v>
      </c>
      <c r="C337" s="11"/>
      <c r="D337" s="11">
        <v>100000</v>
      </c>
      <c r="E337" t="s">
        <v>430</v>
      </c>
      <c r="F337" s="111" t="s">
        <v>108</v>
      </c>
    </row>
    <row r="338" spans="1:6" x14ac:dyDescent="0.3">
      <c r="A338" s="38">
        <v>46029</v>
      </c>
      <c r="B338" t="s">
        <v>229</v>
      </c>
      <c r="C338" s="11">
        <v>100514</v>
      </c>
      <c r="D338" s="11"/>
      <c r="E338" t="s">
        <v>431</v>
      </c>
      <c r="F338" s="111" t="s">
        <v>108</v>
      </c>
    </row>
    <row r="339" spans="1:6" x14ac:dyDescent="0.3">
      <c r="A339" s="38">
        <v>46029</v>
      </c>
      <c r="B339" t="s">
        <v>410</v>
      </c>
      <c r="C339" s="11">
        <v>100100</v>
      </c>
      <c r="D339" s="11"/>
      <c r="E339" t="s">
        <v>432</v>
      </c>
      <c r="F339" s="111" t="s">
        <v>108</v>
      </c>
    </row>
    <row r="340" spans="1:6" x14ac:dyDescent="0.3">
      <c r="A340" s="38">
        <v>46028</v>
      </c>
      <c r="B340" t="s">
        <v>233</v>
      </c>
      <c r="C340" s="11">
        <v>10000</v>
      </c>
      <c r="D340" s="11"/>
      <c r="E340" t="s">
        <v>248</v>
      </c>
      <c r="F340" s="111" t="s">
        <v>108</v>
      </c>
    </row>
    <row r="341" spans="1:6" x14ac:dyDescent="0.3">
      <c r="A341" s="38">
        <v>46030</v>
      </c>
      <c r="B341" t="s">
        <v>177</v>
      </c>
      <c r="C341" s="11"/>
      <c r="D341" s="11">
        <v>2500</v>
      </c>
      <c r="E341" t="s">
        <v>225</v>
      </c>
      <c r="F341" s="111" t="s">
        <v>108</v>
      </c>
    </row>
    <row r="342" spans="1:6" x14ac:dyDescent="0.3">
      <c r="A342" s="38">
        <v>46030</v>
      </c>
      <c r="B342" t="s">
        <v>55</v>
      </c>
      <c r="C342" s="11">
        <v>4380</v>
      </c>
      <c r="D342" s="11"/>
      <c r="E342" t="s">
        <v>433</v>
      </c>
      <c r="F342" s="111" t="s">
        <v>108</v>
      </c>
    </row>
    <row r="343" spans="1:6" x14ac:dyDescent="0.3">
      <c r="A343" s="38">
        <v>46030</v>
      </c>
      <c r="B343" t="s">
        <v>410</v>
      </c>
      <c r="C343" s="11">
        <v>55780</v>
      </c>
      <c r="D343" s="11"/>
      <c r="F343" s="111" t="s">
        <v>108</v>
      </c>
    </row>
    <row r="344" spans="1:6" x14ac:dyDescent="0.3">
      <c r="A344" s="38">
        <v>46030</v>
      </c>
      <c r="B344" t="s">
        <v>55</v>
      </c>
      <c r="C344" s="11">
        <v>250000</v>
      </c>
      <c r="D344" s="11"/>
      <c r="E344" t="s">
        <v>434</v>
      </c>
      <c r="F344" s="111" t="s">
        <v>108</v>
      </c>
    </row>
    <row r="345" spans="1:6" x14ac:dyDescent="0.3">
      <c r="A345" s="38">
        <v>46030</v>
      </c>
      <c r="B345" t="s">
        <v>192</v>
      </c>
      <c r="C345" s="11"/>
      <c r="D345" s="11">
        <v>250000</v>
      </c>
      <c r="E345" t="s">
        <v>434</v>
      </c>
      <c r="F345" s="111" t="s">
        <v>108</v>
      </c>
    </row>
    <row r="346" spans="1:6" x14ac:dyDescent="0.3">
      <c r="A346" s="38">
        <v>46030</v>
      </c>
      <c r="B346" t="s">
        <v>9</v>
      </c>
      <c r="C346" s="11"/>
      <c r="D346" s="11">
        <v>150000</v>
      </c>
      <c r="E346" t="s">
        <v>435</v>
      </c>
      <c r="F346" s="111" t="s">
        <v>108</v>
      </c>
    </row>
    <row r="347" spans="1:6" x14ac:dyDescent="0.3">
      <c r="A347" s="38">
        <v>46030</v>
      </c>
      <c r="B347" t="s">
        <v>229</v>
      </c>
      <c r="C347" s="11">
        <v>150200</v>
      </c>
      <c r="D347" s="11"/>
      <c r="E347" t="s">
        <v>436</v>
      </c>
      <c r="F347" s="111" t="s">
        <v>108</v>
      </c>
    </row>
    <row r="348" spans="1:6" x14ac:dyDescent="0.3">
      <c r="A348" s="38">
        <v>46030</v>
      </c>
      <c r="B348" t="s">
        <v>55</v>
      </c>
      <c r="C348" s="11">
        <v>2000</v>
      </c>
      <c r="D348" s="11"/>
      <c r="E348" t="s">
        <v>227</v>
      </c>
      <c r="F348" s="111" t="s">
        <v>108</v>
      </c>
    </row>
    <row r="349" spans="1:6" x14ac:dyDescent="0.3">
      <c r="A349" s="38">
        <v>46030</v>
      </c>
      <c r="B349" t="s">
        <v>437</v>
      </c>
      <c r="C349" s="11"/>
      <c r="D349" s="11">
        <v>200000</v>
      </c>
      <c r="E349" t="s">
        <v>438</v>
      </c>
      <c r="F349" s="111" t="s">
        <v>108</v>
      </c>
    </row>
    <row r="350" spans="1:6" x14ac:dyDescent="0.3">
      <c r="A350" s="38">
        <v>46030</v>
      </c>
      <c r="B350" t="s">
        <v>169</v>
      </c>
      <c r="C350" s="11">
        <v>200250</v>
      </c>
      <c r="D350" s="11"/>
      <c r="E350" t="s">
        <v>439</v>
      </c>
      <c r="F350" s="111" t="s">
        <v>108</v>
      </c>
    </row>
    <row r="351" spans="1:6" x14ac:dyDescent="0.3">
      <c r="A351" s="38">
        <v>46030</v>
      </c>
      <c r="B351" t="s">
        <v>166</v>
      </c>
      <c r="C351" s="11"/>
      <c r="D351" s="11">
        <v>80000</v>
      </c>
      <c r="E351" t="s">
        <v>440</v>
      </c>
      <c r="F351" s="111" t="s">
        <v>108</v>
      </c>
    </row>
    <row r="352" spans="1:6" x14ac:dyDescent="0.3">
      <c r="A352" s="38">
        <v>46030</v>
      </c>
      <c r="B352" t="s">
        <v>166</v>
      </c>
      <c r="C352" s="11"/>
      <c r="D352" s="11">
        <v>120000</v>
      </c>
      <c r="E352" t="s">
        <v>109</v>
      </c>
      <c r="F352" s="111" t="s">
        <v>108</v>
      </c>
    </row>
    <row r="353" spans="1:6" x14ac:dyDescent="0.3">
      <c r="A353" s="38">
        <v>46030</v>
      </c>
      <c r="B353" t="s">
        <v>166</v>
      </c>
      <c r="C353" s="11"/>
      <c r="D353" s="11">
        <v>28000</v>
      </c>
      <c r="E353" t="s">
        <v>440</v>
      </c>
      <c r="F353" s="111" t="s">
        <v>108</v>
      </c>
    </row>
    <row r="354" spans="1:6" x14ac:dyDescent="0.3">
      <c r="A354" s="38">
        <v>46030</v>
      </c>
      <c r="B354" t="s">
        <v>166</v>
      </c>
      <c r="C354" s="11"/>
      <c r="D354" s="11">
        <v>2000</v>
      </c>
      <c r="E354" t="s">
        <v>109</v>
      </c>
      <c r="F354" s="111" t="s">
        <v>108</v>
      </c>
    </row>
    <row r="355" spans="1:6" x14ac:dyDescent="0.3">
      <c r="A355" s="116">
        <v>46030</v>
      </c>
      <c r="B355" t="s">
        <v>192</v>
      </c>
      <c r="C355" s="11">
        <v>230000</v>
      </c>
      <c r="D355" s="11"/>
      <c r="E355" t="s">
        <v>441</v>
      </c>
      <c r="F355" s="111" t="s">
        <v>108</v>
      </c>
    </row>
    <row r="356" spans="1:6" x14ac:dyDescent="0.3">
      <c r="A356" s="116">
        <v>46030</v>
      </c>
      <c r="B356" t="s">
        <v>192</v>
      </c>
      <c r="C356" s="11"/>
      <c r="D356" s="11">
        <v>100000</v>
      </c>
      <c r="E356" t="s">
        <v>442</v>
      </c>
      <c r="F356" s="111" t="s">
        <v>108</v>
      </c>
    </row>
    <row r="357" spans="1:6" x14ac:dyDescent="0.3">
      <c r="A357" s="38">
        <v>46030</v>
      </c>
      <c r="B357" t="s">
        <v>52</v>
      </c>
      <c r="C357" s="96">
        <v>50000</v>
      </c>
      <c r="D357" s="96"/>
      <c r="E357" t="s">
        <v>443</v>
      </c>
      <c r="F357" s="111" t="s">
        <v>108</v>
      </c>
    </row>
    <row r="358" spans="1:6" x14ac:dyDescent="0.3">
      <c r="A358" s="38">
        <v>46031</v>
      </c>
      <c r="B358" t="s">
        <v>64</v>
      </c>
      <c r="C358" s="96">
        <v>32500</v>
      </c>
      <c r="D358" s="96"/>
      <c r="E358" t="s">
        <v>444</v>
      </c>
      <c r="F358" s="111" t="s">
        <v>108</v>
      </c>
    </row>
    <row r="359" spans="1:6" x14ac:dyDescent="0.3">
      <c r="A359" s="38">
        <v>46031</v>
      </c>
      <c r="B359" t="s">
        <v>64</v>
      </c>
      <c r="C359" s="96">
        <v>34375</v>
      </c>
      <c r="D359" s="96"/>
      <c r="E359" t="s">
        <v>131</v>
      </c>
      <c r="F359" s="111" t="s">
        <v>108</v>
      </c>
    </row>
    <row r="360" spans="1:6" x14ac:dyDescent="0.3">
      <c r="A360" s="38">
        <v>46031</v>
      </c>
      <c r="B360" t="s">
        <v>192</v>
      </c>
      <c r="C360" s="11"/>
      <c r="D360" s="11">
        <v>66875</v>
      </c>
      <c r="E360" t="s">
        <v>445</v>
      </c>
      <c r="F360" s="111" t="s">
        <v>108</v>
      </c>
    </row>
    <row r="361" spans="1:6" x14ac:dyDescent="0.3">
      <c r="A361" s="38">
        <v>46031</v>
      </c>
      <c r="B361" t="s">
        <v>222</v>
      </c>
      <c r="C361" s="11"/>
      <c r="D361" s="11">
        <v>15000</v>
      </c>
      <c r="E361" t="s">
        <v>202</v>
      </c>
      <c r="F361" s="111" t="s">
        <v>108</v>
      </c>
    </row>
    <row r="362" spans="1:6" x14ac:dyDescent="0.3">
      <c r="A362" s="38">
        <v>46031</v>
      </c>
      <c r="B362" t="s">
        <v>202</v>
      </c>
      <c r="C362" s="11">
        <v>15000</v>
      </c>
      <c r="D362" s="11"/>
      <c r="E362" t="s">
        <v>289</v>
      </c>
      <c r="F362" s="111" t="s">
        <v>108</v>
      </c>
    </row>
    <row r="363" spans="1:6" x14ac:dyDescent="0.3">
      <c r="A363" s="38">
        <v>46031</v>
      </c>
      <c r="B363" t="s">
        <v>55</v>
      </c>
      <c r="C363" s="11">
        <v>3500</v>
      </c>
      <c r="D363" s="11"/>
      <c r="E363" t="s">
        <v>268</v>
      </c>
      <c r="F363" s="111" t="s">
        <v>108</v>
      </c>
    </row>
    <row r="364" spans="1:6" x14ac:dyDescent="0.3">
      <c r="A364" s="38">
        <v>46031</v>
      </c>
      <c r="B364" t="s">
        <v>55</v>
      </c>
      <c r="C364" s="11">
        <v>1050</v>
      </c>
      <c r="D364" s="11"/>
      <c r="E364" t="s">
        <v>446</v>
      </c>
      <c r="F364" s="111" t="s">
        <v>108</v>
      </c>
    </row>
    <row r="365" spans="1:6" x14ac:dyDescent="0.3">
      <c r="A365" s="38">
        <v>46031</v>
      </c>
      <c r="B365" t="s">
        <v>55</v>
      </c>
      <c r="C365" s="11">
        <v>2300</v>
      </c>
      <c r="D365" s="11"/>
      <c r="E365" t="s">
        <v>447</v>
      </c>
      <c r="F365" s="111" t="s">
        <v>108</v>
      </c>
    </row>
    <row r="366" spans="1:6" x14ac:dyDescent="0.3">
      <c r="A366" s="38">
        <v>46031</v>
      </c>
      <c r="B366" t="s">
        <v>233</v>
      </c>
      <c r="C366" s="11">
        <v>2000</v>
      </c>
      <c r="D366" s="11"/>
      <c r="E366" t="s">
        <v>290</v>
      </c>
      <c r="F366" s="111" t="s">
        <v>108</v>
      </c>
    </row>
    <row r="367" spans="1:6" x14ac:dyDescent="0.3">
      <c r="A367" s="38">
        <v>46032</v>
      </c>
      <c r="B367" t="s">
        <v>177</v>
      </c>
      <c r="C367" s="96"/>
      <c r="D367" s="96">
        <v>5000</v>
      </c>
      <c r="E367" t="s">
        <v>448</v>
      </c>
      <c r="F367" s="111" t="s">
        <v>108</v>
      </c>
    </row>
    <row r="368" spans="1:6" x14ac:dyDescent="0.3">
      <c r="A368" s="116">
        <v>46032</v>
      </c>
      <c r="B368" t="s">
        <v>54</v>
      </c>
      <c r="C368" s="11">
        <v>5000</v>
      </c>
      <c r="D368" s="11"/>
      <c r="E368" t="s">
        <v>449</v>
      </c>
      <c r="F368" s="111" t="s">
        <v>108</v>
      </c>
    </row>
    <row r="369" spans="1:6" x14ac:dyDescent="0.3">
      <c r="A369" s="38">
        <v>46032</v>
      </c>
      <c r="B369" t="s">
        <v>9</v>
      </c>
      <c r="C369" s="11"/>
      <c r="D369" s="11">
        <v>230200</v>
      </c>
      <c r="E369" t="s">
        <v>450</v>
      </c>
      <c r="F369" s="111" t="s">
        <v>108</v>
      </c>
    </row>
    <row r="370" spans="1:6" x14ac:dyDescent="0.3">
      <c r="A370" s="116">
        <v>46032</v>
      </c>
      <c r="B370" t="s">
        <v>94</v>
      </c>
      <c r="C370" s="96">
        <v>202000</v>
      </c>
      <c r="D370" s="96"/>
      <c r="E370" t="s">
        <v>451</v>
      </c>
      <c r="F370" s="111" t="s">
        <v>108</v>
      </c>
    </row>
    <row r="371" spans="1:6" x14ac:dyDescent="0.3">
      <c r="A371" s="38">
        <v>46032</v>
      </c>
      <c r="B371" t="s">
        <v>192</v>
      </c>
      <c r="C371" s="11"/>
      <c r="D371" s="11">
        <v>100000</v>
      </c>
      <c r="E371" t="s">
        <v>250</v>
      </c>
      <c r="F371" s="111" t="s">
        <v>108</v>
      </c>
    </row>
    <row r="372" spans="1:6" x14ac:dyDescent="0.3">
      <c r="A372" s="116">
        <v>46032</v>
      </c>
      <c r="B372" t="s">
        <v>410</v>
      </c>
      <c r="C372" s="11">
        <v>70000</v>
      </c>
      <c r="D372" s="11"/>
      <c r="E372" t="s">
        <v>452</v>
      </c>
      <c r="F372" s="111" t="s">
        <v>108</v>
      </c>
    </row>
    <row r="373" spans="1:6" x14ac:dyDescent="0.3">
      <c r="A373" s="38">
        <v>46032</v>
      </c>
      <c r="B373" t="s">
        <v>54</v>
      </c>
      <c r="C373" s="11">
        <v>1273</v>
      </c>
      <c r="D373" s="11"/>
      <c r="E373" t="s">
        <v>419</v>
      </c>
      <c r="F373" s="111" t="s">
        <v>108</v>
      </c>
    </row>
    <row r="374" spans="1:6" x14ac:dyDescent="0.3">
      <c r="A374" s="116">
        <v>46032</v>
      </c>
      <c r="B374" t="s">
        <v>55</v>
      </c>
      <c r="C374" s="11">
        <v>15513</v>
      </c>
      <c r="D374" s="11"/>
      <c r="E374" t="s">
        <v>453</v>
      </c>
      <c r="F374" s="111" t="s">
        <v>108</v>
      </c>
    </row>
    <row r="375" spans="1:6" x14ac:dyDescent="0.3">
      <c r="A375" s="38">
        <v>46032</v>
      </c>
      <c r="B375" t="s">
        <v>113</v>
      </c>
      <c r="C375" s="11">
        <v>16270</v>
      </c>
      <c r="D375" s="11"/>
      <c r="E375" t="s">
        <v>294</v>
      </c>
      <c r="F375" s="111" t="s">
        <v>108</v>
      </c>
    </row>
    <row r="376" spans="1:6" x14ac:dyDescent="0.3">
      <c r="A376" s="116">
        <v>46032</v>
      </c>
      <c r="B376" t="s">
        <v>192</v>
      </c>
      <c r="C376" s="96"/>
      <c r="D376" s="96">
        <v>120000</v>
      </c>
      <c r="E376" t="s">
        <v>454</v>
      </c>
      <c r="F376" s="111" t="s">
        <v>108</v>
      </c>
    </row>
    <row r="377" spans="1:6" x14ac:dyDescent="0.3">
      <c r="A377" s="116">
        <v>46032</v>
      </c>
      <c r="B377" t="s">
        <v>192</v>
      </c>
      <c r="C377" s="96">
        <v>253000</v>
      </c>
      <c r="D377" s="96"/>
      <c r="E377" t="s">
        <v>495</v>
      </c>
      <c r="F377" s="111" t="s">
        <v>108</v>
      </c>
    </row>
    <row r="378" spans="1:6" x14ac:dyDescent="0.3">
      <c r="A378" s="116">
        <v>46032</v>
      </c>
      <c r="B378" t="s">
        <v>224</v>
      </c>
      <c r="C378" s="96"/>
      <c r="D378" s="96">
        <v>253000</v>
      </c>
      <c r="E378" t="s">
        <v>21</v>
      </c>
      <c r="F378" s="111" t="s">
        <v>108</v>
      </c>
    </row>
    <row r="379" spans="1:6" x14ac:dyDescent="0.3">
      <c r="A379" s="116">
        <v>46032</v>
      </c>
      <c r="B379" t="s">
        <v>192</v>
      </c>
      <c r="C379" s="96"/>
      <c r="D379" s="96">
        <v>118000</v>
      </c>
      <c r="E379" t="s">
        <v>116</v>
      </c>
      <c r="F379" s="111" t="s">
        <v>108</v>
      </c>
    </row>
    <row r="380" spans="1:6" x14ac:dyDescent="0.3">
      <c r="A380" s="116">
        <v>46032</v>
      </c>
      <c r="B380" t="s">
        <v>116</v>
      </c>
      <c r="C380" s="96">
        <v>118000</v>
      </c>
      <c r="D380" s="96"/>
      <c r="E380" t="s">
        <v>294</v>
      </c>
      <c r="F380" s="111" t="s">
        <v>108</v>
      </c>
    </row>
    <row r="381" spans="1:6" x14ac:dyDescent="0.3">
      <c r="A381" s="38">
        <v>46032</v>
      </c>
      <c r="B381" t="s">
        <v>229</v>
      </c>
      <c r="C381" s="11">
        <v>150000</v>
      </c>
      <c r="D381" s="11"/>
      <c r="E381" t="s">
        <v>455</v>
      </c>
      <c r="F381" s="111" t="s">
        <v>108</v>
      </c>
    </row>
    <row r="382" spans="1:6" x14ac:dyDescent="0.3">
      <c r="A382" s="116">
        <v>46032</v>
      </c>
      <c r="B382" t="s">
        <v>192</v>
      </c>
      <c r="C382" s="11"/>
      <c r="D382" s="11">
        <v>53000</v>
      </c>
      <c r="E382" t="s">
        <v>456</v>
      </c>
      <c r="F382" s="111" t="s">
        <v>108</v>
      </c>
    </row>
    <row r="383" spans="1:6" x14ac:dyDescent="0.3">
      <c r="A383" s="38">
        <v>46032</v>
      </c>
      <c r="B383" t="s">
        <v>233</v>
      </c>
      <c r="C383" s="11">
        <v>5000</v>
      </c>
      <c r="D383" s="11"/>
      <c r="E383" t="s">
        <v>290</v>
      </c>
      <c r="F383" s="111" t="s">
        <v>108</v>
      </c>
    </row>
    <row r="384" spans="1:6" x14ac:dyDescent="0.3">
      <c r="A384" s="116">
        <v>46032</v>
      </c>
      <c r="B384" t="s">
        <v>177</v>
      </c>
      <c r="C384" s="11">
        <v>16000</v>
      </c>
      <c r="D384" s="11"/>
      <c r="E384" t="s">
        <v>457</v>
      </c>
      <c r="F384" s="111" t="s">
        <v>108</v>
      </c>
    </row>
    <row r="385" spans="1:6" x14ac:dyDescent="0.3">
      <c r="A385" s="38">
        <v>46033</v>
      </c>
      <c r="B385" t="s">
        <v>113</v>
      </c>
      <c r="C385" s="11">
        <v>20000</v>
      </c>
      <c r="D385" s="11"/>
      <c r="E385" t="s">
        <v>304</v>
      </c>
      <c r="F385" s="111" t="s">
        <v>108</v>
      </c>
    </row>
    <row r="386" spans="1:6" x14ac:dyDescent="0.3">
      <c r="A386" s="116">
        <v>46033</v>
      </c>
      <c r="B386" t="s">
        <v>192</v>
      </c>
      <c r="C386" s="11"/>
      <c r="D386" s="11">
        <v>75000</v>
      </c>
      <c r="E386" t="s">
        <v>458</v>
      </c>
      <c r="F386" s="111" t="s">
        <v>108</v>
      </c>
    </row>
    <row r="387" spans="1:6" x14ac:dyDescent="0.3">
      <c r="A387" s="38">
        <v>46033</v>
      </c>
      <c r="B387" t="s">
        <v>410</v>
      </c>
      <c r="C387" s="11">
        <v>50000</v>
      </c>
      <c r="D387" s="11"/>
      <c r="E387" t="s">
        <v>459</v>
      </c>
      <c r="F387" s="111" t="s">
        <v>108</v>
      </c>
    </row>
    <row r="388" spans="1:6" x14ac:dyDescent="0.3">
      <c r="A388" s="116">
        <v>46033</v>
      </c>
      <c r="B388" t="s">
        <v>192</v>
      </c>
      <c r="C388" s="11"/>
      <c r="D388" s="11">
        <v>62000</v>
      </c>
      <c r="E388" t="s">
        <v>460</v>
      </c>
      <c r="F388" s="111" t="s">
        <v>108</v>
      </c>
    </row>
    <row r="389" spans="1:6" x14ac:dyDescent="0.3">
      <c r="A389" s="38">
        <v>46033</v>
      </c>
      <c r="B389" t="s">
        <v>233</v>
      </c>
      <c r="C389" s="11">
        <v>32000</v>
      </c>
      <c r="D389" s="11"/>
      <c r="E389" t="s">
        <v>403</v>
      </c>
      <c r="F389" s="111" t="s">
        <v>108</v>
      </c>
    </row>
    <row r="390" spans="1:6" x14ac:dyDescent="0.3">
      <c r="A390" s="116">
        <v>46033</v>
      </c>
      <c r="B390" t="s">
        <v>461</v>
      </c>
      <c r="C390" s="11">
        <v>38750</v>
      </c>
      <c r="D390" s="11"/>
      <c r="E390" t="s">
        <v>462</v>
      </c>
      <c r="F390" s="111" t="s">
        <v>108</v>
      </c>
    </row>
    <row r="391" spans="1:6" x14ac:dyDescent="0.3">
      <c r="A391" s="38">
        <v>46033</v>
      </c>
      <c r="B391" t="s">
        <v>177</v>
      </c>
      <c r="C391" s="11">
        <v>1400</v>
      </c>
      <c r="D391" s="11"/>
      <c r="E391" t="s">
        <v>218</v>
      </c>
      <c r="F391" s="111" t="s">
        <v>108</v>
      </c>
    </row>
    <row r="392" spans="1:6" x14ac:dyDescent="0.3">
      <c r="A392" s="116">
        <v>46033</v>
      </c>
      <c r="B392" t="s">
        <v>50</v>
      </c>
      <c r="C392" s="11">
        <v>500</v>
      </c>
      <c r="D392" s="11"/>
      <c r="E392" t="s">
        <v>463</v>
      </c>
      <c r="F392" s="111" t="s">
        <v>108</v>
      </c>
    </row>
    <row r="393" spans="1:6" x14ac:dyDescent="0.3">
      <c r="A393" s="38">
        <v>46034</v>
      </c>
      <c r="B393" t="s">
        <v>192</v>
      </c>
      <c r="C393" s="96"/>
      <c r="D393" s="96">
        <v>400000</v>
      </c>
      <c r="E393" t="s">
        <v>464</v>
      </c>
      <c r="F393" s="111" t="s">
        <v>108</v>
      </c>
    </row>
    <row r="394" spans="1:6" x14ac:dyDescent="0.3">
      <c r="A394" s="116">
        <v>46034</v>
      </c>
      <c r="B394" t="s">
        <v>198</v>
      </c>
      <c r="C394" s="11">
        <v>43500</v>
      </c>
      <c r="D394" s="11"/>
      <c r="E394" t="s">
        <v>465</v>
      </c>
      <c r="F394" s="111" t="s">
        <v>108</v>
      </c>
    </row>
    <row r="395" spans="1:6" x14ac:dyDescent="0.3">
      <c r="A395" s="38">
        <v>46034</v>
      </c>
      <c r="B395" t="s">
        <v>466</v>
      </c>
      <c r="C395" s="11">
        <v>351000</v>
      </c>
      <c r="D395" s="11"/>
      <c r="E395" t="s">
        <v>467</v>
      </c>
      <c r="F395" s="111" t="s">
        <v>108</v>
      </c>
    </row>
    <row r="396" spans="1:6" x14ac:dyDescent="0.3">
      <c r="A396" s="116">
        <v>46034</v>
      </c>
      <c r="B396" t="s">
        <v>229</v>
      </c>
      <c r="C396" s="11">
        <v>57000</v>
      </c>
      <c r="D396" s="11"/>
      <c r="E396" t="s">
        <v>468</v>
      </c>
      <c r="F396" s="111" t="s">
        <v>108</v>
      </c>
    </row>
    <row r="397" spans="1:6" x14ac:dyDescent="0.3">
      <c r="A397" s="38">
        <v>46034</v>
      </c>
      <c r="B397" t="s">
        <v>233</v>
      </c>
      <c r="C397" s="11">
        <v>18000</v>
      </c>
      <c r="D397" s="11"/>
      <c r="E397" t="s">
        <v>403</v>
      </c>
      <c r="F397" s="111" t="s">
        <v>108</v>
      </c>
    </row>
    <row r="398" spans="1:6" x14ac:dyDescent="0.3">
      <c r="A398" s="116">
        <v>46034</v>
      </c>
      <c r="B398" t="s">
        <v>222</v>
      </c>
      <c r="C398" s="11"/>
      <c r="D398" s="11">
        <v>5000</v>
      </c>
      <c r="E398" t="s">
        <v>469</v>
      </c>
      <c r="F398" s="111" t="s">
        <v>108</v>
      </c>
    </row>
    <row r="399" spans="1:6" x14ac:dyDescent="0.3">
      <c r="A399" s="38">
        <v>46034</v>
      </c>
      <c r="B399" t="s">
        <v>233</v>
      </c>
      <c r="C399" s="11">
        <v>20000</v>
      </c>
      <c r="D399" s="11"/>
      <c r="E399" t="s">
        <v>421</v>
      </c>
      <c r="F399" s="111" t="s">
        <v>108</v>
      </c>
    </row>
    <row r="400" spans="1:6" x14ac:dyDescent="0.3">
      <c r="A400" s="116">
        <v>46034</v>
      </c>
      <c r="B400" t="s">
        <v>233</v>
      </c>
      <c r="C400" s="11">
        <v>5000</v>
      </c>
      <c r="D400" s="11"/>
      <c r="E400" t="s">
        <v>421</v>
      </c>
      <c r="F400" s="111" t="s">
        <v>108</v>
      </c>
    </row>
    <row r="401" spans="1:15" x14ac:dyDescent="0.3">
      <c r="A401" s="38">
        <v>46034</v>
      </c>
      <c r="B401" t="s">
        <v>202</v>
      </c>
      <c r="C401" s="11">
        <v>40000</v>
      </c>
      <c r="D401" s="11"/>
      <c r="E401" t="s">
        <v>470</v>
      </c>
      <c r="F401" s="111" t="s">
        <v>108</v>
      </c>
    </row>
    <row r="402" spans="1:15" x14ac:dyDescent="0.3">
      <c r="A402" s="116">
        <v>46034</v>
      </c>
      <c r="B402" t="s">
        <v>192</v>
      </c>
      <c r="C402" s="11"/>
      <c r="D402" s="11">
        <v>50000</v>
      </c>
      <c r="E402" t="s">
        <v>471</v>
      </c>
      <c r="F402" s="111" t="s">
        <v>108</v>
      </c>
    </row>
    <row r="403" spans="1:15" x14ac:dyDescent="0.3">
      <c r="A403" s="38">
        <v>46034</v>
      </c>
      <c r="B403" t="s">
        <v>192</v>
      </c>
      <c r="C403" s="11"/>
      <c r="D403" s="11">
        <v>693000</v>
      </c>
      <c r="E403" t="s">
        <v>472</v>
      </c>
      <c r="F403" s="111" t="s">
        <v>108</v>
      </c>
    </row>
    <row r="404" spans="1:15" x14ac:dyDescent="0.3">
      <c r="A404" s="116">
        <v>46034</v>
      </c>
      <c r="B404" t="s">
        <v>55</v>
      </c>
      <c r="C404" s="11">
        <v>15513</v>
      </c>
      <c r="D404" s="11"/>
      <c r="E404" t="s">
        <v>453</v>
      </c>
      <c r="F404" s="111" t="s">
        <v>108</v>
      </c>
    </row>
    <row r="405" spans="1:15" x14ac:dyDescent="0.3">
      <c r="A405" s="38">
        <v>46034</v>
      </c>
      <c r="B405" t="s">
        <v>169</v>
      </c>
      <c r="C405" s="96">
        <v>202045</v>
      </c>
      <c r="D405" s="96"/>
      <c r="E405" t="s">
        <v>473</v>
      </c>
      <c r="F405" s="111" t="s">
        <v>108</v>
      </c>
    </row>
    <row r="406" spans="1:15" x14ac:dyDescent="0.3">
      <c r="A406" s="116">
        <v>46034</v>
      </c>
      <c r="B406" t="s">
        <v>229</v>
      </c>
      <c r="C406" s="11">
        <v>175000</v>
      </c>
      <c r="D406" s="11"/>
      <c r="E406" t="s">
        <v>474</v>
      </c>
      <c r="F406" s="111" t="s">
        <v>108</v>
      </c>
    </row>
    <row r="407" spans="1:15" x14ac:dyDescent="0.3">
      <c r="A407" s="38">
        <v>46034</v>
      </c>
      <c r="B407" t="s">
        <v>286</v>
      </c>
      <c r="C407" s="11"/>
      <c r="D407" s="11">
        <v>400000</v>
      </c>
      <c r="E407" t="s">
        <v>475</v>
      </c>
      <c r="F407" s="111" t="s">
        <v>108</v>
      </c>
    </row>
    <row r="408" spans="1:15" x14ac:dyDescent="0.3">
      <c r="A408" s="116">
        <v>46034</v>
      </c>
      <c r="B408" t="s">
        <v>219</v>
      </c>
      <c r="C408" s="11">
        <v>5000</v>
      </c>
      <c r="D408" s="11"/>
      <c r="E408" t="s">
        <v>476</v>
      </c>
      <c r="F408" s="111" t="s">
        <v>108</v>
      </c>
    </row>
    <row r="409" spans="1:15" x14ac:dyDescent="0.3">
      <c r="A409" s="38">
        <v>46034</v>
      </c>
      <c r="B409" t="s">
        <v>52</v>
      </c>
      <c r="C409" s="11">
        <v>501260</v>
      </c>
      <c r="D409" s="11"/>
      <c r="E409" t="s">
        <v>477</v>
      </c>
      <c r="F409" s="111" t="s">
        <v>108</v>
      </c>
    </row>
    <row r="410" spans="1:15" x14ac:dyDescent="0.3">
      <c r="A410" s="116">
        <v>46035</v>
      </c>
      <c r="B410" t="s">
        <v>52</v>
      </c>
      <c r="C410" s="11">
        <v>40000</v>
      </c>
      <c r="D410" s="11"/>
      <c r="E410" t="s">
        <v>484</v>
      </c>
      <c r="F410" s="111" t="s">
        <v>108</v>
      </c>
    </row>
    <row r="411" spans="1:15" x14ac:dyDescent="0.3">
      <c r="A411" s="38">
        <v>46035</v>
      </c>
      <c r="B411" t="s">
        <v>177</v>
      </c>
      <c r="C411" s="11">
        <v>2200</v>
      </c>
      <c r="D411" s="11"/>
      <c r="E411" t="s">
        <v>218</v>
      </c>
      <c r="F411" s="111" t="s">
        <v>108</v>
      </c>
    </row>
    <row r="412" spans="1:15" x14ac:dyDescent="0.3">
      <c r="A412" s="116">
        <v>46035</v>
      </c>
      <c r="B412" t="s">
        <v>26</v>
      </c>
      <c r="C412" s="11"/>
      <c r="D412" s="11">
        <v>100000</v>
      </c>
      <c r="F412" s="111" t="s">
        <v>108</v>
      </c>
    </row>
    <row r="413" spans="1:15" x14ac:dyDescent="0.3">
      <c r="A413" s="38">
        <v>46035</v>
      </c>
      <c r="B413" t="s">
        <v>233</v>
      </c>
      <c r="C413" s="11">
        <v>20000</v>
      </c>
      <c r="D413" s="11"/>
      <c r="E413" t="s">
        <v>485</v>
      </c>
      <c r="F413" s="111" t="s">
        <v>108</v>
      </c>
    </row>
    <row r="414" spans="1:15" x14ac:dyDescent="0.3">
      <c r="A414" s="116">
        <v>46035</v>
      </c>
      <c r="B414" t="s">
        <v>233</v>
      </c>
      <c r="C414" s="11">
        <v>1000</v>
      </c>
      <c r="D414" s="11"/>
      <c r="E414" t="s">
        <v>486</v>
      </c>
      <c r="F414" s="111" t="s">
        <v>108</v>
      </c>
    </row>
    <row r="415" spans="1:15" x14ac:dyDescent="0.3">
      <c r="A415" s="38">
        <v>46035</v>
      </c>
      <c r="B415" t="s">
        <v>222</v>
      </c>
      <c r="C415" s="11">
        <v>2300</v>
      </c>
      <c r="D415" s="11"/>
      <c r="F415" s="111" t="s">
        <v>108</v>
      </c>
      <c r="J415">
        <v>30000</v>
      </c>
      <c r="L415">
        <v>10000</v>
      </c>
      <c r="M415">
        <v>16300</v>
      </c>
      <c r="O415">
        <v>5100</v>
      </c>
    </row>
    <row r="416" spans="1:15" x14ac:dyDescent="0.3">
      <c r="A416" s="116">
        <v>46035</v>
      </c>
      <c r="B416" t="s">
        <v>177</v>
      </c>
      <c r="C416" s="11">
        <v>1000</v>
      </c>
      <c r="D416" s="11"/>
      <c r="E416" t="s">
        <v>263</v>
      </c>
      <c r="F416" s="111" t="s">
        <v>108</v>
      </c>
      <c r="J416">
        <v>119760</v>
      </c>
      <c r="L416">
        <v>3200</v>
      </c>
      <c r="M416">
        <v>12800</v>
      </c>
      <c r="O416">
        <v>12300</v>
      </c>
    </row>
    <row r="417" spans="1:15" x14ac:dyDescent="0.3">
      <c r="A417" s="38">
        <v>46035</v>
      </c>
      <c r="B417" t="s">
        <v>177</v>
      </c>
      <c r="C417" s="11">
        <v>300</v>
      </c>
      <c r="D417" s="11"/>
      <c r="E417" t="s">
        <v>313</v>
      </c>
      <c r="F417" s="111" t="s">
        <v>108</v>
      </c>
      <c r="J417">
        <v>35000</v>
      </c>
      <c r="L417">
        <v>22800</v>
      </c>
      <c r="M417">
        <v>22650</v>
      </c>
      <c r="O417">
        <v>10810</v>
      </c>
    </row>
    <row r="418" spans="1:15" x14ac:dyDescent="0.3">
      <c r="A418" s="116">
        <v>46035</v>
      </c>
      <c r="B418" t="s">
        <v>52</v>
      </c>
      <c r="C418" s="11">
        <v>22000</v>
      </c>
      <c r="D418" s="11"/>
      <c r="E418" t="s">
        <v>487</v>
      </c>
      <c r="F418" s="111" t="s">
        <v>108</v>
      </c>
      <c r="J418">
        <v>29600</v>
      </c>
      <c r="L418">
        <v>29600</v>
      </c>
      <c r="M418">
        <v>22800</v>
      </c>
      <c r="O418">
        <v>12000</v>
      </c>
    </row>
    <row r="419" spans="1:15" x14ac:dyDescent="0.3">
      <c r="A419" s="38">
        <v>46035</v>
      </c>
      <c r="B419" t="s">
        <v>52</v>
      </c>
      <c r="C419" s="11">
        <v>17000</v>
      </c>
      <c r="D419" s="11"/>
      <c r="E419" t="s">
        <v>488</v>
      </c>
      <c r="F419" s="111" t="s">
        <v>108</v>
      </c>
      <c r="J419">
        <v>46600</v>
      </c>
      <c r="L419">
        <v>46600</v>
      </c>
      <c r="M419">
        <v>15000</v>
      </c>
      <c r="O419">
        <v>11650</v>
      </c>
    </row>
    <row r="420" spans="1:15" x14ac:dyDescent="0.3">
      <c r="A420" s="116">
        <v>46035</v>
      </c>
      <c r="B420" t="s">
        <v>52</v>
      </c>
      <c r="C420" s="11">
        <f>830900-501260</f>
        <v>329640</v>
      </c>
      <c r="D420" s="11"/>
      <c r="E420" t="s">
        <v>477</v>
      </c>
      <c r="F420" s="111" t="s">
        <v>108</v>
      </c>
      <c r="J420">
        <v>22800</v>
      </c>
      <c r="L420">
        <v>20800</v>
      </c>
      <c r="M420">
        <v>18450</v>
      </c>
      <c r="O420">
        <v>16300</v>
      </c>
    </row>
    <row r="421" spans="1:15" x14ac:dyDescent="0.3">
      <c r="A421" s="38">
        <v>46035</v>
      </c>
      <c r="B421" t="s">
        <v>54</v>
      </c>
      <c r="C421" s="11">
        <v>5000</v>
      </c>
      <c r="D421" s="11"/>
      <c r="E421" t="s">
        <v>448</v>
      </c>
      <c r="F421" s="111" t="s">
        <v>108</v>
      </c>
      <c r="J421">
        <v>3200</v>
      </c>
      <c r="L421">
        <v>20000</v>
      </c>
      <c r="M421">
        <v>24600</v>
      </c>
      <c r="O421">
        <v>17300</v>
      </c>
    </row>
    <row r="422" spans="1:15" x14ac:dyDescent="0.3">
      <c r="A422" s="116">
        <v>46035</v>
      </c>
      <c r="B422" t="s">
        <v>192</v>
      </c>
      <c r="C422" s="11"/>
      <c r="D422" s="11">
        <v>300000</v>
      </c>
      <c r="E422" t="s">
        <v>489</v>
      </c>
      <c r="F422" s="111" t="s">
        <v>108</v>
      </c>
      <c r="J422">
        <v>11640</v>
      </c>
      <c r="L422">
        <v>80000</v>
      </c>
      <c r="M422">
        <v>15000</v>
      </c>
      <c r="O422">
        <v>17460</v>
      </c>
    </row>
    <row r="423" spans="1:15" x14ac:dyDescent="0.3">
      <c r="A423" s="38">
        <v>46035</v>
      </c>
      <c r="B423" t="s">
        <v>410</v>
      </c>
      <c r="C423" s="11">
        <v>100704</v>
      </c>
      <c r="D423" s="11"/>
      <c r="E423" t="s">
        <v>490</v>
      </c>
      <c r="F423" s="111" t="s">
        <v>108</v>
      </c>
      <c r="J423">
        <v>17500</v>
      </c>
      <c r="L423">
        <v>30000</v>
      </c>
      <c r="M423">
        <v>12000</v>
      </c>
      <c r="O423">
        <v>18450</v>
      </c>
    </row>
    <row r="424" spans="1:15" x14ac:dyDescent="0.3">
      <c r="A424" s="116">
        <v>46035</v>
      </c>
      <c r="B424" t="s">
        <v>192</v>
      </c>
      <c r="C424" s="11"/>
      <c r="D424" s="11">
        <v>50000</v>
      </c>
      <c r="E424" t="s">
        <v>491</v>
      </c>
      <c r="F424" s="111" t="s">
        <v>108</v>
      </c>
      <c r="J424">
        <v>20800</v>
      </c>
      <c r="L424">
        <v>15600</v>
      </c>
      <c r="M424">
        <v>18300</v>
      </c>
      <c r="O424">
        <v>12800</v>
      </c>
    </row>
    <row r="425" spans="1:15" x14ac:dyDescent="0.3">
      <c r="A425" s="38">
        <v>46035</v>
      </c>
      <c r="B425" t="s">
        <v>55</v>
      </c>
      <c r="C425" s="11">
        <v>15513</v>
      </c>
      <c r="D425" s="11"/>
      <c r="E425" t="s">
        <v>453</v>
      </c>
      <c r="F425" s="111" t="s">
        <v>108</v>
      </c>
      <c r="J425">
        <v>15600</v>
      </c>
      <c r="L425">
        <v>15000</v>
      </c>
      <c r="M425">
        <v>20000</v>
      </c>
      <c r="O425">
        <v>24600</v>
      </c>
    </row>
    <row r="426" spans="1:15" x14ac:dyDescent="0.3">
      <c r="A426" s="38">
        <v>46035</v>
      </c>
      <c r="B426" t="s">
        <v>326</v>
      </c>
      <c r="C426" s="96"/>
      <c r="D426" s="96">
        <v>190000</v>
      </c>
      <c r="E426" t="s">
        <v>492</v>
      </c>
      <c r="F426" s="111" t="s">
        <v>108</v>
      </c>
      <c r="J426">
        <v>11000</v>
      </c>
      <c r="L426">
        <v>14300</v>
      </c>
      <c r="M426">
        <v>20000</v>
      </c>
      <c r="O426">
        <v>22800</v>
      </c>
    </row>
    <row r="427" spans="1:15" x14ac:dyDescent="0.3">
      <c r="A427" s="38">
        <v>46035</v>
      </c>
      <c r="B427" t="s">
        <v>177</v>
      </c>
      <c r="C427" s="96">
        <v>4500</v>
      </c>
      <c r="D427" s="96"/>
      <c r="E427" t="s">
        <v>493</v>
      </c>
      <c r="F427" s="111" t="s">
        <v>108</v>
      </c>
      <c r="J427">
        <v>17000</v>
      </c>
      <c r="L427">
        <v>16500</v>
      </c>
      <c r="M427">
        <v>38400</v>
      </c>
      <c r="O427">
        <v>20000</v>
      </c>
    </row>
    <row r="428" spans="1:15" x14ac:dyDescent="0.3">
      <c r="A428" s="38">
        <v>46035</v>
      </c>
      <c r="B428" t="s">
        <v>222</v>
      </c>
      <c r="C428" s="96">
        <v>400</v>
      </c>
      <c r="D428" s="96"/>
      <c r="F428" s="111" t="s">
        <v>108</v>
      </c>
      <c r="J428">
        <v>10000</v>
      </c>
      <c r="L428">
        <v>17500</v>
      </c>
      <c r="M428">
        <v>12300</v>
      </c>
      <c r="O428">
        <v>18300</v>
      </c>
    </row>
    <row r="429" spans="1:15" x14ac:dyDescent="0.3">
      <c r="A429" s="38">
        <v>46035</v>
      </c>
      <c r="B429" t="s">
        <v>54</v>
      </c>
      <c r="C429" s="96">
        <v>350</v>
      </c>
      <c r="D429" s="96"/>
      <c r="E429" t="s">
        <v>494</v>
      </c>
      <c r="F429" s="111" t="s">
        <v>108</v>
      </c>
      <c r="J429">
        <v>80000</v>
      </c>
      <c r="L429">
        <v>17500</v>
      </c>
      <c r="M429">
        <v>17300</v>
      </c>
      <c r="O429">
        <v>15000</v>
      </c>
    </row>
    <row r="430" spans="1:15" x14ac:dyDescent="0.3">
      <c r="A430" s="38">
        <v>46036</v>
      </c>
      <c r="B430" t="s">
        <v>326</v>
      </c>
      <c r="C430" s="96"/>
      <c r="D430" s="96">
        <v>100000</v>
      </c>
      <c r="E430" t="s">
        <v>496</v>
      </c>
      <c r="F430" s="111" t="s">
        <v>108</v>
      </c>
      <c r="J430">
        <v>20000</v>
      </c>
      <c r="L430">
        <v>17500</v>
      </c>
      <c r="M430">
        <v>5100</v>
      </c>
      <c r="O430">
        <v>11000</v>
      </c>
    </row>
    <row r="431" spans="1:15" x14ac:dyDescent="0.3">
      <c r="A431" s="116">
        <v>46036</v>
      </c>
      <c r="B431" t="s">
        <v>326</v>
      </c>
      <c r="C431" s="11"/>
      <c r="D431" s="11">
        <v>160000</v>
      </c>
      <c r="E431" t="s">
        <v>406</v>
      </c>
      <c r="F431" s="111" t="s">
        <v>108</v>
      </c>
      <c r="L431">
        <v>3300</v>
      </c>
      <c r="M431">
        <v>8350</v>
      </c>
      <c r="O431">
        <v>35000</v>
      </c>
    </row>
    <row r="432" spans="1:15" x14ac:dyDescent="0.3">
      <c r="A432" s="38">
        <v>46036</v>
      </c>
      <c r="B432" t="s">
        <v>192</v>
      </c>
      <c r="C432" s="11">
        <v>160000</v>
      </c>
      <c r="D432" s="11"/>
      <c r="E432" t="s">
        <v>326</v>
      </c>
      <c r="F432" s="111" t="s">
        <v>108</v>
      </c>
      <c r="L432">
        <v>5830</v>
      </c>
      <c r="M432">
        <v>9850</v>
      </c>
      <c r="O432">
        <v>7000</v>
      </c>
    </row>
    <row r="433" spans="1:15" x14ac:dyDescent="0.3">
      <c r="A433" s="116">
        <v>46036</v>
      </c>
      <c r="B433" t="s">
        <v>9</v>
      </c>
      <c r="C433" s="96"/>
      <c r="D433" s="96">
        <v>200000</v>
      </c>
      <c r="E433" t="s">
        <v>497</v>
      </c>
      <c r="F433" s="111" t="s">
        <v>108</v>
      </c>
      <c r="L433">
        <v>7000</v>
      </c>
      <c r="M433">
        <v>20000</v>
      </c>
      <c r="O433">
        <v>5850</v>
      </c>
    </row>
    <row r="434" spans="1:15" x14ac:dyDescent="0.3">
      <c r="A434" s="38">
        <v>46036</v>
      </c>
      <c r="B434" t="s">
        <v>192</v>
      </c>
      <c r="C434" s="11"/>
      <c r="D434" s="11">
        <v>5100</v>
      </c>
      <c r="E434" t="s">
        <v>355</v>
      </c>
      <c r="F434" s="111" t="s">
        <v>108</v>
      </c>
      <c r="L434">
        <v>5332</v>
      </c>
      <c r="O434">
        <v>3300</v>
      </c>
    </row>
    <row r="435" spans="1:15" x14ac:dyDescent="0.3">
      <c r="A435" s="116">
        <v>46036</v>
      </c>
      <c r="B435" t="s">
        <v>55</v>
      </c>
      <c r="C435" s="11">
        <v>5100</v>
      </c>
      <c r="D435" s="11"/>
      <c r="E435" t="s">
        <v>498</v>
      </c>
      <c r="F435" s="111" t="s">
        <v>108</v>
      </c>
      <c r="L435">
        <v>35000</v>
      </c>
      <c r="O435">
        <v>17500</v>
      </c>
    </row>
    <row r="436" spans="1:15" x14ac:dyDescent="0.3">
      <c r="A436" s="38">
        <v>46036</v>
      </c>
      <c r="B436" t="s">
        <v>55</v>
      </c>
      <c r="C436" s="11">
        <v>3000</v>
      </c>
      <c r="D436" s="11"/>
      <c r="E436" t="s">
        <v>355</v>
      </c>
      <c r="F436" s="111" t="s">
        <v>108</v>
      </c>
      <c r="L436">
        <v>11000</v>
      </c>
      <c r="M436">
        <v>17000</v>
      </c>
      <c r="O436">
        <v>17500</v>
      </c>
    </row>
    <row r="437" spans="1:15" x14ac:dyDescent="0.3">
      <c r="A437" s="116">
        <v>46036</v>
      </c>
      <c r="B437" t="s">
        <v>229</v>
      </c>
      <c r="C437" s="11">
        <v>150062</v>
      </c>
      <c r="D437" s="11"/>
      <c r="E437" t="s">
        <v>499</v>
      </c>
      <c r="F437" s="111" t="s">
        <v>108</v>
      </c>
      <c r="L437">
        <v>17460</v>
      </c>
      <c r="M437">
        <v>22000</v>
      </c>
      <c r="O437">
        <v>17500</v>
      </c>
    </row>
    <row r="438" spans="1:15" x14ac:dyDescent="0.3">
      <c r="A438" s="38">
        <v>46036</v>
      </c>
      <c r="B438" t="s">
        <v>410</v>
      </c>
      <c r="C438" s="11">
        <v>31500</v>
      </c>
      <c r="D438" s="11"/>
      <c r="E438" t="s">
        <v>289</v>
      </c>
      <c r="F438" s="111" t="s">
        <v>108</v>
      </c>
      <c r="L438">
        <v>11640</v>
      </c>
      <c r="O438">
        <v>16500</v>
      </c>
    </row>
    <row r="439" spans="1:15" x14ac:dyDescent="0.3">
      <c r="A439" s="116">
        <v>46036</v>
      </c>
      <c r="B439" t="s">
        <v>55</v>
      </c>
      <c r="C439" s="11">
        <v>1300</v>
      </c>
      <c r="D439" s="11"/>
      <c r="E439" t="s">
        <v>500</v>
      </c>
      <c r="F439" s="111" t="s">
        <v>108</v>
      </c>
      <c r="L439">
        <v>10800</v>
      </c>
      <c r="O439">
        <v>14300</v>
      </c>
    </row>
    <row r="440" spans="1:15" x14ac:dyDescent="0.3">
      <c r="A440" s="38">
        <v>46036</v>
      </c>
      <c r="B440" t="s">
        <v>169</v>
      </c>
      <c r="C440" s="11">
        <v>70000</v>
      </c>
      <c r="D440" s="11"/>
      <c r="E440" t="s">
        <v>289</v>
      </c>
      <c r="F440" s="111" t="s">
        <v>108</v>
      </c>
      <c r="L440">
        <v>17000</v>
      </c>
      <c r="O440">
        <v>15000</v>
      </c>
    </row>
    <row r="441" spans="1:15" x14ac:dyDescent="0.3">
      <c r="A441" s="116">
        <v>46036</v>
      </c>
      <c r="B441" t="s">
        <v>169</v>
      </c>
      <c r="C441" s="11">
        <v>5000</v>
      </c>
      <c r="D441" s="11"/>
      <c r="E441" t="s">
        <v>289</v>
      </c>
      <c r="F441" s="111" t="s">
        <v>108</v>
      </c>
      <c r="O441">
        <v>22650</v>
      </c>
    </row>
    <row r="442" spans="1:15" x14ac:dyDescent="0.3">
      <c r="A442" s="38">
        <v>46036</v>
      </c>
      <c r="B442" t="s">
        <v>94</v>
      </c>
      <c r="C442" s="11">
        <v>200460</v>
      </c>
      <c r="D442" s="11"/>
      <c r="E442" t="s">
        <v>501</v>
      </c>
      <c r="F442" s="111" t="s">
        <v>108</v>
      </c>
      <c r="O442">
        <v>20000</v>
      </c>
    </row>
    <row r="443" spans="1:15" x14ac:dyDescent="0.3">
      <c r="A443" s="116">
        <v>46036</v>
      </c>
      <c r="B443" t="s">
        <v>55</v>
      </c>
      <c r="C443" s="96">
        <v>1800</v>
      </c>
      <c r="D443" s="96"/>
      <c r="F443" s="111" t="s">
        <v>108</v>
      </c>
      <c r="O443">
        <v>15600</v>
      </c>
    </row>
    <row r="444" spans="1:15" x14ac:dyDescent="0.3">
      <c r="A444" s="38">
        <v>46036</v>
      </c>
      <c r="B444" t="s">
        <v>55</v>
      </c>
      <c r="C444" s="11">
        <v>1000</v>
      </c>
      <c r="D444" s="11"/>
      <c r="F444" s="111" t="s">
        <v>108</v>
      </c>
      <c r="O444">
        <v>15000</v>
      </c>
    </row>
    <row r="445" spans="1:15" x14ac:dyDescent="0.3">
      <c r="A445" s="116">
        <v>46036</v>
      </c>
      <c r="B445" t="s">
        <v>55</v>
      </c>
      <c r="C445" s="11">
        <v>2530</v>
      </c>
      <c r="D445" s="11"/>
      <c r="F445" s="111" t="s">
        <v>108</v>
      </c>
      <c r="O445">
        <v>400</v>
      </c>
    </row>
    <row r="446" spans="1:15" x14ac:dyDescent="0.3">
      <c r="A446" s="38">
        <v>46036</v>
      </c>
      <c r="B446" t="s">
        <v>461</v>
      </c>
      <c r="C446" s="11">
        <v>38750</v>
      </c>
      <c r="D446" s="11"/>
      <c r="E446" t="s">
        <v>502</v>
      </c>
      <c r="F446" s="111" t="s">
        <v>108</v>
      </c>
      <c r="O446">
        <v>20000</v>
      </c>
    </row>
    <row r="447" spans="1:15" x14ac:dyDescent="0.3">
      <c r="A447" s="116">
        <v>46036</v>
      </c>
      <c r="B447" t="s">
        <v>55</v>
      </c>
      <c r="C447" s="11">
        <v>2900</v>
      </c>
      <c r="D447" s="11"/>
      <c r="E447" t="s">
        <v>503</v>
      </c>
      <c r="F447" s="111" t="s">
        <v>108</v>
      </c>
      <c r="O447">
        <v>30000</v>
      </c>
    </row>
    <row r="448" spans="1:15" x14ac:dyDescent="0.3">
      <c r="A448" s="38">
        <v>46036</v>
      </c>
      <c r="B448" t="s">
        <v>55</v>
      </c>
      <c r="C448" s="11">
        <v>4850</v>
      </c>
      <c r="D448" s="11"/>
      <c r="F448" s="111" t="s">
        <v>108</v>
      </c>
      <c r="O448">
        <v>8350</v>
      </c>
    </row>
    <row r="449" spans="1:16" x14ac:dyDescent="0.3">
      <c r="A449" s="116">
        <v>46036</v>
      </c>
      <c r="B449" t="s">
        <v>55</v>
      </c>
      <c r="C449" s="11">
        <v>1630</v>
      </c>
      <c r="D449" s="11"/>
      <c r="F449" s="111" t="s">
        <v>108</v>
      </c>
      <c r="O449">
        <v>9850</v>
      </c>
      <c r="P449">
        <v>17000</v>
      </c>
    </row>
    <row r="450" spans="1:16" x14ac:dyDescent="0.3">
      <c r="A450" s="38">
        <v>46036</v>
      </c>
      <c r="B450" t="s">
        <v>229</v>
      </c>
      <c r="C450" s="11">
        <v>48000</v>
      </c>
      <c r="D450" s="11"/>
      <c r="E450" t="s">
        <v>504</v>
      </c>
      <c r="F450" s="111" t="s">
        <v>108</v>
      </c>
      <c r="O450">
        <v>80000</v>
      </c>
    </row>
    <row r="451" spans="1:16" x14ac:dyDescent="0.3">
      <c r="A451" s="38">
        <v>46036</v>
      </c>
      <c r="B451" t="s">
        <v>192</v>
      </c>
      <c r="C451" s="96"/>
      <c r="D451" s="96">
        <v>126962</v>
      </c>
      <c r="E451" t="s">
        <v>505</v>
      </c>
      <c r="F451" s="111" t="s">
        <v>108</v>
      </c>
      <c r="O451">
        <v>20000</v>
      </c>
    </row>
    <row r="452" spans="1:16" x14ac:dyDescent="0.3">
      <c r="A452" s="116">
        <v>46036</v>
      </c>
      <c r="B452" t="s">
        <v>52</v>
      </c>
      <c r="C452" s="11">
        <v>46400</v>
      </c>
      <c r="D452" s="11"/>
      <c r="E452" t="s">
        <v>506</v>
      </c>
      <c r="F452" s="111" t="s">
        <v>108</v>
      </c>
      <c r="O452">
        <v>20800</v>
      </c>
    </row>
    <row r="453" spans="1:16" x14ac:dyDescent="0.3">
      <c r="A453" s="116">
        <v>46036</v>
      </c>
      <c r="B453" t="s">
        <v>54</v>
      </c>
      <c r="C453" s="11">
        <v>1000</v>
      </c>
      <c r="D453" s="11"/>
      <c r="E453" t="s">
        <v>507</v>
      </c>
      <c r="F453" s="111" t="s">
        <v>108</v>
      </c>
      <c r="O453">
        <v>46600</v>
      </c>
    </row>
    <row r="454" spans="1:16" x14ac:dyDescent="0.3">
      <c r="A454" s="116">
        <v>46036</v>
      </c>
      <c r="B454" t="s">
        <v>54</v>
      </c>
      <c r="C454" s="11">
        <v>600</v>
      </c>
      <c r="D454" s="11"/>
      <c r="E454" t="s">
        <v>502</v>
      </c>
      <c r="F454" s="111" t="s">
        <v>108</v>
      </c>
      <c r="L454" s="19">
        <v>48600</v>
      </c>
      <c r="N454" s="19">
        <v>27400</v>
      </c>
      <c r="O454">
        <v>29600</v>
      </c>
    </row>
    <row r="455" spans="1:16" x14ac:dyDescent="0.3">
      <c r="A455" s="116">
        <v>46037</v>
      </c>
      <c r="B455" t="s">
        <v>55</v>
      </c>
      <c r="C455" s="11">
        <v>1300</v>
      </c>
      <c r="D455" s="11"/>
      <c r="E455" t="s">
        <v>500</v>
      </c>
      <c r="F455" s="111" t="s">
        <v>108</v>
      </c>
      <c r="L455">
        <v>49200</v>
      </c>
      <c r="N455">
        <v>3400</v>
      </c>
      <c r="O455">
        <v>22800</v>
      </c>
    </row>
    <row r="456" spans="1:16" x14ac:dyDescent="0.3">
      <c r="A456" s="116">
        <v>46037</v>
      </c>
      <c r="B456" t="s">
        <v>55</v>
      </c>
      <c r="C456" s="11">
        <v>1000</v>
      </c>
      <c r="D456" s="11"/>
      <c r="E456" t="s">
        <v>508</v>
      </c>
      <c r="F456" s="111" t="s">
        <v>108</v>
      </c>
      <c r="L456">
        <v>52000</v>
      </c>
      <c r="N456" s="19">
        <v>6200</v>
      </c>
      <c r="O456">
        <v>3200</v>
      </c>
    </row>
    <row r="457" spans="1:16" x14ac:dyDescent="0.3">
      <c r="A457" s="116">
        <v>46037</v>
      </c>
      <c r="B457" t="s">
        <v>177</v>
      </c>
      <c r="C457" s="96">
        <v>1000</v>
      </c>
      <c r="D457" s="96"/>
      <c r="E457" t="s">
        <v>509</v>
      </c>
      <c r="F457" s="111" t="s">
        <v>108</v>
      </c>
      <c r="L457">
        <v>42800</v>
      </c>
      <c r="N457">
        <v>3400</v>
      </c>
      <c r="O457">
        <v>48400</v>
      </c>
    </row>
    <row r="458" spans="1:16" x14ac:dyDescent="0.3">
      <c r="A458" s="116">
        <v>46037</v>
      </c>
      <c r="B458" t="s">
        <v>55</v>
      </c>
      <c r="C458" s="11">
        <v>500</v>
      </c>
      <c r="D458" s="11"/>
      <c r="E458" t="s">
        <v>510</v>
      </c>
      <c r="F458" s="111" t="s">
        <v>108</v>
      </c>
      <c r="L458">
        <v>25200</v>
      </c>
      <c r="N458" s="19">
        <v>25200</v>
      </c>
      <c r="O458">
        <v>5330</v>
      </c>
    </row>
    <row r="459" spans="1:16" x14ac:dyDescent="0.3">
      <c r="A459" s="116">
        <v>46037</v>
      </c>
      <c r="B459" t="s">
        <v>55</v>
      </c>
      <c r="C459" s="11">
        <v>6450</v>
      </c>
      <c r="D459" s="11"/>
      <c r="E459" t="s">
        <v>511</v>
      </c>
      <c r="F459" s="111" t="s">
        <v>108</v>
      </c>
      <c r="L459">
        <v>37600</v>
      </c>
      <c r="N459" s="19">
        <v>19500</v>
      </c>
      <c r="O459">
        <v>17000</v>
      </c>
    </row>
    <row r="460" spans="1:16" x14ac:dyDescent="0.3">
      <c r="A460" s="116">
        <v>46037</v>
      </c>
      <c r="B460" t="s">
        <v>202</v>
      </c>
      <c r="C460" s="11">
        <v>50000</v>
      </c>
      <c r="D460" s="11"/>
      <c r="E460" t="s">
        <v>512</v>
      </c>
      <c r="F460" s="111" t="s">
        <v>108</v>
      </c>
      <c r="L460">
        <v>23000</v>
      </c>
      <c r="N460" s="19">
        <v>20300</v>
      </c>
    </row>
    <row r="461" spans="1:16" x14ac:dyDescent="0.3">
      <c r="A461" s="116">
        <v>46037</v>
      </c>
      <c r="B461" t="s">
        <v>192</v>
      </c>
      <c r="C461" s="11"/>
      <c r="D461" s="11">
        <v>160000</v>
      </c>
      <c r="E461" t="s">
        <v>326</v>
      </c>
      <c r="F461" s="111" t="s">
        <v>108</v>
      </c>
      <c r="L461">
        <v>6200</v>
      </c>
      <c r="N461" s="19">
        <v>21000</v>
      </c>
    </row>
    <row r="462" spans="1:16" x14ac:dyDescent="0.3">
      <c r="A462" s="116">
        <v>46037</v>
      </c>
      <c r="B462" t="s">
        <v>94</v>
      </c>
      <c r="C462" s="11">
        <v>95200</v>
      </c>
      <c r="D462" s="11"/>
      <c r="E462" t="s">
        <v>289</v>
      </c>
      <c r="F462" s="111" t="s">
        <v>108</v>
      </c>
      <c r="L462">
        <v>3400</v>
      </c>
      <c r="N462" s="19">
        <v>40000</v>
      </c>
    </row>
    <row r="463" spans="1:16" x14ac:dyDescent="0.3">
      <c r="A463" s="116">
        <v>46037</v>
      </c>
      <c r="B463" t="s">
        <v>326</v>
      </c>
      <c r="C463" s="11"/>
      <c r="D463" s="11">
        <v>129357</v>
      </c>
      <c r="E463" t="s">
        <v>513</v>
      </c>
      <c r="F463" s="111" t="s">
        <v>108</v>
      </c>
      <c r="L463">
        <v>19800</v>
      </c>
      <c r="N463" s="19">
        <v>3000</v>
      </c>
    </row>
    <row r="464" spans="1:16" x14ac:dyDescent="0.3">
      <c r="A464" s="116">
        <v>46037</v>
      </c>
      <c r="B464" t="s">
        <v>52</v>
      </c>
      <c r="C464" s="11">
        <v>165000</v>
      </c>
      <c r="D464" s="11"/>
      <c r="E464" t="s">
        <v>221</v>
      </c>
      <c r="F464" s="111" t="s">
        <v>108</v>
      </c>
      <c r="L464">
        <v>3400</v>
      </c>
      <c r="N464" s="19">
        <v>20600</v>
      </c>
    </row>
    <row r="465" spans="1:14" x14ac:dyDescent="0.3">
      <c r="A465" s="116">
        <v>46037</v>
      </c>
      <c r="B465" t="s">
        <v>410</v>
      </c>
      <c r="C465" s="11">
        <v>100000</v>
      </c>
      <c r="D465" s="11"/>
      <c r="E465" t="s">
        <v>514</v>
      </c>
      <c r="F465" s="111" t="s">
        <v>108</v>
      </c>
      <c r="L465">
        <v>31150</v>
      </c>
      <c r="N465" s="19">
        <v>12750</v>
      </c>
    </row>
    <row r="466" spans="1:14" x14ac:dyDescent="0.3">
      <c r="A466" s="116">
        <v>46037</v>
      </c>
      <c r="B466" t="s">
        <v>229</v>
      </c>
      <c r="C466" s="11">
        <v>140000</v>
      </c>
      <c r="D466" s="11"/>
      <c r="E466" t="s">
        <v>515</v>
      </c>
      <c r="F466" s="111" t="s">
        <v>108</v>
      </c>
      <c r="L466">
        <v>12750</v>
      </c>
      <c r="N466" s="19">
        <v>14400</v>
      </c>
    </row>
    <row r="467" spans="1:14" x14ac:dyDescent="0.3">
      <c r="A467" s="116">
        <v>46037</v>
      </c>
      <c r="B467" t="s">
        <v>437</v>
      </c>
      <c r="C467" s="11"/>
      <c r="D467" s="11">
        <v>285800</v>
      </c>
      <c r="F467" s="111" t="s">
        <v>108</v>
      </c>
      <c r="L467">
        <v>27400</v>
      </c>
      <c r="N467" s="19">
        <v>9000</v>
      </c>
    </row>
    <row r="468" spans="1:14" x14ac:dyDescent="0.3">
      <c r="A468" s="116">
        <v>46037</v>
      </c>
      <c r="B468" t="s">
        <v>55</v>
      </c>
      <c r="C468" s="11">
        <v>2750</v>
      </c>
      <c r="D468" s="11"/>
      <c r="E468" t="s">
        <v>320</v>
      </c>
      <c r="F468" s="111" t="s">
        <v>108</v>
      </c>
      <c r="L468">
        <v>15700</v>
      </c>
      <c r="N468" s="19">
        <v>17400</v>
      </c>
    </row>
    <row r="469" spans="1:14" x14ac:dyDescent="0.3">
      <c r="A469" s="38">
        <v>46037</v>
      </c>
      <c r="B469" t="s">
        <v>177</v>
      </c>
      <c r="C469" s="96">
        <v>6300</v>
      </c>
      <c r="D469" s="96"/>
      <c r="E469" t="s">
        <v>516</v>
      </c>
      <c r="F469" s="111" t="s">
        <v>108</v>
      </c>
      <c r="L469">
        <v>12550</v>
      </c>
      <c r="N469" s="19">
        <v>19782</v>
      </c>
    </row>
    <row r="470" spans="1:14" x14ac:dyDescent="0.3">
      <c r="A470" s="38">
        <v>46037</v>
      </c>
      <c r="B470" t="s">
        <v>229</v>
      </c>
      <c r="C470" s="96">
        <v>30000</v>
      </c>
      <c r="D470" s="96"/>
      <c r="E470" t="s">
        <v>517</v>
      </c>
      <c r="F470" s="111" t="s">
        <v>108</v>
      </c>
      <c r="L470">
        <v>14800</v>
      </c>
      <c r="N470" s="19">
        <v>23000</v>
      </c>
    </row>
    <row r="471" spans="1:14" x14ac:dyDescent="0.3">
      <c r="A471" s="38">
        <v>46037</v>
      </c>
      <c r="B471" t="s">
        <v>222</v>
      </c>
      <c r="C471" s="96">
        <v>710</v>
      </c>
      <c r="D471" s="96"/>
      <c r="F471" s="111" t="s">
        <v>108</v>
      </c>
      <c r="L471">
        <v>14350</v>
      </c>
      <c r="N471" s="19">
        <v>15700</v>
      </c>
    </row>
    <row r="472" spans="1:14" x14ac:dyDescent="0.3">
      <c r="A472" s="38">
        <v>46037</v>
      </c>
      <c r="B472" t="s">
        <v>177</v>
      </c>
      <c r="C472" s="96">
        <v>250</v>
      </c>
      <c r="D472" s="96"/>
      <c r="E472" t="s">
        <v>518</v>
      </c>
      <c r="F472" s="111" t="s">
        <v>108</v>
      </c>
      <c r="L472">
        <v>40000</v>
      </c>
      <c r="N472" s="19">
        <v>14800</v>
      </c>
    </row>
    <row r="473" spans="1:14" x14ac:dyDescent="0.3">
      <c r="A473" s="38">
        <v>46038</v>
      </c>
      <c r="B473" t="s">
        <v>233</v>
      </c>
      <c r="C473" s="96">
        <v>20000</v>
      </c>
      <c r="D473" s="96"/>
      <c r="E473" t="s">
        <v>421</v>
      </c>
      <c r="F473" s="111" t="s">
        <v>108</v>
      </c>
      <c r="L473">
        <v>17400</v>
      </c>
      <c r="N473" s="19">
        <v>12550</v>
      </c>
    </row>
    <row r="474" spans="1:14" x14ac:dyDescent="0.3">
      <c r="A474" s="38">
        <v>46038</v>
      </c>
      <c r="B474" t="s">
        <v>192</v>
      </c>
      <c r="C474" s="96"/>
      <c r="D474" s="96">
        <v>20000</v>
      </c>
      <c r="E474" t="s">
        <v>421</v>
      </c>
      <c r="F474" s="111" t="s">
        <v>108</v>
      </c>
      <c r="L474">
        <v>19500</v>
      </c>
      <c r="N474" s="19">
        <v>31150</v>
      </c>
    </row>
    <row r="475" spans="1:14" x14ac:dyDescent="0.3">
      <c r="A475" s="38">
        <v>46038</v>
      </c>
      <c r="B475" t="s">
        <v>55</v>
      </c>
      <c r="C475" s="96">
        <v>15513</v>
      </c>
      <c r="D475" s="96"/>
      <c r="E475" t="s">
        <v>453</v>
      </c>
      <c r="F475" s="111" t="s">
        <v>108</v>
      </c>
      <c r="L475">
        <v>3000</v>
      </c>
      <c r="N475" s="19">
        <v>27500</v>
      </c>
    </row>
    <row r="476" spans="1:14" x14ac:dyDescent="0.3">
      <c r="A476" s="38">
        <v>46038</v>
      </c>
      <c r="B476" t="s">
        <v>192</v>
      </c>
      <c r="C476" s="11"/>
      <c r="D476" s="11">
        <v>15513</v>
      </c>
      <c r="E476" t="s">
        <v>453</v>
      </c>
      <c r="F476" s="111" t="s">
        <v>108</v>
      </c>
      <c r="L476">
        <v>1000</v>
      </c>
      <c r="N476" s="19">
        <v>20000</v>
      </c>
    </row>
    <row r="477" spans="1:14" x14ac:dyDescent="0.3">
      <c r="A477" s="38">
        <v>46038</v>
      </c>
      <c r="B477" t="s">
        <v>55</v>
      </c>
      <c r="C477" s="11">
        <v>1000</v>
      </c>
      <c r="D477" s="11"/>
      <c r="E477" t="s">
        <v>508</v>
      </c>
      <c r="F477" s="111" t="s">
        <v>108</v>
      </c>
      <c r="L477">
        <v>9000</v>
      </c>
      <c r="N477" s="19">
        <v>52000</v>
      </c>
    </row>
    <row r="478" spans="1:14" x14ac:dyDescent="0.3">
      <c r="A478" s="38">
        <v>46038</v>
      </c>
      <c r="B478" t="s">
        <v>50</v>
      </c>
      <c r="C478" s="11">
        <v>900</v>
      </c>
      <c r="D478" s="11"/>
      <c r="E478" t="s">
        <v>520</v>
      </c>
      <c r="F478" s="111" t="s">
        <v>108</v>
      </c>
      <c r="L478">
        <v>21000</v>
      </c>
      <c r="N478" s="19">
        <v>49200</v>
      </c>
    </row>
    <row r="479" spans="1:14" x14ac:dyDescent="0.3">
      <c r="A479" s="38">
        <v>46038</v>
      </c>
      <c r="B479" t="s">
        <v>192</v>
      </c>
      <c r="C479" s="11"/>
      <c r="D479" s="11">
        <v>50000</v>
      </c>
      <c r="E479" t="s">
        <v>521</v>
      </c>
      <c r="F479" s="111" t="s">
        <v>108</v>
      </c>
      <c r="L479">
        <v>20300</v>
      </c>
      <c r="N479" s="19">
        <v>37600</v>
      </c>
    </row>
    <row r="480" spans="1:14" x14ac:dyDescent="0.3">
      <c r="A480" s="38">
        <v>46038</v>
      </c>
      <c r="B480" t="s">
        <v>55</v>
      </c>
      <c r="C480" s="11">
        <v>15513</v>
      </c>
      <c r="D480" s="11"/>
      <c r="E480" t="s">
        <v>453</v>
      </c>
      <c r="F480" s="111" t="s">
        <v>108</v>
      </c>
      <c r="L480">
        <v>27500</v>
      </c>
      <c r="N480" s="19">
        <v>48600</v>
      </c>
    </row>
    <row r="481" spans="1:14" x14ac:dyDescent="0.3">
      <c r="A481" s="38">
        <v>46038</v>
      </c>
      <c r="B481" t="s">
        <v>55</v>
      </c>
      <c r="C481" s="11">
        <v>1030</v>
      </c>
      <c r="D481" s="11"/>
      <c r="E481" t="s">
        <v>522</v>
      </c>
      <c r="F481" s="111" t="s">
        <v>108</v>
      </c>
      <c r="L481">
        <v>20000</v>
      </c>
      <c r="N481" s="19">
        <v>42800</v>
      </c>
    </row>
    <row r="482" spans="1:14" x14ac:dyDescent="0.3">
      <c r="A482" s="38">
        <v>46038</v>
      </c>
      <c r="B482" t="s">
        <v>54</v>
      </c>
      <c r="C482" s="11">
        <v>5000</v>
      </c>
      <c r="D482" s="11"/>
      <c r="E482" t="s">
        <v>523</v>
      </c>
      <c r="F482" s="111" t="s">
        <v>108</v>
      </c>
      <c r="L482">
        <v>20600</v>
      </c>
    </row>
    <row r="483" spans="1:14" x14ac:dyDescent="0.3">
      <c r="A483" s="38">
        <v>46038</v>
      </c>
      <c r="B483" t="s">
        <v>54</v>
      </c>
      <c r="C483" s="11">
        <v>5000</v>
      </c>
      <c r="D483" s="11"/>
      <c r="E483" t="s">
        <v>449</v>
      </c>
      <c r="F483" s="111" t="s">
        <v>108</v>
      </c>
      <c r="L483">
        <v>3400</v>
      </c>
    </row>
    <row r="484" spans="1:14" x14ac:dyDescent="0.3">
      <c r="A484" s="38">
        <v>46038</v>
      </c>
      <c r="B484" t="s">
        <v>55</v>
      </c>
      <c r="C484" s="11">
        <v>1000</v>
      </c>
      <c r="D484" s="11"/>
      <c r="E484" t="s">
        <v>524</v>
      </c>
      <c r="F484" s="111" t="s">
        <v>108</v>
      </c>
    </row>
    <row r="485" spans="1:14" x14ac:dyDescent="0.3">
      <c r="A485" s="38">
        <v>46038</v>
      </c>
      <c r="B485" t="s">
        <v>55</v>
      </c>
      <c r="C485" s="11">
        <v>1100</v>
      </c>
      <c r="D485" s="11"/>
      <c r="E485" t="s">
        <v>500</v>
      </c>
      <c r="F485" s="111" t="s">
        <v>108</v>
      </c>
    </row>
    <row r="486" spans="1:14" x14ac:dyDescent="0.3">
      <c r="A486" s="38">
        <v>46038</v>
      </c>
      <c r="B486" t="s">
        <v>55</v>
      </c>
      <c r="C486" s="11">
        <v>1400</v>
      </c>
      <c r="D486" s="11"/>
      <c r="E486" t="s">
        <v>525</v>
      </c>
      <c r="F486" s="111" t="s">
        <v>108</v>
      </c>
    </row>
    <row r="487" spans="1:14" x14ac:dyDescent="0.3">
      <c r="A487" s="38">
        <v>46038</v>
      </c>
      <c r="B487" t="s">
        <v>55</v>
      </c>
      <c r="C487" s="11">
        <v>1220</v>
      </c>
      <c r="D487" s="11"/>
      <c r="E487" t="s">
        <v>526</v>
      </c>
      <c r="F487" s="111" t="s">
        <v>108</v>
      </c>
    </row>
    <row r="488" spans="1:14" x14ac:dyDescent="0.3">
      <c r="A488" s="38">
        <v>46038</v>
      </c>
      <c r="B488" t="s">
        <v>55</v>
      </c>
      <c r="C488" s="11">
        <v>3200</v>
      </c>
      <c r="D488" s="11"/>
      <c r="E488" t="s">
        <v>527</v>
      </c>
      <c r="F488" s="111" t="s">
        <v>108</v>
      </c>
    </row>
    <row r="489" spans="1:14" x14ac:dyDescent="0.3">
      <c r="A489" s="38">
        <v>46038</v>
      </c>
      <c r="B489" t="s">
        <v>64</v>
      </c>
      <c r="C489" s="11">
        <v>291250</v>
      </c>
      <c r="D489" s="11"/>
      <c r="E489" t="s">
        <v>64</v>
      </c>
      <c r="F489" s="111" t="s">
        <v>108</v>
      </c>
    </row>
    <row r="490" spans="1:14" x14ac:dyDescent="0.3">
      <c r="A490" s="38">
        <v>46038</v>
      </c>
      <c r="B490" t="s">
        <v>528</v>
      </c>
      <c r="C490" s="11"/>
      <c r="D490" s="11">
        <v>300000</v>
      </c>
      <c r="E490" t="s">
        <v>529</v>
      </c>
      <c r="F490" s="111" t="s">
        <v>108</v>
      </c>
    </row>
    <row r="491" spans="1:14" x14ac:dyDescent="0.3">
      <c r="A491" s="38">
        <v>46038</v>
      </c>
      <c r="B491" t="s">
        <v>192</v>
      </c>
      <c r="C491" s="11">
        <v>300000</v>
      </c>
      <c r="D491" s="11"/>
      <c r="E491" t="s">
        <v>35</v>
      </c>
      <c r="F491" s="111" t="s">
        <v>108</v>
      </c>
    </row>
    <row r="492" spans="1:14" x14ac:dyDescent="0.3">
      <c r="A492" s="38">
        <v>46038</v>
      </c>
      <c r="B492" t="s">
        <v>192</v>
      </c>
      <c r="C492" s="11"/>
      <c r="D492" s="11">
        <v>291250</v>
      </c>
      <c r="E492" t="s">
        <v>530</v>
      </c>
      <c r="F492" s="111" t="s">
        <v>108</v>
      </c>
    </row>
    <row r="493" spans="1:14" x14ac:dyDescent="0.3">
      <c r="A493" s="38">
        <v>46038</v>
      </c>
      <c r="B493" t="s">
        <v>192</v>
      </c>
      <c r="C493" s="11"/>
      <c r="D493" s="11">
        <v>100000</v>
      </c>
      <c r="E493" t="s">
        <v>531</v>
      </c>
      <c r="F493" s="111" t="s">
        <v>108</v>
      </c>
    </row>
    <row r="494" spans="1:14" x14ac:dyDescent="0.3">
      <c r="A494" s="38">
        <v>46038</v>
      </c>
      <c r="B494" t="s">
        <v>52</v>
      </c>
      <c r="C494" s="11"/>
      <c r="D494" s="11"/>
      <c r="E494" t="s">
        <v>443</v>
      </c>
      <c r="F494" s="111" t="s">
        <v>108</v>
      </c>
    </row>
    <row r="495" spans="1:14" x14ac:dyDescent="0.3">
      <c r="A495" s="38">
        <v>46038</v>
      </c>
      <c r="B495" t="s">
        <v>410</v>
      </c>
      <c r="C495" s="11">
        <v>50000</v>
      </c>
      <c r="D495" s="11"/>
      <c r="E495" t="s">
        <v>532</v>
      </c>
      <c r="F495" s="111" t="s">
        <v>108</v>
      </c>
    </row>
    <row r="496" spans="1:14" x14ac:dyDescent="0.3">
      <c r="A496" s="38">
        <v>46038</v>
      </c>
      <c r="B496" t="s">
        <v>54</v>
      </c>
      <c r="C496" s="11">
        <v>2500</v>
      </c>
      <c r="D496" s="11"/>
      <c r="E496" t="s">
        <v>463</v>
      </c>
      <c r="F496" s="111" t="s">
        <v>108</v>
      </c>
    </row>
    <row r="497" spans="1:6" x14ac:dyDescent="0.3">
      <c r="A497" s="38">
        <v>46038</v>
      </c>
      <c r="B497" t="s">
        <v>286</v>
      </c>
      <c r="C497" s="11"/>
      <c r="D497" s="11">
        <v>300000</v>
      </c>
      <c r="F497" s="111" t="s">
        <v>108</v>
      </c>
    </row>
    <row r="498" spans="1:6" x14ac:dyDescent="0.3">
      <c r="A498" s="38">
        <v>46038</v>
      </c>
      <c r="B498" t="s">
        <v>229</v>
      </c>
      <c r="C498" s="11">
        <v>100000</v>
      </c>
      <c r="D498" s="11"/>
      <c r="E498" t="s">
        <v>533</v>
      </c>
      <c r="F498" s="111" t="s">
        <v>108</v>
      </c>
    </row>
    <row r="499" spans="1:6" x14ac:dyDescent="0.3">
      <c r="A499" s="38">
        <v>46038</v>
      </c>
      <c r="B499" t="s">
        <v>169</v>
      </c>
      <c r="C499" s="11">
        <v>125000</v>
      </c>
      <c r="D499" s="11"/>
      <c r="E499" t="s">
        <v>534</v>
      </c>
      <c r="F499" s="111" t="s">
        <v>108</v>
      </c>
    </row>
    <row r="500" spans="1:6" x14ac:dyDescent="0.3">
      <c r="A500" s="38">
        <v>46038</v>
      </c>
      <c r="B500" t="s">
        <v>50</v>
      </c>
      <c r="C500" s="11">
        <v>1000</v>
      </c>
      <c r="D500" s="11"/>
      <c r="E500" t="s">
        <v>535</v>
      </c>
      <c r="F500" s="111" t="s">
        <v>108</v>
      </c>
    </row>
    <row r="501" spans="1:6" x14ac:dyDescent="0.3">
      <c r="A501" s="38">
        <v>46038</v>
      </c>
      <c r="B501" t="s">
        <v>222</v>
      </c>
      <c r="C501" s="96">
        <v>1460</v>
      </c>
      <c r="D501" s="96"/>
      <c r="F501" s="111" t="s">
        <v>108</v>
      </c>
    </row>
    <row r="502" spans="1:6" x14ac:dyDescent="0.3">
      <c r="A502" s="38">
        <v>46039</v>
      </c>
      <c r="B502" t="s">
        <v>461</v>
      </c>
      <c r="C502" s="11">
        <v>38750</v>
      </c>
      <c r="D502" s="11"/>
      <c r="E502" t="s">
        <v>502</v>
      </c>
      <c r="F502" s="111" t="s">
        <v>108</v>
      </c>
    </row>
    <row r="503" spans="1:6" x14ac:dyDescent="0.3">
      <c r="A503" s="38">
        <v>46039</v>
      </c>
      <c r="B503" t="s">
        <v>52</v>
      </c>
      <c r="C503" s="11">
        <v>11500</v>
      </c>
      <c r="D503" s="11"/>
      <c r="E503" t="s">
        <v>536</v>
      </c>
      <c r="F503" s="111" t="s">
        <v>108</v>
      </c>
    </row>
    <row r="504" spans="1:6" x14ac:dyDescent="0.3">
      <c r="A504" s="38">
        <v>46039</v>
      </c>
      <c r="B504" t="s">
        <v>54</v>
      </c>
      <c r="C504" s="11">
        <v>1700</v>
      </c>
      <c r="D504" s="11"/>
      <c r="E504" t="s">
        <v>537</v>
      </c>
      <c r="F504" s="111" t="s">
        <v>108</v>
      </c>
    </row>
    <row r="505" spans="1:6" x14ac:dyDescent="0.3">
      <c r="A505" s="38">
        <v>46039</v>
      </c>
      <c r="B505" t="s">
        <v>233</v>
      </c>
      <c r="C505" s="11">
        <v>20000</v>
      </c>
      <c r="D505" s="11"/>
      <c r="E505" t="s">
        <v>538</v>
      </c>
      <c r="F505" s="111" t="s">
        <v>108</v>
      </c>
    </row>
    <row r="506" spans="1:6" x14ac:dyDescent="0.3">
      <c r="A506" s="38">
        <v>46039</v>
      </c>
      <c r="B506" t="s">
        <v>233</v>
      </c>
      <c r="C506" s="11">
        <v>50000</v>
      </c>
      <c r="D506" s="11"/>
      <c r="E506" t="s">
        <v>248</v>
      </c>
      <c r="F506" s="111" t="s">
        <v>108</v>
      </c>
    </row>
    <row r="507" spans="1:6" x14ac:dyDescent="0.3">
      <c r="A507" s="38">
        <v>46039</v>
      </c>
      <c r="B507" t="s">
        <v>192</v>
      </c>
      <c r="C507" s="11"/>
      <c r="D507" s="11">
        <v>50000</v>
      </c>
      <c r="E507" t="s">
        <v>248</v>
      </c>
      <c r="F507" s="111" t="s">
        <v>108</v>
      </c>
    </row>
    <row r="508" spans="1:6" x14ac:dyDescent="0.3">
      <c r="A508" s="38">
        <v>46039</v>
      </c>
      <c r="B508" t="s">
        <v>233</v>
      </c>
      <c r="C508" s="11">
        <v>3000</v>
      </c>
      <c r="D508" s="11"/>
      <c r="E508" t="s">
        <v>485</v>
      </c>
      <c r="F508" s="111" t="s">
        <v>108</v>
      </c>
    </row>
    <row r="509" spans="1:6" x14ac:dyDescent="0.3">
      <c r="A509" s="38">
        <v>46039</v>
      </c>
      <c r="B509" t="s">
        <v>54</v>
      </c>
      <c r="C509" s="11">
        <v>1000</v>
      </c>
      <c r="D509" s="11"/>
      <c r="E509" t="s">
        <v>419</v>
      </c>
      <c r="F509" s="111" t="s">
        <v>108</v>
      </c>
    </row>
    <row r="510" spans="1:6" x14ac:dyDescent="0.3">
      <c r="A510" s="38">
        <v>46039</v>
      </c>
      <c r="B510" t="s">
        <v>192</v>
      </c>
      <c r="C510" s="11"/>
      <c r="D510" s="11">
        <v>50000</v>
      </c>
      <c r="E510" t="s">
        <v>539</v>
      </c>
      <c r="F510" s="111" t="s">
        <v>108</v>
      </c>
    </row>
    <row r="511" spans="1:6" x14ac:dyDescent="0.3">
      <c r="A511" s="38">
        <v>46039</v>
      </c>
      <c r="B511" t="s">
        <v>192</v>
      </c>
      <c r="C511" s="11">
        <v>5000</v>
      </c>
      <c r="D511" s="11"/>
      <c r="E511" t="s">
        <v>540</v>
      </c>
      <c r="F511" s="111" t="s">
        <v>108</v>
      </c>
    </row>
    <row r="512" spans="1:6" x14ac:dyDescent="0.3">
      <c r="A512" s="38">
        <v>46039</v>
      </c>
      <c r="B512" t="s">
        <v>54</v>
      </c>
      <c r="C512" s="11">
        <v>2000</v>
      </c>
      <c r="D512" s="11"/>
      <c r="E512" t="s">
        <v>523</v>
      </c>
      <c r="F512" s="111" t="s">
        <v>108</v>
      </c>
    </row>
    <row r="513" spans="1:6" x14ac:dyDescent="0.3">
      <c r="A513" s="38">
        <v>46039</v>
      </c>
      <c r="B513" t="s">
        <v>233</v>
      </c>
      <c r="C513" s="11">
        <v>10000</v>
      </c>
      <c r="D513" s="11"/>
      <c r="E513" t="s">
        <v>405</v>
      </c>
      <c r="F513" s="111" t="s">
        <v>108</v>
      </c>
    </row>
    <row r="514" spans="1:6" x14ac:dyDescent="0.3">
      <c r="A514" s="38">
        <v>46039</v>
      </c>
      <c r="B514" t="s">
        <v>286</v>
      </c>
      <c r="C514" s="11"/>
      <c r="D514" s="11">
        <v>350000</v>
      </c>
      <c r="E514" t="s">
        <v>541</v>
      </c>
      <c r="F514" s="111" t="s">
        <v>108</v>
      </c>
    </row>
    <row r="515" spans="1:6" x14ac:dyDescent="0.3">
      <c r="A515" s="38">
        <v>46040</v>
      </c>
      <c r="B515" t="s">
        <v>229</v>
      </c>
      <c r="C515" s="11">
        <v>100000</v>
      </c>
      <c r="D515" s="11"/>
      <c r="E515" t="s">
        <v>542</v>
      </c>
      <c r="F515" s="111" t="s">
        <v>108</v>
      </c>
    </row>
    <row r="516" spans="1:6" x14ac:dyDescent="0.3">
      <c r="A516" s="38">
        <v>46040</v>
      </c>
      <c r="B516" t="s">
        <v>192</v>
      </c>
      <c r="C516" s="11"/>
      <c r="D516" s="11">
        <v>100000</v>
      </c>
      <c r="E516" t="s">
        <v>252</v>
      </c>
      <c r="F516" s="111" t="s">
        <v>108</v>
      </c>
    </row>
    <row r="517" spans="1:6" x14ac:dyDescent="0.3">
      <c r="A517" s="38">
        <v>46040</v>
      </c>
      <c r="B517" t="s">
        <v>410</v>
      </c>
      <c r="C517" s="11">
        <v>100200</v>
      </c>
      <c r="D517" s="11"/>
      <c r="E517" t="s">
        <v>543</v>
      </c>
      <c r="F517" s="111" t="s">
        <v>108</v>
      </c>
    </row>
    <row r="518" spans="1:6" x14ac:dyDescent="0.3">
      <c r="A518" s="38">
        <v>46040</v>
      </c>
      <c r="B518" t="s">
        <v>222</v>
      </c>
      <c r="C518" s="11">
        <v>4000</v>
      </c>
      <c r="D518" s="11"/>
      <c r="E518" t="s">
        <v>544</v>
      </c>
      <c r="F518" s="111" t="s">
        <v>108</v>
      </c>
    </row>
    <row r="519" spans="1:6" x14ac:dyDescent="0.3">
      <c r="A519" s="38">
        <v>46040</v>
      </c>
      <c r="B519" t="s">
        <v>222</v>
      </c>
      <c r="C519" s="11">
        <v>2370</v>
      </c>
      <c r="D519" s="11"/>
      <c r="E519" t="s">
        <v>299</v>
      </c>
      <c r="F519" s="111" t="s">
        <v>108</v>
      </c>
    </row>
    <row r="520" spans="1:6" x14ac:dyDescent="0.3">
      <c r="A520" s="38">
        <v>46040</v>
      </c>
      <c r="B520" t="s">
        <v>222</v>
      </c>
      <c r="C520" s="11">
        <v>760</v>
      </c>
      <c r="D520" s="11"/>
      <c r="F520" s="111" t="s">
        <v>108</v>
      </c>
    </row>
    <row r="521" spans="1:6" x14ac:dyDescent="0.3">
      <c r="A521" s="38">
        <v>46040</v>
      </c>
      <c r="B521" t="s">
        <v>222</v>
      </c>
      <c r="C521" s="11">
        <v>580</v>
      </c>
      <c r="D521" s="11"/>
      <c r="E521" t="s">
        <v>223</v>
      </c>
      <c r="F521" s="111" t="s">
        <v>108</v>
      </c>
    </row>
    <row r="522" spans="1:6" x14ac:dyDescent="0.3">
      <c r="A522" s="38">
        <v>46040</v>
      </c>
      <c r="B522" t="s">
        <v>50</v>
      </c>
      <c r="C522" s="11">
        <v>426</v>
      </c>
      <c r="D522" s="11"/>
      <c r="E522" t="s">
        <v>545</v>
      </c>
      <c r="F522" s="111" t="s">
        <v>108</v>
      </c>
    </row>
    <row r="523" spans="1:6" x14ac:dyDescent="0.3">
      <c r="A523" s="38">
        <v>46040</v>
      </c>
      <c r="B523" t="s">
        <v>222</v>
      </c>
      <c r="C523" s="11"/>
      <c r="D523" s="11"/>
      <c r="F523" s="111" t="s">
        <v>108</v>
      </c>
    </row>
    <row r="524" spans="1:6" x14ac:dyDescent="0.3">
      <c r="A524" s="116">
        <v>46039</v>
      </c>
      <c r="B524" t="s">
        <v>233</v>
      </c>
      <c r="C524" s="11">
        <v>500</v>
      </c>
      <c r="D524" s="11"/>
      <c r="E524" t="s">
        <v>546</v>
      </c>
      <c r="F524" s="111" t="s">
        <v>108</v>
      </c>
    </row>
    <row r="525" spans="1:6" x14ac:dyDescent="0.3">
      <c r="A525" s="116">
        <v>46039</v>
      </c>
      <c r="B525" t="s">
        <v>54</v>
      </c>
      <c r="C525" s="11">
        <v>600</v>
      </c>
      <c r="D525" s="11"/>
      <c r="E525" t="s">
        <v>502</v>
      </c>
      <c r="F525" s="111" t="s">
        <v>108</v>
      </c>
    </row>
    <row r="526" spans="1:6" x14ac:dyDescent="0.3">
      <c r="A526" s="116">
        <v>46038</v>
      </c>
      <c r="B526" t="s">
        <v>199</v>
      </c>
      <c r="C526" s="11"/>
      <c r="D526" s="11">
        <v>100000</v>
      </c>
      <c r="F526" s="111" t="s">
        <v>108</v>
      </c>
    </row>
    <row r="527" spans="1:6" x14ac:dyDescent="0.3">
      <c r="A527" s="38">
        <v>46038</v>
      </c>
      <c r="B527" t="s">
        <v>192</v>
      </c>
      <c r="C527" s="96">
        <v>100000</v>
      </c>
      <c r="D527" s="96"/>
      <c r="E527" t="s">
        <v>547</v>
      </c>
      <c r="F527" s="111" t="s">
        <v>108</v>
      </c>
    </row>
    <row r="528" spans="1:6" x14ac:dyDescent="0.3">
      <c r="A528" s="116">
        <v>46039</v>
      </c>
      <c r="B528" t="s">
        <v>199</v>
      </c>
      <c r="C528" s="11"/>
      <c r="D528" s="11">
        <v>100000</v>
      </c>
      <c r="F528" s="111" t="s">
        <v>108</v>
      </c>
    </row>
    <row r="529" spans="1:6" x14ac:dyDescent="0.3">
      <c r="A529" s="116">
        <v>46039</v>
      </c>
      <c r="B529" t="s">
        <v>192</v>
      </c>
      <c r="C529" s="11">
        <v>100000</v>
      </c>
      <c r="D529" s="11"/>
      <c r="E529" t="s">
        <v>547</v>
      </c>
      <c r="F529" s="111" t="s">
        <v>108</v>
      </c>
    </row>
    <row r="530" spans="1:6" x14ac:dyDescent="0.3">
      <c r="A530" s="116">
        <v>46041</v>
      </c>
      <c r="B530" t="s">
        <v>192</v>
      </c>
      <c r="C530" s="11"/>
      <c r="D530" s="11">
        <v>30000</v>
      </c>
      <c r="E530" t="s">
        <v>548</v>
      </c>
      <c r="F530" s="111" t="s">
        <v>108</v>
      </c>
    </row>
    <row r="531" spans="1:6" x14ac:dyDescent="0.3">
      <c r="A531" s="116">
        <v>46041</v>
      </c>
      <c r="B531" t="s">
        <v>52</v>
      </c>
      <c r="C531" s="11">
        <v>5000</v>
      </c>
      <c r="D531" s="11"/>
      <c r="E531" t="s">
        <v>549</v>
      </c>
      <c r="F531" s="111" t="s">
        <v>108</v>
      </c>
    </row>
    <row r="532" spans="1:6" x14ac:dyDescent="0.3">
      <c r="A532" s="116">
        <v>46041</v>
      </c>
      <c r="B532" t="s">
        <v>550</v>
      </c>
      <c r="C532" s="11">
        <v>3330</v>
      </c>
      <c r="D532" s="11"/>
      <c r="E532" t="s">
        <v>551</v>
      </c>
      <c r="F532" s="111" t="s">
        <v>108</v>
      </c>
    </row>
    <row r="533" spans="1:6" x14ac:dyDescent="0.3">
      <c r="A533" s="116">
        <v>46041</v>
      </c>
      <c r="B533" t="s">
        <v>177</v>
      </c>
      <c r="C533" s="11">
        <v>10000</v>
      </c>
      <c r="D533" s="11"/>
      <c r="E533" t="s">
        <v>218</v>
      </c>
      <c r="F533" s="111" t="s">
        <v>108</v>
      </c>
    </row>
    <row r="534" spans="1:6" x14ac:dyDescent="0.3">
      <c r="A534" s="116">
        <v>46041</v>
      </c>
      <c r="B534" t="s">
        <v>54</v>
      </c>
      <c r="C534" s="96">
        <v>2400</v>
      </c>
      <c r="D534" s="96"/>
      <c r="E534" t="s">
        <v>407</v>
      </c>
      <c r="F534" s="111" t="s">
        <v>108</v>
      </c>
    </row>
    <row r="535" spans="1:6" x14ac:dyDescent="0.3">
      <c r="A535" s="116">
        <v>46041</v>
      </c>
      <c r="B535" t="s">
        <v>229</v>
      </c>
      <c r="C535" s="11">
        <v>5000</v>
      </c>
      <c r="D535" s="11"/>
      <c r="E535" t="s">
        <v>345</v>
      </c>
      <c r="F535" s="111" t="s">
        <v>108</v>
      </c>
    </row>
    <row r="536" spans="1:6" x14ac:dyDescent="0.3">
      <c r="A536" s="116">
        <v>46041</v>
      </c>
      <c r="B536" t="s">
        <v>169</v>
      </c>
      <c r="C536" s="11">
        <v>1000</v>
      </c>
      <c r="D536" s="11"/>
      <c r="E536" t="s">
        <v>345</v>
      </c>
      <c r="F536" s="111" t="s">
        <v>108</v>
      </c>
    </row>
    <row r="537" spans="1:6" x14ac:dyDescent="0.3">
      <c r="A537" s="116">
        <v>46041</v>
      </c>
      <c r="B537" t="s">
        <v>94</v>
      </c>
      <c r="C537" s="11">
        <v>1000</v>
      </c>
      <c r="D537" s="11"/>
      <c r="E537" t="s">
        <v>345</v>
      </c>
      <c r="F537" s="111" t="s">
        <v>108</v>
      </c>
    </row>
    <row r="538" spans="1:6" x14ac:dyDescent="0.3">
      <c r="A538" s="116">
        <v>46041</v>
      </c>
      <c r="B538" t="s">
        <v>410</v>
      </c>
      <c r="C538" s="11">
        <v>1000</v>
      </c>
      <c r="D538" s="11"/>
      <c r="E538" t="s">
        <v>345</v>
      </c>
      <c r="F538" s="111" t="s">
        <v>108</v>
      </c>
    </row>
    <row r="539" spans="1:6" x14ac:dyDescent="0.3">
      <c r="A539" s="116">
        <v>46041</v>
      </c>
      <c r="B539" t="s">
        <v>52</v>
      </c>
      <c r="C539" s="96">
        <v>2000</v>
      </c>
      <c r="D539" s="96"/>
      <c r="E539" t="s">
        <v>486</v>
      </c>
      <c r="F539" s="111" t="s">
        <v>108</v>
      </c>
    </row>
    <row r="540" spans="1:6" x14ac:dyDescent="0.3">
      <c r="A540" s="116">
        <v>46041</v>
      </c>
      <c r="B540" t="s">
        <v>55</v>
      </c>
      <c r="C540" s="11">
        <v>4000</v>
      </c>
      <c r="D540" s="11"/>
      <c r="E540" t="s">
        <v>552</v>
      </c>
      <c r="F540" s="111" t="s">
        <v>108</v>
      </c>
    </row>
    <row r="541" spans="1:6" x14ac:dyDescent="0.3">
      <c r="A541" s="116">
        <v>46041</v>
      </c>
      <c r="B541" t="s">
        <v>55</v>
      </c>
      <c r="C541" s="11">
        <v>140000</v>
      </c>
      <c r="D541" s="11"/>
      <c r="E541" t="s">
        <v>434</v>
      </c>
      <c r="F541" s="111" t="s">
        <v>108</v>
      </c>
    </row>
    <row r="542" spans="1:6" x14ac:dyDescent="0.3">
      <c r="A542" s="116">
        <v>46041</v>
      </c>
      <c r="B542" t="s">
        <v>233</v>
      </c>
      <c r="C542" s="11">
        <v>15000</v>
      </c>
      <c r="D542" s="11"/>
      <c r="E542" t="s">
        <v>390</v>
      </c>
      <c r="F542" s="111" t="s">
        <v>108</v>
      </c>
    </row>
    <row r="543" spans="1:6" x14ac:dyDescent="0.3">
      <c r="A543" s="116">
        <v>46041</v>
      </c>
      <c r="B543" t="s">
        <v>54</v>
      </c>
      <c r="C543" s="11">
        <v>5000</v>
      </c>
      <c r="D543" s="11"/>
      <c r="E543" t="s">
        <v>507</v>
      </c>
      <c r="F543" s="111" t="s">
        <v>108</v>
      </c>
    </row>
    <row r="544" spans="1:6" x14ac:dyDescent="0.3">
      <c r="A544" s="116">
        <v>46041</v>
      </c>
      <c r="B544" t="s">
        <v>233</v>
      </c>
      <c r="C544" s="11">
        <v>10000</v>
      </c>
      <c r="D544" s="11"/>
      <c r="E544" t="s">
        <v>553</v>
      </c>
      <c r="F544" s="111" t="s">
        <v>108</v>
      </c>
    </row>
    <row r="545" spans="1:6" x14ac:dyDescent="0.3">
      <c r="A545" s="38">
        <v>46041</v>
      </c>
      <c r="B545" t="s">
        <v>229</v>
      </c>
      <c r="C545" s="96">
        <v>100999</v>
      </c>
      <c r="D545" s="96"/>
      <c r="E545" t="s">
        <v>554</v>
      </c>
      <c r="F545" s="111" t="s">
        <v>108</v>
      </c>
    </row>
    <row r="546" spans="1:6" x14ac:dyDescent="0.3">
      <c r="A546" s="38">
        <v>46041</v>
      </c>
      <c r="B546" t="s">
        <v>222</v>
      </c>
      <c r="C546" s="96">
        <v>2000</v>
      </c>
      <c r="D546" s="96"/>
      <c r="F546" s="111" t="s">
        <v>108</v>
      </c>
    </row>
    <row r="547" spans="1:6" x14ac:dyDescent="0.3">
      <c r="A547" s="38">
        <v>46042</v>
      </c>
      <c r="B547" t="s">
        <v>222</v>
      </c>
      <c r="C547" s="96"/>
      <c r="D547" s="96">
        <v>9800</v>
      </c>
      <c r="F547" s="111" t="s">
        <v>108</v>
      </c>
    </row>
    <row r="548" spans="1:6" x14ac:dyDescent="0.3">
      <c r="A548" s="116">
        <v>46042</v>
      </c>
      <c r="B548" t="s">
        <v>55</v>
      </c>
      <c r="C548" s="11">
        <v>9800</v>
      </c>
      <c r="D548" s="11"/>
      <c r="E548" t="s">
        <v>555</v>
      </c>
      <c r="F548" s="111" t="s">
        <v>108</v>
      </c>
    </row>
    <row r="549" spans="1:6" x14ac:dyDescent="0.3">
      <c r="A549" s="38">
        <v>46042</v>
      </c>
      <c r="B549" t="s">
        <v>528</v>
      </c>
      <c r="C549" s="11"/>
      <c r="D549" s="11">
        <v>350000</v>
      </c>
      <c r="E549" t="s">
        <v>556</v>
      </c>
      <c r="F549" s="111" t="s">
        <v>108</v>
      </c>
    </row>
    <row r="550" spans="1:6" x14ac:dyDescent="0.3">
      <c r="A550" s="116">
        <v>46042</v>
      </c>
      <c r="B550" t="s">
        <v>192</v>
      </c>
      <c r="C550" s="11"/>
      <c r="D550" s="11">
        <v>650000</v>
      </c>
      <c r="F550" s="111" t="s">
        <v>108</v>
      </c>
    </row>
    <row r="551" spans="1:6" x14ac:dyDescent="0.3">
      <c r="A551" s="38">
        <v>46042</v>
      </c>
      <c r="B551" t="s">
        <v>192</v>
      </c>
      <c r="C551" s="11"/>
      <c r="D551" s="11">
        <v>200000</v>
      </c>
      <c r="F551" s="111" t="s">
        <v>108</v>
      </c>
    </row>
    <row r="552" spans="1:6" x14ac:dyDescent="0.3">
      <c r="A552" s="116">
        <v>46042</v>
      </c>
      <c r="B552" t="s">
        <v>192</v>
      </c>
      <c r="C552" s="11"/>
      <c r="D552" s="11">
        <v>249000</v>
      </c>
      <c r="F552" s="111" t="s">
        <v>108</v>
      </c>
    </row>
    <row r="553" spans="1:6" x14ac:dyDescent="0.3">
      <c r="A553" s="38">
        <v>46042</v>
      </c>
      <c r="B553" t="s">
        <v>192</v>
      </c>
      <c r="C553" s="11"/>
      <c r="D553" s="11">
        <v>360000</v>
      </c>
      <c r="E553" t="s">
        <v>557</v>
      </c>
      <c r="F553" s="111" t="s">
        <v>108</v>
      </c>
    </row>
    <row r="554" spans="1:6" x14ac:dyDescent="0.3">
      <c r="A554" s="116">
        <v>46042</v>
      </c>
      <c r="B554" t="s">
        <v>528</v>
      </c>
      <c r="C554" s="11"/>
      <c r="D554" s="11">
        <v>100000</v>
      </c>
      <c r="E554" t="s">
        <v>558</v>
      </c>
      <c r="F554" s="111" t="s">
        <v>108</v>
      </c>
    </row>
    <row r="555" spans="1:6" x14ac:dyDescent="0.3">
      <c r="A555" s="38">
        <v>46042</v>
      </c>
      <c r="B555" t="s">
        <v>198</v>
      </c>
      <c r="C555" s="11">
        <v>12300</v>
      </c>
      <c r="D555" s="11"/>
      <c r="E555" t="s">
        <v>164</v>
      </c>
      <c r="F555" s="111" t="s">
        <v>108</v>
      </c>
    </row>
    <row r="556" spans="1:6" x14ac:dyDescent="0.3">
      <c r="A556" s="116">
        <v>46042</v>
      </c>
      <c r="B556" t="s">
        <v>192</v>
      </c>
      <c r="C556" s="11"/>
      <c r="D556" s="11">
        <v>190000</v>
      </c>
      <c r="E556" t="s">
        <v>559</v>
      </c>
      <c r="F556" s="111" t="s">
        <v>108</v>
      </c>
    </row>
    <row r="557" spans="1:6" x14ac:dyDescent="0.3">
      <c r="A557" s="38">
        <v>46042</v>
      </c>
      <c r="B557" t="s">
        <v>192</v>
      </c>
      <c r="C557" s="11"/>
      <c r="D557" s="11">
        <v>60000</v>
      </c>
      <c r="E557" t="s">
        <v>560</v>
      </c>
      <c r="F557" s="111" t="s">
        <v>108</v>
      </c>
    </row>
    <row r="558" spans="1:6" x14ac:dyDescent="0.3">
      <c r="A558" s="116">
        <v>46042</v>
      </c>
      <c r="B558" t="s">
        <v>9</v>
      </c>
      <c r="C558" s="11"/>
      <c r="D558" s="11">
        <v>100000</v>
      </c>
      <c r="E558" t="s">
        <v>250</v>
      </c>
      <c r="F558" s="111" t="s">
        <v>108</v>
      </c>
    </row>
    <row r="559" spans="1:6" x14ac:dyDescent="0.3">
      <c r="A559" s="38">
        <v>46042</v>
      </c>
      <c r="B559" t="s">
        <v>199</v>
      </c>
      <c r="C559" s="96"/>
      <c r="D559" s="96">
        <v>100000</v>
      </c>
      <c r="F559" s="111" t="s">
        <v>108</v>
      </c>
    </row>
    <row r="560" spans="1:6" x14ac:dyDescent="0.3">
      <c r="A560" s="116">
        <v>46042</v>
      </c>
      <c r="B560" t="s">
        <v>192</v>
      </c>
      <c r="C560" s="11">
        <v>100000</v>
      </c>
      <c r="D560" s="11"/>
      <c r="E560" t="s">
        <v>547</v>
      </c>
      <c r="F560" s="111" t="s">
        <v>108</v>
      </c>
    </row>
    <row r="561" spans="1:6" x14ac:dyDescent="0.3">
      <c r="A561" s="38">
        <v>46042</v>
      </c>
      <c r="B561" t="s">
        <v>51</v>
      </c>
      <c r="C561" s="11">
        <v>2185118</v>
      </c>
      <c r="D561" s="11"/>
      <c r="E561" t="s">
        <v>561</v>
      </c>
      <c r="F561" s="111" t="s">
        <v>108</v>
      </c>
    </row>
    <row r="562" spans="1:6" x14ac:dyDescent="0.3">
      <c r="A562" s="116">
        <v>46042</v>
      </c>
      <c r="B562" t="s">
        <v>50</v>
      </c>
      <c r="C562" s="11">
        <v>8000</v>
      </c>
      <c r="D562" s="11"/>
      <c r="E562" t="s">
        <v>562</v>
      </c>
      <c r="F562" s="111" t="s">
        <v>108</v>
      </c>
    </row>
    <row r="563" spans="1:6" x14ac:dyDescent="0.3">
      <c r="A563" s="38">
        <v>46042</v>
      </c>
      <c r="B563" t="s">
        <v>50</v>
      </c>
      <c r="C563" s="11">
        <v>2000</v>
      </c>
      <c r="D563" s="11"/>
      <c r="E563" t="s">
        <v>313</v>
      </c>
      <c r="F563" s="111" t="s">
        <v>108</v>
      </c>
    </row>
    <row r="564" spans="1:6" x14ac:dyDescent="0.3">
      <c r="A564" s="116">
        <v>46042</v>
      </c>
      <c r="B564" t="s">
        <v>55</v>
      </c>
      <c r="C564" s="11">
        <v>1650</v>
      </c>
      <c r="D564" s="11"/>
      <c r="F564" s="111" t="s">
        <v>108</v>
      </c>
    </row>
    <row r="565" spans="1:6" x14ac:dyDescent="0.3">
      <c r="A565" s="38">
        <v>46042</v>
      </c>
      <c r="B565" t="s">
        <v>55</v>
      </c>
      <c r="C565" s="11">
        <v>2100</v>
      </c>
      <c r="D565" s="11"/>
      <c r="F565" s="111" t="s">
        <v>108</v>
      </c>
    </row>
    <row r="566" spans="1:6" x14ac:dyDescent="0.3">
      <c r="A566" s="116">
        <v>46042</v>
      </c>
      <c r="B566" t="s">
        <v>55</v>
      </c>
      <c r="C566" s="11">
        <v>1430</v>
      </c>
      <c r="D566" s="11"/>
      <c r="F566" s="111" t="s">
        <v>108</v>
      </c>
    </row>
    <row r="567" spans="1:6" x14ac:dyDescent="0.3">
      <c r="A567" s="38">
        <v>46042</v>
      </c>
      <c r="B567" t="s">
        <v>55</v>
      </c>
      <c r="C567" s="11">
        <v>1500</v>
      </c>
      <c r="D567" s="11"/>
      <c r="F567" s="111" t="s">
        <v>108</v>
      </c>
    </row>
    <row r="568" spans="1:6" x14ac:dyDescent="0.3">
      <c r="A568" s="116">
        <v>46042</v>
      </c>
      <c r="B568" t="s">
        <v>54</v>
      </c>
      <c r="C568" s="11">
        <v>5000</v>
      </c>
      <c r="D568" s="11"/>
      <c r="E568" t="s">
        <v>236</v>
      </c>
      <c r="F568" s="111" t="s">
        <v>108</v>
      </c>
    </row>
    <row r="569" spans="1:6" x14ac:dyDescent="0.3">
      <c r="A569" s="38">
        <v>46043</v>
      </c>
      <c r="B569" t="s">
        <v>192</v>
      </c>
      <c r="C569" s="11"/>
      <c r="D569" s="11">
        <v>15000</v>
      </c>
      <c r="E569" t="s">
        <v>109</v>
      </c>
      <c r="F569" s="111" t="s">
        <v>108</v>
      </c>
    </row>
    <row r="570" spans="1:6" x14ac:dyDescent="0.3">
      <c r="A570" s="116">
        <v>46043</v>
      </c>
      <c r="B570" t="s">
        <v>55</v>
      </c>
      <c r="C570" s="11">
        <v>4180</v>
      </c>
      <c r="D570" s="11"/>
      <c r="E570" t="s">
        <v>565</v>
      </c>
      <c r="F570" s="111" t="s">
        <v>108</v>
      </c>
    </row>
    <row r="571" spans="1:6" x14ac:dyDescent="0.3">
      <c r="A571" s="38">
        <v>46043</v>
      </c>
      <c r="B571" t="s">
        <v>177</v>
      </c>
      <c r="C571" s="11">
        <v>6600</v>
      </c>
      <c r="D571" s="11"/>
      <c r="E571" t="s">
        <v>218</v>
      </c>
      <c r="F571" s="111" t="s">
        <v>108</v>
      </c>
    </row>
    <row r="572" spans="1:6" x14ac:dyDescent="0.3">
      <c r="A572" s="116">
        <v>46043</v>
      </c>
      <c r="B572" t="s">
        <v>54</v>
      </c>
      <c r="C572" s="11">
        <v>1000</v>
      </c>
      <c r="D572" s="11"/>
      <c r="E572" t="s">
        <v>566</v>
      </c>
      <c r="F572" s="111" t="s">
        <v>108</v>
      </c>
    </row>
    <row r="573" spans="1:6" x14ac:dyDescent="0.3">
      <c r="A573" s="38">
        <v>46043</v>
      </c>
      <c r="B573" t="s">
        <v>233</v>
      </c>
      <c r="C573" s="11">
        <v>1000</v>
      </c>
      <c r="D573" s="11"/>
      <c r="E573" t="s">
        <v>567</v>
      </c>
      <c r="F573" s="111" t="s">
        <v>108</v>
      </c>
    </row>
    <row r="574" spans="1:6" x14ac:dyDescent="0.3">
      <c r="A574" s="116">
        <v>46043</v>
      </c>
      <c r="B574" t="s">
        <v>54</v>
      </c>
      <c r="C574" s="11">
        <v>2000</v>
      </c>
      <c r="D574" s="11"/>
      <c r="E574" t="s">
        <v>463</v>
      </c>
      <c r="F574" s="111" t="s">
        <v>108</v>
      </c>
    </row>
    <row r="575" spans="1:6" x14ac:dyDescent="0.3">
      <c r="A575" s="38">
        <v>46043</v>
      </c>
      <c r="B575" t="s">
        <v>192</v>
      </c>
      <c r="C575" s="11"/>
      <c r="D575" s="11">
        <v>4180</v>
      </c>
      <c r="E575" t="s">
        <v>565</v>
      </c>
      <c r="F575" s="111" t="s">
        <v>108</v>
      </c>
    </row>
    <row r="576" spans="1:6" x14ac:dyDescent="0.3">
      <c r="A576" s="116">
        <v>46043</v>
      </c>
      <c r="B576" t="s">
        <v>192</v>
      </c>
      <c r="C576" s="11"/>
      <c r="D576" s="11">
        <v>15513</v>
      </c>
      <c r="E576" t="s">
        <v>453</v>
      </c>
      <c r="F576" s="111" t="s">
        <v>108</v>
      </c>
    </row>
    <row r="577" spans="1:6" x14ac:dyDescent="0.3">
      <c r="A577" s="38">
        <v>46043</v>
      </c>
      <c r="B577" t="s">
        <v>55</v>
      </c>
      <c r="C577" s="11">
        <v>15513</v>
      </c>
      <c r="D577" s="11"/>
      <c r="E577" t="s">
        <v>453</v>
      </c>
      <c r="F577" s="111" t="s">
        <v>108</v>
      </c>
    </row>
    <row r="578" spans="1:6" x14ac:dyDescent="0.3">
      <c r="A578" s="116">
        <v>46043</v>
      </c>
      <c r="B578" t="s">
        <v>568</v>
      </c>
      <c r="C578" s="11">
        <v>20000</v>
      </c>
      <c r="D578" s="11"/>
      <c r="E578" t="s">
        <v>304</v>
      </c>
      <c r="F578" s="111" t="s">
        <v>108</v>
      </c>
    </row>
    <row r="579" spans="1:6" x14ac:dyDescent="0.3">
      <c r="A579" s="38">
        <v>46043</v>
      </c>
      <c r="B579" t="s">
        <v>233</v>
      </c>
      <c r="C579" s="11">
        <v>3000</v>
      </c>
      <c r="D579" s="11"/>
      <c r="E579" t="s">
        <v>248</v>
      </c>
      <c r="F579" s="111" t="s">
        <v>108</v>
      </c>
    </row>
    <row r="580" spans="1:6" x14ac:dyDescent="0.3">
      <c r="A580" s="116">
        <v>46043</v>
      </c>
      <c r="B580" t="s">
        <v>55</v>
      </c>
      <c r="C580" s="11">
        <v>25500</v>
      </c>
      <c r="D580" s="11"/>
      <c r="E580" t="s">
        <v>569</v>
      </c>
      <c r="F580" s="111" t="s">
        <v>108</v>
      </c>
    </row>
    <row r="581" spans="1:6" x14ac:dyDescent="0.3">
      <c r="A581" s="38">
        <v>46043</v>
      </c>
      <c r="B581" t="s">
        <v>198</v>
      </c>
      <c r="C581" s="11">
        <v>49200</v>
      </c>
      <c r="D581" s="11"/>
      <c r="E581" t="s">
        <v>164</v>
      </c>
      <c r="F581" s="111" t="s">
        <v>108</v>
      </c>
    </row>
    <row r="582" spans="1:6" x14ac:dyDescent="0.3">
      <c r="A582" s="116">
        <v>46043</v>
      </c>
      <c r="B582" t="s">
        <v>192</v>
      </c>
      <c r="C582" s="96"/>
      <c r="D582" s="96">
        <v>49200</v>
      </c>
      <c r="E582" t="s">
        <v>164</v>
      </c>
      <c r="F582" s="111" t="s">
        <v>108</v>
      </c>
    </row>
    <row r="583" spans="1:6" x14ac:dyDescent="0.3">
      <c r="A583" s="38">
        <v>46043</v>
      </c>
      <c r="B583" t="s">
        <v>192</v>
      </c>
      <c r="C583" s="11"/>
      <c r="D583" s="11">
        <v>25500</v>
      </c>
      <c r="E583" t="s">
        <v>569</v>
      </c>
      <c r="F583" s="111" t="s">
        <v>108</v>
      </c>
    </row>
    <row r="584" spans="1:6" x14ac:dyDescent="0.3">
      <c r="A584" s="116">
        <v>46043</v>
      </c>
      <c r="B584" t="s">
        <v>286</v>
      </c>
      <c r="C584" s="11"/>
      <c r="D584" s="11">
        <v>300000</v>
      </c>
      <c r="E584" t="s">
        <v>570</v>
      </c>
      <c r="F584" s="111" t="s">
        <v>108</v>
      </c>
    </row>
    <row r="585" spans="1:6" x14ac:dyDescent="0.3">
      <c r="A585" s="38">
        <v>46043</v>
      </c>
      <c r="B585" t="s">
        <v>192</v>
      </c>
      <c r="C585" s="96">
        <v>300000</v>
      </c>
      <c r="D585" s="96"/>
      <c r="E585" t="s">
        <v>571</v>
      </c>
      <c r="F585" s="111" t="s">
        <v>108</v>
      </c>
    </row>
    <row r="586" spans="1:6" x14ac:dyDescent="0.3">
      <c r="A586" s="38">
        <v>46044</v>
      </c>
      <c r="B586" t="s">
        <v>54</v>
      </c>
      <c r="C586" s="96">
        <v>11100</v>
      </c>
      <c r="D586" s="96"/>
      <c r="E586" t="s">
        <v>463</v>
      </c>
      <c r="F586" s="111" t="s">
        <v>108</v>
      </c>
    </row>
    <row r="587" spans="1:6" x14ac:dyDescent="0.3">
      <c r="A587" s="38">
        <v>46044</v>
      </c>
      <c r="B587" t="s">
        <v>192</v>
      </c>
      <c r="C587" s="96"/>
      <c r="D587" s="96">
        <v>118500</v>
      </c>
      <c r="E587" t="s">
        <v>572</v>
      </c>
      <c r="F587" s="111" t="s">
        <v>108</v>
      </c>
    </row>
    <row r="588" spans="1:6" x14ac:dyDescent="0.3">
      <c r="A588" s="38">
        <v>46044</v>
      </c>
      <c r="B588" t="s">
        <v>233</v>
      </c>
      <c r="C588" s="11">
        <v>100000</v>
      </c>
      <c r="D588" s="11"/>
      <c r="E588" t="s">
        <v>403</v>
      </c>
      <c r="F588" s="111" t="s">
        <v>108</v>
      </c>
    </row>
    <row r="589" spans="1:6" x14ac:dyDescent="0.3">
      <c r="A589" s="38">
        <v>46044</v>
      </c>
      <c r="B589" t="s">
        <v>568</v>
      </c>
      <c r="C589" s="11">
        <v>25950</v>
      </c>
      <c r="D589" s="11"/>
      <c r="E589" t="s">
        <v>573</v>
      </c>
      <c r="F589" s="111" t="s">
        <v>108</v>
      </c>
    </row>
    <row r="590" spans="1:6" x14ac:dyDescent="0.3">
      <c r="A590" s="38">
        <v>46044</v>
      </c>
      <c r="B590" t="s">
        <v>528</v>
      </c>
      <c r="C590" s="11"/>
      <c r="D590" s="11">
        <v>100000</v>
      </c>
      <c r="E590" t="s">
        <v>574</v>
      </c>
      <c r="F590" s="111" t="s">
        <v>108</v>
      </c>
    </row>
    <row r="591" spans="1:6" x14ac:dyDescent="0.3">
      <c r="A591" s="38">
        <v>46044</v>
      </c>
      <c r="B591" t="s">
        <v>50</v>
      </c>
      <c r="C591" s="11">
        <v>500</v>
      </c>
      <c r="D591" s="11"/>
      <c r="E591" t="s">
        <v>313</v>
      </c>
      <c r="F591" s="111" t="s">
        <v>108</v>
      </c>
    </row>
    <row r="592" spans="1:6" x14ac:dyDescent="0.3">
      <c r="A592" s="38">
        <v>46044</v>
      </c>
      <c r="B592" t="s">
        <v>233</v>
      </c>
      <c r="C592" s="11">
        <v>10000</v>
      </c>
      <c r="D592" s="11"/>
      <c r="E592" t="s">
        <v>421</v>
      </c>
      <c r="F592" s="111" t="s">
        <v>108</v>
      </c>
    </row>
    <row r="593" spans="1:7" x14ac:dyDescent="0.3">
      <c r="A593" s="38">
        <v>46044</v>
      </c>
      <c r="B593" t="s">
        <v>233</v>
      </c>
      <c r="C593" s="11">
        <v>10000</v>
      </c>
      <c r="D593" s="11"/>
      <c r="E593" t="s">
        <v>443</v>
      </c>
      <c r="F593" s="111" t="s">
        <v>108</v>
      </c>
    </row>
    <row r="594" spans="1:7" x14ac:dyDescent="0.3">
      <c r="A594" s="38">
        <v>46044</v>
      </c>
      <c r="B594" t="s">
        <v>177</v>
      </c>
      <c r="C594" s="11">
        <v>1000</v>
      </c>
      <c r="D594" s="11"/>
      <c r="E594" t="s">
        <v>575</v>
      </c>
      <c r="F594" s="111" t="s">
        <v>108</v>
      </c>
    </row>
    <row r="595" spans="1:7" x14ac:dyDescent="0.3">
      <c r="A595" s="38">
        <v>46044</v>
      </c>
      <c r="B595" t="s">
        <v>52</v>
      </c>
      <c r="C595" s="11">
        <v>50000</v>
      </c>
      <c r="D595" s="11"/>
      <c r="E595" t="s">
        <v>221</v>
      </c>
      <c r="F595" s="111" t="s">
        <v>108</v>
      </c>
    </row>
    <row r="596" spans="1:7" x14ac:dyDescent="0.3">
      <c r="A596" s="38">
        <v>46044</v>
      </c>
      <c r="B596" t="s">
        <v>177</v>
      </c>
      <c r="C596" s="11">
        <v>4000</v>
      </c>
      <c r="D596" s="11"/>
      <c r="E596" t="s">
        <v>576</v>
      </c>
      <c r="F596" s="111" t="s">
        <v>108</v>
      </c>
    </row>
    <row r="597" spans="1:7" x14ac:dyDescent="0.3">
      <c r="A597" s="38">
        <v>46044</v>
      </c>
      <c r="B597" t="s">
        <v>54</v>
      </c>
      <c r="C597" s="11">
        <v>500</v>
      </c>
      <c r="D597" s="11"/>
      <c r="E597" t="s">
        <v>419</v>
      </c>
      <c r="F597" s="111" t="s">
        <v>108</v>
      </c>
    </row>
    <row r="598" spans="1:7" x14ac:dyDescent="0.3">
      <c r="A598" s="38">
        <v>46045</v>
      </c>
      <c r="B598" t="s">
        <v>577</v>
      </c>
      <c r="C598" s="11">
        <v>20000</v>
      </c>
      <c r="D598" s="11"/>
      <c r="E598" t="s">
        <v>578</v>
      </c>
      <c r="F598" s="111" t="s">
        <v>108</v>
      </c>
    </row>
    <row r="599" spans="1:7" x14ac:dyDescent="0.3">
      <c r="A599" s="135">
        <v>46045</v>
      </c>
      <c r="B599" t="s">
        <v>54</v>
      </c>
      <c r="C599" s="11">
        <v>5000</v>
      </c>
      <c r="D599" s="11"/>
      <c r="E599" t="s">
        <v>592</v>
      </c>
      <c r="F599" s="111" t="s">
        <v>108</v>
      </c>
    </row>
    <row r="600" spans="1:7" x14ac:dyDescent="0.3">
      <c r="A600" s="135"/>
      <c r="C600" s="11"/>
      <c r="D600" s="11"/>
      <c r="F600" s="111"/>
    </row>
    <row r="601" spans="1:7" x14ac:dyDescent="0.3">
      <c r="A601" s="135">
        <v>46045</v>
      </c>
      <c r="B601" t="s">
        <v>50</v>
      </c>
      <c r="C601" s="11">
        <v>130</v>
      </c>
      <c r="D601" s="11"/>
      <c r="E601" t="s">
        <v>223</v>
      </c>
      <c r="F601" s="111" t="s">
        <v>108</v>
      </c>
    </row>
    <row r="602" spans="1:7" x14ac:dyDescent="0.3">
      <c r="A602" s="38">
        <v>46045</v>
      </c>
      <c r="B602" t="s">
        <v>192</v>
      </c>
      <c r="C602" s="11"/>
      <c r="D602" s="11">
        <v>199000</v>
      </c>
      <c r="E602" t="s">
        <v>579</v>
      </c>
      <c r="F602" s="111" t="s">
        <v>108</v>
      </c>
    </row>
    <row r="603" spans="1:7" x14ac:dyDescent="0.3">
      <c r="A603" s="135">
        <v>46045</v>
      </c>
      <c r="B603" t="s">
        <v>94</v>
      </c>
      <c r="C603" s="11">
        <v>200100</v>
      </c>
      <c r="D603" s="11"/>
      <c r="E603" t="s">
        <v>580</v>
      </c>
      <c r="F603" s="111" t="s">
        <v>108</v>
      </c>
    </row>
    <row r="604" spans="1:7" x14ac:dyDescent="0.3">
      <c r="A604" s="38">
        <v>46045</v>
      </c>
      <c r="B604" t="s">
        <v>199</v>
      </c>
      <c r="C604" s="11"/>
      <c r="D604" s="11">
        <v>124302</v>
      </c>
      <c r="E604" t="s">
        <v>581</v>
      </c>
      <c r="F604" s="111" t="s">
        <v>108</v>
      </c>
    </row>
    <row r="605" spans="1:7" x14ac:dyDescent="0.3">
      <c r="A605" s="135">
        <v>46045</v>
      </c>
      <c r="B605" t="s">
        <v>169</v>
      </c>
      <c r="C605" s="11">
        <v>120000</v>
      </c>
      <c r="D605" s="11"/>
      <c r="E605" t="s">
        <v>582</v>
      </c>
      <c r="F605" s="111" t="s">
        <v>108</v>
      </c>
    </row>
    <row r="606" spans="1:7" x14ac:dyDescent="0.3">
      <c r="A606" s="38">
        <v>46046</v>
      </c>
      <c r="B606" s="136" t="s">
        <v>192</v>
      </c>
      <c r="C606" s="96"/>
      <c r="D606" s="96">
        <v>330000</v>
      </c>
      <c r="E606" s="136" t="s">
        <v>583</v>
      </c>
      <c r="F606" s="137" t="s">
        <v>108</v>
      </c>
      <c r="G606" s="136"/>
    </row>
    <row r="607" spans="1:7" x14ac:dyDescent="0.3">
      <c r="A607" s="135">
        <v>46046</v>
      </c>
      <c r="B607" t="s">
        <v>229</v>
      </c>
      <c r="C607" s="11">
        <v>200005</v>
      </c>
      <c r="D607" s="11"/>
      <c r="E607" t="s">
        <v>584</v>
      </c>
      <c r="F607" s="111" t="s">
        <v>108</v>
      </c>
    </row>
    <row r="608" spans="1:7" x14ac:dyDescent="0.3">
      <c r="A608" s="38">
        <v>46046</v>
      </c>
      <c r="B608" t="s">
        <v>410</v>
      </c>
      <c r="C608" s="11">
        <v>130000</v>
      </c>
      <c r="D608" s="11"/>
      <c r="E608" t="s">
        <v>585</v>
      </c>
      <c r="F608" s="111" t="s">
        <v>108</v>
      </c>
    </row>
    <row r="609" spans="1:6" x14ac:dyDescent="0.3">
      <c r="A609" s="135">
        <v>46046</v>
      </c>
      <c r="B609" t="s">
        <v>192</v>
      </c>
      <c r="C609" s="11"/>
      <c r="D609" s="11">
        <v>70000</v>
      </c>
      <c r="E609" t="s">
        <v>586</v>
      </c>
      <c r="F609" s="111" t="s">
        <v>108</v>
      </c>
    </row>
    <row r="610" spans="1:6" x14ac:dyDescent="0.3">
      <c r="A610" s="38">
        <v>46046</v>
      </c>
      <c r="B610" t="s">
        <v>202</v>
      </c>
      <c r="C610" s="11">
        <v>35000</v>
      </c>
      <c r="D610" s="11"/>
      <c r="E610" t="s">
        <v>587</v>
      </c>
      <c r="F610" s="111" t="s">
        <v>108</v>
      </c>
    </row>
    <row r="611" spans="1:6" x14ac:dyDescent="0.3">
      <c r="A611" s="135">
        <v>46046</v>
      </c>
      <c r="B611" t="s">
        <v>55</v>
      </c>
      <c r="C611" s="11">
        <v>1200</v>
      </c>
      <c r="D611" s="11"/>
      <c r="E611" t="s">
        <v>588</v>
      </c>
      <c r="F611" s="111" t="s">
        <v>108</v>
      </c>
    </row>
    <row r="612" spans="1:6" x14ac:dyDescent="0.3">
      <c r="A612" s="38">
        <v>46046</v>
      </c>
      <c r="B612" t="s">
        <v>55</v>
      </c>
      <c r="C612" s="11">
        <v>1700</v>
      </c>
      <c r="D612" s="11"/>
      <c r="E612" t="s">
        <v>426</v>
      </c>
      <c r="F612" s="111" t="s">
        <v>108</v>
      </c>
    </row>
    <row r="613" spans="1:6" x14ac:dyDescent="0.3">
      <c r="A613" s="135">
        <v>46046</v>
      </c>
      <c r="B613" t="s">
        <v>55</v>
      </c>
      <c r="C613" s="11">
        <v>1320</v>
      </c>
      <c r="D613" s="11"/>
      <c r="F613" s="111" t="s">
        <v>108</v>
      </c>
    </row>
    <row r="614" spans="1:6" x14ac:dyDescent="0.3">
      <c r="A614" s="38">
        <v>46047</v>
      </c>
      <c r="B614" t="s">
        <v>192</v>
      </c>
      <c r="C614" s="11"/>
      <c r="D614" s="11">
        <v>100000</v>
      </c>
      <c r="E614" t="s">
        <v>589</v>
      </c>
      <c r="F614" s="111" t="s">
        <v>108</v>
      </c>
    </row>
    <row r="615" spans="1:6" x14ac:dyDescent="0.3">
      <c r="A615" s="135">
        <v>46047</v>
      </c>
      <c r="B615" t="s">
        <v>229</v>
      </c>
      <c r="C615" s="11">
        <v>100000</v>
      </c>
      <c r="D615" s="11"/>
      <c r="E615" t="s">
        <v>590</v>
      </c>
      <c r="F615" s="111" t="s">
        <v>108</v>
      </c>
    </row>
    <row r="616" spans="1:6" x14ac:dyDescent="0.3">
      <c r="A616" s="38">
        <v>46047</v>
      </c>
      <c r="B616" t="s">
        <v>233</v>
      </c>
      <c r="C616" s="11">
        <v>2000</v>
      </c>
      <c r="D616" s="11"/>
      <c r="E616" t="s">
        <v>485</v>
      </c>
      <c r="F616" s="111" t="s">
        <v>108</v>
      </c>
    </row>
    <row r="617" spans="1:6" x14ac:dyDescent="0.3">
      <c r="A617" s="135">
        <v>46047</v>
      </c>
      <c r="B617" t="s">
        <v>177</v>
      </c>
      <c r="C617" s="11">
        <v>4250</v>
      </c>
      <c r="D617" s="11"/>
      <c r="E617" t="s">
        <v>299</v>
      </c>
      <c r="F617" s="111" t="s">
        <v>108</v>
      </c>
    </row>
    <row r="618" spans="1:6" x14ac:dyDescent="0.3">
      <c r="A618" s="38">
        <v>46047</v>
      </c>
      <c r="B618" t="s">
        <v>54</v>
      </c>
      <c r="C618" s="11">
        <v>3700</v>
      </c>
      <c r="D618" s="11"/>
      <c r="E618" t="s">
        <v>591</v>
      </c>
      <c r="F618" s="111" t="s">
        <v>108</v>
      </c>
    </row>
    <row r="619" spans="1:6" x14ac:dyDescent="0.3">
      <c r="A619" s="135">
        <v>46046</v>
      </c>
      <c r="B619" t="s">
        <v>54</v>
      </c>
      <c r="C619" s="11">
        <v>5000</v>
      </c>
      <c r="D619" s="11"/>
      <c r="E619" t="s">
        <v>236</v>
      </c>
      <c r="F619" s="111" t="s">
        <v>108</v>
      </c>
    </row>
    <row r="620" spans="1:6" x14ac:dyDescent="0.3">
      <c r="A620" s="38">
        <v>46047</v>
      </c>
      <c r="B620" t="s">
        <v>177</v>
      </c>
      <c r="C620" s="11">
        <v>2000</v>
      </c>
      <c r="D620" s="11"/>
      <c r="E620" t="s">
        <v>540</v>
      </c>
      <c r="F620" s="111" t="s">
        <v>108</v>
      </c>
    </row>
    <row r="621" spans="1:6" x14ac:dyDescent="0.3">
      <c r="A621" s="135">
        <v>46047</v>
      </c>
      <c r="C621" s="11"/>
      <c r="D621" s="11"/>
      <c r="F621" s="111"/>
    </row>
    <row r="622" spans="1:6" x14ac:dyDescent="0.3">
      <c r="A622" s="38">
        <v>46047</v>
      </c>
      <c r="C622" s="11"/>
      <c r="D622" s="11"/>
      <c r="F622" s="111"/>
    </row>
    <row r="623" spans="1:6" x14ac:dyDescent="0.3">
      <c r="A623" s="135">
        <v>46047</v>
      </c>
      <c r="C623" s="11"/>
      <c r="D623" s="11"/>
      <c r="F623" s="111"/>
    </row>
    <row r="624" spans="1:6" x14ac:dyDescent="0.3">
      <c r="A624" s="38">
        <v>46047</v>
      </c>
      <c r="C624" s="11"/>
      <c r="D624" s="11"/>
      <c r="F624" s="111"/>
    </row>
    <row r="625" spans="1:6" x14ac:dyDescent="0.3">
      <c r="A625" s="135">
        <v>46047</v>
      </c>
      <c r="C625" s="11"/>
      <c r="D625" s="11"/>
      <c r="F625" s="111"/>
    </row>
    <row r="626" spans="1:6" x14ac:dyDescent="0.3">
      <c r="A626" s="38">
        <v>46047</v>
      </c>
      <c r="C626" s="11"/>
      <c r="D626" s="11"/>
      <c r="F626" s="111"/>
    </row>
    <row r="627" spans="1:6" x14ac:dyDescent="0.3">
      <c r="A627" s="135">
        <v>46047</v>
      </c>
      <c r="C627" s="11"/>
      <c r="D627" s="11"/>
      <c r="F627" s="111"/>
    </row>
    <row r="628" spans="1:6" x14ac:dyDescent="0.3">
      <c r="A628" s="38"/>
      <c r="C628" s="14">
        <f>SUBTOTAL(109,Table14[Debit])</f>
        <v>34049303</v>
      </c>
      <c r="D628" s="14">
        <f>SUBTOTAL(109,Table14[Credit])</f>
        <v>34095391</v>
      </c>
      <c r="F628" s="54">
        <f>(Table14[[#Totals],[Credit]]-Table14[[#Totals],[Debit]])</f>
        <v>46088</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4" zoomScale="107" zoomScaleNormal="210" workbookViewId="0">
      <selection activeCell="G21" sqref="G2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38"/>
      <c r="M10" s="138">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s="138">
        <v>183750</v>
      </c>
      <c r="M11" s="138">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s="138">
        <v>111250</v>
      </c>
      <c r="M12" s="138">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s="138">
        <v>84000</v>
      </c>
      <c r="M13" s="138">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s="138">
        <v>162500</v>
      </c>
      <c r="M14" s="138">
        <v>0</v>
      </c>
    </row>
    <row r="15" spans="1:14" x14ac:dyDescent="0.3">
      <c r="A15" s="1">
        <v>46029</v>
      </c>
      <c r="B15" t="s">
        <v>409</v>
      </c>
      <c r="F15" t="s">
        <v>176</v>
      </c>
      <c r="G15">
        <f>SUMIFS(Table14[Debit], Table14[Date], Table8[[#This Row],[Date]], Table14[Party], Table8[[#This Row],[Party]])</f>
        <v>218250</v>
      </c>
      <c r="H15">
        <f>Table8[[#This Row],[Price]]-Table8[[#This Row],[Paid]]</f>
        <v>-218250</v>
      </c>
      <c r="K15" s="26">
        <v>46018</v>
      </c>
      <c r="L15" s="138">
        <v>111000</v>
      </c>
      <c r="M15" s="138">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s="138">
        <v>180250</v>
      </c>
      <c r="M16" s="138">
        <v>19250</v>
      </c>
    </row>
    <row r="17" spans="1:13" x14ac:dyDescent="0.3">
      <c r="A17" s="1">
        <v>46031</v>
      </c>
      <c r="B17" t="s">
        <v>64</v>
      </c>
      <c r="E17">
        <v>66875</v>
      </c>
      <c r="F17" t="s">
        <v>64</v>
      </c>
      <c r="G17">
        <f>SUMIFS(Table14[Debit], Table14[Date], Table8[[#This Row],[Date]], Table14[Party], Table8[[#This Row],[Party]])</f>
        <v>66875</v>
      </c>
      <c r="H17">
        <f>Table8[[#This Row],[Price]]-Table8[[#This Row],[Paid]]</f>
        <v>0</v>
      </c>
      <c r="K17" s="26">
        <v>46024</v>
      </c>
      <c r="L17" s="138"/>
      <c r="M17" s="138">
        <v>-80250</v>
      </c>
    </row>
    <row r="18" spans="1:13" x14ac:dyDescent="0.3">
      <c r="A18" s="1">
        <v>46031</v>
      </c>
      <c r="B18" t="s">
        <v>130</v>
      </c>
      <c r="E18">
        <v>43500</v>
      </c>
      <c r="F18" t="s">
        <v>176</v>
      </c>
      <c r="G18">
        <f>SUMIFS(Table14[Debit], Table14[Date], Table8[[#This Row],[Date]], Table14[Party], Table8[[#This Row],[Party]])</f>
        <v>0</v>
      </c>
      <c r="H18">
        <f>Table8[[#This Row],[Price]]-Table8[[#This Row],[Paid]]</f>
        <v>43500</v>
      </c>
      <c r="K18" s="26">
        <v>46025</v>
      </c>
      <c r="L18" s="138">
        <v>187000</v>
      </c>
      <c r="M18" s="138">
        <v>107000</v>
      </c>
    </row>
    <row r="19" spans="1:13" x14ac:dyDescent="0.3">
      <c r="A19" s="1">
        <v>46034</v>
      </c>
      <c r="B19" t="s">
        <v>64</v>
      </c>
      <c r="F19" t="s">
        <v>176</v>
      </c>
      <c r="G19">
        <f>SUMIFS(Table14[Debit], Table14[Date], Table8[[#This Row],[Date]], Table14[Party], Table8[[#This Row],[Party]])</f>
        <v>43500</v>
      </c>
      <c r="H19">
        <f>Table8[[#This Row],[Price]]-Table8[[#This Row],[Paid]]</f>
        <v>-43500</v>
      </c>
      <c r="K19" s="26">
        <v>46028</v>
      </c>
      <c r="L19" s="138">
        <v>231750</v>
      </c>
      <c r="M19" s="138">
        <v>111250</v>
      </c>
    </row>
    <row r="20" spans="1:13" x14ac:dyDescent="0.3">
      <c r="A20" s="1">
        <v>46038</v>
      </c>
      <c r="B20" t="s">
        <v>64</v>
      </c>
      <c r="E20">
        <v>291250</v>
      </c>
      <c r="F20" t="s">
        <v>64</v>
      </c>
      <c r="G20">
        <f>SUMIFS(Table14[Debit], Table14[Date], Table8[[#This Row],[Date]], Table14[Party], Table8[[#This Row],[Party]])</f>
        <v>291250</v>
      </c>
      <c r="H20">
        <f>Table8[[#This Row],[Price]]-Table8[[#This Row],[Paid]]</f>
        <v>0</v>
      </c>
      <c r="K20" s="26">
        <v>46029</v>
      </c>
      <c r="L20" s="138"/>
      <c r="M20" s="138">
        <v>-218250</v>
      </c>
    </row>
    <row r="21" spans="1:13" x14ac:dyDescent="0.3">
      <c r="A21" s="1">
        <v>46044</v>
      </c>
      <c r="E21">
        <v>255000</v>
      </c>
      <c r="F21" t="s">
        <v>115</v>
      </c>
      <c r="G21">
        <f>SUMIFS(Table14[Debit], Table14[Date], Table8[[#This Row],[Date]], Table14[Party], Table8[[#This Row],[Party]])</f>
        <v>0</v>
      </c>
      <c r="H21">
        <f>Table8[[#This Row],[Price]]-Table8[[#This Row],[Paid]]</f>
        <v>255000</v>
      </c>
      <c r="K21" s="26">
        <v>46031</v>
      </c>
      <c r="L21" s="138">
        <v>110375</v>
      </c>
      <c r="M21" s="138">
        <v>43500</v>
      </c>
    </row>
    <row r="22" spans="1:13" x14ac:dyDescent="0.3">
      <c r="G22">
        <f>SUMIFS(Table14[Debit], Table14[Date], Table8[[#This Row],[Date]], Table14[Party], Table8[[#This Row],[Party]])</f>
        <v>0</v>
      </c>
      <c r="H22">
        <f>Table8[[#This Row],[Price]]-Table8[[#This Row],[Paid]]</f>
        <v>0</v>
      </c>
      <c r="K22" s="26">
        <v>46034</v>
      </c>
      <c r="L22" s="138"/>
      <c r="M22" s="138">
        <v>-43500</v>
      </c>
    </row>
    <row r="23" spans="1:13" x14ac:dyDescent="0.3">
      <c r="G23">
        <f>SUMIFS(Table14[Debit], Table14[Date], Table8[[#This Row],[Date]], Table14[Party], Table8[[#This Row],[Party]])</f>
        <v>0</v>
      </c>
      <c r="H23">
        <f>Table8[[#This Row],[Price]]-Table8[[#This Row],[Paid]]</f>
        <v>0</v>
      </c>
      <c r="K23" s="4" t="s">
        <v>103</v>
      </c>
      <c r="L23" s="138"/>
      <c r="M23" s="138">
        <v>0</v>
      </c>
    </row>
    <row r="24" spans="1:13" x14ac:dyDescent="0.3">
      <c r="E24">
        <f>SUBTOTAL(109,Table8[Price])</f>
        <v>1908125</v>
      </c>
      <c r="H24">
        <f>SUBTOTAL(109,Table8[Balance])</f>
        <v>255000</v>
      </c>
      <c r="K24" s="26">
        <v>46038</v>
      </c>
      <c r="L24" s="138">
        <v>291250</v>
      </c>
      <c r="M24" s="138">
        <v>0</v>
      </c>
    </row>
    <row r="25" spans="1:13" x14ac:dyDescent="0.3">
      <c r="K25" s="26">
        <v>46044</v>
      </c>
      <c r="L25" s="138">
        <v>255000</v>
      </c>
      <c r="M25" s="138">
        <v>255000</v>
      </c>
    </row>
    <row r="26" spans="1:13" x14ac:dyDescent="0.3">
      <c r="K26" s="4" t="s">
        <v>28</v>
      </c>
      <c r="L26" s="138">
        <v>1908125</v>
      </c>
      <c r="M26" s="138">
        <v>255000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188</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5" zoomScale="104" workbookViewId="0">
      <selection activeCell="C25" sqref="C2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216</v>
      </c>
      <c r="D5" s="82"/>
      <c r="E5" s="82"/>
      <c r="F5" s="82">
        <f>Table2[[#This Row],[Quantity]]*200*Table2[[#This Row],[Boxes]]</f>
        <v>0</v>
      </c>
      <c r="G5" s="82">
        <f>SUMIFS(Table14[Debit], Table14[Date], Table2[[#This Row],[Date]], Table14[Party], Table2[[#This Row],[Party Name]])</f>
        <v>0</v>
      </c>
      <c r="H5" s="82">
        <v>0</v>
      </c>
      <c r="J5" s="4" t="s">
        <v>103</v>
      </c>
      <c r="K5" s="138">
        <v>0</v>
      </c>
      <c r="L5" s="138">
        <v>0</v>
      </c>
      <c r="M5" s="138">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f>
        <v>0</v>
      </c>
      <c r="H6" s="82">
        <v>268000</v>
      </c>
      <c r="J6" s="4" t="s">
        <v>116</v>
      </c>
      <c r="K6" s="138">
        <v>0</v>
      </c>
      <c r="L6" s="138">
        <v>268000</v>
      </c>
      <c r="M6" s="138">
        <v>0</v>
      </c>
    </row>
    <row r="7" spans="1:13" x14ac:dyDescent="0.3">
      <c r="A7" s="85">
        <v>46008</v>
      </c>
      <c r="B7" s="85" t="s">
        <v>165</v>
      </c>
      <c r="C7" s="82" t="s">
        <v>216</v>
      </c>
      <c r="F7" s="82">
        <f>Table2[[#This Row],[Quantity]]*200*Table2[[#This Row],[Boxes]]</f>
        <v>0</v>
      </c>
      <c r="G7" s="82">
        <f>SUMIFS(Table14[Debit], Table14[Date], Table2[[#This Row],[Date]], Table14[Party], Table2[[#This Row],[Party Name]])</f>
        <v>0</v>
      </c>
      <c r="H7" s="81">
        <v>0</v>
      </c>
      <c r="J7" s="4" t="s">
        <v>117</v>
      </c>
      <c r="K7" s="138">
        <v>77500</v>
      </c>
      <c r="L7" s="138">
        <v>77500</v>
      </c>
      <c r="M7" s="138">
        <v>0</v>
      </c>
    </row>
    <row r="8" spans="1:13" x14ac:dyDescent="0.3">
      <c r="A8" s="85">
        <v>46008</v>
      </c>
      <c r="B8" s="95" t="s">
        <v>194</v>
      </c>
      <c r="C8" s="82" t="s">
        <v>216</v>
      </c>
      <c r="F8" s="82">
        <f>Table2[[#This Row],[Quantity]]*200*Table2[[#This Row],[Boxes]]</f>
        <v>0</v>
      </c>
      <c r="G8" s="82">
        <f>SUMIFS(Table14[Debit], Table14[Date], Table2[[#This Row],[Date]], Table14[Party], Table2[[#This Row],[Party Name]])</f>
        <v>0</v>
      </c>
      <c r="H8" s="81">
        <v>0</v>
      </c>
      <c r="J8" s="4" t="s">
        <v>165</v>
      </c>
      <c r="K8" s="138">
        <v>60000</v>
      </c>
      <c r="L8" s="138">
        <v>0</v>
      </c>
      <c r="M8" s="138">
        <v>60000</v>
      </c>
    </row>
    <row r="9" spans="1:13" x14ac:dyDescent="0.3">
      <c r="A9" s="117">
        <v>46008</v>
      </c>
      <c r="B9" s="117" t="s">
        <v>198</v>
      </c>
      <c r="C9" s="88" t="s">
        <v>216</v>
      </c>
      <c r="F9" s="82">
        <f>Table2[[#This Row],[Quantity]]*200*Table2[[#This Row],[Boxes]]</f>
        <v>0</v>
      </c>
      <c r="G9" s="82">
        <f>SUMIFS(Table14[Debit], Table14[Date], Table2[[#This Row],[Date]], Table14[Party], Table2[[#This Row],[Party Name]])</f>
        <v>0</v>
      </c>
      <c r="H9" s="81">
        <f>Table2[[#This Row],[Price]]-Table2[[#This Row],[Paid]]</f>
        <v>0</v>
      </c>
      <c r="J9" s="4" t="s">
        <v>194</v>
      </c>
      <c r="K9" s="138">
        <v>702000</v>
      </c>
      <c r="L9" s="138">
        <v>351000</v>
      </c>
      <c r="M9" s="138">
        <v>351000</v>
      </c>
    </row>
    <row r="10" spans="1:13" x14ac:dyDescent="0.3">
      <c r="A10" s="1">
        <v>46011</v>
      </c>
      <c r="B10" s="1" t="s">
        <v>194</v>
      </c>
      <c r="C10" t="s">
        <v>61</v>
      </c>
      <c r="D10">
        <v>45</v>
      </c>
      <c r="F10">
        <v>351000</v>
      </c>
      <c r="G10">
        <f>SUMIFS(Table14[Debit], Table14[Date], Table2[[#This Row],[Date]], Table14[Party], Table2[[#This Row],[Party Name]])</f>
        <v>0</v>
      </c>
      <c r="H10">
        <f>Table2[[#This Row],[Price]]-Table2[[#This Row],[Paid]]</f>
        <v>351000</v>
      </c>
      <c r="J10" s="4" t="s">
        <v>198</v>
      </c>
      <c r="K10" s="138">
        <v>61500</v>
      </c>
      <c r="L10" s="138">
        <v>61500</v>
      </c>
      <c r="M10" s="138">
        <v>0</v>
      </c>
    </row>
    <row r="11" spans="1:13" x14ac:dyDescent="0.3">
      <c r="A11" s="1">
        <v>46014</v>
      </c>
      <c r="B11" s="1" t="s">
        <v>116</v>
      </c>
      <c r="C11" t="s">
        <v>282</v>
      </c>
      <c r="F11">
        <f>Table2[[#This Row],[Quantity]]*200*Table2[[#This Row],[Boxes]]</f>
        <v>0</v>
      </c>
      <c r="G11">
        <f>SUMIFS(Table14[Debit], Table14[Date], Table2[[#This Row],[Date]], Table14[Party], Table2[[#This Row],[Party Name]])</f>
        <v>150000</v>
      </c>
      <c r="H11">
        <f>Table2[[#This Row],[Price]]-Table2[[#This Row],[Paid]]</f>
        <v>-150000</v>
      </c>
      <c r="J11" s="4" t="s">
        <v>28</v>
      </c>
      <c r="K11" s="138">
        <v>901000</v>
      </c>
      <c r="L11" s="138">
        <v>758000</v>
      </c>
      <c r="M11" s="138">
        <v>411000</v>
      </c>
    </row>
    <row r="12" spans="1:13" x14ac:dyDescent="0.3">
      <c r="A12" s="1">
        <v>46032</v>
      </c>
      <c r="B12" s="1" t="s">
        <v>116</v>
      </c>
      <c r="C12" t="s">
        <v>294</v>
      </c>
      <c r="F12">
        <f>Table2[[#This Row],[Quantity]]*200*Table2[[#This Row],[Boxes]]</f>
        <v>0</v>
      </c>
      <c r="G12">
        <f>SUMIFS(Table14[Debit], Table14[Date], Table2[[#This Row],[Date]], Table14[Party], Table2[[#This Row],[Party Name]])</f>
        <v>118000</v>
      </c>
      <c r="H12">
        <f>Table2[[#This Row],[Price]]-Table2[[#This Row],[Paid]]</f>
        <v>-118000</v>
      </c>
    </row>
    <row r="13" spans="1:13" x14ac:dyDescent="0.3">
      <c r="A13" s="1">
        <v>46034</v>
      </c>
      <c r="B13" s="1" t="s">
        <v>194</v>
      </c>
      <c r="C13" t="s">
        <v>61</v>
      </c>
      <c r="F13">
        <f>Table2[[#This Row],[Quantity]]*200*Table2[[#This Row],[Boxes]]</f>
        <v>0</v>
      </c>
      <c r="G13">
        <f>SUMIFS(Table14[Debit], Table14[Date], Table2[[#This Row],[Date]], Table14[Party], Table2[[#This Row],[Party Name]])</f>
        <v>351000</v>
      </c>
      <c r="H13">
        <f>Table2[[#This Row],[Price]]-Table2[[#This Row],[Paid]]</f>
        <v>-351000</v>
      </c>
    </row>
    <row r="14" spans="1:13" x14ac:dyDescent="0.3">
      <c r="A14" s="1">
        <v>46036</v>
      </c>
      <c r="B14" s="1" t="s">
        <v>117</v>
      </c>
      <c r="C14" t="s">
        <v>61</v>
      </c>
      <c r="F14">
        <v>38750</v>
      </c>
      <c r="G14">
        <f>SUMIFS(Table14[Debit], Table14[Date], Table2[[#This Row],[Date]], Table14[Party], Table2[[#This Row],[Party Name]])</f>
        <v>38750</v>
      </c>
      <c r="H14">
        <f>Table2[[#This Row],[Price]]-Table2[[#This Row],[Paid]]</f>
        <v>0</v>
      </c>
    </row>
    <row r="15" spans="1:13" x14ac:dyDescent="0.3">
      <c r="A15" s="1">
        <v>46039</v>
      </c>
      <c r="B15" s="1" t="s">
        <v>117</v>
      </c>
      <c r="C15" t="s">
        <v>61</v>
      </c>
      <c r="F15">
        <v>38750</v>
      </c>
      <c r="G15">
        <f>SUMIFS(Table14[Debit], Table14[Date], Table2[[#This Row],[Date]], Table14[Party], Table2[[#This Row],[Party Name]])</f>
        <v>38750</v>
      </c>
      <c r="H15">
        <f>Table2[[#This Row],[Price]]-Table2[[#This Row],[Paid]]</f>
        <v>0</v>
      </c>
    </row>
    <row r="16" spans="1:13" x14ac:dyDescent="0.3">
      <c r="A16" s="1">
        <v>46042</v>
      </c>
      <c r="B16" s="1" t="s">
        <v>198</v>
      </c>
      <c r="C16" t="s">
        <v>164</v>
      </c>
      <c r="F16">
        <v>12300</v>
      </c>
      <c r="G16">
        <f>SUMIFS(Table14[Debit], Table14[Date], Table2[[#This Row],[Date]], Table14[Party], Table2[[#This Row],[Party Name]])</f>
        <v>12300</v>
      </c>
      <c r="H16">
        <f>Table2[[#This Row],[Price]]-Table2[[#This Row],[Paid]]</f>
        <v>0</v>
      </c>
    </row>
    <row r="17" spans="1:11" x14ac:dyDescent="0.3">
      <c r="A17" s="1">
        <v>46042</v>
      </c>
      <c r="B17" s="1" t="s">
        <v>194</v>
      </c>
      <c r="C17" t="s">
        <v>61</v>
      </c>
      <c r="D17">
        <v>45</v>
      </c>
      <c r="F17">
        <v>351000</v>
      </c>
      <c r="G17">
        <f>SUMIFS(Table14[Debit], Table14[Date], Table2[[#This Row],[Date]], Table14[Party], Table2[[#This Row],[Party Name]])</f>
        <v>0</v>
      </c>
      <c r="H17">
        <f>Table2[[#This Row],[Price]]-Table2[[#This Row],[Paid]]</f>
        <v>351000</v>
      </c>
    </row>
    <row r="18" spans="1:11" x14ac:dyDescent="0.3">
      <c r="A18" s="1">
        <v>46043</v>
      </c>
      <c r="B18" s="1" t="s">
        <v>198</v>
      </c>
      <c r="C18" t="s">
        <v>164</v>
      </c>
      <c r="F18">
        <v>49200</v>
      </c>
      <c r="G18">
        <f>SUMIFS(Table14[Debit], Table14[Date], Table2[[#This Row],[Date]], Table14[Party], Table2[[#This Row],[Party Name]])</f>
        <v>49200</v>
      </c>
      <c r="H18">
        <f>Table2[[#This Row],[Price]]-Table2[[#This Row],[Paid]]</f>
        <v>0</v>
      </c>
    </row>
    <row r="19" spans="1:11" x14ac:dyDescent="0.3">
      <c r="A19" s="1">
        <v>46044</v>
      </c>
      <c r="B19" s="1" t="s">
        <v>165</v>
      </c>
      <c r="C19" t="s">
        <v>282</v>
      </c>
      <c r="D19">
        <v>2</v>
      </c>
      <c r="E19">
        <v>125</v>
      </c>
      <c r="F19">
        <f>Table2[[#This Row],[Quantity]]*240*Table2[[#This Row],[Boxes]]</f>
        <v>60000</v>
      </c>
      <c r="G19">
        <f>SUMIFS(Table14[Debit], Table14[Date], Table2[[#This Row],[Date]], Table14[Party], Table2[[#This Row],[Party Name]])</f>
        <v>0</v>
      </c>
      <c r="H19">
        <f>Table2[[#This Row],[Price]]-Table2[[#This Row],[Paid]]</f>
        <v>60000</v>
      </c>
    </row>
    <row r="20" spans="1:11" x14ac:dyDescent="0.3">
      <c r="A20" s="1"/>
      <c r="B20" s="1"/>
      <c r="F20">
        <f>Table2[[#This Row],[Quantity]]*200*Table2[[#This Row],[Boxes]]</f>
        <v>0</v>
      </c>
      <c r="G20">
        <f>SUMIFS(Table14[Debit], Table14[Date], Table2[[#This Row],[Date]], Table14[Party], Table2[[#This Row],[Party Name]])</f>
        <v>0</v>
      </c>
      <c r="H20">
        <f>Table2[[#This Row],[Price]]-Table2[[#This Row],[Paid]]</f>
        <v>0</v>
      </c>
    </row>
    <row r="21" spans="1:11" x14ac:dyDescent="0.3">
      <c r="A21" s="1"/>
      <c r="F21">
        <f>SUBTOTAL(109,Table2[Price])</f>
        <v>901000</v>
      </c>
      <c r="G21">
        <f>SUBTOTAL(109,Table2[Paid])</f>
        <v>758000</v>
      </c>
      <c r="H21">
        <f>SUBTOTAL(109,Table2[Balance])</f>
        <v>411000</v>
      </c>
    </row>
    <row r="24" spans="1:11" x14ac:dyDescent="0.3">
      <c r="I24" t="s">
        <v>57</v>
      </c>
      <c r="J24" t="s">
        <v>174</v>
      </c>
      <c r="K24" t="s">
        <v>207</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v>2185118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2248118</v>
      </c>
      <c r="C2" s="32">
        <f>GETPIVOTDATA("Sum of Tiyaar/gaz",$A$3)</f>
        <v>2207424.8824</v>
      </c>
      <c r="D2" s="31">
        <f>((B2*48)+((C2/1.0936)*10))/C2</f>
        <v>58.028974664020787</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11019</v>
      </c>
      <c r="D19" s="28">
        <f t="shared" si="1"/>
        <v>53.811685382427498</v>
      </c>
      <c r="E19" s="11">
        <f t="shared" si="2"/>
        <v>11213.774399999998</v>
      </c>
      <c r="F19" s="11">
        <f t="shared" si="0"/>
        <v>11019</v>
      </c>
      <c r="G19" s="78">
        <f t="shared" ref="G19:G38" si="6">100- (F19/E19 *100)</f>
        <v>1.7369209781855233</v>
      </c>
      <c r="H19" s="28">
        <f t="shared" si="3"/>
        <v>10075.896122896855</v>
      </c>
      <c r="I19" s="28">
        <f t="shared" si="5"/>
        <v>53.811685382427498</v>
      </c>
    </row>
    <row r="20" spans="1:9" x14ac:dyDescent="0.3">
      <c r="A20" s="16">
        <v>1948</v>
      </c>
      <c r="B20" s="14">
        <v>20882</v>
      </c>
      <c r="C20" s="14">
        <v>22189</v>
      </c>
      <c r="D20" s="28">
        <f t="shared" si="1"/>
        <v>54.316764308801133</v>
      </c>
      <c r="E20" s="11">
        <f>B20 * 1.0936</f>
        <v>22836.555199999999</v>
      </c>
      <c r="F20" s="11">
        <f t="shared" si="0"/>
        <v>22189</v>
      </c>
      <c r="G20" s="78">
        <f t="shared" si="6"/>
        <v>2.8356080605362024</v>
      </c>
      <c r="H20" s="28">
        <f t="shared" si="3"/>
        <v>20289.86832479883</v>
      </c>
      <c r="I20" s="28">
        <f t="shared" si="5"/>
        <v>54.316764308801133</v>
      </c>
    </row>
    <row r="21" spans="1:9" x14ac:dyDescent="0.3">
      <c r="A21" s="16">
        <v>1947</v>
      </c>
      <c r="B21" s="14">
        <v>11427</v>
      </c>
      <c r="C21" s="14">
        <v>12044</v>
      </c>
      <c r="D21" s="28">
        <f t="shared" si="1"/>
        <v>54.685127466055341</v>
      </c>
      <c r="E21" s="11">
        <f t="shared" si="2"/>
        <v>12496.5672</v>
      </c>
      <c r="F21" s="11">
        <f t="shared" si="0"/>
        <v>12044</v>
      </c>
      <c r="G21" s="78">
        <f t="shared" si="6"/>
        <v>3.6215321596478134</v>
      </c>
      <c r="H21" s="28">
        <f t="shared" si="3"/>
        <v>11013.167520117046</v>
      </c>
      <c r="I21" s="28">
        <f t="shared" si="5"/>
        <v>54.685127466055341</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16638</v>
      </c>
      <c r="D38" s="28">
        <f t="shared" si="1"/>
        <v>78.983274553372993</v>
      </c>
      <c r="E38" s="11">
        <f t="shared" si="2"/>
        <v>26473.868799999997</v>
      </c>
      <c r="F38" s="11">
        <f t="shared" si="0"/>
        <v>16638</v>
      </c>
      <c r="G38" s="78">
        <f t="shared" si="6"/>
        <v>37.153122100537104</v>
      </c>
      <c r="H38" s="28">
        <f t="shared" si="3"/>
        <v>15213.972201901977</v>
      </c>
      <c r="I38" s="28">
        <f t="shared" si="5"/>
        <v>78.983274553372993</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v>48429</v>
      </c>
      <c r="C40" s="14">
        <v>52270</v>
      </c>
      <c r="D40" s="28">
        <f t="shared" si="13"/>
        <v>53.61688716331232</v>
      </c>
      <c r="E40" s="11">
        <f t="shared" si="14"/>
        <v>52961.954399999995</v>
      </c>
      <c r="F40" s="11">
        <f t="shared" si="15"/>
        <v>52270</v>
      </c>
      <c r="G40" s="78">
        <f t="shared" si="16"/>
        <v>1.3065122083183383</v>
      </c>
      <c r="H40" s="28">
        <f t="shared" si="17"/>
        <v>47796.269202633506</v>
      </c>
      <c r="I40" s="28">
        <f t="shared" si="18"/>
        <v>53.61688716331232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v>2002</v>
      </c>
      <c r="B47" s="14">
        <v>12052</v>
      </c>
      <c r="C47" s="14">
        <v>12842</v>
      </c>
      <c r="D47" s="28">
        <f t="shared" si="19"/>
        <v>54.191300103776619</v>
      </c>
      <c r="E47" s="11">
        <f t="shared" si="20"/>
        <v>13180.0672</v>
      </c>
      <c r="F47" s="11">
        <f t="shared" si="21"/>
        <v>12842</v>
      </c>
      <c r="G47" s="78">
        <f t="shared" si="22"/>
        <v>2.5649884395126605</v>
      </c>
      <c r="H47" s="28">
        <f t="shared" si="23"/>
        <v>11742.867593269935</v>
      </c>
      <c r="I47" s="28">
        <f t="shared" si="24"/>
        <v>54.191300103776619</v>
      </c>
    </row>
    <row r="48" spans="1:9" x14ac:dyDescent="0.3">
      <c r="A48" s="16">
        <v>1969</v>
      </c>
      <c r="B48" s="14">
        <v>7371</v>
      </c>
      <c r="C48" s="14">
        <v>7883</v>
      </c>
      <c r="D48" s="28">
        <f t="shared" si="19"/>
        <v>54.026516368086632</v>
      </c>
      <c r="E48" s="11">
        <f t="shared" si="20"/>
        <v>8060.9255999999996</v>
      </c>
      <c r="F48" s="11">
        <f t="shared" si="21"/>
        <v>7883</v>
      </c>
      <c r="G48" s="78">
        <f t="shared" si="22"/>
        <v>2.2072601687329723</v>
      </c>
      <c r="H48" s="28">
        <f t="shared" si="23"/>
        <v>7208.3028529626927</v>
      </c>
      <c r="I48" s="28">
        <f t="shared" si="24"/>
        <v>54.026516368086632</v>
      </c>
    </row>
    <row r="49" spans="1:9" x14ac:dyDescent="0.3">
      <c r="A49" s="16">
        <v>1994</v>
      </c>
      <c r="B49" s="14">
        <v>45911</v>
      </c>
      <c r="C49" s="14">
        <v>48740</v>
      </c>
      <c r="D49" s="28">
        <f t="shared" si="19"/>
        <v>54.35806277220334</v>
      </c>
      <c r="E49" s="11">
        <f t="shared" si="20"/>
        <v>50208.269599999992</v>
      </c>
      <c r="F49" s="11">
        <f t="shared" si="21"/>
        <v>48740</v>
      </c>
      <c r="G49" s="78">
        <f t="shared" si="22"/>
        <v>2.924358102156134</v>
      </c>
      <c r="H49" s="28">
        <f t="shared" si="23"/>
        <v>44568.397951719096</v>
      </c>
      <c r="I49" s="28">
        <f t="shared" si="24"/>
        <v>54.35806277220334</v>
      </c>
    </row>
    <row r="50" spans="1:9" x14ac:dyDescent="0.3">
      <c r="A50" s="16">
        <v>2011</v>
      </c>
      <c r="B50" s="14">
        <v>30098</v>
      </c>
      <c r="C50" s="14">
        <v>31138</v>
      </c>
      <c r="D50" s="28">
        <f t="shared" si="19"/>
        <v>55.540925374420489</v>
      </c>
      <c r="E50" s="11">
        <f t="shared" si="20"/>
        <v>32915.1728</v>
      </c>
      <c r="F50" s="11">
        <f t="shared" si="21"/>
        <v>31138</v>
      </c>
      <c r="G50" s="78">
        <f t="shared" si="22"/>
        <v>5.3992510104640843</v>
      </c>
      <c r="H50" s="28">
        <f t="shared" si="23"/>
        <v>28472.933430870522</v>
      </c>
      <c r="I50" s="28">
        <f t="shared" si="24"/>
        <v>55.540925374420489</v>
      </c>
    </row>
    <row r="51" spans="1:9" x14ac:dyDescent="0.3">
      <c r="A51" s="16">
        <v>2010</v>
      </c>
      <c r="B51" s="14">
        <v>32275</v>
      </c>
      <c r="C51" s="14">
        <v>33781</v>
      </c>
      <c r="D51" s="28">
        <f t="shared" si="19"/>
        <v>55.004210064539173</v>
      </c>
      <c r="E51" s="11">
        <f t="shared" si="20"/>
        <v>35295.939999999995</v>
      </c>
      <c r="F51" s="11">
        <f t="shared" si="21"/>
        <v>33781</v>
      </c>
      <c r="G51" s="78">
        <f t="shared" si="22"/>
        <v>4.2921083841370802</v>
      </c>
      <c r="H51" s="28">
        <f t="shared" si="23"/>
        <v>30889.722019019755</v>
      </c>
      <c r="I51" s="28">
        <f t="shared" si="24"/>
        <v>55.004210064539173</v>
      </c>
    </row>
    <row r="52" spans="1:9" x14ac:dyDescent="0.3">
      <c r="A52" s="16">
        <v>2022</v>
      </c>
      <c r="B52" s="14">
        <v>44988</v>
      </c>
      <c r="C52" s="14">
        <v>47157</v>
      </c>
      <c r="D52" s="28">
        <f t="shared" si="19"/>
        <v>54.936337160965167</v>
      </c>
      <c r="E52" s="11">
        <f t="shared" si="20"/>
        <v>49198.876799999998</v>
      </c>
      <c r="F52" s="11">
        <f t="shared" si="21"/>
        <v>47157</v>
      </c>
      <c r="G52" s="78">
        <f t="shared" si="22"/>
        <v>4.1502508447509854</v>
      </c>
      <c r="H52" s="28">
        <f t="shared" si="23"/>
        <v>43120.885149963426</v>
      </c>
      <c r="I52" s="28">
        <f t="shared" si="24"/>
        <v>54.936337160965167</v>
      </c>
    </row>
    <row r="53" spans="1:9" x14ac:dyDescent="0.3">
      <c r="A53" s="16">
        <v>2027</v>
      </c>
      <c r="B53" s="14">
        <v>11450</v>
      </c>
      <c r="C53" s="14">
        <v>12354</v>
      </c>
      <c r="D53" s="28">
        <f t="shared" si="19"/>
        <v>53.631726539648049</v>
      </c>
      <c r="E53" s="11">
        <f t="shared" si="20"/>
        <v>12521.72</v>
      </c>
      <c r="F53" s="11">
        <f t="shared" si="21"/>
        <v>12354</v>
      </c>
      <c r="G53" s="78">
        <f t="shared" si="22"/>
        <v>1.3394326019109144</v>
      </c>
      <c r="H53" s="28">
        <f t="shared" si="23"/>
        <v>11296.634967081201</v>
      </c>
      <c r="I53" s="28">
        <f t="shared" si="24"/>
        <v>53.631726539648049</v>
      </c>
    </row>
    <row r="54" spans="1:9" x14ac:dyDescent="0.3">
      <c r="A54" s="16">
        <v>2028</v>
      </c>
      <c r="B54" s="14">
        <v>6629</v>
      </c>
      <c r="C54" s="14">
        <v>6879</v>
      </c>
      <c r="D54" s="28">
        <f t="shared" si="19"/>
        <v>55.399671593613206</v>
      </c>
      <c r="E54" s="11">
        <f t="shared" si="20"/>
        <v>7249.4743999999992</v>
      </c>
      <c r="F54" s="11">
        <f t="shared" si="21"/>
        <v>6879</v>
      </c>
      <c r="G54" s="78">
        <f t="shared" si="22"/>
        <v>5.1103622077760491</v>
      </c>
      <c r="H54" s="28">
        <f t="shared" si="23"/>
        <v>6290.2340892465254</v>
      </c>
      <c r="I54" s="28">
        <f t="shared" si="24"/>
        <v>55.399671593613206</v>
      </c>
    </row>
    <row r="55" spans="1:9" x14ac:dyDescent="0.3">
      <c r="A55" s="16">
        <v>2029</v>
      </c>
      <c r="B55" s="14">
        <v>12001</v>
      </c>
      <c r="C55" s="14">
        <v>12891</v>
      </c>
      <c r="D55" s="28">
        <f t="shared" si="19"/>
        <v>53.830171234281792</v>
      </c>
      <c r="E55" s="11">
        <f t="shared" si="20"/>
        <v>13124.293599999999</v>
      </c>
      <c r="F55" s="11">
        <f t="shared" si="21"/>
        <v>12891</v>
      </c>
      <c r="G55" s="78">
        <f t="shared" si="22"/>
        <v>1.7775707181680218</v>
      </c>
      <c r="H55" s="28">
        <f t="shared" si="23"/>
        <v>11787.673738112657</v>
      </c>
      <c r="I55" s="28">
        <f t="shared" si="24"/>
        <v>53.830171234281792</v>
      </c>
    </row>
    <row r="56" spans="1:9" x14ac:dyDescent="0.3">
      <c r="A56" s="16" t="s">
        <v>481</v>
      </c>
      <c r="B56" s="14">
        <v>51307</v>
      </c>
      <c r="C56" s="14">
        <v>55125</v>
      </c>
      <c r="D56" s="28">
        <f t="shared" si="19"/>
        <v>53.819594185589374</v>
      </c>
      <c r="E56" s="11">
        <f t="shared" si="20"/>
        <v>56109.335199999994</v>
      </c>
      <c r="F56" s="11">
        <f t="shared" si="21"/>
        <v>55125</v>
      </c>
      <c r="G56" s="78">
        <f t="shared" si="22"/>
        <v>1.7543162764117</v>
      </c>
      <c r="H56" s="28">
        <f t="shared" si="23"/>
        <v>50406.91294806145</v>
      </c>
      <c r="I56" s="28">
        <f t="shared" si="24"/>
        <v>53.819594185589374</v>
      </c>
    </row>
    <row r="57" spans="1:9" x14ac:dyDescent="0.3">
      <c r="A57" s="16">
        <v>2018</v>
      </c>
      <c r="B57" s="14">
        <v>48184</v>
      </c>
      <c r="C57" s="14">
        <v>51690</v>
      </c>
      <c r="D57" s="28">
        <f t="shared" si="19"/>
        <v>53.88839441932187</v>
      </c>
      <c r="E57" s="11">
        <f t="shared" si="20"/>
        <v>52694.022399999994</v>
      </c>
      <c r="F57" s="11">
        <f t="shared" si="21"/>
        <v>51690</v>
      </c>
      <c r="G57" s="78">
        <f t="shared" si="22"/>
        <v>1.9053819660576892</v>
      </c>
      <c r="H57" s="28">
        <f t="shared" si="23"/>
        <v>47265.910753474767</v>
      </c>
      <c r="I57" s="28">
        <f t="shared" si="24"/>
        <v>53.88839441932187</v>
      </c>
    </row>
    <row r="58" spans="1:9" x14ac:dyDescent="0.3">
      <c r="A58" s="16">
        <v>2030</v>
      </c>
      <c r="B58" s="14">
        <v>24735</v>
      </c>
      <c r="C58" s="14">
        <v>26408</v>
      </c>
      <c r="D58" s="28">
        <f t="shared" si="19"/>
        <v>54.103214494421792</v>
      </c>
      <c r="E58" s="11">
        <f t="shared" si="20"/>
        <v>27050.195999999996</v>
      </c>
      <c r="F58" s="11">
        <f t="shared" si="21"/>
        <v>26408</v>
      </c>
      <c r="G58" s="78">
        <f t="shared" si="22"/>
        <v>2.3740900065936614</v>
      </c>
      <c r="H58" s="28">
        <f t="shared" si="23"/>
        <v>24147.768836869058</v>
      </c>
      <c r="I58" s="28">
        <f t="shared" si="24"/>
        <v>54.103214494421792</v>
      </c>
    </row>
    <row r="59" spans="1:9" x14ac:dyDescent="0.3">
      <c r="A59" s="16">
        <v>2037</v>
      </c>
      <c r="B59" s="14">
        <v>14961</v>
      </c>
      <c r="C59" s="14">
        <v>15976</v>
      </c>
      <c r="D59" s="28">
        <f t="shared" ref="D59:D73" si="25">I59</f>
        <v>54.09453683084979</v>
      </c>
      <c r="E59" s="11">
        <f t="shared" ref="E59:E73" si="26">B59 * 1.0936</f>
        <v>16361.349599999998</v>
      </c>
      <c r="F59" s="11">
        <f t="shared" ref="F59:F73" si="27">C59</f>
        <v>15976</v>
      </c>
      <c r="G59" s="78">
        <f t="shared" ref="G59:G73" si="28">100- (F59/E59 *100)</f>
        <v>2.3552433596309044</v>
      </c>
      <c r="H59" s="28">
        <f t="shared" ref="H59:H73" si="29">F59/1.0936</f>
        <v>14608.63204096562</v>
      </c>
      <c r="I59" s="28">
        <f t="shared" ref="I59:I73" si="30">((B59*48)+(H59*10))/C59</f>
        <v>54.09453683084979</v>
      </c>
    </row>
    <row r="60" spans="1:9" x14ac:dyDescent="0.3">
      <c r="A60" s="16">
        <v>2026</v>
      </c>
      <c r="B60" s="14">
        <v>70035</v>
      </c>
      <c r="C60" s="14">
        <v>75521</v>
      </c>
      <c r="D60" s="28">
        <f t="shared" si="25"/>
        <v>53.657292956404753</v>
      </c>
      <c r="E60" s="11">
        <f t="shared" si="26"/>
        <v>76590.275999999998</v>
      </c>
      <c r="F60" s="11">
        <f t="shared" si="27"/>
        <v>75521</v>
      </c>
      <c r="G60" s="78">
        <f t="shared" si="28"/>
        <v>1.3960988990299512</v>
      </c>
      <c r="H60" s="28">
        <f t="shared" si="29"/>
        <v>69057.242136064378</v>
      </c>
      <c r="I60" s="28">
        <f t="shared" si="30"/>
        <v>53.657292956404753</v>
      </c>
    </row>
    <row r="61" spans="1:9" x14ac:dyDescent="0.3">
      <c r="A61" s="16">
        <v>2016</v>
      </c>
      <c r="B61" s="14">
        <v>29033</v>
      </c>
      <c r="C61" s="14">
        <v>30892</v>
      </c>
      <c r="D61" s="28">
        <f t="shared" si="25"/>
        <v>54.255596366547223</v>
      </c>
      <c r="E61" s="11">
        <f t="shared" si="26"/>
        <v>31750.488799999996</v>
      </c>
      <c r="F61" s="11">
        <f t="shared" si="27"/>
        <v>30892</v>
      </c>
      <c r="G61" s="78">
        <f t="shared" si="28"/>
        <v>2.703860105611966</v>
      </c>
      <c r="H61" s="28">
        <f t="shared" si="29"/>
        <v>28247.988295537678</v>
      </c>
      <c r="I61" s="28">
        <f t="shared" si="30"/>
        <v>54.255596366547223</v>
      </c>
    </row>
    <row r="62" spans="1:9" x14ac:dyDescent="0.3">
      <c r="A62" s="16">
        <v>2012</v>
      </c>
      <c r="B62" s="14">
        <v>28546</v>
      </c>
      <c r="C62" s="14">
        <v>15097</v>
      </c>
      <c r="D62" s="28">
        <f t="shared" si="25"/>
        <v>99.904394692425228</v>
      </c>
      <c r="E62" s="11">
        <f t="shared" si="26"/>
        <v>31217.905599999998</v>
      </c>
      <c r="F62" s="11">
        <f t="shared" si="27"/>
        <v>15097</v>
      </c>
      <c r="G62" s="78">
        <f t="shared" si="28"/>
        <v>51.639933205512669</v>
      </c>
      <c r="H62" s="28">
        <f t="shared" si="29"/>
        <v>13804.864667154354</v>
      </c>
      <c r="I62" s="28">
        <f t="shared" si="30"/>
        <v>99.904394692425228</v>
      </c>
    </row>
    <row r="63" spans="1:9" x14ac:dyDescent="0.3">
      <c r="A63" s="16">
        <v>2014</v>
      </c>
      <c r="B63" s="14">
        <v>28559</v>
      </c>
      <c r="C63" s="14">
        <v>29748</v>
      </c>
      <c r="D63" s="28">
        <f t="shared" si="25"/>
        <v>55.225595661936268</v>
      </c>
      <c r="E63" s="11">
        <f t="shared" si="26"/>
        <v>31232.122399999997</v>
      </c>
      <c r="F63" s="11">
        <f t="shared" si="27"/>
        <v>29748</v>
      </c>
      <c r="G63" s="78">
        <f t="shared" si="28"/>
        <v>4.751910167974998</v>
      </c>
      <c r="H63" s="28">
        <f t="shared" si="29"/>
        <v>27201.901975128021</v>
      </c>
      <c r="I63" s="28">
        <f t="shared" si="30"/>
        <v>55.225595661936268</v>
      </c>
    </row>
    <row r="64" spans="1:9" x14ac:dyDescent="0.3">
      <c r="A64" s="16">
        <v>2013</v>
      </c>
      <c r="B64" s="14">
        <v>26975</v>
      </c>
      <c r="C64" s="14">
        <v>28378</v>
      </c>
      <c r="D64" s="28">
        <f t="shared" si="25"/>
        <v>54.771005265265458</v>
      </c>
      <c r="E64" s="11">
        <f t="shared" si="26"/>
        <v>29499.859999999997</v>
      </c>
      <c r="F64" s="11">
        <f t="shared" si="27"/>
        <v>28378</v>
      </c>
      <c r="G64" s="78">
        <f t="shared" si="28"/>
        <v>3.8029333020563456</v>
      </c>
      <c r="H64" s="28">
        <f t="shared" si="29"/>
        <v>25949.158741770301</v>
      </c>
      <c r="I64" s="28">
        <f t="shared" si="30"/>
        <v>54.771005265265458</v>
      </c>
    </row>
    <row r="65" spans="1:9" x14ac:dyDescent="0.3">
      <c r="A65" s="16">
        <v>2031</v>
      </c>
      <c r="B65" s="14">
        <v>36016</v>
      </c>
      <c r="C65" s="14">
        <v>38699</v>
      </c>
      <c r="D65" s="28">
        <f t="shared" si="25"/>
        <v>53.816273263763456</v>
      </c>
      <c r="E65" s="11">
        <f t="shared" si="26"/>
        <v>39387.097599999994</v>
      </c>
      <c r="F65" s="11">
        <f t="shared" si="27"/>
        <v>38699</v>
      </c>
      <c r="G65" s="78">
        <f t="shared" si="28"/>
        <v>1.7470127070241261</v>
      </c>
      <c r="H65" s="28">
        <f t="shared" si="29"/>
        <v>35386.795903438186</v>
      </c>
      <c r="I65" s="28">
        <f t="shared" si="30"/>
        <v>53.816273263763456</v>
      </c>
    </row>
    <row r="66" spans="1:9" x14ac:dyDescent="0.3">
      <c r="A66" s="16">
        <v>2019</v>
      </c>
      <c r="B66" s="14">
        <v>52178</v>
      </c>
      <c r="C66" s="14">
        <v>56732</v>
      </c>
      <c r="D66" s="28">
        <f t="shared" si="25"/>
        <v>53.291047665634714</v>
      </c>
      <c r="E66" s="11">
        <f t="shared" si="26"/>
        <v>57061.860799999995</v>
      </c>
      <c r="F66" s="11">
        <f t="shared" si="27"/>
        <v>56732</v>
      </c>
      <c r="G66" s="78">
        <f t="shared" si="28"/>
        <v>0.57807578542899307</v>
      </c>
      <c r="H66" s="28">
        <f t="shared" si="29"/>
        <v>51876.371616678865</v>
      </c>
      <c r="I66" s="28">
        <f t="shared" si="30"/>
        <v>53.291047665634714</v>
      </c>
    </row>
    <row r="67" spans="1:9" x14ac:dyDescent="0.3">
      <c r="A67" s="16">
        <v>2039</v>
      </c>
      <c r="B67" s="14">
        <v>31746</v>
      </c>
      <c r="C67" s="14">
        <v>34039</v>
      </c>
      <c r="D67" s="28">
        <f t="shared" si="25"/>
        <v>53.910643699222504</v>
      </c>
      <c r="E67" s="11">
        <f t="shared" si="26"/>
        <v>34717.425599999995</v>
      </c>
      <c r="F67" s="11">
        <f t="shared" si="27"/>
        <v>34039</v>
      </c>
      <c r="G67" s="78">
        <f t="shared" si="28"/>
        <v>1.9541356776177423</v>
      </c>
      <c r="H67" s="28">
        <f t="shared" si="29"/>
        <v>31125.640087783471</v>
      </c>
      <c r="I67" s="28">
        <f t="shared" si="30"/>
        <v>53.910643699222504</v>
      </c>
    </row>
    <row r="68" spans="1:9" x14ac:dyDescent="0.3">
      <c r="A68" s="16">
        <v>2023</v>
      </c>
      <c r="B68" s="14">
        <v>20503</v>
      </c>
      <c r="C68" s="14">
        <v>21968</v>
      </c>
      <c r="D68" s="28">
        <f t="shared" si="25"/>
        <v>53.943091527424876</v>
      </c>
      <c r="E68" s="11">
        <f t="shared" si="26"/>
        <v>22422.0808</v>
      </c>
      <c r="F68" s="11">
        <f t="shared" si="27"/>
        <v>21968</v>
      </c>
      <c r="G68" s="78">
        <f t="shared" si="28"/>
        <v>2.0251501368240525</v>
      </c>
      <c r="H68" s="28">
        <f t="shared" si="29"/>
        <v>20087.783467446967</v>
      </c>
      <c r="I68" s="28">
        <f t="shared" si="30"/>
        <v>53.943091527424876</v>
      </c>
    </row>
    <row r="69" spans="1:9" x14ac:dyDescent="0.3">
      <c r="A69" s="16" t="s">
        <v>564</v>
      </c>
      <c r="B69" s="14">
        <v>28441</v>
      </c>
      <c r="C69" s="14">
        <v>30546</v>
      </c>
      <c r="D69" s="28">
        <f t="shared" si="25"/>
        <v>53.836313117357726</v>
      </c>
      <c r="E69" s="11">
        <f t="shared" si="26"/>
        <v>31103.077599999997</v>
      </c>
      <c r="F69" s="11">
        <f t="shared" si="27"/>
        <v>30546</v>
      </c>
      <c r="G69" s="78">
        <f t="shared" si="28"/>
        <v>1.7910690612815756</v>
      </c>
      <c r="H69" s="28">
        <f t="shared" si="29"/>
        <v>27931.602048280911</v>
      </c>
      <c r="I69" s="28">
        <f t="shared" si="30"/>
        <v>53.836313117357726</v>
      </c>
    </row>
    <row r="70" spans="1:9" x14ac:dyDescent="0.3">
      <c r="A70" s="16" t="s">
        <v>563</v>
      </c>
      <c r="B70" s="14">
        <v>57352</v>
      </c>
      <c r="C70" s="14">
        <v>62105</v>
      </c>
      <c r="D70" s="28">
        <f t="shared" si="25"/>
        <v>53.470590541880867</v>
      </c>
      <c r="E70" s="11">
        <f t="shared" si="26"/>
        <v>62720.147199999992</v>
      </c>
      <c r="F70" s="11">
        <f t="shared" si="27"/>
        <v>62105</v>
      </c>
      <c r="G70" s="78">
        <f t="shared" si="28"/>
        <v>0.98078086143266319</v>
      </c>
      <c r="H70" s="28">
        <f t="shared" si="29"/>
        <v>56789.502560351139</v>
      </c>
      <c r="I70" s="28">
        <f t="shared" si="30"/>
        <v>53.470590541880867</v>
      </c>
    </row>
    <row r="71" spans="1:9" x14ac:dyDescent="0.3">
      <c r="A71" s="16">
        <v>2024</v>
      </c>
      <c r="B71" s="14">
        <v>16895</v>
      </c>
      <c r="C71" s="14">
        <v>18197</v>
      </c>
      <c r="D71" s="28">
        <f t="shared" si="25"/>
        <v>53.709698926634012</v>
      </c>
      <c r="E71" s="11">
        <f t="shared" si="26"/>
        <v>18476.371999999999</v>
      </c>
      <c r="F71" s="11">
        <f t="shared" si="27"/>
        <v>18197</v>
      </c>
      <c r="G71" s="78">
        <f t="shared" si="28"/>
        <v>1.5120500929511422</v>
      </c>
      <c r="H71" s="28">
        <f t="shared" si="29"/>
        <v>16639.539136795906</v>
      </c>
      <c r="I71" s="28">
        <f t="shared" si="30"/>
        <v>53.709698926634012</v>
      </c>
    </row>
    <row r="72" spans="1:9" x14ac:dyDescent="0.3">
      <c r="A72" s="16">
        <v>2025</v>
      </c>
      <c r="B72" s="14">
        <v>6991</v>
      </c>
      <c r="C72" s="14">
        <v>7531</v>
      </c>
      <c r="D72" s="28">
        <f t="shared" si="25"/>
        <v>53.702337191595397</v>
      </c>
      <c r="E72" s="11">
        <f t="shared" si="26"/>
        <v>7645.3575999999994</v>
      </c>
      <c r="F72" s="11">
        <f t="shared" si="27"/>
        <v>7531</v>
      </c>
      <c r="G72" s="78">
        <f t="shared" si="28"/>
        <v>1.4957783008083112</v>
      </c>
      <c r="H72" s="28">
        <f t="shared" si="29"/>
        <v>6886.4301389904904</v>
      </c>
      <c r="I72" s="28">
        <f t="shared" si="30"/>
        <v>53.702337191595397</v>
      </c>
    </row>
    <row r="73" spans="1:9" x14ac:dyDescent="0.3">
      <c r="A73" s="16">
        <v>2041</v>
      </c>
      <c r="B73" s="14">
        <v>50350</v>
      </c>
      <c r="C73" s="14">
        <v>54214</v>
      </c>
      <c r="D73" s="28">
        <f t="shared" si="25"/>
        <v>53.723002253741562</v>
      </c>
      <c r="E73" s="11">
        <f t="shared" si="26"/>
        <v>55062.759999999995</v>
      </c>
      <c r="F73" s="11">
        <f t="shared" si="27"/>
        <v>54214</v>
      </c>
      <c r="G73" s="78">
        <f t="shared" si="28"/>
        <v>1.5414410756017247</v>
      </c>
      <c r="H73" s="28">
        <f t="shared" si="29"/>
        <v>49573.884418434529</v>
      </c>
      <c r="I73" s="28">
        <f t="shared" si="30"/>
        <v>53.723002253741562</v>
      </c>
    </row>
    <row r="74" spans="1:9" x14ac:dyDescent="0.3">
      <c r="A74" s="16">
        <v>2035</v>
      </c>
      <c r="B74" s="14">
        <v>38006</v>
      </c>
      <c r="C74" s="14">
        <v>41523</v>
      </c>
      <c r="D74" s="28">
        <f t="shared" ref="D74:D84" si="31">I74</f>
        <v>53.078508996019004</v>
      </c>
      <c r="E74" s="11">
        <f t="shared" ref="E74:E84" si="32">B74 * 1.0936</f>
        <v>41563.361599999997</v>
      </c>
      <c r="F74" s="11">
        <f t="shared" ref="F74:F84" si="33">C74</f>
        <v>41523</v>
      </c>
      <c r="G74" s="78">
        <f t="shared" ref="G74:G84" si="34">100- (F74/E74 *100)</f>
        <v>9.7108603458096354E-2</v>
      </c>
      <c r="H74" s="28">
        <f t="shared" ref="H74:H84" si="35">F74/1.0936</f>
        <v>37969.092904169716</v>
      </c>
      <c r="I74" s="28">
        <f t="shared" ref="I74:I84" si="36">((B74*48)+(H74*10))/C74</f>
        <v>53.078508996019004</v>
      </c>
    </row>
    <row r="75" spans="1:9" x14ac:dyDescent="0.3">
      <c r="A75" s="16">
        <v>2040</v>
      </c>
      <c r="B75" s="14">
        <v>13976</v>
      </c>
      <c r="C75" s="14">
        <v>4368</v>
      </c>
      <c r="D75" s="28">
        <f t="shared" si="31"/>
        <v>162.72652877480968</v>
      </c>
      <c r="E75" s="11">
        <f t="shared" si="32"/>
        <v>15284.153599999998</v>
      </c>
      <c r="F75" s="11">
        <f t="shared" si="33"/>
        <v>4368</v>
      </c>
      <c r="G75" s="78">
        <f t="shared" si="34"/>
        <v>71.421381161728178</v>
      </c>
      <c r="H75" s="28">
        <f t="shared" si="35"/>
        <v>3994.1477688368695</v>
      </c>
      <c r="I75" s="28">
        <f t="shared" si="36"/>
        <v>162.72652877480968</v>
      </c>
    </row>
    <row r="76" spans="1:9" x14ac:dyDescent="0.3">
      <c r="A76" s="16">
        <v>2020</v>
      </c>
      <c r="B76" s="14">
        <v>22557</v>
      </c>
      <c r="C76" s="14">
        <v>1891</v>
      </c>
      <c r="D76" s="28">
        <f t="shared" si="31"/>
        <v>581.71735286346552</v>
      </c>
      <c r="E76" s="11">
        <f t="shared" si="32"/>
        <v>24668.335199999998</v>
      </c>
      <c r="F76" s="11">
        <f t="shared" si="33"/>
        <v>1891</v>
      </c>
      <c r="G76" s="78">
        <f t="shared" si="34"/>
        <v>92.334302316436819</v>
      </c>
      <c r="H76" s="28">
        <f t="shared" si="35"/>
        <v>1729.1514264813461</v>
      </c>
      <c r="I76" s="28">
        <f t="shared" si="36"/>
        <v>581.71735286346552</v>
      </c>
    </row>
    <row r="77" spans="1:9" x14ac:dyDescent="0.3">
      <c r="A77" s="16">
        <v>2034</v>
      </c>
      <c r="B77" s="14">
        <v>50630</v>
      </c>
      <c r="C77" s="14">
        <v>54174</v>
      </c>
      <c r="D77" s="28">
        <f t="shared" si="31"/>
        <v>54.004007083409931</v>
      </c>
      <c r="E77" s="11">
        <f t="shared" si="32"/>
        <v>55368.967999999993</v>
      </c>
      <c r="F77" s="11">
        <f t="shared" si="33"/>
        <v>54174</v>
      </c>
      <c r="G77" s="78">
        <f t="shared" si="34"/>
        <v>2.1581908479854519</v>
      </c>
      <c r="H77" s="28">
        <f t="shared" si="35"/>
        <v>49537.307973664967</v>
      </c>
      <c r="I77" s="28">
        <f t="shared" si="36"/>
        <v>54.004007083409931</v>
      </c>
    </row>
    <row r="78" spans="1:9" x14ac:dyDescent="0.3">
      <c r="A78" s="16">
        <v>2046</v>
      </c>
      <c r="B78" s="14">
        <v>100417</v>
      </c>
      <c r="C78" s="14">
        <v>4343</v>
      </c>
      <c r="D78" s="28">
        <f t="shared" si="31"/>
        <v>1118.9797087056318</v>
      </c>
      <c r="E78" s="11">
        <f t="shared" si="32"/>
        <v>109816.0312</v>
      </c>
      <c r="F78" s="11">
        <f t="shared" si="33"/>
        <v>4343</v>
      </c>
      <c r="G78" s="78">
        <f t="shared" si="34"/>
        <v>96.045204008428968</v>
      </c>
      <c r="H78" s="28">
        <f t="shared" si="35"/>
        <v>3971.2874908558892</v>
      </c>
      <c r="I78" s="28">
        <f t="shared" si="36"/>
        <v>1118.9797087056318</v>
      </c>
    </row>
    <row r="79" spans="1:9" x14ac:dyDescent="0.3">
      <c r="A79" s="16">
        <v>2033</v>
      </c>
      <c r="B79" s="14">
        <v>26970</v>
      </c>
      <c r="C79" s="14">
        <v>18078</v>
      </c>
      <c r="D79" s="28">
        <f t="shared" si="31"/>
        <v>80.753802529929445</v>
      </c>
      <c r="E79" s="11">
        <f t="shared" si="32"/>
        <v>29494.391999999996</v>
      </c>
      <c r="F79" s="11">
        <f t="shared" si="33"/>
        <v>18078</v>
      </c>
      <c r="G79" s="78">
        <f t="shared" si="34"/>
        <v>38.706992163120354</v>
      </c>
      <c r="H79" s="28">
        <f t="shared" si="35"/>
        <v>16530.724213606438</v>
      </c>
      <c r="I79" s="28">
        <f t="shared" si="36"/>
        <v>80.753802529929445</v>
      </c>
    </row>
    <row r="80" spans="1:9" x14ac:dyDescent="0.3">
      <c r="A80" s="16" t="s">
        <v>28</v>
      </c>
      <c r="B80" s="30">
        <v>100417</v>
      </c>
      <c r="C80" s="30">
        <v>2207424.8824</v>
      </c>
      <c r="D80" s="28">
        <f t="shared" si="31"/>
        <v>11.327658201592925</v>
      </c>
      <c r="E80" s="11">
        <f t="shared" si="32"/>
        <v>109816.0312</v>
      </c>
      <c r="F80" s="11">
        <f t="shared" si="33"/>
        <v>2207424.8824</v>
      </c>
      <c r="G80" s="78">
        <f t="shared" si="34"/>
        <v>-1910.1116915979023</v>
      </c>
      <c r="H80" s="28">
        <f t="shared" si="35"/>
        <v>2018493.8573518656</v>
      </c>
      <c r="I80" s="28">
        <f t="shared" si="36"/>
        <v>11.327658201592925</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14000</v>
      </c>
    </row>
    <row r="25" spans="2:10" x14ac:dyDescent="0.3">
      <c r="B25" s="1">
        <v>46030</v>
      </c>
      <c r="C25" t="s">
        <v>113</v>
      </c>
      <c r="D25">
        <f>SUMIFS(Table14[Debit], Table14[Date], Table5[[#This Row],[Date]], Table14[Party], "Rashan")</f>
        <v>0</v>
      </c>
      <c r="H25" s="1">
        <v>46030</v>
      </c>
      <c r="J25">
        <f>SUMIFS(Table14[Debit], Table14[Date], Table15[[#This Row],[Date]], Table14[Party], "Parts")</f>
        <v>256380</v>
      </c>
    </row>
    <row r="26" spans="2:10" x14ac:dyDescent="0.3">
      <c r="B26" s="1">
        <v>46031</v>
      </c>
      <c r="C26" t="s">
        <v>113</v>
      </c>
      <c r="D26">
        <f>SUMIFS(Table14[Debit], Table14[Date], Table5[[#This Row],[Date]], Table14[Party], "Rashan")</f>
        <v>0</v>
      </c>
      <c r="H26" s="1">
        <v>46031</v>
      </c>
      <c r="J26">
        <f>SUMIFS(Table14[Debit], Table14[Date], Table15[[#This Row],[Date]], Table14[Party], "Parts")</f>
        <v>6850</v>
      </c>
    </row>
    <row r="27" spans="2:10" x14ac:dyDescent="0.3">
      <c r="B27" s="1">
        <v>46032</v>
      </c>
      <c r="C27" t="s">
        <v>113</v>
      </c>
      <c r="D27">
        <f>SUMIFS(Table14[Debit], Table14[Date], Table5[[#This Row],[Date]], Table14[Party], "Rashan")</f>
        <v>16270</v>
      </c>
      <c r="H27" s="1">
        <v>46032</v>
      </c>
      <c r="J27">
        <f>SUMIFS(Table14[Debit], Table14[Date], Table15[[#This Row],[Date]], Table14[Party], "Parts")</f>
        <v>15513</v>
      </c>
    </row>
    <row r="28" spans="2:10" x14ac:dyDescent="0.3">
      <c r="B28" s="1">
        <v>46033</v>
      </c>
      <c r="C28" t="s">
        <v>113</v>
      </c>
      <c r="D28">
        <f>SUMIFS(Table14[Debit], Table14[Date], Table5[[#This Row],[Date]], Table14[Party], "Rashan")</f>
        <v>20000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15513</v>
      </c>
    </row>
    <row r="30" spans="2:10" x14ac:dyDescent="0.3">
      <c r="B30" s="1">
        <v>46035</v>
      </c>
      <c r="C30" t="s">
        <v>113</v>
      </c>
      <c r="D30">
        <f>SUMIFS(Table14[Debit], Table14[Date], Table5[[#This Row],[Date]], Table14[Party], "Rashan")</f>
        <v>0</v>
      </c>
      <c r="H30" s="1">
        <v>46035</v>
      </c>
      <c r="J30">
        <f>SUMIFS(Table14[Debit], Table14[Date], Table15[[#This Row],[Date]], Table14[Party], "Parts")</f>
        <v>15513</v>
      </c>
    </row>
    <row r="31" spans="2:10" x14ac:dyDescent="0.3">
      <c r="B31" s="1">
        <v>46036</v>
      </c>
      <c r="C31" t="s">
        <v>113</v>
      </c>
      <c r="D31">
        <f>SUMIFS(Table14[Debit], Table14[Date], Table5[[#This Row],[Date]], Table14[Party], "Rashan")</f>
        <v>0</v>
      </c>
      <c r="H31" s="1">
        <v>46036</v>
      </c>
      <c r="J31">
        <f>SUMIFS(Table14[Debit], Table14[Date], Table15[[#This Row],[Date]], Table14[Party], "Parts")</f>
        <v>24110</v>
      </c>
    </row>
    <row r="32" spans="2:10" x14ac:dyDescent="0.3">
      <c r="B32" s="1">
        <v>46037</v>
      </c>
      <c r="C32" t="s">
        <v>113</v>
      </c>
      <c r="D32">
        <f>SUMIFS(Table14[Debit], Table14[Date], Table5[[#This Row],[Date]], Table14[Party], "Rashan")</f>
        <v>0</v>
      </c>
      <c r="H32" s="1">
        <v>46037</v>
      </c>
      <c r="J32">
        <f>SUMIFS(Table14[Debit], Table14[Date], Table15[[#This Row],[Date]], Table14[Party], "Parts")</f>
        <v>12000</v>
      </c>
    </row>
    <row r="33" spans="2:10" x14ac:dyDescent="0.3">
      <c r="B33" s="1">
        <v>46038</v>
      </c>
      <c r="C33" t="s">
        <v>113</v>
      </c>
      <c r="D33">
        <f>SUMIFS(Table14[Debit], Table14[Date], Table5[[#This Row],[Date]], Table14[Party], "Rashan")</f>
        <v>0</v>
      </c>
      <c r="H33" s="1">
        <v>46038</v>
      </c>
      <c r="J33">
        <f>SUMIFS(Table14[Debit], Table14[Date], Table15[[#This Row],[Date]], Table14[Party], "Parts")</f>
        <v>40976</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144000</v>
      </c>
    </row>
    <row r="37" spans="2:10" x14ac:dyDescent="0.3">
      <c r="B37" s="1">
        <v>46042</v>
      </c>
      <c r="D37">
        <f>SUMIFS(Table14[Debit], Table14[Date], Table5[[#This Row],[Date]], Table14[Party], "Rashan")</f>
        <v>0</v>
      </c>
      <c r="H37" s="1">
        <v>46042</v>
      </c>
      <c r="J37">
        <f>SUMIFS(Table14[Debit], Table14[Date], Table15[[#This Row],[Date]], Table14[Party], "Parts")</f>
        <v>16480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157680</v>
      </c>
      <c r="H42" s="1">
        <v>46047</v>
      </c>
      <c r="J42">
        <f>SUMIFS(Table14[Debit], Table14[Date], Table15[[#This Row],[Date]], Table14[Party], "Parts")</f>
        <v>0</v>
      </c>
    </row>
    <row r="43" spans="2:10" x14ac:dyDescent="0.3">
      <c r="H43" s="1"/>
      <c r="J43">
        <f>SUM(Table15[Amount])</f>
        <v>700103</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topLeftCell="A4" zoomScale="67" workbookViewId="0">
      <selection activeCell="L18" sqref="L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11324896.782735921</v>
      </c>
    </row>
    <row r="3" spans="1:3" ht="21" x14ac:dyDescent="0.4">
      <c r="A3" s="102" t="str">
        <f>Billing!Q6</f>
        <v>Ejaz Sahab</v>
      </c>
      <c r="B3" s="105">
        <f>Billing!AD6</f>
        <v>5195319</v>
      </c>
      <c r="C3" s="103">
        <f>Billing!AE6</f>
        <v>0.12948061525821686</v>
      </c>
    </row>
    <row r="4" spans="1:3" ht="21" x14ac:dyDescent="0.4">
      <c r="A4" s="102" t="str">
        <f>Billing!Q7</f>
        <v>Arshad</v>
      </c>
      <c r="B4" s="105">
        <f>Billing!AD7</f>
        <v>7835501</v>
      </c>
      <c r="C4" s="104">
        <f>Billing!AE7</f>
        <v>60684.076810535043</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469346.44696415402</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2125402.757863936</v>
      </c>
    </row>
    <row r="10" spans="1:3" ht="21" x14ac:dyDescent="0.4">
      <c r="A10" s="102" t="str">
        <f>Billing!Q13</f>
        <v>Ubaidullah</v>
      </c>
      <c r="B10" s="105">
        <f>Billing!AD13</f>
        <v>1490190</v>
      </c>
      <c r="C10" s="103">
        <f>Billing!AE13</f>
        <v>59551.221653255168</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10021.073152889963</v>
      </c>
    </row>
    <row r="13" spans="1:3" ht="21" x14ac:dyDescent="0.4">
      <c r="A13" s="102" t="str">
        <f>Billing!Q16</f>
        <v>Badshah Fabrics</v>
      </c>
      <c r="B13" s="105">
        <f>Billing!AD16</f>
        <v>6545761</v>
      </c>
      <c r="C13" s="103">
        <f>Billing!AE16</f>
        <v>91938.341623995453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353867.57863935642</v>
      </c>
    </row>
    <row r="21" spans="1:3" ht="21" x14ac:dyDescent="0.4">
      <c r="A21" s="102" t="str">
        <f>Billing!Q24</f>
        <v>Salman Zaffar</v>
      </c>
      <c r="B21" s="105">
        <f>Billing!AD24</f>
        <v>2446025</v>
      </c>
      <c r="C21" s="103">
        <f>Billing!AE24</f>
        <v>195773.64667154383</v>
      </c>
    </row>
    <row r="22" spans="1:3" ht="21" x14ac:dyDescent="0.4">
      <c r="A22" s="102" t="str">
        <f>Billing!Q25</f>
        <v>Shahid Qasayi</v>
      </c>
      <c r="B22" s="105">
        <f>Billing!AD25</f>
        <v>2886197</v>
      </c>
      <c r="C22" s="103">
        <f>Billing!AE25</f>
        <v>50362.985369422007</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Gauhar Kashif</v>
      </c>
      <c r="B28" s="105">
        <f>Billing!AD31</f>
        <v>485800</v>
      </c>
      <c r="C28" s="103">
        <f>Billing!AE31</f>
        <v>18269.129480614502</v>
      </c>
    </row>
  </sheetData>
  <conditionalFormatting sqref="C2:C28">
    <cfRule type="cellIs" dxfId="2" priority="1" operator="lessThan">
      <formula>10</formula>
    </cfRule>
  </conditionalFormatting>
  <conditionalFormatting sqref="C2:C29">
    <cfRule type="cellIs" dxfId="1"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2026-01-25T22:50:24Z</dcterms:modified>
  <cp:category/>
  <cp:contentStatus/>
</cp:coreProperties>
</file>