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797" documentId="13_ncr:1_{89B07303-4F83-4416-81AD-F450F7417961}" xr6:coauthVersionLast="47" xr6:coauthVersionMax="47" xr10:uidLastSave="{EF1C481D-7FE2-4826-990B-1264377039DE}"/>
  <bookViews>
    <workbookView xWindow="-108" yWindow="-108" windowWidth="23256" windowHeight="12456" tabRatio="597" firstSheet="5" activeTab="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19"/>
    <pivotCache cacheId="1" r:id="rId20"/>
    <pivotCache cacheId="2" r:id="rId21"/>
    <pivotCache cacheId="3" r:id="rId22"/>
    <pivotCache cacheId="4" r:id="rId23"/>
    <pivotCache cacheId="5"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7" i="6" l="1"/>
  <c r="I161" i="1"/>
  <c r="J161" i="1" a="1"/>
  <c r="J161" i="1" s="1"/>
  <c r="I162" i="1"/>
  <c r="J162" i="1" s="1" a="1"/>
  <c r="J162" i="1" s="1"/>
  <c r="I163" i="1"/>
  <c r="J163" i="1" s="1" a="1"/>
  <c r="J163" i="1" s="1"/>
  <c r="H164" i="1"/>
  <c r="H165" i="1"/>
  <c r="H106" i="6"/>
  <c r="I106" i="6" s="1"/>
  <c r="H103" i="6"/>
  <c r="I103" i="6" s="1"/>
  <c r="H104" i="6"/>
  <c r="I104" i="6" s="1"/>
  <c r="H105" i="6"/>
  <c r="I105" i="6" s="1"/>
  <c r="G103" i="6"/>
  <c r="G104" i="6"/>
  <c r="G105" i="6"/>
  <c r="G106" i="6"/>
  <c r="G107" i="6"/>
  <c r="G108" i="6"/>
  <c r="G109" i="6"/>
  <c r="G110" i="6"/>
  <c r="I107" i="6"/>
  <c r="I108" i="6"/>
  <c r="I109" i="6"/>
  <c r="I110" i="6"/>
  <c r="H102" i="6"/>
  <c r="I102" i="6" s="1"/>
  <c r="I159" i="1"/>
  <c r="I160" i="1"/>
  <c r="J160" i="1" a="1"/>
  <c r="J160" i="1" s="1"/>
  <c r="C420" i="17"/>
  <c r="C9" i="8" s="1"/>
  <c r="G19" i="7"/>
  <c r="H19" i="7" s="1"/>
  <c r="G20" i="7"/>
  <c r="H20" i="7" s="1"/>
  <c r="G21" i="7"/>
  <c r="H21" i="7" s="1"/>
  <c r="G22" i="7"/>
  <c r="H22" i="7" s="1"/>
  <c r="G23" i="7"/>
  <c r="H23" i="7" s="1"/>
  <c r="G5" i="15"/>
  <c r="G6" i="15"/>
  <c r="G7" i="15"/>
  <c r="G8" i="15"/>
  <c r="G9" i="15"/>
  <c r="H9" i="15" s="1"/>
  <c r="G10" i="15"/>
  <c r="H10" i="15" s="1"/>
  <c r="G11" i="15"/>
  <c r="H11" i="15" s="1"/>
  <c r="G12" i="15"/>
  <c r="G13" i="15"/>
  <c r="H13" i="15" s="1"/>
  <c r="G99" i="6"/>
  <c r="G100" i="6"/>
  <c r="G101" i="6"/>
  <c r="G102" i="6"/>
  <c r="I99" i="6"/>
  <c r="I100" i="6"/>
  <c r="I101" i="6"/>
  <c r="H98" i="6"/>
  <c r="I98" i="6" s="1"/>
  <c r="H97" i="6"/>
  <c r="I97" i="6" s="1"/>
  <c r="H94" i="6"/>
  <c r="I94" i="6" s="1"/>
  <c r="H95" i="6"/>
  <c r="I95" i="6" s="1"/>
  <c r="H96" i="6"/>
  <c r="I96" i="6" s="1"/>
  <c r="H93" i="6"/>
  <c r="I93" i="6" s="1"/>
  <c r="J144" i="1" a="1"/>
  <c r="J144" i="1" s="1"/>
  <c r="J155" i="1" a="1"/>
  <c r="J155" i="1" s="1"/>
  <c r="I143" i="1"/>
  <c r="J143" i="1" s="1" a="1"/>
  <c r="J143" i="1" s="1"/>
  <c r="I144" i="1"/>
  <c r="I145" i="1"/>
  <c r="J145" i="1" s="1" a="1"/>
  <c r="J145" i="1" s="1"/>
  <c r="I146" i="1"/>
  <c r="J146" i="1" s="1" a="1"/>
  <c r="J146" i="1" s="1"/>
  <c r="I147" i="1"/>
  <c r="J147" i="1" s="1" a="1"/>
  <c r="J147" i="1" s="1"/>
  <c r="I148" i="1"/>
  <c r="J148" i="1" s="1" a="1"/>
  <c r="J148" i="1" s="1"/>
  <c r="I149" i="1"/>
  <c r="J149" i="1" s="1" a="1"/>
  <c r="J149" i="1" s="1"/>
  <c r="I150" i="1"/>
  <c r="J150" i="1" s="1" a="1"/>
  <c r="J150" i="1" s="1"/>
  <c r="I151" i="1"/>
  <c r="J151" i="1" s="1" a="1"/>
  <c r="J151" i="1" s="1"/>
  <c r="I152" i="1"/>
  <c r="J152" i="1" s="1" a="1"/>
  <c r="J152" i="1" s="1"/>
  <c r="I154" i="1"/>
  <c r="J154" i="1" s="1" a="1"/>
  <c r="J154" i="1" s="1"/>
  <c r="I155" i="1"/>
  <c r="I156" i="1"/>
  <c r="J156" i="1" s="1" a="1"/>
  <c r="J156" i="1" s="1"/>
  <c r="I157" i="1"/>
  <c r="J157" i="1" s="1" a="1"/>
  <c r="J157" i="1" s="1"/>
  <c r="I158" i="1"/>
  <c r="J158" i="1" s="1" a="1"/>
  <c r="J158" i="1" s="1"/>
  <c r="G153" i="1"/>
  <c r="I153" i="1" s="1"/>
  <c r="J153" i="1" s="1" a="1"/>
  <c r="J153" i="1" s="1"/>
  <c r="I135" i="1"/>
  <c r="J135" i="1" s="1" a="1"/>
  <c r="J135" i="1" s="1"/>
  <c r="I136" i="1"/>
  <c r="J136" i="1" s="1" a="1"/>
  <c r="J136" i="1" s="1"/>
  <c r="I137" i="1"/>
  <c r="I138" i="1"/>
  <c r="J138" i="1" s="1" a="1"/>
  <c r="J138" i="1" s="1"/>
  <c r="I139" i="1"/>
  <c r="J139" i="1" s="1" a="1"/>
  <c r="J139" i="1" s="1"/>
  <c r="I140" i="1"/>
  <c r="J140" i="1" s="1" a="1"/>
  <c r="J140" i="1" s="1"/>
  <c r="I141" i="1"/>
  <c r="J141" i="1" s="1" a="1"/>
  <c r="J141" i="1" s="1"/>
  <c r="I142" i="1"/>
  <c r="J142" i="1" s="1" a="1"/>
  <c r="J142" i="1" s="1"/>
  <c r="G91" i="6"/>
  <c r="G92" i="6"/>
  <c r="G93" i="6"/>
  <c r="G94" i="6"/>
  <c r="G95" i="6"/>
  <c r="G96" i="6"/>
  <c r="G97" i="6"/>
  <c r="G98" i="6"/>
  <c r="I91" i="6"/>
  <c r="I92" i="6"/>
  <c r="G17" i="7"/>
  <c r="H17" i="7" s="1"/>
  <c r="G18" i="7"/>
  <c r="H18" i="7" s="1"/>
  <c r="H90" i="6"/>
  <c r="I90" i="6" s="1"/>
  <c r="H89" i="6"/>
  <c r="I89" i="6" s="1"/>
  <c r="H88" i="6"/>
  <c r="I88" i="6" s="1"/>
  <c r="H86" i="6"/>
  <c r="I86" i="6" s="1"/>
  <c r="H85" i="6"/>
  <c r="I85" i="6" s="1"/>
  <c r="G16" i="7"/>
  <c r="H16" i="7" s="1"/>
  <c r="H51" i="6"/>
  <c r="I51" i="6" s="1"/>
  <c r="I130" i="1"/>
  <c r="J130" i="1" s="1" a="1"/>
  <c r="J130" i="1" s="1"/>
  <c r="I131" i="1"/>
  <c r="J131" i="1" s="1" a="1"/>
  <c r="J131" i="1" s="1"/>
  <c r="I132" i="1"/>
  <c r="J132" i="1" s="1" a="1"/>
  <c r="J132" i="1" s="1"/>
  <c r="I133" i="1"/>
  <c r="J133" i="1" s="1" a="1"/>
  <c r="J133" i="1" s="1"/>
  <c r="I134" i="1"/>
  <c r="J134" i="1" s="1" a="1"/>
  <c r="J134" i="1" s="1"/>
  <c r="F112" i="1"/>
  <c r="F116" i="1"/>
  <c r="F124" i="1"/>
  <c r="H84" i="6"/>
  <c r="I84" i="6" s="1"/>
  <c r="H83" i="6"/>
  <c r="I83" i="6" s="1"/>
  <c r="G83" i="6"/>
  <c r="G84" i="6"/>
  <c r="G85" i="6"/>
  <c r="G86" i="6"/>
  <c r="G87" i="6"/>
  <c r="G88" i="6"/>
  <c r="G89" i="6"/>
  <c r="G90" i="6"/>
  <c r="I87" i="6"/>
  <c r="G101" i="1"/>
  <c r="I101" i="1" s="1"/>
  <c r="J101" i="1" s="1" a="1"/>
  <c r="J101" i="1" s="1"/>
  <c r="G100" i="1"/>
  <c r="I100" i="1" s="1"/>
  <c r="J100" i="1" s="1" a="1"/>
  <c r="J100" i="1" s="1"/>
  <c r="I69" i="1"/>
  <c r="J69" i="1" s="1" a="1"/>
  <c r="J69" i="1" s="1"/>
  <c r="H44" i="6"/>
  <c r="I44" i="6" s="1"/>
  <c r="I118" i="1"/>
  <c r="I119" i="1"/>
  <c r="J119" i="1" s="1" a="1"/>
  <c r="J119" i="1" s="1"/>
  <c r="I120" i="1"/>
  <c r="J120" i="1" s="1" a="1"/>
  <c r="J120" i="1" s="1"/>
  <c r="I121" i="1"/>
  <c r="J121" i="1" s="1" a="1"/>
  <c r="J121" i="1" s="1"/>
  <c r="I122" i="1"/>
  <c r="J122" i="1" s="1" a="1"/>
  <c r="J122" i="1" s="1"/>
  <c r="I123" i="1"/>
  <c r="I124" i="1"/>
  <c r="J124" i="1" s="1" a="1"/>
  <c r="J124" i="1" s="1"/>
  <c r="I125" i="1"/>
  <c r="J125" i="1" s="1" a="1"/>
  <c r="J125" i="1" s="1"/>
  <c r="I126" i="1"/>
  <c r="J126" i="1" s="1" a="1"/>
  <c r="J126" i="1" s="1"/>
  <c r="I127" i="1"/>
  <c r="J127" i="1" s="1" a="1"/>
  <c r="J127" i="1" s="1"/>
  <c r="I128" i="1"/>
  <c r="J128" i="1" s="1" a="1"/>
  <c r="J128" i="1" s="1"/>
  <c r="I129" i="1"/>
  <c r="J129" i="1" s="1" a="1"/>
  <c r="J129" i="1" s="1"/>
  <c r="H72" i="6"/>
  <c r="I72" i="6" s="1"/>
  <c r="G72" i="6"/>
  <c r="H82" i="6"/>
  <c r="I82" i="6" s="1"/>
  <c r="H80" i="6"/>
  <c r="I80" i="6" s="1"/>
  <c r="H78" i="6"/>
  <c r="I78" i="6" s="1"/>
  <c r="H76" i="6"/>
  <c r="I76" i="6" s="1"/>
  <c r="H75" i="6"/>
  <c r="I75" i="6" s="1"/>
  <c r="H73" i="6"/>
  <c r="I73" i="6" s="1"/>
  <c r="G79" i="6"/>
  <c r="G80" i="6"/>
  <c r="I79" i="6"/>
  <c r="G48" i="6"/>
  <c r="G49" i="6"/>
  <c r="I48" i="6"/>
  <c r="I49" i="6"/>
  <c r="G50" i="6"/>
  <c r="I50" i="6"/>
  <c r="G75" i="6"/>
  <c r="G76" i="6"/>
  <c r="G77" i="6"/>
  <c r="I77" i="6"/>
  <c r="H71" i="6"/>
  <c r="I71" i="6" s="1"/>
  <c r="G71" i="6"/>
  <c r="G73" i="6"/>
  <c r="G74" i="6"/>
  <c r="I74" i="6"/>
  <c r="H70" i="6"/>
  <c r="I70" i="6" s="1"/>
  <c r="H69" i="6"/>
  <c r="I69" i="6" s="1"/>
  <c r="H67" i="6"/>
  <c r="I67" i="6" s="1"/>
  <c r="H65" i="6"/>
  <c r="I65" i="6" s="1"/>
  <c r="H63" i="6"/>
  <c r="I63" i="6" s="1"/>
  <c r="G68" i="6"/>
  <c r="G69" i="6"/>
  <c r="I68" i="6"/>
  <c r="G70" i="6"/>
  <c r="G78" i="6"/>
  <c r="G66" i="6"/>
  <c r="G67" i="6"/>
  <c r="I66" i="6"/>
  <c r="G13" i="7"/>
  <c r="H13" i="7" s="1"/>
  <c r="G14" i="7"/>
  <c r="H14" i="7" s="1"/>
  <c r="G15" i="7"/>
  <c r="H15" i="7" s="1"/>
  <c r="H81" i="6"/>
  <c r="I81" i="6" s="1"/>
  <c r="G63" i="6"/>
  <c r="G64" i="6"/>
  <c r="G65" i="6"/>
  <c r="G81" i="6"/>
  <c r="G82" i="6"/>
  <c r="I64" i="6"/>
  <c r="I114" i="1"/>
  <c r="J114" i="1" s="1" a="1"/>
  <c r="J114" i="1" s="1"/>
  <c r="I115" i="1"/>
  <c r="J115" i="1" s="1" a="1"/>
  <c r="J115" i="1" s="1"/>
  <c r="I116" i="1"/>
  <c r="J116" i="1" s="1" a="1"/>
  <c r="J116" i="1" s="1"/>
  <c r="I117" i="1"/>
  <c r="J117" i="1" s="1" a="1"/>
  <c r="J117" i="1" s="1"/>
  <c r="F115" i="1"/>
  <c r="G12" i="7"/>
  <c r="H12" i="7" s="1"/>
  <c r="H62" i="6"/>
  <c r="I62" i="6" s="1"/>
  <c r="G62" i="6"/>
  <c r="H59" i="6"/>
  <c r="I59" i="6" s="1"/>
  <c r="H60" i="6"/>
  <c r="I60" i="6" s="1"/>
  <c r="H61" i="6"/>
  <c r="I61" i="6" s="1"/>
  <c r="H58" i="6"/>
  <c r="I58" i="6" s="1"/>
  <c r="G61" i="6"/>
  <c r="G60" i="6"/>
  <c r="G59" i="6"/>
  <c r="G58" i="6"/>
  <c r="G57" i="6"/>
  <c r="I57" i="6"/>
  <c r="G56" i="6"/>
  <c r="I56" i="6"/>
  <c r="I112" i="1"/>
  <c r="J112" i="1" s="1" a="1"/>
  <c r="J112" i="1" s="1"/>
  <c r="I113" i="1"/>
  <c r="J113" i="1" s="1" a="1"/>
  <c r="J113" i="1" s="1"/>
  <c r="I111" i="1"/>
  <c r="J111" i="1" s="1" a="1"/>
  <c r="J111" i="1" s="1"/>
  <c r="I103" i="1"/>
  <c r="J103" i="1" s="1" a="1"/>
  <c r="J103" i="1" s="1"/>
  <c r="I104" i="1"/>
  <c r="J104" i="1" s="1" a="1"/>
  <c r="J104" i="1" s="1"/>
  <c r="I105" i="1"/>
  <c r="J105" i="1" s="1" a="1"/>
  <c r="J105" i="1" s="1"/>
  <c r="I106" i="1"/>
  <c r="J106" i="1" s="1" a="1"/>
  <c r="J106" i="1" s="1"/>
  <c r="I107" i="1"/>
  <c r="J107" i="1" s="1" a="1"/>
  <c r="J107" i="1" s="1"/>
  <c r="I108" i="1"/>
  <c r="J108" i="1" s="1" a="1"/>
  <c r="J108" i="1" s="1"/>
  <c r="I109" i="1"/>
  <c r="J109" i="1" s="1" a="1"/>
  <c r="J109" i="1" s="1"/>
  <c r="I110" i="1"/>
  <c r="J110" i="1" s="1" a="1"/>
  <c r="J110" i="1" s="1"/>
  <c r="F110" i="1"/>
  <c r="C190" i="17"/>
  <c r="O112" i="9"/>
  <c r="AD33" i="9"/>
  <c r="B21" i="21"/>
  <c r="D3" i="17"/>
  <c r="D2" i="17"/>
  <c r="B4" i="21"/>
  <c r="H53" i="6"/>
  <c r="I53" i="6" s="1"/>
  <c r="H52" i="6"/>
  <c r="I52" i="6" s="1"/>
  <c r="G54" i="6"/>
  <c r="G55" i="6"/>
  <c r="I54" i="6"/>
  <c r="I55" i="6"/>
  <c r="G51" i="6"/>
  <c r="G52" i="6"/>
  <c r="G53" i="6"/>
  <c r="I94" i="1"/>
  <c r="J94" i="1" s="1" a="1"/>
  <c r="J94" i="1" s="1"/>
  <c r="I95" i="1"/>
  <c r="J95" i="1" s="1" a="1"/>
  <c r="J95" i="1" s="1"/>
  <c r="I99" i="1"/>
  <c r="J99" i="1" s="1" a="1"/>
  <c r="J99" i="1" s="1"/>
  <c r="I102" i="1"/>
  <c r="J102" i="1" s="1" a="1"/>
  <c r="J102" i="1" s="1"/>
  <c r="G98" i="1"/>
  <c r="I98" i="1" s="1"/>
  <c r="J98" i="1" s="1" a="1"/>
  <c r="J98" i="1" s="1"/>
  <c r="G97" i="1"/>
  <c r="I97" i="1" s="1"/>
  <c r="J97" i="1" s="1" a="1"/>
  <c r="J97" i="1" s="1"/>
  <c r="G93" i="1"/>
  <c r="I93" i="1" s="1"/>
  <c r="J93" i="1" s="1" a="1"/>
  <c r="J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s="1" a="1"/>
  <c r="J79" i="1" s="1"/>
  <c r="I80" i="1"/>
  <c r="J80" i="1" s="1" a="1"/>
  <c r="J80" i="1" s="1"/>
  <c r="I81" i="1"/>
  <c r="J81" i="1" s="1" a="1"/>
  <c r="J81" i="1" s="1"/>
  <c r="I82" i="1"/>
  <c r="J82" i="1" s="1" a="1"/>
  <c r="J82" i="1" s="1"/>
  <c r="I83" i="1"/>
  <c r="J83" i="1" s="1" a="1"/>
  <c r="J83" i="1" s="1"/>
  <c r="I84" i="1"/>
  <c r="J84" i="1" s="1" a="1"/>
  <c r="J84" i="1" s="1"/>
  <c r="I85" i="1"/>
  <c r="J85" i="1" s="1" a="1"/>
  <c r="J85" i="1" s="1"/>
  <c r="I86" i="1"/>
  <c r="J86" i="1" s="1" a="1"/>
  <c r="J86" i="1" s="1"/>
  <c r="I87" i="1"/>
  <c r="J87" i="1" s="1" a="1"/>
  <c r="J87" i="1" s="1"/>
  <c r="I88" i="1"/>
  <c r="I89" i="1"/>
  <c r="J89" i="1" s="1" a="1"/>
  <c r="J89" i="1" s="1"/>
  <c r="I90" i="1"/>
  <c r="J90" i="1" s="1" a="1"/>
  <c r="J90" i="1" s="1"/>
  <c r="I91" i="1"/>
  <c r="J91" i="1" a="1"/>
  <c r="J91" i="1" s="1"/>
  <c r="I92" i="1"/>
  <c r="J92" i="1" s="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70" i="1"/>
  <c r="J70" i="1" s="1" a="1"/>
  <c r="J70" i="1" s="1"/>
  <c r="I71" i="1"/>
  <c r="J71" i="1" s="1" a="1"/>
  <c r="J71" i="1" s="1"/>
  <c r="I72" i="1"/>
  <c r="J72" i="1" s="1" a="1"/>
  <c r="J72" i="1" s="1"/>
  <c r="I73" i="1"/>
  <c r="J73" i="1" s="1" a="1"/>
  <c r="J73" i="1" s="1"/>
  <c r="I74" i="1"/>
  <c r="J74" i="1" s="1" a="1"/>
  <c r="J74" i="1" s="1"/>
  <c r="I75" i="1"/>
  <c r="J75" i="1" s="1" a="1"/>
  <c r="J75" i="1" s="1"/>
  <c r="I76" i="1"/>
  <c r="J76" i="1" s="1" a="1"/>
  <c r="J76" i="1" s="1"/>
  <c r="C106" i="17"/>
  <c r="C7" i="8" s="1"/>
  <c r="C103" i="17"/>
  <c r="H31" i="6"/>
  <c r="I31" i="6" s="1"/>
  <c r="G31" i="6"/>
  <c r="G22" i="6"/>
  <c r="I22" i="6"/>
  <c r="G26" i="6"/>
  <c r="I26" i="6"/>
  <c r="G28" i="6"/>
  <c r="G29" i="6"/>
  <c r="G30" i="6"/>
  <c r="I28" i="6"/>
  <c r="I29" i="6"/>
  <c r="I30" i="6"/>
  <c r="C74" i="17"/>
  <c r="H27" i="6"/>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C63" i="17"/>
  <c r="I63" i="1"/>
  <c r="J63" i="1" s="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s="1" a="1"/>
  <c r="J62" i="1" s="1"/>
  <c r="I60" i="1"/>
  <c r="J60" i="1" s="1" a="1"/>
  <c r="J60" i="1" s="1"/>
  <c r="H10" i="6"/>
  <c r="I10" i="6" s="1"/>
  <c r="C112" i="9"/>
  <c r="D112" i="9"/>
  <c r="E112" i="9"/>
  <c r="F112" i="9"/>
  <c r="G112" i="9"/>
  <c r="V33" i="9" a="1"/>
  <c r="V33" i="9" s="1"/>
  <c r="H112" i="9"/>
  <c r="W33" i="9" a="1"/>
  <c r="W33" i="9" s="1"/>
  <c r="I112" i="9"/>
  <c r="X33" i="9" a="1"/>
  <c r="X33" i="9" s="1"/>
  <c r="J112" i="9"/>
  <c r="K112" i="9"/>
  <c r="Z33" i="9" a="1"/>
  <c r="Z33" i="9" s="1"/>
  <c r="L112" i="9"/>
  <c r="AA33" i="9" a="1"/>
  <c r="AA33" i="9" s="1"/>
  <c r="M112" i="9"/>
  <c r="AB33" i="9" a="1"/>
  <c r="AB33" i="9" s="1"/>
  <c r="C113" i="9"/>
  <c r="D113" i="9"/>
  <c r="S34" i="9" a="1"/>
  <c r="S34" i="9" s="1"/>
  <c r="E113" i="9"/>
  <c r="F113" i="9"/>
  <c r="U34" i="9" a="1"/>
  <c r="U34" i="9" s="1"/>
  <c r="G113" i="9"/>
  <c r="V34" i="9" a="1"/>
  <c r="V34" i="9" s="1"/>
  <c r="H113" i="9"/>
  <c r="I113" i="9"/>
  <c r="X34" i="9" a="1"/>
  <c r="X34" i="9" s="1"/>
  <c r="J113" i="9"/>
  <c r="Y34" i="9" a="1"/>
  <c r="Y34" i="9" s="1"/>
  <c r="K113" i="9"/>
  <c r="Z34" i="9" a="1"/>
  <c r="Z34" i="9" s="1"/>
  <c r="L113" i="9"/>
  <c r="AA34" i="9" a="1"/>
  <c r="AA34" i="9" s="1"/>
  <c r="M113" i="9"/>
  <c r="AB34" i="9" a="1"/>
  <c r="AB34" i="9" s="1"/>
  <c r="C114" i="9"/>
  <c r="R35" i="9" a="1"/>
  <c r="R35" i="9" s="1"/>
  <c r="D114" i="9"/>
  <c r="S35" i="9" a="1"/>
  <c r="S35" i="9" s="1"/>
  <c r="E114" i="9"/>
  <c r="T35" i="9" a="1"/>
  <c r="T35" i="9" s="1"/>
  <c r="F114" i="9"/>
  <c r="U35" i="9" a="1"/>
  <c r="U35" i="9" s="1"/>
  <c r="G114" i="9"/>
  <c r="H114" i="9"/>
  <c r="W35" i="9" a="1"/>
  <c r="W35" i="9" s="1"/>
  <c r="I114" i="9"/>
  <c r="X35" i="9" a="1"/>
  <c r="X35" i="9" s="1"/>
  <c r="J114" i="9"/>
  <c r="Y35" i="9" a="1"/>
  <c r="Y35" i="9" s="1"/>
  <c r="K114" i="9"/>
  <c r="Z35" i="9" a="1"/>
  <c r="Z35" i="9" s="1"/>
  <c r="L114" i="9"/>
  <c r="M114" i="9"/>
  <c r="AB35" i="9" a="1"/>
  <c r="AB35" i="9" s="1"/>
  <c r="C115" i="9"/>
  <c r="D115" i="9"/>
  <c r="E115" i="9"/>
  <c r="F115" i="9"/>
  <c r="G115" i="9"/>
  <c r="V36" i="9" a="1"/>
  <c r="V36" i="9" s="1"/>
  <c r="H115" i="9"/>
  <c r="W36" i="9" a="1"/>
  <c r="W36" i="9" s="1"/>
  <c r="I115" i="9"/>
  <c r="J115" i="9"/>
  <c r="Y36" i="9" a="1"/>
  <c r="Y36" i="9" s="1"/>
  <c r="K115" i="9"/>
  <c r="Z36" i="9" a="1"/>
  <c r="Z36" i="9" s="1"/>
  <c r="L115" i="9"/>
  <c r="AA36" i="9" a="1"/>
  <c r="AA36" i="9" s="1"/>
  <c r="M115" i="9"/>
  <c r="AB36" i="9"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F8" i="15"/>
  <c r="F9" i="15"/>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P35" i="7"/>
  <c r="P36" i="7"/>
  <c r="P37" i="7"/>
  <c r="P38" i="7"/>
  <c r="P39" i="7"/>
  <c r="P40" i="7"/>
  <c r="P41" i="7"/>
  <c r="P42" i="7"/>
  <c r="P43" i="7"/>
  <c r="P44" i="7"/>
  <c r="P45" i="7"/>
  <c r="P46" i="7"/>
  <c r="P47" i="7"/>
  <c r="P48" i="7"/>
  <c r="P49" i="7"/>
  <c r="P50" i="7"/>
  <c r="P51" i="7"/>
  <c r="P52" i="7"/>
  <c r="P53" i="7"/>
  <c r="P54" i="7"/>
  <c r="P55" i="7"/>
  <c r="P34" i="7"/>
  <c r="P56" i="7" s="1"/>
  <c r="C5" i="8" s="1"/>
  <c r="K27" i="15"/>
  <c r="K26" i="15"/>
  <c r="K25" i="15"/>
  <c r="K30" i="15"/>
  <c r="B49" i="9" a="1"/>
  <c r="I54" i="9" s="1" a="1"/>
  <c r="I54" i="9" s="1"/>
  <c r="E24" i="7"/>
  <c r="F11" i="15"/>
  <c r="F12" i="15"/>
  <c r="F13" i="15"/>
  <c r="O77" i="9"/>
  <c r="O78" i="9"/>
  <c r="I36" i="12"/>
  <c r="J35" i="14"/>
  <c r="J36" i="14"/>
  <c r="D35" i="14"/>
  <c r="D36" i="14"/>
  <c r="D35" i="18"/>
  <c r="D36" i="18"/>
  <c r="D37" i="18"/>
  <c r="E35" i="18"/>
  <c r="E36" i="18"/>
  <c r="E37" i="18"/>
  <c r="J25" i="15"/>
  <c r="J27" i="15"/>
  <c r="E62" i="7"/>
  <c r="E61" i="7"/>
  <c r="G7" i="6"/>
  <c r="C39" i="12"/>
  <c r="C40" i="12"/>
  <c r="C41" i="12"/>
  <c r="C42" i="12"/>
  <c r="C38" i="12"/>
  <c r="C37" i="12"/>
  <c r="R33" i="9" a="1"/>
  <c r="R33" i="9" s="1"/>
  <c r="S33" i="9" a="1"/>
  <c r="S33" i="9" s="1"/>
  <c r="T33" i="9" a="1"/>
  <c r="T33" i="9" s="1"/>
  <c r="U33" i="9" a="1"/>
  <c r="U33" i="9" s="1"/>
  <c r="R34" i="9" a="1"/>
  <c r="R34" i="9" s="1"/>
  <c r="T34" i="9" a="1"/>
  <c r="T34"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C6" i="8" s="1"/>
  <c r="F6" i="15"/>
  <c r="B84" i="9" a="1"/>
  <c r="B84" i="9" s="1"/>
  <c r="E40" i="7"/>
  <c r="E41" i="7"/>
  <c r="E42" i="7"/>
  <c r="E43" i="7"/>
  <c r="E44" i="7"/>
  <c r="E45" i="7"/>
  <c r="E46" i="7"/>
  <c r="E47" i="7"/>
  <c r="E48" i="7"/>
  <c r="E49" i="7"/>
  <c r="E50" i="7"/>
  <c r="E51" i="7"/>
  <c r="E52" i="7"/>
  <c r="E53" i="7"/>
  <c r="E54" i="7"/>
  <c r="E55" i="7"/>
  <c r="E56" i="7"/>
  <c r="E57" i="7"/>
  <c r="E58" i="7"/>
  <c r="E59" i="7"/>
  <c r="E60" i="7"/>
  <c r="E39"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5" i="20" s="1"/>
  <c r="O64" i="9"/>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155" i="1" s="1"/>
  <c r="E57" i="2"/>
  <c r="G57" i="2" s="1"/>
  <c r="H159" i="1" s="1"/>
  <c r="F57" i="2"/>
  <c r="H57" i="2"/>
  <c r="I57" i="2" s="1"/>
  <c r="D57" i="2" s="1"/>
  <c r="E58" i="2"/>
  <c r="F58" i="2"/>
  <c r="F27" i="2"/>
  <c r="H27" i="2" s="1"/>
  <c r="I27" i="2" s="1"/>
  <c r="D27" i="2" s="1"/>
  <c r="E27" i="2"/>
  <c r="E59" i="2"/>
  <c r="F59" i="2"/>
  <c r="G59" i="2" s="1"/>
  <c r="H161" i="1" s="1"/>
  <c r="F28" i="2"/>
  <c r="H28" i="2" s="1"/>
  <c r="I28" i="2" s="1"/>
  <c r="D28" i="2" s="1"/>
  <c r="E28" i="2"/>
  <c r="E60" i="2"/>
  <c r="G60" i="2" s="1"/>
  <c r="H162" i="1" s="1"/>
  <c r="F60" i="2"/>
  <c r="H60" i="2"/>
  <c r="I60" i="2"/>
  <c r="D60" i="2" s="1"/>
  <c r="E61" i="2"/>
  <c r="G61" i="2" s="1"/>
  <c r="F61" i="2"/>
  <c r="E62" i="2"/>
  <c r="F62" i="2"/>
  <c r="H62" i="2"/>
  <c r="I62" i="2"/>
  <c r="D62" i="2"/>
  <c r="E63" i="2"/>
  <c r="G63" i="2"/>
  <c r="F63" i="2"/>
  <c r="H63" i="2"/>
  <c r="I63" i="2"/>
  <c r="D63" i="2"/>
  <c r="E64" i="2"/>
  <c r="F64" i="2"/>
  <c r="G64" i="2"/>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H45" i="2" s="1"/>
  <c r="I45" i="2" s="1"/>
  <c r="D45" i="2" s="1"/>
  <c r="E46" i="2"/>
  <c r="F46" i="2"/>
  <c r="E47" i="2"/>
  <c r="F47" i="2"/>
  <c r="H47" i="2" s="1"/>
  <c r="I47" i="2" s="1"/>
  <c r="D47" i="2" s="1"/>
  <c r="E48" i="2"/>
  <c r="F48" i="2"/>
  <c r="F20" i="2"/>
  <c r="E20" i="2"/>
  <c r="E49" i="2"/>
  <c r="G49" i="2" s="1"/>
  <c r="F49" i="2"/>
  <c r="H49" i="2" s="1"/>
  <c r="I49" i="2" s="1"/>
  <c r="D49" i="2" s="1"/>
  <c r="F21" i="2"/>
  <c r="H21" i="2" s="1"/>
  <c r="I21" i="2" s="1"/>
  <c r="D21" i="2" s="1"/>
  <c r="E21" i="2"/>
  <c r="E50" i="2"/>
  <c r="F50" i="2"/>
  <c r="G50" i="2" s="1"/>
  <c r="H144" i="1" s="1"/>
  <c r="E51" i="2"/>
  <c r="F51" i="2"/>
  <c r="H51" i="2" s="1"/>
  <c r="I51" i="2" s="1"/>
  <c r="D51" i="2" s="1"/>
  <c r="E52" i="2"/>
  <c r="F52" i="2"/>
  <c r="H52" i="2" s="1"/>
  <c r="I52" i="2" s="1"/>
  <c r="D52" i="2" s="1"/>
  <c r="E53" i="2"/>
  <c r="F53" i="2"/>
  <c r="H53" i="2"/>
  <c r="I53" i="2" s="1"/>
  <c r="D53" i="2" s="1"/>
  <c r="E54" i="2"/>
  <c r="F54" i="2"/>
  <c r="F24" i="2"/>
  <c r="H24" i="2" s="1"/>
  <c r="I24" i="2" s="1"/>
  <c r="D24" i="2" s="1"/>
  <c r="E24" i="2"/>
  <c r="E55" i="2"/>
  <c r="F55" i="2"/>
  <c r="H55" i="2" s="1"/>
  <c r="I55" i="2" s="1"/>
  <c r="D55" i="2" s="1"/>
  <c r="F25" i="2"/>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H34" i="2" s="1"/>
  <c r="I34" i="2" s="1"/>
  <c r="D34" i="2" s="1"/>
  <c r="F18" i="2"/>
  <c r="E18" i="2"/>
  <c r="E35" i="2"/>
  <c r="F35" i="2"/>
  <c r="H35" i="2" s="1"/>
  <c r="I35" i="2" s="1"/>
  <c r="D35" i="2" s="1"/>
  <c r="E36" i="2"/>
  <c r="F36" i="2"/>
  <c r="H36" i="2" s="1"/>
  <c r="I36" i="2" s="1"/>
  <c r="D36" i="2" s="1"/>
  <c r="F22" i="2"/>
  <c r="H22" i="2" s="1"/>
  <c r="I22" i="2" s="1"/>
  <c r="D22" i="2" s="1"/>
  <c r="E22" i="2"/>
  <c r="G22" i="2" s="1"/>
  <c r="H87" i="1" s="1"/>
  <c r="F7" i="2"/>
  <c r="H7" i="2" s="1"/>
  <c r="I7" i="2" s="1"/>
  <c r="D7" i="2" s="1"/>
  <c r="E7" i="2"/>
  <c r="E37" i="2"/>
  <c r="F37" i="2"/>
  <c r="H37" i="2" s="1"/>
  <c r="I37" i="2" s="1"/>
  <c r="D37" i="2" s="1"/>
  <c r="E39" i="2"/>
  <c r="F39" i="2"/>
  <c r="H39" i="2" s="1"/>
  <c r="I39" i="2" s="1"/>
  <c r="D39" i="2" s="1"/>
  <c r="E40" i="2"/>
  <c r="F40" i="2"/>
  <c r="E41" i="2"/>
  <c r="F41" i="2"/>
  <c r="H41" i="2" s="1"/>
  <c r="I41" i="2" s="1"/>
  <c r="D41" i="2" s="1"/>
  <c r="E42" i="2"/>
  <c r="F42" i="2"/>
  <c r="E43" i="2"/>
  <c r="F43" i="2"/>
  <c r="H43" i="2" s="1"/>
  <c r="I43" i="2" s="1"/>
  <c r="D43" i="2" s="1"/>
  <c r="E44" i="2"/>
  <c r="F44" i="2"/>
  <c r="H44" i="2"/>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G15" i="2" s="1"/>
  <c r="F16" i="2"/>
  <c r="H16" i="2" s="1"/>
  <c r="I16" i="2" s="1"/>
  <c r="D16" i="2" s="1"/>
  <c r="E16" i="2"/>
  <c r="F26" i="2"/>
  <c r="H26" i="2" s="1"/>
  <c r="I26" i="2" s="1"/>
  <c r="D26" i="2" s="1"/>
  <c r="E26" i="2"/>
  <c r="G26" i="2" s="1"/>
  <c r="F29" i="2"/>
  <c r="H29" i="2"/>
  <c r="I29" i="2" s="1"/>
  <c r="D29" i="2" s="1"/>
  <c r="E29" i="2"/>
  <c r="F30" i="2"/>
  <c r="G30" i="2" s="1"/>
  <c r="F31" i="2"/>
  <c r="H31" i="2" s="1"/>
  <c r="I31" i="2" s="1"/>
  <c r="D31" i="2" s="1"/>
  <c r="E31" i="2"/>
  <c r="H43" i="1"/>
  <c r="F32" i="2"/>
  <c r="H32" i="2" s="1"/>
  <c r="I32" i="2" s="1"/>
  <c r="D32" i="2" s="1"/>
  <c r="F14" i="2"/>
  <c r="E14" i="2"/>
  <c r="G14" i="2" s="1"/>
  <c r="E30" i="2"/>
  <c r="E32" i="2"/>
  <c r="G32" i="2" s="1"/>
  <c r="H114" i="1" s="1"/>
  <c r="N4" i="17"/>
  <c r="F12" i="2"/>
  <c r="E12" i="2"/>
  <c r="F11" i="2"/>
  <c r="E11" i="2"/>
  <c r="E17" i="2"/>
  <c r="G17" i="2" s="1"/>
  <c r="H81" i="1" s="1"/>
  <c r="F17" i="2"/>
  <c r="F9" i="2"/>
  <c r="G9" i="2" s="1"/>
  <c r="E9" i="2"/>
  <c r="E8" i="2"/>
  <c r="F8" i="2"/>
  <c r="G8" i="2" s="1"/>
  <c r="E10" i="2"/>
  <c r="E4" i="2"/>
  <c r="C8" i="8"/>
  <c r="F10" i="2"/>
  <c r="H10" i="2" s="1"/>
  <c r="I10" i="2" s="1"/>
  <c r="D10" i="2" s="1"/>
  <c r="F4" i="2"/>
  <c r="N3" i="7"/>
  <c r="N5" i="7" s="1"/>
  <c r="E6" i="11"/>
  <c r="D6" i="11"/>
  <c r="F3" i="2"/>
  <c r="J15" i="14"/>
  <c r="H94" i="2"/>
  <c r="I94" i="2"/>
  <c r="D94" i="2"/>
  <c r="G91" i="2"/>
  <c r="H98" i="2"/>
  <c r="I98" i="2"/>
  <c r="D98" i="2"/>
  <c r="H93" i="2"/>
  <c r="I93" i="2"/>
  <c r="D93" i="2"/>
  <c r="H95" i="2"/>
  <c r="I95" i="2"/>
  <c r="D95" i="2"/>
  <c r="H97" i="2"/>
  <c r="I97" i="2"/>
  <c r="D97" i="2"/>
  <c r="H82" i="2"/>
  <c r="I82" i="2"/>
  <c r="D82" i="2"/>
  <c r="B2" i="2"/>
  <c r="J30" i="15"/>
  <c r="G69" i="2"/>
  <c r="G66" i="2"/>
  <c r="G72" i="2"/>
  <c r="G71" i="2"/>
  <c r="H68" i="2"/>
  <c r="I68" i="2"/>
  <c r="D68" i="2"/>
  <c r="H77" i="2"/>
  <c r="I77" i="2"/>
  <c r="D77" i="2"/>
  <c r="G76" i="2"/>
  <c r="H64" i="2"/>
  <c r="I64" i="2"/>
  <c r="D64" i="2"/>
  <c r="G82" i="2"/>
  <c r="G77" i="2"/>
  <c r="G53" i="2"/>
  <c r="H149" i="1" s="1"/>
  <c r="H89" i="2"/>
  <c r="I89" i="2"/>
  <c r="D89" i="2"/>
  <c r="H81" i="2"/>
  <c r="I81" i="2"/>
  <c r="D81" i="2"/>
  <c r="G84" i="2"/>
  <c r="G65" i="2"/>
  <c r="G73" i="2"/>
  <c r="G67" i="2"/>
  <c r="H75" i="2"/>
  <c r="I75" i="2"/>
  <c r="D75" i="2"/>
  <c r="G86" i="2"/>
  <c r="G79" i="2"/>
  <c r="G80" i="2"/>
  <c r="H90" i="2"/>
  <c r="I90" i="2"/>
  <c r="D90" i="2"/>
  <c r="G85" i="2"/>
  <c r="G74" i="2"/>
  <c r="G92" i="2"/>
  <c r="G88" i="2"/>
  <c r="G83" i="2"/>
  <c r="H65" i="2"/>
  <c r="I65" i="2"/>
  <c r="D65" i="2"/>
  <c r="H88" i="2"/>
  <c r="I88" i="2"/>
  <c r="D88" i="2"/>
  <c r="G62" i="2"/>
  <c r="H78" i="2"/>
  <c r="I78" i="2"/>
  <c r="D78" i="2"/>
  <c r="H86" i="2"/>
  <c r="I86" i="2"/>
  <c r="D86" i="2"/>
  <c r="H61" i="2"/>
  <c r="I61" i="2" s="1"/>
  <c r="D61" i="2" s="1"/>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B10" i="21"/>
  <c r="B14" i="21"/>
  <c r="G41" i="2"/>
  <c r="H122" i="1" s="1"/>
  <c r="X36" i="9" a="1"/>
  <c r="X36" i="9" s="1"/>
  <c r="H17" i="2"/>
  <c r="I17" i="2" s="1"/>
  <c r="D17" i="2" s="1"/>
  <c r="B3" i="21"/>
  <c r="B15" i="21"/>
  <c r="B5" i="21"/>
  <c r="B22" i="21"/>
  <c r="B13" i="21"/>
  <c r="B26" i="21"/>
  <c r="B24" i="21"/>
  <c r="B27" i="21"/>
  <c r="B2" i="21"/>
  <c r="O114" i="9"/>
  <c r="AD35" i="9"/>
  <c r="B23" i="21"/>
  <c r="O115" i="9"/>
  <c r="AD36" i="9"/>
  <c r="O113" i="9"/>
  <c r="AD34" i="9"/>
  <c r="B9" i="21"/>
  <c r="B11" i="21"/>
  <c r="B6" i="21"/>
  <c r="B19" i="21"/>
  <c r="B12" i="21"/>
  <c r="B17" i="21"/>
  <c r="B7" i="21"/>
  <c r="B20" i="21"/>
  <c r="B8" i="21"/>
  <c r="B18" i="21"/>
  <c r="B25" i="21"/>
  <c r="B16" i="21"/>
  <c r="G42" i="2"/>
  <c r="H123" i="1"/>
  <c r="H42" i="2"/>
  <c r="I42" i="2" s="1"/>
  <c r="D42" i="2" s="1"/>
  <c r="G7" i="2"/>
  <c r="H62" i="1" s="1"/>
  <c r="Y33" i="9" a="1"/>
  <c r="Y33" i="9" s="1"/>
  <c r="W34" i="9" a="1"/>
  <c r="W34" i="9" s="1"/>
  <c r="V35" i="9" a="1"/>
  <c r="V35" i="9" s="1"/>
  <c r="H18" i="2"/>
  <c r="I18" i="2"/>
  <c r="D18" i="2" s="1"/>
  <c r="G34" i="2"/>
  <c r="H113" i="1" s="1"/>
  <c r="H14" i="2"/>
  <c r="I14" i="2" s="1"/>
  <c r="D14" i="2" s="1"/>
  <c r="N114" i="9"/>
  <c r="P114" i="9"/>
  <c r="N113" i="9"/>
  <c r="P113" i="9"/>
  <c r="AA35" i="9" a="1"/>
  <c r="AA35" i="9" s="1"/>
  <c r="N115" i="9"/>
  <c r="P115" i="9"/>
  <c r="N112" i="9"/>
  <c r="P112" i="9"/>
  <c r="C2" i="2"/>
  <c r="J88" i="1" l="1" a="1"/>
  <c r="J88" i="1" s="1"/>
  <c r="J118" i="1" a="1"/>
  <c r="J118" i="1" s="1"/>
  <c r="J137" i="1" a="1"/>
  <c r="J137" i="1" s="1"/>
  <c r="J123" i="1" a="1"/>
  <c r="J123" i="1" s="1"/>
  <c r="J159" i="1" a="1"/>
  <c r="J159" i="1" s="1"/>
  <c r="H76" i="1"/>
  <c r="H80" i="1"/>
  <c r="G11" i="2"/>
  <c r="G40" i="2"/>
  <c r="G36" i="2"/>
  <c r="H117" i="1" s="1"/>
  <c r="G31" i="2"/>
  <c r="H110" i="1" s="1"/>
  <c r="G23" i="2"/>
  <c r="H91" i="1" s="1"/>
  <c r="G47" i="2"/>
  <c r="H137" i="1" s="1"/>
  <c r="H59" i="2"/>
  <c r="I59" i="2" s="1"/>
  <c r="D59" i="2" s="1"/>
  <c r="G29" i="2"/>
  <c r="H109" i="1" s="1"/>
  <c r="G28" i="2"/>
  <c r="H102" i="1" s="1"/>
  <c r="G58" i="2"/>
  <c r="G21" i="2"/>
  <c r="G43" i="2"/>
  <c r="H126" i="1" s="1"/>
  <c r="G5" i="2"/>
  <c r="H96" i="1" s="1"/>
  <c r="I166" i="1" a="1"/>
  <c r="I166" i="1" s="1"/>
  <c r="E7" i="8" s="1"/>
  <c r="H143" i="1"/>
  <c r="H142" i="1"/>
  <c r="G6" i="2"/>
  <c r="H103" i="1" s="1"/>
  <c r="G16" i="2"/>
  <c r="H79" i="1" s="1"/>
  <c r="G20" i="2"/>
  <c r="H85" i="1" s="1"/>
  <c r="H11" i="2"/>
  <c r="I11" i="2" s="1"/>
  <c r="G19" i="2"/>
  <c r="H140" i="1" s="1"/>
  <c r="G48" i="2"/>
  <c r="H141" i="1" s="1"/>
  <c r="G44" i="2"/>
  <c r="H128" i="1" s="1"/>
  <c r="H58" i="2"/>
  <c r="I58" i="2" s="1"/>
  <c r="D58" i="2" s="1"/>
  <c r="G37" i="2"/>
  <c r="H118" i="1" s="1"/>
  <c r="G24" i="2"/>
  <c r="G27" i="2"/>
  <c r="H97" i="1" s="1"/>
  <c r="G12" i="2"/>
  <c r="H74" i="1" s="1"/>
  <c r="G25" i="2"/>
  <c r="H95" i="1" s="1"/>
  <c r="H56" i="2"/>
  <c r="I56" i="2" s="1"/>
  <c r="D56" i="2" s="1"/>
  <c r="G51" i="2"/>
  <c r="H145" i="1" s="1"/>
  <c r="G55" i="2"/>
  <c r="H156" i="1" s="1"/>
  <c r="I93" i="9"/>
  <c r="X14" i="9" s="1" a="1"/>
  <c r="X14" i="9" s="1"/>
  <c r="E92" i="9"/>
  <c r="T13" i="9" s="1" a="1"/>
  <c r="T13" i="9" s="1"/>
  <c r="K101" i="9"/>
  <c r="Z22" i="9" s="1" a="1"/>
  <c r="Z22" i="9" s="1"/>
  <c r="D96" i="9"/>
  <c r="S17" i="9" s="1" a="1"/>
  <c r="S17" i="9" s="1"/>
  <c r="J98" i="9"/>
  <c r="Y19" i="9" s="1" a="1"/>
  <c r="Y19" i="9" s="1"/>
  <c r="J109" i="9"/>
  <c r="Y30" i="9" s="1" a="1"/>
  <c r="Y30" i="9" s="1"/>
  <c r="H68" i="9" a="1"/>
  <c r="H68" i="9" s="1"/>
  <c r="J54" i="9" a="1"/>
  <c r="J54" i="9" s="1"/>
  <c r="I53" i="9" a="1"/>
  <c r="I53" i="9" s="1"/>
  <c r="M67" i="9" a="1"/>
  <c r="M67" i="9" s="1"/>
  <c r="B4" i="9"/>
  <c r="E4" i="9" s="1"/>
  <c r="O90" i="9"/>
  <c r="AD11" i="9" s="1"/>
  <c r="B8" i="20" s="1"/>
  <c r="F90" i="9"/>
  <c r="U11" i="9" s="1" a="1"/>
  <c r="U11" i="9" s="1"/>
  <c r="G67" i="9" a="1"/>
  <c r="G67" i="9" s="1"/>
  <c r="H54" i="9" a="1"/>
  <c r="H54" i="9" s="1"/>
  <c r="G87" i="9"/>
  <c r="V8" i="9" s="1" a="1"/>
  <c r="V8" i="9" s="1"/>
  <c r="O87" i="9"/>
  <c r="AD8" i="9" s="1"/>
  <c r="B5" i="20" s="1"/>
  <c r="G50" i="9" a="1"/>
  <c r="G50" i="9" s="1"/>
  <c r="L60" i="9" a="1"/>
  <c r="L60" i="9" s="1"/>
  <c r="G62" i="9" a="1"/>
  <c r="G62" i="9" s="1"/>
  <c r="G91" i="9"/>
  <c r="V12" i="9" s="1" a="1"/>
  <c r="V12" i="9" s="1"/>
  <c r="L95" i="9"/>
  <c r="AA16" i="9" s="1" a="1"/>
  <c r="AA16" i="9" s="1"/>
  <c r="F97" i="9"/>
  <c r="U18" i="9" s="1" a="1"/>
  <c r="U18" i="9" s="1"/>
  <c r="H65" i="9" a="1"/>
  <c r="H65" i="9" s="1"/>
  <c r="J69" i="9" a="1"/>
  <c r="J69" i="9" s="1"/>
  <c r="C106" i="9"/>
  <c r="R27" i="9" s="1" a="1"/>
  <c r="R27" i="9" s="1"/>
  <c r="M70" i="9" a="1"/>
  <c r="M70" i="9" s="1"/>
  <c r="O110" i="9"/>
  <c r="AD31" i="9" s="1"/>
  <c r="B28" i="20" s="1"/>
  <c r="M100" i="9"/>
  <c r="AB21" i="9" s="1" a="1"/>
  <c r="AB21" i="9" s="1"/>
  <c r="I98" i="9"/>
  <c r="X19" i="9" s="1" a="1"/>
  <c r="X19" i="9" s="1"/>
  <c r="H105" i="9"/>
  <c r="W26" i="9" s="1" a="1"/>
  <c r="W26" i="9" s="1"/>
  <c r="O56" i="9"/>
  <c r="J104" i="9"/>
  <c r="Y25" i="9" s="1" a="1"/>
  <c r="Y25" i="9" s="1"/>
  <c r="I92" i="9"/>
  <c r="X13" i="9" s="1" a="1"/>
  <c r="X13" i="9" s="1"/>
  <c r="B12" i="9"/>
  <c r="E12" i="9" s="1"/>
  <c r="M54" i="9" a="1"/>
  <c r="M54" i="9" s="1"/>
  <c r="M85" i="9"/>
  <c r="AB6" i="9" s="1" a="1"/>
  <c r="AB6" i="9" s="1"/>
  <c r="G52" i="9" a="1"/>
  <c r="G52" i="9" s="1"/>
  <c r="D100" i="9"/>
  <c r="S21" i="9" s="1" a="1"/>
  <c r="S21" i="9" s="1"/>
  <c r="K105" i="9"/>
  <c r="Z26" i="9" s="1" a="1"/>
  <c r="Z26" i="9" s="1"/>
  <c r="H92" i="9"/>
  <c r="W13" i="9" s="1" a="1"/>
  <c r="W13" i="9" s="1"/>
  <c r="K106" i="9"/>
  <c r="Z27" i="9" s="1" a="1"/>
  <c r="Z27" i="9" s="1"/>
  <c r="L86" i="9"/>
  <c r="AA7" i="9" s="1" a="1"/>
  <c r="AA7" i="9" s="1"/>
  <c r="I51" i="9" a="1"/>
  <c r="I51" i="9" s="1"/>
  <c r="J63" i="9" a="1"/>
  <c r="J63" i="9" s="1"/>
  <c r="E100" i="9"/>
  <c r="T21" i="9" s="1" a="1"/>
  <c r="T21" i="9" s="1"/>
  <c r="C88" i="9"/>
  <c r="R9" i="9" s="1" a="1"/>
  <c r="R9" i="9" s="1"/>
  <c r="H66" i="9" a="1"/>
  <c r="H66" i="9" s="1"/>
  <c r="I107" i="9"/>
  <c r="X28" i="9" s="1" a="1"/>
  <c r="X28" i="9" s="1"/>
  <c r="C91" i="9"/>
  <c r="R12" i="9" s="1" a="1"/>
  <c r="R12" i="9" s="1"/>
  <c r="I50" i="9" a="1"/>
  <c r="I50" i="9" s="1"/>
  <c r="O54" i="9"/>
  <c r="O92" i="9"/>
  <c r="H107" i="9"/>
  <c r="W28" i="9" s="1" a="1"/>
  <c r="W28" i="9" s="1"/>
  <c r="M76" i="9" a="1"/>
  <c r="M76" i="9" s="1"/>
  <c r="H76" i="9" a="1"/>
  <c r="H76" i="9" s="1"/>
  <c r="I75" i="9" a="1"/>
  <c r="I75" i="9" s="1"/>
  <c r="B8" i="9"/>
  <c r="E8" i="9" s="1"/>
  <c r="M97" i="9"/>
  <c r="AB18" i="9" s="1" a="1"/>
  <c r="AB18" i="9" s="1"/>
  <c r="K108" i="9"/>
  <c r="Z29" i="9" s="1" a="1"/>
  <c r="Z29" i="9" s="1"/>
  <c r="F111" i="9"/>
  <c r="U32" i="9" s="1" a="1"/>
  <c r="U32" i="9" s="1"/>
  <c r="O68" i="9"/>
  <c r="K92" i="9"/>
  <c r="Z13" i="9" s="1" a="1"/>
  <c r="Z13" i="9" s="1"/>
  <c r="M51" i="9" a="1"/>
  <c r="M51" i="9" s="1"/>
  <c r="L96" i="9"/>
  <c r="AA17" i="9" s="1" a="1"/>
  <c r="AA17" i="9" s="1"/>
  <c r="J68" i="9" a="1"/>
  <c r="J68" i="9" s="1"/>
  <c r="M71" i="9" a="1"/>
  <c r="M71" i="9" s="1"/>
  <c r="L59" i="9" a="1"/>
  <c r="L59" i="9" s="1"/>
  <c r="M73" i="9" a="1"/>
  <c r="M73" i="9" s="1"/>
  <c r="K85" i="9"/>
  <c r="Z6" i="9" s="1" a="1"/>
  <c r="Z6" i="9" s="1"/>
  <c r="I76" i="9" a="1"/>
  <c r="I76" i="9" s="1"/>
  <c r="K64" i="9" a="1"/>
  <c r="K64" i="9" s="1"/>
  <c r="L110" i="9"/>
  <c r="AA31" i="9" s="1" a="1"/>
  <c r="AA31" i="9" s="1"/>
  <c r="J75" i="9" a="1"/>
  <c r="J75" i="9" s="1"/>
  <c r="K53" i="9" a="1"/>
  <c r="K53" i="9" s="1"/>
  <c r="C90" i="9"/>
  <c r="R11" i="9" s="1" a="1"/>
  <c r="R11" i="9" s="1"/>
  <c r="C105" i="9"/>
  <c r="R26" i="9" s="1" a="1"/>
  <c r="R26" i="9" s="1"/>
  <c r="O69" i="9"/>
  <c r="C94" i="9"/>
  <c r="R15" i="9" s="1" a="1"/>
  <c r="R15" i="9" s="1"/>
  <c r="O89" i="9"/>
  <c r="AD10" i="9" s="1"/>
  <c r="B7" i="20" s="1"/>
  <c r="M111" i="9"/>
  <c r="AB32" i="9" s="1" a="1"/>
  <c r="AB32" i="9" s="1"/>
  <c r="J72" i="9" a="1"/>
  <c r="J72" i="9" s="1"/>
  <c r="M90" i="9"/>
  <c r="AB11" i="9" s="1" a="1"/>
  <c r="AB11" i="9" s="1"/>
  <c r="K89" i="9"/>
  <c r="Z10" i="9" s="1" a="1"/>
  <c r="Z10" i="9" s="1"/>
  <c r="M53" i="9" a="1"/>
  <c r="M53" i="9" s="1"/>
  <c r="M61" i="9" a="1"/>
  <c r="M61" i="9" s="1"/>
  <c r="H100" i="9"/>
  <c r="W21" i="9" s="1" a="1"/>
  <c r="W21" i="9" s="1"/>
  <c r="B11" i="9"/>
  <c r="E11" i="9" s="1"/>
  <c r="F109" i="9"/>
  <c r="F93" i="9"/>
  <c r="U14" i="9" s="1" a="1"/>
  <c r="U14" i="9" s="1"/>
  <c r="J111" i="9"/>
  <c r="Y32" i="9" s="1" a="1"/>
  <c r="Y32" i="9" s="1"/>
  <c r="C96" i="9"/>
  <c r="R17" i="9" s="1" a="1"/>
  <c r="R17" i="9" s="1"/>
  <c r="E104" i="9"/>
  <c r="T25" i="9" s="1" a="1"/>
  <c r="T25" i="9" s="1"/>
  <c r="O75" i="9"/>
  <c r="F98" i="9"/>
  <c r="U19" i="9" s="1" a="1"/>
  <c r="U19" i="9" s="1"/>
  <c r="L107" i="9"/>
  <c r="AA28" i="9" s="1" a="1"/>
  <c r="AA28" i="9" s="1"/>
  <c r="D94" i="9"/>
  <c r="S15" i="9" s="1" a="1"/>
  <c r="S15" i="9" s="1"/>
  <c r="L85" i="9"/>
  <c r="AA6" i="9" s="1" a="1"/>
  <c r="AA6" i="9" s="1"/>
  <c r="L73" i="9" a="1"/>
  <c r="L73" i="9" s="1"/>
  <c r="H101" i="9"/>
  <c r="W22" i="9" s="1" a="1"/>
  <c r="W22" i="9" s="1"/>
  <c r="O76" i="9"/>
  <c r="G110" i="9"/>
  <c r="V31" i="9" s="1" a="1"/>
  <c r="V31" i="9" s="1"/>
  <c r="K55" i="9" a="1"/>
  <c r="K55" i="9" s="1"/>
  <c r="G104" i="9"/>
  <c r="V25" i="9" s="1" a="1"/>
  <c r="V25" i="9" s="1"/>
  <c r="J74" i="9" a="1"/>
  <c r="J74" i="9" s="1"/>
  <c r="G105" i="9"/>
  <c r="V26" i="9" s="1" a="1"/>
  <c r="V26" i="9" s="1"/>
  <c r="C109" i="9"/>
  <c r="R30" i="9" s="1" a="1"/>
  <c r="R30" i="9" s="1"/>
  <c r="B6" i="9"/>
  <c r="E6" i="9" s="1"/>
  <c r="O111" i="9"/>
  <c r="AD32" i="9" s="1"/>
  <c r="H69" i="9" a="1"/>
  <c r="H69" i="9" s="1"/>
  <c r="F106" i="9"/>
  <c r="U27" i="9" s="1" a="1"/>
  <c r="U27" i="9" s="1"/>
  <c r="K73" i="9" a="1"/>
  <c r="K73" i="9" s="1"/>
  <c r="O59" i="9"/>
  <c r="I68" i="9" a="1"/>
  <c r="I68" i="9" s="1"/>
  <c r="E96" i="9"/>
  <c r="T17" i="9" s="1" a="1"/>
  <c r="T17" i="9" s="1"/>
  <c r="G98" i="9"/>
  <c r="F96" i="9"/>
  <c r="U17" i="9" s="1" a="1"/>
  <c r="U17" i="9" s="1"/>
  <c r="G71" i="9" a="1"/>
  <c r="G71" i="9" s="1"/>
  <c r="F108" i="9"/>
  <c r="U29" i="9" s="1" a="1"/>
  <c r="U29" i="9" s="1"/>
  <c r="C16" i="10"/>
  <c r="N5" i="17"/>
  <c r="C474" i="17"/>
  <c r="K4" i="17" s="1"/>
  <c r="E65" i="7"/>
  <c r="F14" i="15"/>
  <c r="H12" i="15"/>
  <c r="H14" i="15" s="1"/>
  <c r="G111" i="6"/>
  <c r="K6" i="6"/>
  <c r="C4" i="8" s="1"/>
  <c r="H99" i="1"/>
  <c r="H94" i="1"/>
  <c r="H121" i="1"/>
  <c r="H130" i="1"/>
  <c r="H135" i="1"/>
  <c r="H73" i="1"/>
  <c r="H71" i="1"/>
  <c r="H106" i="1"/>
  <c r="H20" i="2"/>
  <c r="I20" i="2" s="1"/>
  <c r="D20" i="2" s="1"/>
  <c r="H68" i="1"/>
  <c r="H63" i="1"/>
  <c r="G18" i="2"/>
  <c r="H83" i="1" s="1"/>
  <c r="H152" i="1"/>
  <c r="H93" i="1"/>
  <c r="H70" i="1"/>
  <c r="H125" i="1"/>
  <c r="G4" i="2"/>
  <c r="H40" i="2"/>
  <c r="I40" i="2" s="1"/>
  <c r="D40" i="2" s="1"/>
  <c r="G54" i="2"/>
  <c r="H157" i="1" s="1"/>
  <c r="H88" i="1"/>
  <c r="G39" i="2"/>
  <c r="H131" i="1" s="1"/>
  <c r="H92" i="1"/>
  <c r="G10" i="2"/>
  <c r="H60" i="1" s="1"/>
  <c r="G46" i="2"/>
  <c r="H133" i="1" s="1"/>
  <c r="H105" i="1"/>
  <c r="G13" i="2"/>
  <c r="H8" i="2"/>
  <c r="I8" i="2" s="1"/>
  <c r="D8" i="2" s="1"/>
  <c r="G38" i="2"/>
  <c r="H136" i="1" s="1"/>
  <c r="H153" i="1"/>
  <c r="H72" i="1"/>
  <c r="H66" i="1"/>
  <c r="H64" i="1"/>
  <c r="H82" i="1"/>
  <c r="H75" i="1"/>
  <c r="H90" i="1"/>
  <c r="H101" i="1"/>
  <c r="H100" i="1"/>
  <c r="H77" i="1"/>
  <c r="H78" i="1"/>
  <c r="H108" i="1"/>
  <c r="H107" i="1"/>
  <c r="H138" i="1"/>
  <c r="H48" i="2"/>
  <c r="I48" i="2" s="1"/>
  <c r="D48" i="2" s="1"/>
  <c r="H9" i="2"/>
  <c r="I9" i="2" s="1"/>
  <c r="D9" i="2" s="1"/>
  <c r="H12" i="2"/>
  <c r="I12" i="2" s="1"/>
  <c r="D12" i="2" s="1"/>
  <c r="H25" i="2"/>
  <c r="I25" i="2" s="1"/>
  <c r="D25" i="2" s="1"/>
  <c r="H54" i="2"/>
  <c r="I54" i="2" s="1"/>
  <c r="D54" i="2" s="1"/>
  <c r="H46" i="2"/>
  <c r="I46" i="2" s="1"/>
  <c r="D46" i="2" s="1"/>
  <c r="H4" i="2"/>
  <c r="I4" i="2" s="1"/>
  <c r="D4" i="2" s="1"/>
  <c r="G33" i="2"/>
  <c r="H147" i="1"/>
  <c r="H146" i="1"/>
  <c r="G35" i="2"/>
  <c r="H115" i="1" s="1"/>
  <c r="G52" i="2"/>
  <c r="G45" i="2"/>
  <c r="H50" i="2"/>
  <c r="I50" i="2" s="1"/>
  <c r="D50" i="2" s="1"/>
  <c r="H111" i="1"/>
  <c r="H30" i="2"/>
  <c r="I30" i="2" s="1"/>
  <c r="D30" i="2" s="1"/>
  <c r="B13" i="9"/>
  <c r="C13" i="9" s="1"/>
  <c r="L111" i="9"/>
  <c r="AA32" i="9" s="1" a="1"/>
  <c r="AA32" i="9" s="1"/>
  <c r="M92" i="9"/>
  <c r="AB13" i="9" s="1" a="1"/>
  <c r="AB13" i="9" s="1"/>
  <c r="O99" i="9"/>
  <c r="AD20" i="9" s="1"/>
  <c r="B17" i="20" s="1"/>
  <c r="K71" i="9" a="1"/>
  <c r="K71" i="9" s="1"/>
  <c r="M96" i="9"/>
  <c r="AB17" i="9" s="1" a="1"/>
  <c r="AB17" i="9" s="1"/>
  <c r="H59" i="9" a="1"/>
  <c r="H59" i="9" s="1"/>
  <c r="C98" i="9"/>
  <c r="R19" i="9" s="1" a="1"/>
  <c r="R19" i="9" s="1"/>
  <c r="J60" i="9" a="1"/>
  <c r="J60" i="9" s="1"/>
  <c r="O104" i="9"/>
  <c r="AD25" i="9" s="1"/>
  <c r="B22" i="20" s="1"/>
  <c r="E108" i="9"/>
  <c r="T29" i="9" s="1" a="1"/>
  <c r="T29" i="9" s="1"/>
  <c r="K111" i="9"/>
  <c r="D95" i="9"/>
  <c r="S16" i="9" s="1" a="1"/>
  <c r="S16" i="9" s="1"/>
  <c r="M95" i="9"/>
  <c r="AB16" i="9" s="1" a="1"/>
  <c r="AB16" i="9" s="1"/>
  <c r="E94" i="9"/>
  <c r="T15" i="9" s="1" a="1"/>
  <c r="T15" i="9" s="1"/>
  <c r="H95" i="9"/>
  <c r="W16" i="9" s="1" a="1"/>
  <c r="W16" i="9" s="1"/>
  <c r="L57" i="9" a="1"/>
  <c r="L57" i="9" s="1"/>
  <c r="L65" i="9" a="1"/>
  <c r="L65" i="9" s="1"/>
  <c r="F103" i="9"/>
  <c r="U24" i="9" s="1" a="1"/>
  <c r="U24" i="9" s="1"/>
  <c r="O60" i="9"/>
  <c r="G90" i="9"/>
  <c r="M94" i="9"/>
  <c r="G85" i="9"/>
  <c r="V6" i="9" s="1" a="1"/>
  <c r="V6" i="9" s="1"/>
  <c r="G111" i="9"/>
  <c r="V32" i="9" s="1" a="1"/>
  <c r="V32" i="9" s="1"/>
  <c r="C111" i="9"/>
  <c r="R32" i="9" s="1" a="1"/>
  <c r="R32" i="9" s="1"/>
  <c r="A20" i="20"/>
  <c r="J67" i="9" a="1"/>
  <c r="J67" i="9" s="1"/>
  <c r="M93" i="9"/>
  <c r="AB14" i="9" s="1" a="1"/>
  <c r="AB14" i="9" s="1"/>
  <c r="J51" i="9" a="1"/>
  <c r="J51" i="9" s="1"/>
  <c r="K76" i="9" a="1"/>
  <c r="K76" i="9" s="1"/>
  <c r="I111" i="9"/>
  <c r="X32" i="9" s="1" a="1"/>
  <c r="X32" i="9" s="1"/>
  <c r="J102" i="9"/>
  <c r="Y23" i="9" s="1" a="1"/>
  <c r="Y23" i="9" s="1"/>
  <c r="I99" i="9"/>
  <c r="X20" i="9" s="1" a="1"/>
  <c r="X20" i="9" s="1"/>
  <c r="M56" i="9" a="1"/>
  <c r="M56" i="9" s="1"/>
  <c r="L76" i="9" a="1"/>
  <c r="L76" i="9" s="1"/>
  <c r="I61" i="9" a="1"/>
  <c r="I61" i="9" s="1"/>
  <c r="B14" i="9"/>
  <c r="C14" i="9" s="1"/>
  <c r="J86" i="9"/>
  <c r="Y7" i="9" s="1" a="1"/>
  <c r="Y7" i="9" s="1"/>
  <c r="G100" i="9"/>
  <c r="V21" i="9" s="1" a="1"/>
  <c r="V21" i="9" s="1"/>
  <c r="D106" i="9"/>
  <c r="S27" i="9" s="1" a="1"/>
  <c r="S27" i="9" s="1"/>
  <c r="O86" i="9"/>
  <c r="J52" i="9" a="1"/>
  <c r="J52" i="9" s="1"/>
  <c r="M99" i="9"/>
  <c r="AB20" i="9" s="1" a="1"/>
  <c r="AB20" i="9" s="1"/>
  <c r="G54" i="9" a="1"/>
  <c r="G54" i="9" s="1"/>
  <c r="O98" i="9"/>
  <c r="AD19" i="9" s="1"/>
  <c r="B16" i="20" s="1"/>
  <c r="C110" i="9"/>
  <c r="R31" i="9" s="1" a="1"/>
  <c r="R31" i="9" s="1"/>
  <c r="M88" i="9"/>
  <c r="AB9" i="9" s="1" a="1"/>
  <c r="AB9" i="9" s="1"/>
  <c r="Z32" i="9" a="1"/>
  <c r="Z32" i="9" s="1"/>
  <c r="H111" i="9"/>
  <c r="E111" i="9"/>
  <c r="T32" i="9" s="1" a="1"/>
  <c r="T32" i="9" s="1"/>
  <c r="J76" i="9" a="1"/>
  <c r="J76" i="9" s="1"/>
  <c r="J101" i="9"/>
  <c r="Y22" i="9" s="1" a="1"/>
  <c r="Y22" i="9" s="1"/>
  <c r="D111" i="9"/>
  <c r="S32" i="9" s="1" a="1"/>
  <c r="S32" i="9" s="1"/>
  <c r="A13" i="20"/>
  <c r="K104" i="9"/>
  <c r="Z25" i="9" s="1" a="1"/>
  <c r="Z25" i="9" s="1"/>
  <c r="G76" i="9" a="1"/>
  <c r="G76" i="9" s="1"/>
  <c r="A21" i="20"/>
  <c r="D104" i="9"/>
  <c r="S25" i="9" s="1" a="1"/>
  <c r="S25" i="9" s="1"/>
  <c r="K50" i="9" a="1"/>
  <c r="K50" i="9" s="1"/>
  <c r="J90" i="9"/>
  <c r="Y11" i="9" s="1" a="1"/>
  <c r="Y11" i="9" s="1"/>
  <c r="H98" i="9"/>
  <c r="W19" i="9" s="1" a="1"/>
  <c r="W19" i="9" s="1"/>
  <c r="O108" i="9"/>
  <c r="AD29" i="9" s="1"/>
  <c r="B26" i="20" s="1"/>
  <c r="K93" i="9"/>
  <c r="Z14" i="9" s="1" a="1"/>
  <c r="Z14" i="9" s="1"/>
  <c r="G86" i="9"/>
  <c r="V7" i="9" s="1" a="1"/>
  <c r="V7" i="9" s="1"/>
  <c r="K103" i="9"/>
  <c r="Z24" i="9" s="1" a="1"/>
  <c r="Z24" i="9" s="1"/>
  <c r="O72" i="9"/>
  <c r="D98" i="9"/>
  <c r="S19" i="9" s="1" a="1"/>
  <c r="S19" i="9" s="1"/>
  <c r="O103" i="9"/>
  <c r="AD24" i="9" s="1"/>
  <c r="B21" i="20" s="1"/>
  <c r="L67" i="9" a="1"/>
  <c r="L67" i="9" s="1"/>
  <c r="C87" i="9"/>
  <c r="R8" i="9" s="1" a="1"/>
  <c r="R8" i="9" s="1"/>
  <c r="D89" i="9"/>
  <c r="S10" i="9" s="1" a="1"/>
  <c r="S10" i="9" s="1"/>
  <c r="H106" i="9"/>
  <c r="W27" i="9" s="1" a="1"/>
  <c r="W27" i="9" s="1"/>
  <c r="G97" i="9"/>
  <c r="V18" i="9" s="1" a="1"/>
  <c r="V18" i="9" s="1"/>
  <c r="E106" i="9"/>
  <c r="T27" i="9" s="1" a="1"/>
  <c r="T27" i="9" s="1"/>
  <c r="M109" i="9"/>
  <c r="AB30" i="9" s="1" a="1"/>
  <c r="AB30" i="9" s="1"/>
  <c r="F99" i="9"/>
  <c r="U20" i="9" s="1" a="1"/>
  <c r="U20" i="9" s="1"/>
  <c r="L68" i="9" a="1"/>
  <c r="L68" i="9" s="1"/>
  <c r="E105" i="9"/>
  <c r="T26" i="9" s="1" a="1"/>
  <c r="T26" i="9" s="1"/>
  <c r="J88" i="9"/>
  <c r="Y9" i="9" s="1" a="1"/>
  <c r="Y9" i="9" s="1"/>
  <c r="I89" i="9"/>
  <c r="X10" i="9" s="1" a="1"/>
  <c r="X10" i="9" s="1"/>
  <c r="K102" i="9"/>
  <c r="Z23" i="9" s="1" a="1"/>
  <c r="Z23" i="9" s="1"/>
  <c r="E89" i="9"/>
  <c r="T10" i="9" s="1" a="1"/>
  <c r="T10" i="9" s="1"/>
  <c r="I91" i="9"/>
  <c r="X12" i="9" s="1" a="1"/>
  <c r="X12" i="9" s="1"/>
  <c r="H62" i="9" a="1"/>
  <c r="H62" i="9" s="1"/>
  <c r="E97" i="9"/>
  <c r="T18" i="9" s="1" a="1"/>
  <c r="T18" i="9" s="1"/>
  <c r="I60" i="9" a="1"/>
  <c r="I60" i="9" s="1"/>
  <c r="I58" i="9" a="1"/>
  <c r="I58" i="9" s="1"/>
  <c r="F92" i="9"/>
  <c r="U13" i="9" s="1" a="1"/>
  <c r="U13" i="9" s="1"/>
  <c r="I103" i="9"/>
  <c r="X24" i="9" s="1" a="1"/>
  <c r="X24" i="9" s="1"/>
  <c r="H67" i="9" a="1"/>
  <c r="H67" i="9" s="1"/>
  <c r="E110" i="9"/>
  <c r="T31" i="9" s="1" a="1"/>
  <c r="T31" i="9" s="1"/>
  <c r="M86" i="9"/>
  <c r="AB7" i="9" s="1" a="1"/>
  <c r="AB7" i="9" s="1"/>
  <c r="O53" i="9"/>
  <c r="O50" i="9"/>
  <c r="C86" i="9"/>
  <c r="R7" i="9" s="1" a="1"/>
  <c r="R7" i="9" s="1"/>
  <c r="E93" i="9"/>
  <c r="T14" i="9" s="1" a="1"/>
  <c r="T14" i="9" s="1"/>
  <c r="M59" i="9" a="1"/>
  <c r="M59" i="9" s="1"/>
  <c r="O65" i="9"/>
  <c r="J57" i="9" a="1"/>
  <c r="J57" i="9" s="1"/>
  <c r="K74" i="9" a="1"/>
  <c r="K74" i="9" s="1"/>
  <c r="O109" i="9"/>
  <c r="AD30" i="9" s="1"/>
  <c r="B27" i="20" s="1"/>
  <c r="O70" i="9"/>
  <c r="M87" i="9"/>
  <c r="AB8" i="9" s="1" a="1"/>
  <c r="AB8" i="9" s="1"/>
  <c r="H91" i="9"/>
  <c r="W12" i="9" s="1" a="1"/>
  <c r="W12" i="9" s="1"/>
  <c r="C89" i="9"/>
  <c r="R10" i="9" s="1" a="1"/>
  <c r="R10" i="9" s="1"/>
  <c r="K67" i="9" a="1"/>
  <c r="K67" i="9" s="1"/>
  <c r="A11" i="20"/>
  <c r="M57" i="9" a="1"/>
  <c r="M57" i="9" s="1"/>
  <c r="H56" i="9" a="1"/>
  <c r="H56" i="9" s="1"/>
  <c r="G64" i="9" a="1"/>
  <c r="G64" i="9" s="1"/>
  <c r="K98" i="9"/>
  <c r="Z19" i="9" s="1" a="1"/>
  <c r="Z19" i="9" s="1"/>
  <c r="H75" i="9" a="1"/>
  <c r="H75" i="9" s="1"/>
  <c r="M101" i="9"/>
  <c r="AB22" i="9" s="1" a="1"/>
  <c r="AB22" i="9" s="1"/>
  <c r="K87" i="9"/>
  <c r="Z8" i="9" s="1" a="1"/>
  <c r="Z8" i="9" s="1"/>
  <c r="K88" i="9"/>
  <c r="Z9" i="9" s="1" a="1"/>
  <c r="Z9" i="9" s="1"/>
  <c r="H89" i="9"/>
  <c r="W10" i="9" s="1" a="1"/>
  <c r="W10" i="9" s="1"/>
  <c r="J58" i="9" a="1"/>
  <c r="J58" i="9" s="1"/>
  <c r="I55" i="9" a="1"/>
  <c r="I55" i="9" s="1"/>
  <c r="F95" i="9"/>
  <c r="U16" i="9" s="1" a="1"/>
  <c r="U16" i="9" s="1"/>
  <c r="O52" i="9"/>
  <c r="H103" i="9"/>
  <c r="W24" i="9" s="1" a="1"/>
  <c r="W24" i="9" s="1"/>
  <c r="O95" i="9"/>
  <c r="AD16" i="9" s="1"/>
  <c r="B13" i="20" s="1"/>
  <c r="K109" i="9"/>
  <c r="Z30" i="9" s="1" a="1"/>
  <c r="Z30" i="9" s="1"/>
  <c r="M103" i="9"/>
  <c r="AB24" i="9" s="1" a="1"/>
  <c r="AB24" i="9" s="1"/>
  <c r="B17" i="9"/>
  <c r="E17" i="9" s="1"/>
  <c r="O102" i="9"/>
  <c r="AD23" i="9" s="1"/>
  <c r="B20" i="20" s="1"/>
  <c r="J55" i="9" a="1"/>
  <c r="J55" i="9" s="1"/>
  <c r="K54" i="9" a="1"/>
  <c r="K54" i="9" s="1"/>
  <c r="M62" i="9" a="1"/>
  <c r="M62" i="9" s="1"/>
  <c r="L91" i="9"/>
  <c r="AA12" i="9" s="1" a="1"/>
  <c r="AA12" i="9" s="1"/>
  <c r="C101" i="9"/>
  <c r="R22" i="9" s="1" a="1"/>
  <c r="R22" i="9" s="1"/>
  <c r="M105" i="9"/>
  <c r="AB26" i="9" s="1" a="1"/>
  <c r="AB26" i="9" s="1"/>
  <c r="L70" i="9" a="1"/>
  <c r="L70" i="9" s="1"/>
  <c r="G57" i="9" a="1"/>
  <c r="G57" i="9" s="1"/>
  <c r="K94" i="9"/>
  <c r="Z15" i="9" s="1" a="1"/>
  <c r="Z15" i="9" s="1"/>
  <c r="A3" i="20"/>
  <c r="A27" i="20"/>
  <c r="I52" i="9" a="1"/>
  <c r="I52" i="9" s="1"/>
  <c r="D90" i="9"/>
  <c r="S11" i="9" s="1" a="1"/>
  <c r="S11" i="9" s="1"/>
  <c r="H94" i="9"/>
  <c r="W15" i="9" s="1" a="1"/>
  <c r="W15" i="9" s="1"/>
  <c r="H51" i="9" a="1"/>
  <c r="H51" i="9" s="1"/>
  <c r="A18" i="20"/>
  <c r="A12" i="20"/>
  <c r="G88" i="9"/>
  <c r="V9" i="9" s="1" a="1"/>
  <c r="V9" i="9" s="1"/>
  <c r="H108" i="9"/>
  <c r="W29" i="9" s="1" a="1"/>
  <c r="W29" i="9" s="1"/>
  <c r="M107" i="9"/>
  <c r="AB28" i="9" s="1" a="1"/>
  <c r="AB28" i="9" s="1"/>
  <c r="Q5" i="9"/>
  <c r="A2" i="20" s="1"/>
  <c r="A9" i="20"/>
  <c r="A8" i="20"/>
  <c r="F94" i="9"/>
  <c r="U15" i="9" s="1" a="1"/>
  <c r="U15" i="9" s="1"/>
  <c r="G63" i="9" a="1"/>
  <c r="G63" i="9" s="1"/>
  <c r="L103" i="9"/>
  <c r="AA24" i="9" s="1" a="1"/>
  <c r="AA24" i="9" s="1"/>
  <c r="I100" i="9"/>
  <c r="X21" i="9" s="1" a="1"/>
  <c r="X21" i="9" s="1"/>
  <c r="G72" i="9" a="1"/>
  <c r="G72" i="9" s="1"/>
  <c r="J85" i="9"/>
  <c r="Y6" i="9" s="1" a="1"/>
  <c r="Y6" i="9" s="1"/>
  <c r="M106" i="9"/>
  <c r="AB27" i="9" s="1" a="1"/>
  <c r="AB27" i="9" s="1"/>
  <c r="D99" i="9"/>
  <c r="S20" i="9" s="1" a="1"/>
  <c r="S20" i="9" s="1"/>
  <c r="K51" i="9" a="1"/>
  <c r="K51" i="9" s="1"/>
  <c r="L98" i="9"/>
  <c r="AA19" i="9" s="1" a="1"/>
  <c r="AA19" i="9" s="1"/>
  <c r="D109" i="9"/>
  <c r="S30" i="9" s="1" a="1"/>
  <c r="S30" i="9" s="1"/>
  <c r="I85" i="9"/>
  <c r="X6" i="9" s="1" a="1"/>
  <c r="X6" i="9" s="1"/>
  <c r="O96" i="9"/>
  <c r="AD17" i="9" s="1"/>
  <c r="B14" i="20" s="1"/>
  <c r="H53" i="9" a="1"/>
  <c r="H53" i="9" s="1"/>
  <c r="E109" i="9"/>
  <c r="T30" i="9" s="1" a="1"/>
  <c r="T30" i="9" s="1"/>
  <c r="K58" i="9" a="1"/>
  <c r="K58" i="9" s="1"/>
  <c r="L52" i="9" a="1"/>
  <c r="L52" i="9" s="1"/>
  <c r="G96" i="9"/>
  <c r="V17" i="9" s="1" a="1"/>
  <c r="V17" i="9" s="1"/>
  <c r="I95" i="9"/>
  <c r="X16" i="9" s="1" a="1"/>
  <c r="X16" i="9" s="1"/>
  <c r="K107" i="9"/>
  <c r="Z28" i="9" s="1" a="1"/>
  <c r="Z28" i="9" s="1"/>
  <c r="M52" i="9" a="1"/>
  <c r="M52" i="9" s="1"/>
  <c r="L62" i="9" a="1"/>
  <c r="L62" i="9" s="1"/>
  <c r="AD13" i="9"/>
  <c r="B10" i="20" s="1"/>
  <c r="H74" i="9" a="1"/>
  <c r="H74" i="9" s="1"/>
  <c r="C95" i="9"/>
  <c r="R16" i="9" s="1" a="1"/>
  <c r="R16" i="9" s="1"/>
  <c r="H109" i="9"/>
  <c r="W30" i="9" s="1" a="1"/>
  <c r="W30" i="9" s="1"/>
  <c r="L54" i="9" a="1"/>
  <c r="L54" i="9" s="1"/>
  <c r="J95" i="9"/>
  <c r="Y16" i="9" s="1" a="1"/>
  <c r="Y16" i="9" s="1"/>
  <c r="E90" i="9"/>
  <c r="T11" i="9" s="1" a="1"/>
  <c r="T11" i="9" s="1"/>
  <c r="H90" i="9"/>
  <c r="W11" i="9" s="1" a="1"/>
  <c r="W11" i="9" s="1"/>
  <c r="I101" i="9"/>
  <c r="X22" i="9" s="1" a="1"/>
  <c r="X22" i="9" s="1"/>
  <c r="H70" i="9" a="1"/>
  <c r="H70" i="9" s="1"/>
  <c r="E85" i="9"/>
  <c r="T6" i="9" s="1" a="1"/>
  <c r="T6" i="9" s="1"/>
  <c r="A4" i="20"/>
  <c r="I109" i="9"/>
  <c r="X30" i="9" s="1" a="1"/>
  <c r="X30" i="9" s="1"/>
  <c r="L61" i="9" a="1"/>
  <c r="L61" i="9" s="1"/>
  <c r="C85" i="9"/>
  <c r="R6" i="9" s="1" a="1"/>
  <c r="R6" i="9" s="1"/>
  <c r="C100" i="9"/>
  <c r="R21" i="9" s="1" a="1"/>
  <c r="R21" i="9" s="1"/>
  <c r="H88" i="9"/>
  <c r="W9" i="9" s="1" a="1"/>
  <c r="W9" i="9" s="1"/>
  <c r="H57" i="9" a="1"/>
  <c r="H57" i="9" s="1"/>
  <c r="F101" i="9"/>
  <c r="U22" i="9" s="1" a="1"/>
  <c r="U22" i="9" s="1"/>
  <c r="L109" i="9"/>
  <c r="AA30" i="9" s="1" a="1"/>
  <c r="AA30" i="9" s="1"/>
  <c r="G107" i="9"/>
  <c r="V28" i="9" s="1" a="1"/>
  <c r="V28" i="9" s="1"/>
  <c r="G99" i="9"/>
  <c r="V20" i="9" s="1" a="1"/>
  <c r="V20" i="9" s="1"/>
  <c r="M63" i="9" a="1"/>
  <c r="M63" i="9" s="1"/>
  <c r="I59" i="9" a="1"/>
  <c r="I59" i="9" s="1"/>
  <c r="M102" i="9"/>
  <c r="AB23" i="9" s="1" a="1"/>
  <c r="AB23" i="9" s="1"/>
  <c r="L50" i="9" a="1"/>
  <c r="L50" i="9" s="1"/>
  <c r="M64" i="9" a="1"/>
  <c r="M64" i="9" s="1"/>
  <c r="F102" i="9"/>
  <c r="U23" i="9" s="1" a="1"/>
  <c r="U23" i="9" s="1"/>
  <c r="E103" i="9"/>
  <c r="T24" i="9" s="1" a="1"/>
  <c r="T24" i="9" s="1"/>
  <c r="L69" i="9" a="1"/>
  <c r="L69" i="9" s="1"/>
  <c r="L92" i="9"/>
  <c r="AA13" i="9" s="1" a="1"/>
  <c r="AA13" i="9" s="1"/>
  <c r="K90" i="9"/>
  <c r="Z11" i="9" s="1" a="1"/>
  <c r="Z11" i="9" s="1"/>
  <c r="I62" i="9" a="1"/>
  <c r="I62" i="9" s="1"/>
  <c r="K69" i="9" a="1"/>
  <c r="K69" i="9" s="1"/>
  <c r="B49" i="9"/>
  <c r="I49" i="9" s="1" a="1"/>
  <c r="I49" i="9" s="1"/>
  <c r="D105" i="9"/>
  <c r="S26" i="9" s="1" a="1"/>
  <c r="S26" i="9" s="1"/>
  <c r="I97" i="9"/>
  <c r="X18" i="9" s="1" a="1"/>
  <c r="X18" i="9" s="1"/>
  <c r="D110" i="9"/>
  <c r="S31" i="9" s="1" a="1"/>
  <c r="S31" i="9" s="1"/>
  <c r="J59" i="9" a="1"/>
  <c r="J59" i="9" s="1"/>
  <c r="O91" i="9"/>
  <c r="AD12" i="9" s="1"/>
  <c r="B9" i="20" s="1"/>
  <c r="G93" i="9"/>
  <c r="V14" i="9" s="1" a="1"/>
  <c r="V14" i="9" s="1"/>
  <c r="G101" i="9"/>
  <c r="V22" i="9" s="1" a="1"/>
  <c r="V22" i="9" s="1"/>
  <c r="J93" i="9"/>
  <c r="Y14" i="9" s="1" a="1"/>
  <c r="Y14" i="9" s="1"/>
  <c r="J105" i="9"/>
  <c r="Y26" i="9" s="1" a="1"/>
  <c r="Y26" i="9" s="1"/>
  <c r="B7" i="9"/>
  <c r="E7" i="9" s="1" a="1"/>
  <c r="E7" i="9" s="1"/>
  <c r="O105" i="9"/>
  <c r="AD26" i="9" s="1"/>
  <c r="B23" i="20" s="1"/>
  <c r="M50" i="9" a="1"/>
  <c r="M50" i="9" s="1"/>
  <c r="C99" i="9"/>
  <c r="R20" i="9" s="1" a="1"/>
  <c r="R20" i="9" s="1"/>
  <c r="J92" i="9"/>
  <c r="Y13" i="9" s="1" a="1"/>
  <c r="Y13" i="9" s="1"/>
  <c r="G94" i="9"/>
  <c r="V15" i="9" s="1" a="1"/>
  <c r="V15" i="9" s="1"/>
  <c r="E88" i="9"/>
  <c r="T9" i="9" s="1" a="1"/>
  <c r="T9" i="9" s="1"/>
  <c r="A10" i="20"/>
  <c r="F107" i="9"/>
  <c r="U28" i="9" s="1" a="1"/>
  <c r="U28" i="9" s="1"/>
  <c r="O73" i="9"/>
  <c r="O55" i="9"/>
  <c r="I94" i="9"/>
  <c r="X15" i="9" s="1" a="1"/>
  <c r="X15" i="9" s="1"/>
  <c r="H52" i="9" a="1"/>
  <c r="H52" i="9" s="1"/>
  <c r="J94" i="9"/>
  <c r="M110" i="9"/>
  <c r="AB31" i="9" s="1" a="1"/>
  <c r="AB31" i="9" s="1"/>
  <c r="H87" i="9"/>
  <c r="W8" i="9" s="1" a="1"/>
  <c r="W8" i="9" s="1"/>
  <c r="L93" i="9"/>
  <c r="AA14" i="9" s="1" a="1"/>
  <c r="AA14" i="9" s="1"/>
  <c r="B15" i="9"/>
  <c r="C15" i="9" s="1"/>
  <c r="J110" i="9"/>
  <c r="Y31" i="9" s="1" a="1"/>
  <c r="Y31" i="9" s="1"/>
  <c r="J97" i="9"/>
  <c r="Y18" i="9" s="1" a="1"/>
  <c r="Y18" i="9" s="1"/>
  <c r="M58" i="9" a="1"/>
  <c r="M58" i="9" s="1"/>
  <c r="M104" i="9"/>
  <c r="AB25" i="9" s="1" a="1"/>
  <c r="AB25" i="9" s="1"/>
  <c r="L72" i="9" a="1"/>
  <c r="L72" i="9" s="1"/>
  <c r="B18" i="9"/>
  <c r="E18" i="9" s="1"/>
  <c r="G68" i="9" a="1"/>
  <c r="G68" i="9" s="1"/>
  <c r="H60" i="9" a="1"/>
  <c r="H60" i="9" s="1"/>
  <c r="H102" i="9"/>
  <c r="W23" i="9" s="1" a="1"/>
  <c r="W23" i="9" s="1"/>
  <c r="D92" i="9"/>
  <c r="S13" i="9" s="1" a="1"/>
  <c r="S13" i="9" s="1"/>
  <c r="G92" i="9"/>
  <c r="V13" i="9" s="1" a="1"/>
  <c r="V13" i="9" s="1"/>
  <c r="K70" i="9" a="1"/>
  <c r="K70" i="9" s="1"/>
  <c r="I63" i="9" a="1"/>
  <c r="I63" i="9" s="1"/>
  <c r="I86" i="9"/>
  <c r="X7" i="9" s="1" a="1"/>
  <c r="X7" i="9" s="1"/>
  <c r="I74" i="9" a="1"/>
  <c r="I74" i="9" s="1"/>
  <c r="K99" i="9"/>
  <c r="Z20" i="9" s="1" a="1"/>
  <c r="Z20" i="9" s="1"/>
  <c r="A7" i="20"/>
  <c r="K97" i="9"/>
  <c r="Z18" i="9" s="1" a="1"/>
  <c r="Z18" i="9" s="1"/>
  <c r="I108" i="9"/>
  <c r="X29" i="9" s="1" a="1"/>
  <c r="X29" i="9" s="1"/>
  <c r="J64" i="9" a="1"/>
  <c r="J64" i="9" s="1"/>
  <c r="O85" i="9"/>
  <c r="AD6" i="9" s="1"/>
  <c r="B3" i="20" s="1"/>
  <c r="L71" i="9" a="1"/>
  <c r="L71" i="9" s="1"/>
  <c r="J66" i="9" a="1"/>
  <c r="J66" i="9" s="1"/>
  <c r="I105" i="9"/>
  <c r="X26" i="9" s="1" a="1"/>
  <c r="X26" i="9" s="1"/>
  <c r="O107" i="9"/>
  <c r="AD28" i="9" s="1"/>
  <c r="B25" i="20" s="1"/>
  <c r="E102" i="9"/>
  <c r="T23" i="9" s="1" a="1"/>
  <c r="T23" i="9" s="1"/>
  <c r="B5" i="9"/>
  <c r="E5" i="9" s="1"/>
  <c r="I69" i="9" a="1"/>
  <c r="I69" i="9" s="1"/>
  <c r="O101" i="9"/>
  <c r="AD22" i="9" s="1"/>
  <c r="B19" i="20" s="1"/>
  <c r="K62" i="9" a="1"/>
  <c r="K62" i="9" s="1"/>
  <c r="L66" i="9" a="1"/>
  <c r="L66" i="9" s="1"/>
  <c r="H72" i="9" a="1"/>
  <c r="H72" i="9" s="1"/>
  <c r="B10" i="9"/>
  <c r="E10" i="9" s="1"/>
  <c r="I66" i="9" a="1"/>
  <c r="I66" i="9" s="1"/>
  <c r="L75" i="9" a="1"/>
  <c r="L75" i="9" s="1"/>
  <c r="F100" i="9"/>
  <c r="U21" i="9" s="1" a="1"/>
  <c r="U21" i="9" s="1"/>
  <c r="K57" i="9" a="1"/>
  <c r="K57" i="9" s="1"/>
  <c r="G61" i="9" a="1"/>
  <c r="G61" i="9" s="1"/>
  <c r="M60" i="9" a="1"/>
  <c r="M60" i="9" s="1"/>
  <c r="E87" i="9"/>
  <c r="T8" i="9" s="1" a="1"/>
  <c r="T8" i="9" s="1"/>
  <c r="A26" i="20"/>
  <c r="J71" i="9" a="1"/>
  <c r="J71" i="9" s="1"/>
  <c r="A28" i="20"/>
  <c r="H86" i="9"/>
  <c r="W7" i="9" s="1" a="1"/>
  <c r="W7" i="9" s="1"/>
  <c r="J96" i="9"/>
  <c r="Y17" i="9" s="1" a="1"/>
  <c r="Y17" i="9" s="1"/>
  <c r="E91" i="9"/>
  <c r="T12" i="9" s="1" a="1"/>
  <c r="T12" i="9" s="1"/>
  <c r="C108" i="9"/>
  <c r="R29" i="9" s="1" a="1"/>
  <c r="R29" i="9" s="1"/>
  <c r="L90" i="9"/>
  <c r="AA11" i="9" s="1" a="1"/>
  <c r="AA11" i="9" s="1"/>
  <c r="L104" i="9"/>
  <c r="AA25" i="9" s="1" a="1"/>
  <c r="AA25" i="9" s="1"/>
  <c r="D87" i="9"/>
  <c r="S8" i="9" s="1" a="1"/>
  <c r="S8" i="9" s="1"/>
  <c r="L99" i="9"/>
  <c r="AA20" i="9" s="1" a="1"/>
  <c r="AA20" i="9" s="1"/>
  <c r="G70" i="9" a="1"/>
  <c r="G70" i="9" s="1"/>
  <c r="G53" i="9" a="1"/>
  <c r="G53" i="9" s="1"/>
  <c r="H61" i="9" a="1"/>
  <c r="H61" i="9" s="1"/>
  <c r="K52" i="9" a="1"/>
  <c r="K52" i="9" s="1"/>
  <c r="G65" i="9" a="1"/>
  <c r="G65" i="9" s="1"/>
  <c r="E99" i="9"/>
  <c r="T20" i="9" s="1" a="1"/>
  <c r="T20" i="9" s="1"/>
  <c r="I88" i="9"/>
  <c r="X9" i="9" s="1" a="1"/>
  <c r="X9" i="9" s="1"/>
  <c r="G102" i="9"/>
  <c r="V23" i="9" s="1" a="1"/>
  <c r="V23" i="9" s="1"/>
  <c r="I110" i="9"/>
  <c r="X31" i="9" s="1" a="1"/>
  <c r="X31" i="9" s="1"/>
  <c r="O58" i="9"/>
  <c r="K96" i="9"/>
  <c r="Z17" i="9" s="1" a="1"/>
  <c r="Z17" i="9" s="1"/>
  <c r="M75" i="9" a="1"/>
  <c r="M75" i="9" s="1"/>
  <c r="J62" i="9" a="1"/>
  <c r="J62" i="9" s="1"/>
  <c r="I106" i="9"/>
  <c r="X27" i="9" s="1" a="1"/>
  <c r="X27" i="9" s="1"/>
  <c r="G109" i="9"/>
  <c r="V30" i="9" s="1" a="1"/>
  <c r="V30" i="9" s="1"/>
  <c r="C92" i="9"/>
  <c r="R13" i="9" s="1" a="1"/>
  <c r="R13" i="9" s="1"/>
  <c r="H99" i="9"/>
  <c r="W20" i="9" s="1" a="1"/>
  <c r="W20" i="9" s="1"/>
  <c r="M89" i="9"/>
  <c r="AB10" i="9" s="1" a="1"/>
  <c r="AB10" i="9" s="1"/>
  <c r="F89" i="9"/>
  <c r="U10" i="9" s="1" a="1"/>
  <c r="U10" i="9" s="1"/>
  <c r="I67" i="9" a="1"/>
  <c r="I67" i="9" s="1"/>
  <c r="G95" i="9"/>
  <c r="V16" i="9" s="1" a="1"/>
  <c r="V16" i="9" s="1"/>
  <c r="A23" i="20"/>
  <c r="AD7" i="9"/>
  <c r="B4" i="20" s="1"/>
  <c r="K72" i="9" a="1"/>
  <c r="K72" i="9" s="1"/>
  <c r="F110" i="9"/>
  <c r="U31" i="9" s="1" a="1"/>
  <c r="U31" i="9" s="1"/>
  <c r="K65" i="9" a="1"/>
  <c r="K65" i="9" s="1"/>
  <c r="A6" i="20"/>
  <c r="O61" i="9"/>
  <c r="L51" i="9" a="1"/>
  <c r="L51" i="9" s="1"/>
  <c r="V19" i="9" a="1"/>
  <c r="V19" i="9" s="1"/>
  <c r="H97" i="9"/>
  <c r="W18" i="9" s="1" a="1"/>
  <c r="W18" i="9" s="1"/>
  <c r="G108" i="9"/>
  <c r="V29" i="9" s="1" a="1"/>
  <c r="V29" i="9" s="1"/>
  <c r="G75" i="9" a="1"/>
  <c r="G75" i="9" s="1"/>
  <c r="L94" i="9"/>
  <c r="AA15" i="9" s="1" a="1"/>
  <c r="AA15" i="9" s="1"/>
  <c r="G106" i="9"/>
  <c r="V27" i="9" s="1" a="1"/>
  <c r="V27" i="9" s="1"/>
  <c r="I71" i="9" a="1"/>
  <c r="I71" i="9" s="1"/>
  <c r="H71" i="9" a="1"/>
  <c r="H71" i="9" s="1"/>
  <c r="I65" i="9" a="1"/>
  <c r="I65" i="9" s="1"/>
  <c r="K56" i="9" a="1"/>
  <c r="K56" i="9" s="1"/>
  <c r="K110" i="9"/>
  <c r="Z31" i="9" s="1" a="1"/>
  <c r="Z31" i="9" s="1"/>
  <c r="K86" i="9"/>
  <c r="Z7" i="9" s="1" a="1"/>
  <c r="Z7" i="9" s="1"/>
  <c r="H73" i="9" a="1"/>
  <c r="H73" i="9" s="1"/>
  <c r="M69" i="9" a="1"/>
  <c r="M69" i="9" s="1"/>
  <c r="O100" i="9"/>
  <c r="AD21" i="9" s="1"/>
  <c r="B18" i="20" s="1"/>
  <c r="F85" i="9"/>
  <c r="U6" i="9" s="1" a="1"/>
  <c r="U6" i="9" s="1"/>
  <c r="J65" i="9" a="1"/>
  <c r="J65" i="9" s="1"/>
  <c r="A25" i="20"/>
  <c r="AC33" i="9"/>
  <c r="AE33" i="9" s="1"/>
  <c r="J53" i="9" a="1"/>
  <c r="J53" i="9" s="1"/>
  <c r="G51" i="9" a="1"/>
  <c r="G51" i="9" s="1"/>
  <c r="H50" i="9" a="1"/>
  <c r="H50" i="9" s="1"/>
  <c r="M74" i="9" a="1"/>
  <c r="M74" i="9" s="1"/>
  <c r="A16" i="20"/>
  <c r="G55" i="9" a="1"/>
  <c r="G55" i="9" s="1"/>
  <c r="N77" i="9"/>
  <c r="P77" i="9" s="1"/>
  <c r="G59" i="9" a="1"/>
  <c r="G59" i="9" s="1"/>
  <c r="N79" i="9"/>
  <c r="V11" i="9" a="1"/>
  <c r="V11" i="9" s="1"/>
  <c r="AC34" i="9"/>
  <c r="AE34" i="9" s="1"/>
  <c r="N78" i="9"/>
  <c r="P78" i="9" s="1"/>
  <c r="G60" i="9" a="1"/>
  <c r="G60" i="9" s="1"/>
  <c r="K166" i="1"/>
  <c r="G56" i="9" a="1"/>
  <c r="G56" i="9" s="1"/>
  <c r="A14" i="20"/>
  <c r="A24" i="20"/>
  <c r="G66" i="9" a="1"/>
  <c r="G66" i="9" s="1"/>
  <c r="C107" i="9"/>
  <c r="R28" i="9" s="1" a="1"/>
  <c r="R28" i="9" s="1"/>
  <c r="C93" i="9"/>
  <c r="R14" i="9" s="1" a="1"/>
  <c r="R14" i="9" s="1"/>
  <c r="L87" i="9"/>
  <c r="AA8" i="9" s="1" a="1"/>
  <c r="AA8" i="9" s="1"/>
  <c r="I56" i="9" a="1"/>
  <c r="I56" i="9" s="1"/>
  <c r="H96" i="9"/>
  <c r="W17" i="9" s="1" a="1"/>
  <c r="W17" i="9" s="1"/>
  <c r="H104" i="9"/>
  <c r="W25" i="9" s="1" a="1"/>
  <c r="W25" i="9" s="1"/>
  <c r="O106" i="9"/>
  <c r="AD27" i="9" s="1"/>
  <c r="B24" i="20" s="1"/>
  <c r="K100" i="9"/>
  <c r="Z21" i="9" s="1" a="1"/>
  <c r="Z21" i="9" s="1"/>
  <c r="O71" i="9"/>
  <c r="O74" i="9"/>
  <c r="G74" i="9" a="1"/>
  <c r="G74" i="9" s="1"/>
  <c r="G58" i="9" a="1"/>
  <c r="G58" i="9" s="1"/>
  <c r="A17" i="20"/>
  <c r="F91" i="9"/>
  <c r="U12" i="9" s="1" a="1"/>
  <c r="U12" i="9" s="1"/>
  <c r="B9" i="9"/>
  <c r="I102" i="9"/>
  <c r="X23" i="9" s="1" a="1"/>
  <c r="X23" i="9" s="1"/>
  <c r="D85" i="9"/>
  <c r="S6" i="9" s="1" a="1"/>
  <c r="S6" i="9" s="1"/>
  <c r="L74" i="9" a="1"/>
  <c r="L74" i="9" s="1"/>
  <c r="M65" i="9" a="1"/>
  <c r="M65" i="9" s="1"/>
  <c r="F104" i="9"/>
  <c r="U25" i="9" s="1" a="1"/>
  <c r="U25" i="9" s="1"/>
  <c r="M55" i="9" a="1"/>
  <c r="M55" i="9" s="1"/>
  <c r="AC36" i="9"/>
  <c r="J166" i="1" a="1"/>
  <c r="J166" i="1" s="1"/>
  <c r="L102" i="9"/>
  <c r="AA23" i="9" s="1" a="1"/>
  <c r="AA23" i="9" s="1"/>
  <c r="L106" i="9"/>
  <c r="AA27" i="9" s="1" a="1"/>
  <c r="AA27" i="9" s="1"/>
  <c r="L63" i="9" a="1"/>
  <c r="L63" i="9" s="1"/>
  <c r="D108" i="9"/>
  <c r="S29" i="9" s="1" a="1"/>
  <c r="S29" i="9" s="1"/>
  <c r="K95" i="9"/>
  <c r="Z16" i="9" s="1" a="1"/>
  <c r="Z16" i="9" s="1"/>
  <c r="J61" i="9" a="1"/>
  <c r="J61" i="9" s="1"/>
  <c r="B16" i="9"/>
  <c r="C97" i="9"/>
  <c r="R18" i="9" s="1" a="1"/>
  <c r="R18" i="9" s="1"/>
  <c r="D103" i="9"/>
  <c r="S24" i="9" s="1" a="1"/>
  <c r="S24" i="9" s="1"/>
  <c r="D91" i="9"/>
  <c r="S12" i="9" s="1" a="1"/>
  <c r="S12" i="9" s="1"/>
  <c r="L64" i="9" a="1"/>
  <c r="L64" i="9" s="1"/>
  <c r="A22" i="20"/>
  <c r="I72" i="9" a="1"/>
  <c r="I72" i="9" s="1"/>
  <c r="B3" i="9"/>
  <c r="E3" i="9" s="1"/>
  <c r="H63" i="9" a="1"/>
  <c r="H63" i="9" s="1"/>
  <c r="O57" i="9"/>
  <c r="M108" i="9"/>
  <c r="AB29" i="9" s="1" a="1"/>
  <c r="AB29" i="9" s="1"/>
  <c r="O66" i="9"/>
  <c r="F105" i="9"/>
  <c r="U26" i="9" s="1" a="1"/>
  <c r="U26" i="9" s="1"/>
  <c r="O51" i="9"/>
  <c r="G103" i="9"/>
  <c r="V24" i="9" s="1" a="1"/>
  <c r="V24" i="9" s="1"/>
  <c r="K91" i="9"/>
  <c r="Z12" i="9" s="1" a="1"/>
  <c r="Z12" i="9" s="1"/>
  <c r="K60" i="9" a="1"/>
  <c r="K60" i="9" s="1"/>
  <c r="O63" i="9"/>
  <c r="I104" i="9"/>
  <c r="X25" i="9" s="1" a="1"/>
  <c r="X25" i="9" s="1"/>
  <c r="L89" i="9"/>
  <c r="AA10" i="9" s="1" a="1"/>
  <c r="AA10" i="9" s="1"/>
  <c r="K63" i="9" a="1"/>
  <c r="K63" i="9" s="1"/>
  <c r="G69" i="9" a="1"/>
  <c r="G69" i="9" s="1"/>
  <c r="A19" i="20"/>
  <c r="O94" i="9"/>
  <c r="AD15" i="9" s="1"/>
  <c r="B12" i="20" s="1"/>
  <c r="H55" i="9" a="1"/>
  <c r="H55" i="9" s="1"/>
  <c r="H85" i="9"/>
  <c r="M91" i="9"/>
  <c r="AB12" i="9" s="1" a="1"/>
  <c r="AB12" i="9" s="1"/>
  <c r="E101" i="9"/>
  <c r="T22" i="9" s="1" a="1"/>
  <c r="T22" i="9" s="1"/>
  <c r="K75" i="9" a="1"/>
  <c r="K75" i="9" s="1"/>
  <c r="E107" i="9"/>
  <c r="T28" i="9" s="1" a="1"/>
  <c r="T28" i="9" s="1"/>
  <c r="H110" i="9"/>
  <c r="W31" i="9" s="1" a="1"/>
  <c r="W31" i="9" s="1"/>
  <c r="H93" i="9"/>
  <c r="AB15" i="9" a="1"/>
  <c r="AB15" i="9" s="1"/>
  <c r="O67" i="9"/>
  <c r="D101" i="9"/>
  <c r="S22" i="9" s="1" a="1"/>
  <c r="S22" i="9" s="1"/>
  <c r="D86" i="9"/>
  <c r="S7" i="9" s="1" a="1"/>
  <c r="S7" i="9" s="1"/>
  <c r="O97" i="9"/>
  <c r="AD18" i="9" s="1"/>
  <c r="B15" i="20" s="1"/>
  <c r="O88" i="9"/>
  <c r="AD9" i="9" s="1"/>
  <c r="B6" i="20" s="1"/>
  <c r="I90" i="9"/>
  <c r="D97" i="9"/>
  <c r="S18" i="9" s="1" a="1"/>
  <c r="S18" i="9" s="1"/>
  <c r="L105" i="9"/>
  <c r="G89" i="9"/>
  <c r="V10" i="9" s="1" a="1"/>
  <c r="V10" i="9" s="1"/>
  <c r="F88" i="9"/>
  <c r="U9" i="9" s="1" a="1"/>
  <c r="U9" i="9" s="1"/>
  <c r="O93" i="9"/>
  <c r="AD14" i="9" s="1"/>
  <c r="B11" i="20" s="1"/>
  <c r="AC35" i="9"/>
  <c r="AE35" i="9" s="1"/>
  <c r="C104" i="9"/>
  <c r="R25" i="9" s="1" a="1"/>
  <c r="R25" i="9" s="1"/>
  <c r="J100" i="9"/>
  <c r="L88" i="9"/>
  <c r="I70" i="9" a="1"/>
  <c r="I70" i="9" s="1"/>
  <c r="I64" i="9" a="1"/>
  <c r="I64" i="9" s="1"/>
  <c r="L101" i="9"/>
  <c r="K66" i="9" a="1"/>
  <c r="K66" i="9" s="1"/>
  <c r="J107" i="9"/>
  <c r="K61" i="9" a="1"/>
  <c r="K61" i="9" s="1"/>
  <c r="I87" i="9"/>
  <c r="K68" i="9" a="1"/>
  <c r="K68" i="9" s="1"/>
  <c r="D107" i="9"/>
  <c r="S28" i="9" s="1" a="1"/>
  <c r="S28" i="9" s="1"/>
  <c r="F87" i="9"/>
  <c r="U8" i="9" s="1" a="1"/>
  <c r="U8" i="9" s="1"/>
  <c r="J99" i="9"/>
  <c r="M66" i="9" a="1"/>
  <c r="M66" i="9" s="1"/>
  <c r="J89" i="9"/>
  <c r="E98" i="9"/>
  <c r="T19" i="9" s="1" a="1"/>
  <c r="T19" i="9" s="1"/>
  <c r="J73" i="9" a="1"/>
  <c r="J73" i="9" s="1"/>
  <c r="M68" i="9" a="1"/>
  <c r="M68" i="9" s="1"/>
  <c r="D93" i="9"/>
  <c r="S14" i="9" s="1" a="1"/>
  <c r="S14" i="9" s="1"/>
  <c r="G73" i="9" a="1"/>
  <c r="G73" i="9" s="1"/>
  <c r="J91" i="9"/>
  <c r="Y12" i="9" s="1" a="1"/>
  <c r="Y12" i="9" s="1"/>
  <c r="I96" i="9"/>
  <c r="L55" i="9" a="1"/>
  <c r="L55" i="9" s="1"/>
  <c r="L53" i="9" a="1"/>
  <c r="L53" i="9" s="1"/>
  <c r="L97" i="9"/>
  <c r="J87" i="9"/>
  <c r="Y8" i="9" s="1" a="1"/>
  <c r="Y8" i="9" s="1"/>
  <c r="C103" i="9"/>
  <c r="R24" i="9" s="1" a="1"/>
  <c r="R24" i="9" s="1"/>
  <c r="O62" i="9"/>
  <c r="L108" i="9"/>
  <c r="AA29" i="9" s="1" a="1"/>
  <c r="AA29" i="9" s="1"/>
  <c r="C102" i="9"/>
  <c r="R23" i="9" s="1" a="1"/>
  <c r="R23" i="9" s="1"/>
  <c r="J108" i="9"/>
  <c r="F86" i="9"/>
  <c r="U7" i="9" s="1" a="1"/>
  <c r="U7" i="9" s="1"/>
  <c r="J103" i="9"/>
  <c r="M98" i="9"/>
  <c r="D102" i="9"/>
  <c r="S23" i="9" s="1" a="1"/>
  <c r="S23" i="9" s="1"/>
  <c r="L56" i="9" a="1"/>
  <c r="L56" i="9" s="1"/>
  <c r="D88" i="9"/>
  <c r="S9" i="9" s="1" a="1"/>
  <c r="S9" i="9" s="1"/>
  <c r="U30" i="9" a="1"/>
  <c r="U30" i="9" s="1"/>
  <c r="E95" i="9"/>
  <c r="T16" i="9" s="1" a="1"/>
  <c r="T16" i="9" s="1"/>
  <c r="I57" i="9" a="1"/>
  <c r="I57" i="9" s="1"/>
  <c r="J70" i="9" a="1"/>
  <c r="J70" i="9" s="1"/>
  <c r="L100" i="9"/>
  <c r="AA21" i="9" s="1" a="1"/>
  <c r="AA21" i="9" s="1"/>
  <c r="J50" i="9" a="1"/>
  <c r="J50" i="9" s="1"/>
  <c r="J56" i="9" a="1"/>
  <c r="J56" i="9" s="1"/>
  <c r="M72" i="9" a="1"/>
  <c r="M72" i="9" s="1"/>
  <c r="I73" i="9" a="1"/>
  <c r="I73" i="9" s="1"/>
  <c r="H58" i="9" a="1"/>
  <c r="H58" i="9" s="1"/>
  <c r="H64" i="9" a="1"/>
  <c r="H64" i="9" s="1"/>
  <c r="K59" i="9" a="1"/>
  <c r="K59" i="9" s="1"/>
  <c r="L58" i="9" a="1"/>
  <c r="L58" i="9" s="1"/>
  <c r="E86" i="9"/>
  <c r="T7" i="9" s="1" a="1"/>
  <c r="T7" i="9" s="1"/>
  <c r="J106" i="9"/>
  <c r="A15" i="20"/>
  <c r="C12" i="10"/>
  <c r="D474" i="17"/>
  <c r="N6" i="17"/>
  <c r="G14" i="15"/>
  <c r="H24" i="7"/>
  <c r="J37" i="14"/>
  <c r="C12" i="8" s="1"/>
  <c r="D38" i="14"/>
  <c r="C10" i="8" s="1"/>
  <c r="I37" i="12"/>
  <c r="C43" i="12"/>
  <c r="D38" i="18"/>
  <c r="C11" i="8" s="1"/>
  <c r="H111" i="6"/>
  <c r="E38" i="18"/>
  <c r="I27" i="6"/>
  <c r="I111" i="6" s="1"/>
  <c r="D2" i="2"/>
  <c r="H89" i="1" l="1"/>
  <c r="H104" i="1"/>
  <c r="H160" i="1"/>
  <c r="H163" i="1"/>
  <c r="H65" i="1"/>
  <c r="H84" i="1"/>
  <c r="H61" i="1"/>
  <c r="H151" i="1"/>
  <c r="H98" i="1"/>
  <c r="H139" i="1"/>
  <c r="H86" i="1"/>
  <c r="E13" i="9"/>
  <c r="C11" i="9"/>
  <c r="E9" i="8"/>
  <c r="E12" i="8"/>
  <c r="E5" i="8"/>
  <c r="E6" i="8"/>
  <c r="E8" i="8"/>
  <c r="E4" i="8"/>
  <c r="E13" i="8"/>
  <c r="E10" i="8"/>
  <c r="H127" i="1"/>
  <c r="H150" i="1"/>
  <c r="C8" i="9"/>
  <c r="C6" i="9"/>
  <c r="M49" i="9" a="1"/>
  <c r="M49" i="9" s="1"/>
  <c r="C12" i="9"/>
  <c r="C4" i="9"/>
  <c r="N7" i="17"/>
  <c r="P7" i="17" s="1"/>
  <c r="F474" i="17"/>
  <c r="H120" i="1"/>
  <c r="H69" i="1"/>
  <c r="H67" i="1"/>
  <c r="H119" i="1"/>
  <c r="H134" i="1"/>
  <c r="H132" i="1"/>
  <c r="H129" i="1"/>
  <c r="H124" i="1"/>
  <c r="H116" i="1"/>
  <c r="H112" i="1"/>
  <c r="H154" i="1"/>
  <c r="H158" i="1"/>
  <c r="H148" i="1"/>
  <c r="E84" i="9"/>
  <c r="T5" i="9" s="1" a="1"/>
  <c r="T5" i="9" s="1"/>
  <c r="D49" i="9" a="1"/>
  <c r="D49" i="9" s="1"/>
  <c r="L84" i="9"/>
  <c r="AA5" i="9" s="1" a="1"/>
  <c r="AA5" i="9" s="1"/>
  <c r="C17" i="9"/>
  <c r="B2" i="9"/>
  <c r="E2" i="9" s="1"/>
  <c r="I84" i="9"/>
  <c r="X5" i="9" s="1" a="1"/>
  <c r="X5" i="9" s="1"/>
  <c r="N76" i="9"/>
  <c r="P76" i="9" s="1"/>
  <c r="W32" i="9" a="1"/>
  <c r="W32" i="9" s="1"/>
  <c r="AC32" i="9" s="1"/>
  <c r="AE32" i="9" s="1"/>
  <c r="N111" i="9"/>
  <c r="P111" i="9" s="1"/>
  <c r="E14" i="9"/>
  <c r="N54" i="9"/>
  <c r="P54" i="9" s="1"/>
  <c r="N67" i="9"/>
  <c r="P67" i="9" s="1"/>
  <c r="D10" i="19" a="1"/>
  <c r="D10" i="19" s="1"/>
  <c r="C12" i="19" a="1"/>
  <c r="C12" i="19" s="1"/>
  <c r="K49" i="9" a="1"/>
  <c r="K49" i="9" s="1"/>
  <c r="E49" i="9" a="1"/>
  <c r="E49" i="9" s="1"/>
  <c r="N94" i="9"/>
  <c r="P94" i="9" s="1"/>
  <c r="C5" i="9"/>
  <c r="N57" i="9"/>
  <c r="P57" i="9" s="1"/>
  <c r="E18" i="19" a="1"/>
  <c r="E18" i="19" s="1"/>
  <c r="D12" i="19" a="1"/>
  <c r="D12" i="19" s="1"/>
  <c r="D14" i="19" a="1"/>
  <c r="D14" i="19" s="1"/>
  <c r="N51" i="9"/>
  <c r="P51" i="9" s="1"/>
  <c r="D8" i="19" a="1"/>
  <c r="D8" i="19" s="1"/>
  <c r="C7" i="9"/>
  <c r="N86" i="9"/>
  <c r="P86" i="9" s="1"/>
  <c r="Y15" i="9" a="1"/>
  <c r="Y15" i="9" s="1"/>
  <c r="AC15" i="9" s="1"/>
  <c r="AE15" i="9" s="1"/>
  <c r="C12" i="20" s="1"/>
  <c r="O49" i="9"/>
  <c r="G49" i="9" a="1"/>
  <c r="G49" i="9" s="1"/>
  <c r="H49" i="9" a="1"/>
  <c r="H49" i="9" s="1"/>
  <c r="C14" i="19" a="1"/>
  <c r="C14" i="19" s="1"/>
  <c r="C49" i="9" a="1"/>
  <c r="C49" i="9" s="1"/>
  <c r="J49" i="9" a="1"/>
  <c r="J49" i="9" s="1"/>
  <c r="C10" i="9"/>
  <c r="C84" i="9"/>
  <c r="R5" i="9" s="1" a="1"/>
  <c r="R5" i="9" s="1"/>
  <c r="N109" i="9"/>
  <c r="P109" i="9" s="1"/>
  <c r="F84" i="9"/>
  <c r="U5" i="9" s="1" a="1"/>
  <c r="U5" i="9" s="1"/>
  <c r="M84" i="9"/>
  <c r="AB5" i="9" s="1" a="1"/>
  <c r="AB5" i="9" s="1"/>
  <c r="H84" i="9"/>
  <c r="W5" i="9" s="1" a="1"/>
  <c r="W5" i="9" s="1"/>
  <c r="L49" i="9" a="1"/>
  <c r="L49" i="9" s="1"/>
  <c r="J84" i="9"/>
  <c r="Y5" i="9" s="1" a="1"/>
  <c r="Y5" i="9" s="1"/>
  <c r="O84" i="9"/>
  <c r="AD5" i="9" s="1"/>
  <c r="B2" i="20" s="1"/>
  <c r="G84" i="9"/>
  <c r="V5" i="9" s="1" a="1"/>
  <c r="V5" i="9" s="1"/>
  <c r="AC13" i="9"/>
  <c r="AE13" i="9" s="1"/>
  <c r="C10" i="20" s="1"/>
  <c r="D84" i="9"/>
  <c r="S5" i="9" s="1" a="1"/>
  <c r="S5" i="9" s="1"/>
  <c r="N92" i="9"/>
  <c r="P92" i="9" s="1"/>
  <c r="F49" i="9" a="1"/>
  <c r="F49" i="9" s="1"/>
  <c r="K84" i="9"/>
  <c r="Z5" i="9" s="1" a="1"/>
  <c r="Z5" i="9" s="1"/>
  <c r="N52" i="9"/>
  <c r="P52" i="9" s="1"/>
  <c r="N62" i="9"/>
  <c r="P62" i="9" s="1"/>
  <c r="N75" i="9"/>
  <c r="P75" i="9" s="1"/>
  <c r="E15" i="9"/>
  <c r="N105" i="9"/>
  <c r="P105" i="9" s="1"/>
  <c r="C18" i="9"/>
  <c r="N65" i="9"/>
  <c r="P65" i="9" s="1"/>
  <c r="N53" i="9"/>
  <c r="P53" i="9" s="1"/>
  <c r="N71" i="9"/>
  <c r="P71" i="9" s="1"/>
  <c r="AC30" i="9"/>
  <c r="AE30" i="9" s="1"/>
  <c r="C27" i="20" s="1"/>
  <c r="C3" i="9"/>
  <c r="AC31" i="9"/>
  <c r="AE31" i="9" s="1"/>
  <c r="C28" i="20" s="1"/>
  <c r="N69" i="9"/>
  <c r="P69" i="9" s="1"/>
  <c r="N102" i="9"/>
  <c r="P102" i="9" s="1"/>
  <c r="N110" i="9"/>
  <c r="P110" i="9" s="1"/>
  <c r="AC7" i="9"/>
  <c r="AE7" i="9" s="1"/>
  <c r="AC23" i="9"/>
  <c r="AE23" i="9" s="1"/>
  <c r="C20" i="20" s="1"/>
  <c r="N59" i="9"/>
  <c r="P59" i="9" s="1"/>
  <c r="N50" i="9"/>
  <c r="P50" i="9" s="1"/>
  <c r="N56" i="9"/>
  <c r="P56" i="9" s="1"/>
  <c r="AC16" i="9"/>
  <c r="AE16" i="9" s="1"/>
  <c r="C13" i="20" s="1"/>
  <c r="N91" i="9"/>
  <c r="P91" i="9" s="1"/>
  <c r="N66" i="9"/>
  <c r="P66" i="9" s="1"/>
  <c r="N60" i="9"/>
  <c r="P60" i="9" s="1"/>
  <c r="N61" i="9"/>
  <c r="P61" i="9" s="1"/>
  <c r="N63" i="9"/>
  <c r="P63" i="9" s="1"/>
  <c r="AC25" i="9"/>
  <c r="AE25" i="9" s="1"/>
  <c r="C22" i="20" s="1"/>
  <c r="N55" i="9"/>
  <c r="P55" i="9" s="1"/>
  <c r="AC12" i="9"/>
  <c r="AE12" i="9" s="1"/>
  <c r="C9" i="20" s="1"/>
  <c r="N64" i="9"/>
  <c r="P64" i="9" s="1"/>
  <c r="N72" i="9"/>
  <c r="P72" i="9" s="1"/>
  <c r="E16" i="9"/>
  <c r="C16" i="9"/>
  <c r="C9" i="9"/>
  <c r="E9" i="9"/>
  <c r="N85" i="9"/>
  <c r="P85" i="9" s="1"/>
  <c r="W6" i="9" a="1"/>
  <c r="W6" i="9" s="1"/>
  <c r="AC6" i="9" s="1"/>
  <c r="AE6" i="9" s="1"/>
  <c r="C3" i="20" s="1"/>
  <c r="AA26" i="9" a="1"/>
  <c r="AA26" i="9" s="1"/>
  <c r="AC26" i="9" s="1"/>
  <c r="AE26" i="9" s="1"/>
  <c r="C23" i="20" s="1"/>
  <c r="N104" i="9"/>
  <c r="P104" i="9" s="1"/>
  <c r="N95" i="9"/>
  <c r="P95" i="9" s="1"/>
  <c r="W14" i="9" a="1"/>
  <c r="W14" i="9" s="1"/>
  <c r="AC14" i="9" s="1"/>
  <c r="AE14" i="9" s="1"/>
  <c r="C11" i="20" s="1"/>
  <c r="N93" i="9"/>
  <c r="P93" i="9" s="1"/>
  <c r="N74" i="9"/>
  <c r="P74" i="9" s="1"/>
  <c r="X11" i="9" a="1"/>
  <c r="X11" i="9" s="1"/>
  <c r="AC11" i="9" s="1"/>
  <c r="AE11" i="9" s="1"/>
  <c r="C8" i="20" s="1"/>
  <c r="N90" i="9"/>
  <c r="P90" i="9" s="1"/>
  <c r="N68" i="9"/>
  <c r="P68" i="9" s="1"/>
  <c r="N70" i="9"/>
  <c r="P70" i="9" s="1"/>
  <c r="Y20" i="9" a="1"/>
  <c r="Y20" i="9" s="1"/>
  <c r="AC20" i="9" s="1"/>
  <c r="AE20" i="9" s="1"/>
  <c r="C17" i="20" s="1"/>
  <c r="N99" i="9"/>
  <c r="P99" i="9" s="1"/>
  <c r="N88" i="9"/>
  <c r="P88" i="9" s="1"/>
  <c r="AA9" i="9" a="1"/>
  <c r="AA9" i="9" s="1"/>
  <c r="AC9" i="9" s="1"/>
  <c r="AE9" i="9" s="1"/>
  <c r="C6" i="20" s="1"/>
  <c r="N73" i="9"/>
  <c r="P73" i="9" s="1"/>
  <c r="X8" i="9" a="1"/>
  <c r="X8" i="9" s="1"/>
  <c r="AC8" i="9" s="1"/>
  <c r="AE8" i="9" s="1"/>
  <c r="C5" i="20" s="1"/>
  <c r="N87" i="9"/>
  <c r="P87" i="9" s="1"/>
  <c r="Y21" i="9" a="1"/>
  <c r="Y21" i="9" s="1"/>
  <c r="AC21" i="9" s="1"/>
  <c r="AE21" i="9" s="1"/>
  <c r="C18" i="20" s="1"/>
  <c r="N100" i="9"/>
  <c r="P100" i="9" s="1"/>
  <c r="Y28" i="9" a="1"/>
  <c r="Y28" i="9" s="1"/>
  <c r="AC28" i="9" s="1"/>
  <c r="AE28" i="9" s="1"/>
  <c r="C25" i="20" s="1"/>
  <c r="N107" i="9"/>
  <c r="P107" i="9" s="1"/>
  <c r="Y29" i="9" a="1"/>
  <c r="Y29" i="9" s="1"/>
  <c r="AC29" i="9" s="1"/>
  <c r="AE29" i="9" s="1"/>
  <c r="C26" i="20" s="1"/>
  <c r="N108" i="9"/>
  <c r="P108" i="9" s="1"/>
  <c r="N58" i="9"/>
  <c r="P58" i="9" s="1"/>
  <c r="AB19" i="9" a="1"/>
  <c r="AB19" i="9" s="1"/>
  <c r="AC19" i="9" s="1"/>
  <c r="AE19" i="9" s="1"/>
  <c r="C16" i="20" s="1"/>
  <c r="N98" i="9"/>
  <c r="P98" i="9" s="1"/>
  <c r="Y10" i="9" a="1"/>
  <c r="Y10" i="9" s="1"/>
  <c r="AC10" i="9" s="1"/>
  <c r="AE10" i="9" s="1"/>
  <c r="C7" i="20" s="1"/>
  <c r="N89" i="9"/>
  <c r="P89" i="9" s="1"/>
  <c r="AA22" i="9" a="1"/>
  <c r="AA22" i="9" s="1"/>
  <c r="AC22" i="9" s="1"/>
  <c r="AE22" i="9" s="1"/>
  <c r="C19" i="20" s="1"/>
  <c r="N101" i="9"/>
  <c r="P101" i="9" s="1"/>
  <c r="Y24" i="9" a="1"/>
  <c r="Y24" i="9" s="1"/>
  <c r="AC24" i="9" s="1"/>
  <c r="AE24" i="9" s="1"/>
  <c r="C21" i="20" s="1"/>
  <c r="N103" i="9"/>
  <c r="P103" i="9" s="1"/>
  <c r="AA18" i="9" a="1"/>
  <c r="AA18" i="9" s="1"/>
  <c r="AC18" i="9" s="1"/>
  <c r="AE18" i="9" s="1"/>
  <c r="C15" i="20" s="1"/>
  <c r="N97" i="9"/>
  <c r="P97" i="9" s="1"/>
  <c r="X17" i="9" a="1"/>
  <c r="X17" i="9" s="1"/>
  <c r="AC17" i="9" s="1"/>
  <c r="AE17" i="9" s="1"/>
  <c r="C14" i="20" s="1"/>
  <c r="N96" i="9"/>
  <c r="P96" i="9" s="1"/>
  <c r="Y27" i="9" a="1"/>
  <c r="Y27" i="9" s="1"/>
  <c r="AC27" i="9" s="1"/>
  <c r="AE27" i="9" s="1"/>
  <c r="C24" i="20" s="1"/>
  <c r="N106" i="9"/>
  <c r="P106" i="9" s="1"/>
  <c r="K5" i="17"/>
  <c r="K6" i="17" s="1"/>
  <c r="F38" i="18"/>
  <c r="C14" i="8"/>
  <c r="C4" i="10" s="1"/>
  <c r="C15" i="10" s="1"/>
  <c r="C17" i="10" s="1"/>
  <c r="E11" i="8"/>
  <c r="E14" i="8" l="1"/>
  <c r="C19" i="10"/>
  <c r="C2" i="9"/>
  <c r="E20" i="19" a="1"/>
  <c r="E20" i="19" s="1"/>
  <c r="E12" i="19"/>
  <c r="E14" i="19"/>
  <c r="N49" i="9"/>
  <c r="P49" i="9" s="1"/>
  <c r="N84" i="9"/>
  <c r="P84" i="9" s="1"/>
  <c r="AC5" i="9"/>
  <c r="AE5" i="9" s="1"/>
  <c r="C2" i="20" s="1"/>
  <c r="C4" i="20"/>
  <c r="E16" i="19" l="1"/>
  <c r="C21" i="9"/>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<sst xmlns="http://schemas.openxmlformats.org/spreadsheetml/2006/main" count="2433" uniqueCount="520">
  <si>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</si>
  <si>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</si>
  <si>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</si>
  <si>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</si>
  <si>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</si>
  <si>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</si>
  <si>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</si>
  <si>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</si>
  <si>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</si>
  <si>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</si>
  <si>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</si>
  <si>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</si>
  <si>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</si>
  <si>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</si>
  <si>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</si>
  <si>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</si>
  <si>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</si>
  <si>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</si>
  <si>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</si>
  <si>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</si>
  <si>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</si>
  <si>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</si>
  <si>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</si>
  <si>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</si>
  <si>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</si>
  <si>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</si>
  <si>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</si>
  <si>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</si>
  <si>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</si>
  <si>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</si>
  <si>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</si>
  <si>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</si>
  <si>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</si>
  <si>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</si>
  <si>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</si>
  <si>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</si>
  <si>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</si>
  <si>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</si>
  <si>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</si>
  <si>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</si>
  <si>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</si>
  <si>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</si>
  <si>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</si>
  <si>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</si>
  <si>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</si>
  <si>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</si>
  <si>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</si>
  <si>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</si>
  <si>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</si>
  <si>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</si>
  <si>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</si>
  <si>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</si>
  <si>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</si>
  <si>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</si>
  <si>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</si>
  <si>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</si>
  <si>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</si>
  <si>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</si>
  <si>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</si>
  <si>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</si>
  <si>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</si>
  <si>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</si>
  <si>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</si>
  <si>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</si>
  <si>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</si>
  <si>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</si>
  <si>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</si>
  <si>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</si>
  <si>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</si>
  <si>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</si>
  <si>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</si>
  <si>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</si>
  <si>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</si>
  <si>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</si>
  <si>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</si>
  <si>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</si>
  <si>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</si>
  <si>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</si>
  <si>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</si>
  <si>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</si>
  <si>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</si>
  <si>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</si>
  <si>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</si>
  <si>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</si>
  <si>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</si>
  <si>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</si>
  <si>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</si>
  <si>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</si>
  <si>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</si>
  <si>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</si>
  <si>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</si>
  <si>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</si>
  <si>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</si>
  <si>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</si>
  <si>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</si>
  <si>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</si>
  <si>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</si>
  <si>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</si>
  <si>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</si>
  <si>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</si>
  <si>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</si>
  <si>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</si>
  <si>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</si>
  <si>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</si>
  <si>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</si>
  <si>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</si>
  <si>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</si>
  <si>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</si>
  <si>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</si>
  <si>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</si>
  <si>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</si>
  <si>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</si>
  <si>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</si>
  <si>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</si>
  <si>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</si>
  <si>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</si>
  <si>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</si>
  <si>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</si>
  <si>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</si>
  <si>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</si>
  <si>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</si>
  <si>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</si>
  <si>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</si>
  <si>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</si>
  <si>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</si>
  <si>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</si>
  <si>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</si>
  <si>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</si>
  <si>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</si>
  <si>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</si>
  <si>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</si>
  <si>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</si>
  <si>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</si>
  <si>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</si>
  <si>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</si>
  <si>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</si>
  <si>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</si>
  <si>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</si>
  <si>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</si>
  <si>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</si>
  <si>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</si>
  <si>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</si>
  <si>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</si>
  <si>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</si>
  <si>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</si>
  <si>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</si>
  <si>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</si>
  <si>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</si>
  <si>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</si>
  <si>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</si>
  <si>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</si>
  <si>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</si>
  <si>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</si>
  <si>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</si>
  <si>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</si>
  <si>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</si>
  <si>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</si>
  <si>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</si>
  <si>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</si>
  <si>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</si>
  <si>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</si>
  <si>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</si>
  <si>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</si>
  <si>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</si>
  <si>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</si>
  <si>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</si>
  <si>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</si>
  <si>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</si>
  <si>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</si>
  <si>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</si>
  <si>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</si>
  <si>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</si>
  <si>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</si>
  <si>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</si>
  <si>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</si>
  <si>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</si>
  <si>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</si>
  <si>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</si>
  <si>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</si>
  <si>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</si>
  <si>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</si>
  <si>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</si>
  <si>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</si>
  <si>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</si>
  <si>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</si>
  <si>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</si>
  <si>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</si>
  <si>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</si>
  <si>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</si>
  <si>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</si>
  <si>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</si>
  <si>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</si>
  <si>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</si>
  <si>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</si>
  <si>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</si>
  <si>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</si>
  <si>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</si>
  <si>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</si>
  <si>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</si>
  <si>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</si>
  <si>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</si>
  <si>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</si>
  <si>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</si>
  <si>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</si>
  <si>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</si>
  <si>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</si>
  <si>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</si>
  <si>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</si>
  <si>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</si>
  <si>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</si>
  <si>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</si>
  <si>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</si>
  <si>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</si>
  <si>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</si>
  <si>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</si>
  <si>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</si>
  <si>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</si>
  <si>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</si>
  <si>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</si>
  <si>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</si>
  <si>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</si>
  <si>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</si>
  <si>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</si>
  <si>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</si>
  <si>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</si>
  <si>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</si>
  <si>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</si>
  <si>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</si>
  <si>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</si>
  <si>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</si>
  <si>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</si>
  <si>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</si>
  <si>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</si>
  <si>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</si>
  <si>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</si>
  <si>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</si>
  <si>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</si>
  <si>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</si>
  <si>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</si>
  <si>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</si>
  <si>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</si>
  <si>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</si>
  <si>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</si>
  <si>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</si>
  <si>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</si>
  <si>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</si>
  <si>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</si>
  <si>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</si>
  <si>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</si>
  <si>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</si>
  <si>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</si>
  <si>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</si>
  <si>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</si>
  <si>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</si>
  <si>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</si>
  <si>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</si>
  <si>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</si>
  <si>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</si>
  <si>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</si>
  <si>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</si>
  <si>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</si>
  <si>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</si>
  <si>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</si>
  <si>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</si>
  <si>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</si>
  <si>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</si>
  <si>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</si>
  <si>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</si>
  <si>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</si>
  <si>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</si>
  <si>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</si>
  <si>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</si>
  <si>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</si>
  <si>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</si>
  <si>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</si>
  <si>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</si>
  <si>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</si>
  <si>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</si>
  <si>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</si>
  <si>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</si>
  <si>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</si>
  <si>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</si>
  <si>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</si>
  <si>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</si>
  <si>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</si>
  <si>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</si>
  <si>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</si>
  <si>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</si>
  <si>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</si>
  <si>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</si>
  <si>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</si>
  <si>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</si>
  <si>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</si>
  <si>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</si>
  <si>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</si>
  <si>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</si>
  <si>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</si>
  <si>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</si>
  <si>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</si>
  <si>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</si>
  <si>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</si>
  <si>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</si>
  <si>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</si>
  <si>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</si>
  <si>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</si>
  <si>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</si>
  <si>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</si>
  <si>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</si>
  <si>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</si>
  <si>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</si>
  <si>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</si>
  <si>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</si>
  <si>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</si>
  <si>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</si>
  <si>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</si>
  <si>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</si>
  <si>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</si>
  <si>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</si>
  <si>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</si>
  <si>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</si>
  <si>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</si>
  <si>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</si>
  <si>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</si>
  <si>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</si>
  <si>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</si>
  <si>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</si>
  <si>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</si>
  <si>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</si>
  <si>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</si>
  <si>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</si>
  <si>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</si>
  <si>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</si>
  <si>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</si>
  <si>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</si>
  <si>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</si>
  <si>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</si>
  <si>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</si>
  <si>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</si>
  <si>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</si>
  <si>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</si>
  <si>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</si>
  <si>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</si>
  <si>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</si>
  <si>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</si>
  <si>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</si>
  <si>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</si>
  <si>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</si>
  <si>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</si>
  <si>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</si>
  <si>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</si>
  <si>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</si>
  <si>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</si>
  <si>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</si>
  <si>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</si>
  <si>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</si>
  <si>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</si>
  <si>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</si>
  <si>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</si>
  <si>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</si>
  <si>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</si>
  <si>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</si>
  <si>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</si>
  <si>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</si>
  <si>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</si>
  <si>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</si>
  <si>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</si>
  <si>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</si>
  <si>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</si>
  <si>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</si>
  <si>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</si>
  <si>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</si>
  <si>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</si>
  <si>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</si>
  <si>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</si>
  <si>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</si>
  <si>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</si>
  <si>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</si>
  <si>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</si>
  <si>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</si>
  <si>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</si>
  <si>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</si>
  <si>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</si>
  <si>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</si>
  <si>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</si>
  <si>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</si>
  <si>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</si>
  <si>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</si>
  <si>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</si>
  <si>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</si>
  <si>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</si>
  <si>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</si>
  <si>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</si>
  <si>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</si>
  <si>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</si>
  <si>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</si>
  <si>
    <t>Environment</t>
  </si>
  <si>
    <t>katai</t>
  </si>
  <si>
    <t>package khalid sahab</t>
  </si>
  <si>
    <t>TID:861746</t>
  </si>
  <si>
    <t>bulbs x22</t>
  </si>
  <si>
    <t>silicone</t>
  </si>
  <si>
    <t>taps</t>
  </si>
  <si>
    <t>TID:362678</t>
  </si>
  <si>
    <t>khalid sahab</t>
  </si>
  <si>
    <t>45+5k (23/12)</t>
  </si>
  <si>
    <t>Naeem Electric</t>
  </si>
  <si>
    <t>Cash BSC</t>
  </si>
  <si>
    <t>puncture</t>
  </si>
  <si>
    <t>Badshah Fabrics (50k cash)</t>
  </si>
  <si>
    <t>Balance Nill</t>
  </si>
  <si>
    <t>Aslam Multani</t>
  </si>
  <si>
    <t>Soda/H202</t>
  </si>
  <si>
    <t>TID:182924</t>
  </si>
  <si>
    <t>TID:121641</t>
  </si>
  <si>
    <t>TID:465532</t>
  </si>
  <si>
    <t>Taha meezan</t>
  </si>
  <si>
    <t>Master Abid</t>
  </si>
  <si>
    <t>TID:491231</t>
  </si>
  <si>
    <t>TID:146402</t>
  </si>
  <si>
    <t>bike</t>
  </si>
  <si>
    <t>CAR</t>
  </si>
  <si>
    <t>iqbal Fitter</t>
  </si>
  <si>
    <t>Ali Raza</t>
  </si>
  <si>
    <t>Altaf Stenter</t>
  </si>
  <si>
    <t>aslam Multani</t>
  </si>
  <si>
    <t>Folding sirhi</t>
  </si>
  <si>
    <t>electric</t>
  </si>
  <si>
    <t>Umar Farooq</t>
  </si>
  <si>
    <t>TID:331115</t>
  </si>
  <si>
    <t>TID:983873</t>
  </si>
  <si>
    <t>TID:647849</t>
  </si>
  <si>
    <t>TID:381663</t>
  </si>
  <si>
    <t>TID:292148</t>
  </si>
  <si>
    <t>chain</t>
  </si>
  <si>
    <t>High Temp oil Boiler</t>
  </si>
  <si>
    <t>TID:831740</t>
  </si>
  <si>
    <t>TID:776327</t>
  </si>
  <si>
    <t>Gauhar Kashif</t>
  </si>
  <si>
    <t>TID:548559</t>
  </si>
  <si>
    <t>TID:117228</t>
  </si>
  <si>
    <t>Meezan</t>
  </si>
  <si>
    <t>Badshah Adjust 230k</t>
  </si>
  <si>
    <t>Master Tanveer 50+50</t>
  </si>
  <si>
    <t>Master Tanveer</t>
  </si>
  <si>
    <t>T Blue</t>
  </si>
  <si>
    <t>Dyes//tblue+3R</t>
  </si>
  <si>
    <t>B70</t>
  </si>
  <si>
    <t>Grinder fix</t>
  </si>
  <si>
    <t>petrol cash</t>
  </si>
  <si>
    <t>car</t>
  </si>
  <si>
    <t>TID:359506</t>
  </si>
  <si>
    <t>TID:676403</t>
  </si>
  <si>
    <t>TID:611173</t>
  </si>
  <si>
    <t>diesel</t>
  </si>
  <si>
    <t>TID:132206</t>
  </si>
  <si>
    <t>TID:254248</t>
  </si>
  <si>
    <t>TID:953731</t>
  </si>
  <si>
    <t>cement</t>
  </si>
  <si>
    <t>TID:640899</t>
  </si>
  <si>
    <t>TID:518089</t>
  </si>
  <si>
    <t>TID:134405</t>
  </si>
  <si>
    <t>finish</t>
  </si>
  <si>
    <t>Starch 10 bags</t>
  </si>
  <si>
    <t>raksha karaya</t>
  </si>
  <si>
    <t>TID:876803</t>
  </si>
  <si>
    <t>RED F3BS</t>
  </si>
  <si>
    <t>abid ghafoor</t>
  </si>
  <si>
    <t>TID:434978</t>
  </si>
  <si>
    <t>Karaya-Rifatullah</t>
  </si>
  <si>
    <t>TID:674644</t>
  </si>
  <si>
    <t>TID:808898</t>
  </si>
  <si>
    <t>TID:196599</t>
  </si>
  <si>
    <t>100+99+94+400</t>
  </si>
  <si>
    <t>TID:562588</t>
  </si>
  <si>
    <t>TID:899154</t>
  </si>
  <si>
    <t>TID:134619</t>
  </si>
  <si>
    <t>master abid</t>
  </si>
  <si>
    <t>general</t>
  </si>
  <si>
    <t>1344-a</t>
  </si>
  <si>
    <t>1344-b</t>
  </si>
  <si>
    <t>1344-c</t>
  </si>
  <si>
    <t>2007-a</t>
  </si>
  <si>
    <t>IDS 2165</t>
  </si>
  <si>
    <t>gauhar kashif</t>
  </si>
  <si>
    <t>master Tanveer</t>
  </si>
  <si>
    <t>Nasir opt</t>
  </si>
  <si>
    <t>ali hasnain helper stenter</t>
  </si>
  <si>
    <t>shoaib</t>
  </si>
  <si>
    <t>Ashraf Guard</t>
  </si>
  <si>
    <t>100x3</t>
  </si>
  <si>
    <t>TID:469135</t>
  </si>
  <si>
    <t>TID:956033</t>
  </si>
  <si>
    <t>TID:127303</t>
  </si>
  <si>
    <t>optix</t>
  </si>
  <si>
    <t>starch karaya</t>
  </si>
  <si>
    <t>hafiz qureshi 253</t>
  </si>
  <si>
    <t>TID:532307</t>
  </si>
  <si>
    <t>TID:366911</t>
  </si>
  <si>
    <t>oarts</t>
  </si>
  <si>
    <t>TID:854707</t>
  </si>
  <si>
    <t>belts 16inch</t>
  </si>
  <si>
    <t>TID:341685</t>
  </si>
  <si>
    <t>starch</t>
  </si>
  <si>
    <t>nut bolts</t>
  </si>
  <si>
    <t>TID:822769</t>
  </si>
  <si>
    <t>Kora sale 2189/58</t>
  </si>
  <si>
    <t>imran jet</t>
  </si>
  <si>
    <t>kora karaya</t>
  </si>
  <si>
    <t>welder</t>
  </si>
  <si>
    <t>taha</t>
  </si>
  <si>
    <t>pin nuts</t>
  </si>
  <si>
    <t>nuts</t>
  </si>
  <si>
    <t>TID:090184</t>
  </si>
  <si>
    <t>TID:879536</t>
  </si>
  <si>
    <t>TID:293867</t>
  </si>
  <si>
    <t>TID:812711</t>
  </si>
  <si>
    <t>accord fuel pump</t>
  </si>
  <si>
    <t>TID:971130</t>
  </si>
  <si>
    <t>coke ahmad</t>
  </si>
  <si>
    <t>TLH 569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</si>
</sst>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2"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65" fontId="0" fillId="8" borderId="0" xfId="1" applyNumberFormat="1" applyFont="1" applyFill="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5">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microsoft.com/office/2017/10/relationships/person" Target="persons/perso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571026</xdr:colOff>
      <xdr:row>7</xdr:row>
      <xdr:rowOff>43181</xdr:rowOff>
    </xdr:from>
    <xdr:to>
      <xdr:col>13</xdr:col>
      <xdr:colOff>456468</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269315</xdr:colOff>
      <xdr:row>12</xdr:row>
      <xdr:rowOff>138748</xdr:rowOff>
    </xdr:from>
    <xdr:to>
      <xdr:col>14</xdr:col>
      <xdr:colOff>592211</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7427462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7.13299085648" createdVersion="8" refreshedVersion="8" minRefreshableVersion="3" recordCount="164" xr:uid="{46CBB50D-3613-4E5B-8212-DD0313DCD05A}">
  <cacheSource type="worksheet">
    <worksheetSource name="Table1"/>
  </cacheSource>
  <cacheFields count="14">
    <cacheField name="Date" numFmtId="0">
      <sharedItems containsSemiMixedTypes="0" containsNonDate="0" containsDate="1" containsString="0" minDate="2025-11-18T00:00:00" maxDate="2026-01-15T00:00:00"/>
    </cacheField>
    <cacheField name="Party Name" numFmtId="0">
      <sharedItems containsBlank="1" count="34">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s v="Gauhar Kashif"/>
        <m/>
        <s v="YING" u="1"/>
        <s v="Meow" u="1"/>
        <s v="Umer Sb" u="1"/>
        <s v="-" u="1"/>
        <s v="Sajjad" u="1"/>
        <s v="Haji Ejaz" u="1"/>
      </sharedItems>
    </cacheField>
    <cacheField name="Bill Number" numFmtId="0">
      <sharedItems containsMixedTypes="1" containsNumber="1" containsInteger="1" minValue="1256" maxValue="1358"/>
    </cacheField>
    <cacheField name="Quality" numFmtId="0">
      <sharedItems containsBlank="1"/>
    </cacheField>
    <cacheField name="Shipment Number" numFmtId="164">
      <sharedItems containsBlank="1" containsMixedTypes="1" containsNumber="1" containsInteger="1" minValue="1558" maxValue="17000" count="376">
        <m/>
        <n v="1971"/>
        <n v="1951"/>
        <n v="1934"/>
        <n v="1924"/>
        <n v="1835"/>
        <n v="1628"/>
        <n v="1958"/>
        <n v="1987"/>
        <n v="1974"/>
        <n v="1972"/>
        <n v="1982"/>
        <n v="1986"/>
        <n v="1981"/>
        <n v="1954"/>
        <n v="1948"/>
        <n v="1947"/>
        <n v="1985"/>
        <n v="1983"/>
        <n v="1984"/>
        <s v="1997+1988"/>
        <n v="1993"/>
        <n v="1775"/>
        <n v="1941"/>
        <n v="2000"/>
        <n v="1995"/>
        <n v="1992"/>
        <n v="1718"/>
        <n v="1990"/>
        <n v="1989"/>
        <n v="2001"/>
        <s v="1923+1792"/>
        <n v="2004"/>
        <n v="2005"/>
        <n v="2006"/>
        <n v="2003"/>
        <n v="2008"/>
        <n v="2009"/>
        <n v="2007"/>
        <n v="1976"/>
        <n v="1998"/>
        <n v="1991"/>
        <n v="1999"/>
        <n v="2002"/>
        <n v="1969"/>
        <n v="1994"/>
        <n v="2011"/>
        <n v="2010"/>
        <n v="2022"/>
        <n v="2027"/>
        <n v="2028"/>
        <n v="2029"/>
        <s v="2007-a"/>
        <n v="2017"/>
        <n v="2018"/>
        <n v="2030"/>
        <n v="2037"/>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300" maxValue="52476"/>
    </cacheField>
    <cacheField name="shortage %" numFmtId="165">
      <sharedItems containsMixedTypes="1" containsNumber="1" minValue="-1.2821711996982401" maxValue="55.598379219575385"/>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7.132991666665" createdVersion="8" refreshedVersion="8" minRefreshableVersion="3" recordCount="9" xr:uid="{376A650C-1F79-4049-BC45-E34989F046B2}">
  <cacheSource type="worksheet">
    <worksheetSource name="Table2"/>
  </cacheSource>
  <cacheFields count="8">
    <cacheField name="Date" numFmtId="14">
      <sharedItems containsSemiMixedTypes="0" containsNonDate="0" containsDate="1" containsString="0" minDate="2025-12-17T00:00:00" maxDate="2026-01-13T00:00:00"/>
    </cacheField>
    <cacheField name="Party Name" numFmtId="14">
      <sharedItems containsBlank="1" count="8">
        <s v="Finish"/>
        <s v="Faysal Akraam"/>
        <s v="AS Traders"/>
        <s v="Abid ghafoor"/>
        <s v="Madina Dyes"/>
        <m u="1"/>
        <s v="-" u="1"/>
        <s v="Faysal" u="1"/>
      </sharedItems>
    </cacheField>
    <cacheField name="Item" numFmtId="0">
      <sharedItems/>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351000"/>
    </cacheField>
    <cacheField name="Balance" numFmtId="0">
      <sharedItems containsSemiMixedTypes="0" containsString="0" containsNumber="1" containsInteger="1" minValue="-351000" maxValue="351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7.13299189815" createdVersion="8" refreshedVersion="8" minRefreshableVersion="3" recordCount="109"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65">
        <d v="2025-12-17T00:00:00"/>
        <d v="2025-12-18T00:00:00"/>
        <d v="2025-12-19T00:00:00"/>
        <d v="2025-12-20T00:00:00"/>
        <d v="2025-12-22T00:00:00"/>
        <d v="2025-12-21T00:00:00"/>
        <d v="2025-12-23T00:00:00"/>
        <d v="2025-12-24T00:00:00"/>
        <d v="2025-12-25T00:00:00"/>
        <m/>
        <d v="2025-12-26T00:00:00"/>
        <d v="2025-12-27T00:00:00"/>
        <d v="2025-12-29T00:00:00"/>
        <d v="2025-12-28T00:00:00"/>
        <d v="2025-12-30T00:00:00"/>
        <d v="2025-12-31T00:00:00"/>
        <d v="2026-01-01T00:00:00"/>
        <d v="2026-01-02T00:00:00"/>
        <d v="2026-01-03T00:00:00"/>
        <d v="2026-01-05T00:00:00"/>
        <d v="2026-01-04T00:00:00"/>
        <d v="2026-01-06T00:00:00"/>
        <d v="2026-01-07T00:00:00"/>
        <d v="2026-01-08T00:00:00"/>
        <d v="2026-01-09T00:00:00"/>
        <d v="2026-01-10T00:00:00"/>
        <d v="2026-01-12T00:00:00"/>
        <d v="2026-01-11T00:00:00"/>
        <d v="2026-01-13T00:00:00"/>
        <d v="2026-01-14T00:00:00"/>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Malik Zaheer"/>
        <s v="Aqib"/>
        <s v="Rafaqat"/>
        <s v="Kaleem ullah"/>
        <s v="Ishaq"/>
        <s v="Aurangzeb"/>
        <s v="Irfan Punjabi"/>
        <s v="Amjad wood"/>
        <s v="Rana Babar"/>
        <m/>
        <s v="aslam Multani"/>
        <s v="Shamil" u="1"/>
        <s v="Aqib Freight" u="1"/>
      </sharedItems>
    </cacheField>
    <cacheField name="Vehicle Number" numFmtId="0">
      <sharedItems containsBlank="1" containsMixedTypes="1" containsNumber="1" containsInteger="1" minValue="31" maxValue="9940" count="66">
        <s v="Closing Balance CF"/>
        <s v="TKL 364"/>
        <n v="9662"/>
        <s v="LES 9718"/>
        <s v="APL"/>
        <m/>
        <n v="2223"/>
        <s v="LEI 2223"/>
        <s v="-"/>
        <s v="LEJ 9662"/>
        <s v="C 8947"/>
        <s v="IDS 2165"/>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0" maxValue="319"/>
    </cacheField>
    <cacheField name="Rate" numFmtId="164">
      <sharedItems containsString="0" containsBlank="1" containsNumber="1" containsInteger="1" minValue="580" maxValue="850"/>
    </cacheField>
    <cacheField name="Rent" numFmtId="164">
      <sharedItems containsString="0" containsBlank="1" containsNumber="1" containsInteger="1" minValue="31500" maxValue="75000"/>
    </cacheField>
    <cacheField name="Total" numFmtId="164">
      <sharedItems containsSemiMixedTypes="0" containsString="0" containsNumber="1" containsInteger="1" minValue="0" maxValue="27115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7.132992245373" createdVersion="8" refreshedVersion="8" minRefreshableVersion="3" recordCount="22" xr:uid="{AC867DCC-CE64-4D1A-827D-F1F3EE10EE4E}">
  <cacheSource type="worksheet">
    <worksheetSource name="Table8"/>
  </cacheSource>
  <cacheFields count="9">
    <cacheField name="Date" numFmtId="0">
      <sharedItems containsNonDate="0" containsDate="1" containsString="0" containsBlank="1" minDate="2025-05-16T00:00:00" maxDate="2026-01-13T00:00:00" count="64">
        <d v="2025-12-17T00:00:00"/>
        <d v="2025-12-18T00:00:00"/>
        <d v="2025-12-22T00:00:00"/>
        <d v="2025-12-26T00:00:00"/>
        <d v="2025-12-25T00:00:00"/>
        <d v="2025-12-27T00:00:00"/>
        <d v="2025-12-29T00:00:00"/>
        <d v="2026-01-02T00:00:00"/>
        <d v="2026-01-03T00:00:00"/>
        <d v="2026-01-06T00:00:00"/>
        <d v="2026-01-07T00:00:00"/>
        <d v="2026-01-09T00:00:00"/>
        <d v="2026-01-12T00:00:00"/>
        <m/>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3500" maxValue="218250"/>
    </cacheField>
    <cacheField name="Party" numFmtId="0">
      <sharedItems containsBlank="1" count="9">
        <s v="Unicolour"/>
        <s v="madina dyes"/>
        <s v="General Dyes"/>
        <s v="Shafi Dyes"/>
        <s v="usman shafiq Dyes"/>
        <s v="Dyes"/>
        <m/>
        <s v="Al madina" u="1"/>
        <s v="-" u="1"/>
      </sharedItems>
    </cacheField>
    <cacheField name="Paid" numFmtId="0">
      <sharedItems containsSemiMixedTypes="0" containsString="0" containsNumber="1" containsInteger="1" minValue="0" maxValue="218250"/>
    </cacheField>
    <cacheField name="Balance" numFmtId="0">
      <sharedItems containsSemiMixedTypes="0" containsString="0" containsNumber="1" containsInteger="1" minValue="-218250" maxValue="111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7.132992476851"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516107.24433065113"/>
    </cacheField>
    <cacheField name="Rate" numFmtId="0">
      <sharedItems containsString="0" containsBlank="1" containsNumber="1" minValue="10" maxValue="12"/>
    </cacheField>
    <cacheField name="Total" numFmtId="164">
      <sharedItems containsSemiMixedTypes="0" containsString="0" containsNumber="1" minValue="0" maxValue="4927719.4586686175"/>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7.132992824074" createdVersion="8" refreshedVersion="8" minRefreshableVersion="3" recordCount="456" xr:uid="{B5BDFB73-D93A-4A7A-8149-666BC190B09B}">
  <cacheSource type="worksheet">
    <worksheetSource name="Table14"/>
  </cacheSource>
  <cacheFields count="7">
    <cacheField name="Date" numFmtId="14">
      <sharedItems containsNonDate="0" containsDate="1" containsString="0" containsBlank="1" minDate="2025-01-03T00:00:00" maxDate="2026-01-15T00:00:00"/>
    </cacheField>
    <cacheField name="Party" numFmtId="0">
      <sharedItems containsBlank="1" count="80">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s v="Aslam Multani"/>
        <s v="Dyes"/>
        <s v="Gauhar Kashif"/>
        <s v="finish"/>
        <s v="abid ghafoor"/>
        <m/>
        <s v="Closing October CF" u="1"/>
        <s v="Aurangzeb" u="1"/>
        <s v="BSC" u="1"/>
        <s v="Haseeb Shamsi" u="1"/>
        <s v="Ashraf Zia" u="1"/>
        <s v="General Dyes" u="1"/>
        <s v="Faizan" u="1"/>
        <s v="Zia-ullah karachi" u="1"/>
        <s v="Ishaq" u="1"/>
        <s v="Unicolour" u="1"/>
        <s v="ibraheem behraam" u="1"/>
        <s v="Shafi Dyes" u="1"/>
        <s v="Ubaidullah"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427462"/>
    </cacheField>
    <cacheField name="Description" numFmtId="0">
      <sharedItems containsBlank="1"/>
    </cacheField>
    <cacheField name="Mode" numFmtId="0">
      <sharedItems containsBlank="1"/>
    </cacheField>
    <cacheField name="Withdrawal"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4">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55627.28602779811"/>
    <m/>
  </r>
  <r>
    <d v="2025-12-22T00:00:00"/>
    <x v="0"/>
    <n v="1264"/>
    <s v="crinkle"/>
    <x v="6"/>
    <n v="48198"/>
    <n v="10049"/>
    <n v="20.99845209954924"/>
    <n v="9188.9173372348214"/>
    <n v="91889.173372348218"/>
    <m/>
  </r>
  <r>
    <d v="2025-12-22T00:00:00"/>
    <x v="11"/>
    <n v="1265"/>
    <s v="crinkle"/>
    <x v="5"/>
    <n v="50010"/>
    <n v="25349"/>
    <n v="7.1820602960607403"/>
    <n v="23179.407461594736"/>
    <n v="254973.48207754208"/>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1.7369209781855233"/>
    <n v="4427.5786393562548"/>
    <n v="57558.522311631314"/>
    <m/>
  </r>
  <r>
    <d v="2025-12-26T00:00:00"/>
    <x v="2"/>
    <n v="1281"/>
    <s v="Silky"/>
    <x v="15"/>
    <n v="20882"/>
    <n v="3112"/>
    <n v="2.8356080605362024"/>
    <n v="2845.6474030724216"/>
    <n v="36993.416239941478"/>
    <m/>
  </r>
  <r>
    <d v="2025-12-26T00:00:00"/>
    <x v="2"/>
    <n v="1282"/>
    <s v="Silky"/>
    <x v="16"/>
    <n v="11427"/>
    <n v="6074"/>
    <n v="3.621532159647813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2166"/>
    <n v="1.5178395094718695"/>
    <n v="1980.6144842721289"/>
    <n v="23767.373811265548"/>
    <m/>
  </r>
  <r>
    <d v="2025-12-29T00:00:00"/>
    <x v="20"/>
    <s v="1296-b"/>
    <s v="Chamki"/>
    <x v="19"/>
    <n v="28662"/>
    <n v="6442"/>
    <n v="1.5178395094718695"/>
    <n v="5890.6364301389913"/>
    <n v="58906.364301389913"/>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44261"/>
    <n v="8547"/>
    <n v="3.5014370020011683"/>
    <n v="7815.471836137528"/>
    <n v="78154.718361375286"/>
    <m/>
  </r>
  <r>
    <d v="2025-12-30T00:00:00"/>
    <x v="3"/>
    <n v="1308"/>
    <s v="Chamki"/>
    <x v="30"/>
    <n v="8245"/>
    <n v="8850"/>
    <n v="1.8491400210186981"/>
    <n v="8092.5384052670088"/>
    <n v="84971.653255303594"/>
    <m/>
  </r>
  <r>
    <d v="2026-01-01T00:00:00"/>
    <x v="0"/>
    <n v="1309"/>
    <s v="Chamki"/>
    <x v="28"/>
    <n v="45681"/>
    <n v="14728"/>
    <n v="0.27372001379688982"/>
    <n v="13467.446964155086"/>
    <n v="134674.46964155085"/>
    <m/>
  </r>
  <r>
    <d v="2026-01-01T00:00:00"/>
    <x v="11"/>
    <n v="1310"/>
    <s v="Chamki"/>
    <x v="31"/>
    <n v="17616"/>
    <n v="18976"/>
    <n v="1.4994016877653848"/>
    <n v="17351.865398683251"/>
    <n v="173518.65398683251"/>
    <m/>
  </r>
  <r>
    <d v="2026-01-02T00:00:00"/>
    <x v="0"/>
    <n v="1311"/>
    <s v="Chamki"/>
    <x v="29"/>
    <n v="44261"/>
    <n v="37510"/>
    <n v="3.5014370020011683"/>
    <n v="34299.561082662767"/>
    <n v="342995.6108266277"/>
    <m/>
  </r>
  <r>
    <d v="2026-01-02T00:00:00"/>
    <x v="19"/>
    <n v="1312"/>
    <s v="Chamki"/>
    <x v="32"/>
    <n v="12579"/>
    <n v="13390"/>
    <n v="2.663447916265028"/>
    <n v="12243.964886613023"/>
    <n v="122439.64886613023"/>
    <m/>
  </r>
  <r>
    <d v="2026-01-03T00:00:00"/>
    <x v="0"/>
    <n v="1313"/>
    <s v="Silky"/>
    <x v="33"/>
    <n v="11805"/>
    <n v="12520"/>
    <n v="3.0205233979253734"/>
    <n v="11448.427212874909"/>
    <n v="148829.55376737381"/>
    <m/>
  </r>
  <r>
    <d v="2026-01-03T00:00:00"/>
    <x v="0"/>
    <n v="1314"/>
    <s v="Silky"/>
    <x v="34"/>
    <n v="24208"/>
    <n v="12918"/>
    <n v="40.854885554165762"/>
    <n v="11812.362838332116"/>
    <n v="153560.71689831751"/>
    <m/>
  </r>
  <r>
    <d v="2026-01-03T00:00:00"/>
    <x v="0"/>
    <n v="1315"/>
    <s v="Silky"/>
    <x v="35"/>
    <n v="12005"/>
    <n v="9524"/>
    <n v="-1.2821711996982401"/>
    <n v="8708.8514996342365"/>
    <n v="113215.06949524507"/>
    <m/>
  </r>
  <r>
    <d v="2026-01-03T00:00:00"/>
    <x v="0"/>
    <n v="1316"/>
    <s v="Silky"/>
    <x v="36"/>
    <m/>
    <n v="6008"/>
    <n v="1.3065122083183383"/>
    <n v="5493.7820043891743"/>
    <n v="71419.166057059265"/>
    <m/>
  </r>
  <r>
    <d v="2026-01-03T00:00:00"/>
    <x v="0"/>
    <n v="1317"/>
    <s v="Chamki"/>
    <x v="37"/>
    <n v="12335"/>
    <n v="13230"/>
    <n v="1.9241255976104696"/>
    <n v="12097.659107534748"/>
    <n v="120976.59107534747"/>
    <m/>
  </r>
  <r>
    <d v="2026-01-03T00:00:00"/>
    <x v="0"/>
    <n v="1318"/>
    <s v="Chamki"/>
    <x v="38"/>
    <n v="51307"/>
    <n v="13287"/>
    <n v="32.235875074135606"/>
    <n v="12149.780541331384"/>
    <n v="121497.80541331384"/>
    <m/>
  </r>
  <r>
    <d v="2026-01-03T00:00:00"/>
    <x v="0"/>
    <n v="1319"/>
    <s v="Chamki"/>
    <x v="29"/>
    <n v="44261"/>
    <n v="652"/>
    <n v="3.5014370020011683"/>
    <n v="596.19604974396498"/>
    <n v="5961.9604974396498"/>
    <m/>
  </r>
  <r>
    <d v="2026-01-03T00:00:00"/>
    <x v="0"/>
    <n v="1320"/>
    <s v="Chamki"/>
    <x v="38"/>
    <n v="51307"/>
    <n v="24735"/>
    <n v="32.235875074135606"/>
    <n v="22617.95903438186"/>
    <n v="226179.59034381859"/>
    <m/>
  </r>
  <r>
    <d v="2026-01-03T00:00:00"/>
    <x v="0"/>
    <n v="1321"/>
    <s v="Chamki"/>
    <x v="39"/>
    <n v="22604"/>
    <n v="24276"/>
    <n v="1.7950613579407957"/>
    <n v="22198.244330651061"/>
    <n v="221982.44330651063"/>
    <m/>
  </r>
  <r>
    <d v="2026-01-05T00:00:00"/>
    <x v="2"/>
    <n v="1322"/>
    <s v="Chamki"/>
    <x v="40"/>
    <n v="51009"/>
    <n v="46821"/>
    <n v="1.4116059642816055"/>
    <n v="42813.643013899054"/>
    <n v="428136.43013899052"/>
    <m/>
  </r>
  <r>
    <d v="2026-01-05T00:00:00"/>
    <x v="2"/>
    <n v="1323"/>
    <s v="Chamki"/>
    <x v="40"/>
    <n v="51009"/>
    <n v="8175"/>
    <n v="1.4116059642816055"/>
    <n v="7475.3108997805421"/>
    <n v="74753.108997805422"/>
    <m/>
  </r>
  <r>
    <d v="2026-01-05T00:00:00"/>
    <x v="10"/>
    <n v="1324"/>
    <s v="Chamki"/>
    <x v="41"/>
    <n v="25470"/>
    <n v="13785"/>
    <n v="0.64619821819435685"/>
    <n v="12605.15727871251"/>
    <n v="126051.5727871251"/>
    <m/>
  </r>
  <r>
    <d v="2026-01-06T00:00:00"/>
    <x v="0"/>
    <n v="1325"/>
    <s v="Silky"/>
    <x v="36"/>
    <m/>
    <n v="39807"/>
    <n v="1.3065122083183383"/>
    <n v="36399.963423555237"/>
    <n v="473199.52450621809"/>
    <m/>
  </r>
  <r>
    <d v="2026-01-06T00:00:00"/>
    <x v="0"/>
    <n v="1326"/>
    <s v="Silky"/>
    <x v="35"/>
    <n v="12005"/>
    <n v="3773"/>
    <n v="-1.2821711996982401"/>
    <n v="3450.0731528895394"/>
    <n v="44850.950987564014"/>
    <m/>
  </r>
  <r>
    <d v="2026-01-06T00:00:00"/>
    <x v="10"/>
    <n v="1327"/>
    <s v="Chamki"/>
    <x v="41"/>
    <n v="25470"/>
    <n v="6942"/>
    <n v="0.64619821819435685"/>
    <n v="6347.8419897585964"/>
    <n v="63478.419897585962"/>
    <m/>
  </r>
  <r>
    <d v="2026-01-06T00:00:00"/>
    <x v="11"/>
    <n v="1328"/>
    <s v="Silky"/>
    <x v="42"/>
    <n v="25064"/>
    <n v="26532"/>
    <n v="3.2031766052716364"/>
    <n v="24261.155815654722"/>
    <n v="315395.02560351137"/>
    <m/>
  </r>
  <r>
    <d v="2026-01-06T00:00:00"/>
    <x v="10"/>
    <n v="1329"/>
    <s v="Chamki"/>
    <x v="41"/>
    <n v="25470"/>
    <n v="6947"/>
    <n v="0.64619821819435685"/>
    <n v="6352.4140453547925"/>
    <n v="63524.140453547923"/>
    <m/>
  </r>
  <r>
    <d v="2026-01-09T00:00:00"/>
    <x v="0"/>
    <n v="1330"/>
    <s v="Silky"/>
    <x v="36"/>
    <n v="48429"/>
    <n v="6455"/>
    <n v="1.3065122083183383"/>
    <n v="5902.5237746891007"/>
    <n v="76732.809070958305"/>
    <m/>
  </r>
  <r>
    <d v="2026-01-09T00:00:00"/>
    <x v="0"/>
    <n v="1331"/>
    <s v="Silky"/>
    <x v="34"/>
    <m/>
    <n v="2740"/>
    <n v="40.854885554165762"/>
    <n v="2505.4864667154357"/>
    <n v="32571.324067300662"/>
    <m/>
  </r>
  <r>
    <d v="2026-01-09T00:00:00"/>
    <x v="0"/>
    <n v="1332"/>
    <s v="Silky"/>
    <x v="43"/>
    <n v="12052"/>
    <n v="12842"/>
    <n v="2.5649884395126605"/>
    <n v="11742.867593269935"/>
    <n v="152657.27871250917"/>
    <m/>
  </r>
  <r>
    <d v="2026-01-09T00:00:00"/>
    <x v="2"/>
    <n v="1333"/>
    <s v="Silky"/>
    <x v="15"/>
    <n v="20882"/>
    <n v="19077"/>
    <n v="2.8356080605362024"/>
    <n v="17444.22092172641"/>
    <n v="226774.87198244332"/>
    <m/>
  </r>
  <r>
    <d v="2026-01-09T00:00:00"/>
    <x v="2"/>
    <n v="1334"/>
    <s v="Silky"/>
    <x v="16"/>
    <n v="11427"/>
    <n v="5970"/>
    <n v="3.6215321596478134"/>
    <n v="5459.0343818580841"/>
    <n v="70967.446964155097"/>
    <m/>
  </r>
  <r>
    <d v="2026-01-09T00:00:00"/>
    <x v="2"/>
    <n v="1335"/>
    <s v="Silky"/>
    <x v="14"/>
    <n v="10254"/>
    <n v="6177"/>
    <n v="1.7369209781855233"/>
    <n v="5648.3174835406007"/>
    <n v="73428.127286027811"/>
    <m/>
  </r>
  <r>
    <d v="2026-01-09T00:00:00"/>
    <x v="2"/>
    <n v="1336"/>
    <s v="Silky"/>
    <x v="44"/>
    <n v="7371"/>
    <n v="7883"/>
    <n v="2.2072601687329723"/>
    <n v="7208.3028529626927"/>
    <n v="93707.937088514998"/>
    <m/>
  </r>
  <r>
    <d v="2026-01-09T00:00:00"/>
    <x v="1"/>
    <n v="1337"/>
    <s v="Silky"/>
    <x v="45"/>
    <n v="45911"/>
    <n v="2736"/>
    <n v="2.924358102156134"/>
    <n v="2501.8288222384786"/>
    <n v="32523.774689100221"/>
    <m/>
  </r>
  <r>
    <d v="2026-01-10T00:00:00"/>
    <x v="1"/>
    <n v="1338"/>
    <s v="Silky"/>
    <x v="45"/>
    <n v="45911"/>
    <n v="28328"/>
    <n v="2.924358102156134"/>
    <n v="25903.438185808343"/>
    <n v="336744.69641550846"/>
    <m/>
  </r>
  <r>
    <d v="2026-01-10T00:00:00"/>
    <x v="19"/>
    <n v="1339"/>
    <s v="Kataan"/>
    <x v="46"/>
    <n v="30098"/>
    <n v="31138"/>
    <n v="5.3992510104640843"/>
    <n v="28472.933430870522"/>
    <n v="284729.33430870523"/>
    <m/>
  </r>
  <r>
    <d v="2026-01-10T00:00:00"/>
    <x v="19"/>
    <n v="1340"/>
    <s v="Kataan"/>
    <x v="47"/>
    <n v="32275"/>
    <n v="16568"/>
    <n v="17.083947898823482"/>
    <n v="15149.963423555231"/>
    <n v="151499.63423555231"/>
    <m/>
  </r>
  <r>
    <d v="2026-01-10T00:00:00"/>
    <x v="1"/>
    <n v="1341"/>
    <s v="Silky"/>
    <x v="45"/>
    <n v="45911"/>
    <n v="17676"/>
    <n v="2.924358102156134"/>
    <n v="16163.130943672277"/>
    <n v="210120.7022677396"/>
    <m/>
  </r>
  <r>
    <d v="2026-01-10T00:00:00"/>
    <x v="19"/>
    <n v="1342"/>
    <s v="Kataan"/>
    <x v="47"/>
    <n v="32275"/>
    <n v="12698"/>
    <n v="17.083947898823482"/>
    <n v="11611.192392099489"/>
    <n v="116111.92392099489"/>
    <m/>
  </r>
  <r>
    <d v="2026-01-12T00:00:00"/>
    <x v="0"/>
    <n v="1343"/>
    <s v="Chamki"/>
    <x v="48"/>
    <n v="44988"/>
    <n v="19339"/>
    <n v="4.1502508447509854"/>
    <n v="17683.796634967082"/>
    <n v="176837.96634967084"/>
    <m/>
  </r>
  <r>
    <d v="2026-01-12T00:00:00"/>
    <x v="0"/>
    <s v="1344-a"/>
    <s v="Chamki"/>
    <x v="49"/>
    <n v="11450"/>
    <n v="300"/>
    <n v="1.3394326019109144"/>
    <n v="274.32333577176303"/>
    <n v="2743.2333577176305"/>
    <m/>
  </r>
  <r>
    <d v="2026-01-12T00:00:00"/>
    <x v="0"/>
    <s v="1344-b"/>
    <s v="Chamki"/>
    <x v="50"/>
    <n v="6629"/>
    <n v="930"/>
    <n v="5.1103622077760491"/>
    <n v="850.4023408924653"/>
    <n v="8504.0234089246533"/>
    <m/>
  </r>
  <r>
    <d v="2026-01-12T00:00:00"/>
    <x v="0"/>
    <s v="1344-c"/>
    <s v="Chamki"/>
    <x v="51"/>
    <n v="12001"/>
    <n v="928"/>
    <n v="1.7775707181680218"/>
    <n v="848.57351865398687"/>
    <n v="8485.7351865398687"/>
    <m/>
  </r>
  <r>
    <d v="2026-01-12T00:00:00"/>
    <x v="26"/>
    <n v="1345"/>
    <s v="Chamki"/>
    <x v="52"/>
    <n v="51307"/>
    <n v="29817"/>
    <n v="1.7543162764117"/>
    <n v="27264.996342355524"/>
    <n v="272649.96342355525"/>
    <m/>
  </r>
  <r>
    <d v="2026-01-12T00:00:00"/>
    <x v="0"/>
    <n v="1346"/>
    <s v="Chamki"/>
    <x v="49"/>
    <n v="11450"/>
    <n v="12054"/>
    <n v="1.3394326019109144"/>
    <n v="11022.311631309438"/>
    <n v="110223.11631309438"/>
    <m/>
  </r>
  <r>
    <d v="2026-01-12T00:00:00"/>
    <x v="0"/>
    <n v="1347"/>
    <s v="Chamki"/>
    <x v="48"/>
    <n v="44988"/>
    <n v="20583"/>
    <n v="4.1502508447509854"/>
    <n v="18821.324067300658"/>
    <n v="188213.24067300657"/>
    <m/>
  </r>
  <r>
    <d v="2026-01-12T00:00:00"/>
    <x v="0"/>
    <n v="1348"/>
    <s v="Chamki"/>
    <x v="53"/>
    <n v="28441"/>
    <n v="30546"/>
    <n v="1.7910690612815756"/>
    <n v="27931.602048280911"/>
    <n v="279316.02048280911"/>
    <m/>
  </r>
  <r>
    <d v="2026-01-12T00:00:00"/>
    <x v="0"/>
    <n v="1349"/>
    <s v="Chamki"/>
    <x v="51"/>
    <n v="12001"/>
    <n v="11963"/>
    <n v="1.7775707181680218"/>
    <n v="10939.100219458669"/>
    <n v="109391.00219458669"/>
    <m/>
  </r>
  <r>
    <d v="2026-01-12T00:00:00"/>
    <x v="0"/>
    <n v="1350"/>
    <s v="Chamki"/>
    <x v="50"/>
    <n v="6629"/>
    <n v="5949"/>
    <n v="5.1103622077760491"/>
    <n v="5439.8317483540604"/>
    <n v="54398.317483540603"/>
    <m/>
  </r>
  <r>
    <d v="2026-01-12T00:00:00"/>
    <x v="0"/>
    <n v="1351"/>
    <s v="Chamki"/>
    <x v="48"/>
    <n v="44988"/>
    <n v="7235"/>
    <n v="4.1502508447509854"/>
    <n v="6615.7644476956848"/>
    <n v="66157.644476956848"/>
    <m/>
  </r>
  <r>
    <d v="2026-01-13T00:00:00"/>
    <x v="26"/>
    <n v="1352"/>
    <s v="Chamki"/>
    <x v="52"/>
    <n v="51307"/>
    <n v="25308"/>
    <n v="1.7543162764117"/>
    <n v="23141.916605705926"/>
    <n v="231419.16605705925"/>
    <m/>
  </r>
  <r>
    <d v="2026-01-13T00:00:00"/>
    <x v="20"/>
    <n v="1353"/>
    <s v="Chamki"/>
    <x v="54"/>
    <n v="48184"/>
    <n v="23397"/>
    <n v="55.598379219575385"/>
    <n v="21394.476956839797"/>
    <n v="213944.76956839795"/>
    <m/>
  </r>
  <r>
    <d v="2026-01-14T00:00:00"/>
    <x v="8"/>
    <n v="1354"/>
    <s v="Silky"/>
    <x v="55"/>
    <n v="24735"/>
    <n v="26408"/>
    <s v="NF"/>
    <m/>
    <m/>
    <m/>
  </r>
  <r>
    <d v="2026-01-14T00:00:00"/>
    <x v="8"/>
    <n v="1355"/>
    <s v="Silky"/>
    <x v="56"/>
    <n v="14961"/>
    <n v="14290"/>
    <s v="NF"/>
    <m/>
    <m/>
    <m/>
  </r>
  <r>
    <d v="2026-01-14T00:00:00"/>
    <x v="20"/>
    <n v="1356"/>
    <s v="Chamki"/>
    <x v="54"/>
    <n v="23397"/>
    <n v="6055"/>
    <n v="55.598379219575385"/>
    <m/>
    <m/>
    <m/>
  </r>
  <r>
    <d v="2026-01-14T00:00:00"/>
    <x v="27"/>
    <n v="1357"/>
    <m/>
    <x v="0"/>
    <m/>
    <m/>
    <e v="#DIV/0!"/>
    <m/>
    <m/>
    <m/>
  </r>
  <r>
    <d v="2026-01-14T00:00:00"/>
    <x v="27"/>
    <n v="1358"/>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3"/>
    <s v="Starch"/>
    <n v="45"/>
    <m/>
    <n v="351000"/>
    <n v="0"/>
    <n v="351000"/>
  </r>
  <r>
    <d v="2025-12-23T00:00:00"/>
    <x v="1"/>
    <s v="PVA"/>
    <m/>
    <m/>
    <n v="0"/>
    <n v="150000"/>
    <n v="-150000"/>
  </r>
  <r>
    <d v="2026-01-10T00:00:00"/>
    <x v="1"/>
    <s v="Bill Nill"/>
    <m/>
    <m/>
    <n v="0"/>
    <n v="118000"/>
    <n v="-118000"/>
  </r>
  <r>
    <d v="2026-01-12T00:00:00"/>
    <x v="3"/>
    <s v="Starch"/>
    <m/>
    <m/>
    <n v="0"/>
    <n v="351000"/>
    <n v="-3510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775"/>
    <m/>
    <n v="93000"/>
    <n v="150000"/>
    <n v="-570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m/>
    <m/>
    <m/>
    <n v="0"/>
    <n v="0"/>
    <n v="0"/>
  </r>
  <r>
    <x v="11"/>
    <x v="6"/>
    <x v="7"/>
    <n v="201"/>
    <n v="820"/>
    <m/>
    <n v="164820"/>
    <m/>
    <n v="164820"/>
  </r>
  <r>
    <x v="11"/>
    <x v="8"/>
    <x v="5"/>
    <m/>
    <m/>
    <m/>
    <n v="0"/>
    <n v="45000"/>
    <n v="-45000"/>
  </r>
  <r>
    <x v="11"/>
    <x v="7"/>
    <x v="5"/>
    <m/>
    <m/>
    <m/>
    <n v="0"/>
    <n v="40000"/>
    <n v="-40000"/>
  </r>
  <r>
    <x v="11"/>
    <x v="3"/>
    <x v="5"/>
    <n v="45"/>
    <n v="580"/>
    <m/>
    <n v="26100"/>
    <m/>
    <n v="26100"/>
  </r>
  <r>
    <x v="11"/>
    <x v="3"/>
    <x v="5"/>
    <n v="90"/>
    <n v="775"/>
    <m/>
    <n v="69750"/>
    <m/>
    <n v="69750"/>
  </r>
  <r>
    <x v="11"/>
    <x v="3"/>
    <x v="9"/>
    <n v="20"/>
    <n v="580"/>
    <m/>
    <n v="11600"/>
    <m/>
    <n v="11600"/>
  </r>
  <r>
    <x v="11"/>
    <x v="3"/>
    <x v="9"/>
    <n v="108"/>
    <n v="775"/>
    <m/>
    <n v="83700"/>
    <n v="0"/>
    <n v="83700"/>
  </r>
  <r>
    <x v="12"/>
    <x v="3"/>
    <x v="5"/>
    <m/>
    <m/>
    <m/>
    <n v="0"/>
    <n v="100000"/>
    <n v="-100000"/>
  </r>
  <r>
    <x v="13"/>
    <x v="6"/>
    <x v="5"/>
    <m/>
    <m/>
    <m/>
    <n v="0"/>
    <n v="0"/>
    <n v="0"/>
  </r>
  <r>
    <x v="13"/>
    <x v="3"/>
    <x v="5"/>
    <n v="116"/>
    <n v="775"/>
    <m/>
    <n v="89900"/>
    <m/>
    <n v="89900"/>
  </r>
  <r>
    <x v="13"/>
    <x v="3"/>
    <x v="5"/>
    <n v="20"/>
    <n v="580"/>
    <m/>
    <n v="11600"/>
    <m/>
    <n v="11600"/>
  </r>
  <r>
    <x v="12"/>
    <x v="3"/>
    <x v="5"/>
    <n v="90"/>
    <n v="775"/>
    <m/>
    <n v="69750"/>
    <m/>
    <n v="69750"/>
  </r>
  <r>
    <x v="12"/>
    <x v="3"/>
    <x v="5"/>
    <n v="58"/>
    <n v="580"/>
    <m/>
    <n v="33640"/>
    <m/>
    <n v="33640"/>
  </r>
  <r>
    <x v="14"/>
    <x v="3"/>
    <x v="5"/>
    <m/>
    <m/>
    <m/>
    <n v="0"/>
    <n v="250000"/>
    <n v="-250000"/>
  </r>
  <r>
    <x v="14"/>
    <x v="6"/>
    <x v="5"/>
    <m/>
    <m/>
    <m/>
    <n v="0"/>
    <n v="205401"/>
    <n v="-205401"/>
  </r>
  <r>
    <x v="14"/>
    <x v="8"/>
    <x v="5"/>
    <m/>
    <m/>
    <m/>
    <n v="0"/>
    <n v="11850"/>
    <n v="-11850"/>
  </r>
  <r>
    <x v="14"/>
    <x v="7"/>
    <x v="5"/>
    <m/>
    <m/>
    <m/>
    <n v="0"/>
    <n v="27000"/>
    <n v="-27000"/>
  </r>
  <r>
    <x v="14"/>
    <x v="0"/>
    <x v="5"/>
    <m/>
    <m/>
    <m/>
    <n v="0"/>
    <n v="1000"/>
    <n v="-1000"/>
  </r>
  <r>
    <x v="15"/>
    <x v="6"/>
    <x v="5"/>
    <n v="193"/>
    <n v="820"/>
    <m/>
    <n v="158260"/>
    <n v="50000"/>
    <n v="108260"/>
  </r>
  <r>
    <x v="15"/>
    <x v="6"/>
    <x v="5"/>
    <n v="185"/>
    <n v="820"/>
    <m/>
    <n v="151700"/>
    <m/>
    <n v="151700"/>
  </r>
  <r>
    <x v="16"/>
    <x v="6"/>
    <x v="5"/>
    <n v="202"/>
    <n v="820"/>
    <m/>
    <n v="165640"/>
    <n v="100111"/>
    <n v="65529"/>
  </r>
  <r>
    <x v="16"/>
    <x v="6"/>
    <x v="5"/>
    <n v="228"/>
    <n v="820"/>
    <m/>
    <n v="186960"/>
    <m/>
    <n v="186960"/>
  </r>
  <r>
    <x v="17"/>
    <x v="6"/>
    <x v="5"/>
    <n v="229"/>
    <n v="850"/>
    <m/>
    <n v="194650"/>
    <n v="200154"/>
    <n v="-5504"/>
  </r>
  <r>
    <x v="17"/>
    <x v="6"/>
    <x v="5"/>
    <n v="244"/>
    <n v="850"/>
    <m/>
    <n v="207400"/>
    <m/>
    <n v="207400"/>
  </r>
  <r>
    <x v="18"/>
    <x v="6"/>
    <x v="5"/>
    <m/>
    <m/>
    <m/>
    <n v="0"/>
    <n v="200100"/>
    <n v="-200100"/>
  </r>
  <r>
    <x v="19"/>
    <x v="6"/>
    <x v="5"/>
    <m/>
    <m/>
    <m/>
    <n v="0"/>
    <n v="204200"/>
    <n v="-204200"/>
  </r>
  <r>
    <x v="20"/>
    <x v="7"/>
    <x v="5"/>
    <n v="125"/>
    <n v="800"/>
    <m/>
    <n v="100000"/>
    <n v="20000"/>
    <n v="80000"/>
  </r>
  <r>
    <x v="15"/>
    <x v="0"/>
    <x v="5"/>
    <m/>
    <m/>
    <m/>
    <n v="0"/>
    <n v="200010"/>
    <n v="-200010"/>
  </r>
  <r>
    <x v="15"/>
    <x v="3"/>
    <x v="5"/>
    <n v="260"/>
    <n v="775"/>
    <m/>
    <n v="201500"/>
    <n v="0"/>
    <n v="201500"/>
  </r>
  <r>
    <x v="15"/>
    <x v="3"/>
    <x v="5"/>
    <n v="135"/>
    <n v="580"/>
    <m/>
    <n v="78300"/>
    <m/>
    <n v="78300"/>
  </r>
  <r>
    <x v="16"/>
    <x v="3"/>
    <x v="5"/>
    <n v="228"/>
    <n v="830"/>
    <m/>
    <n v="189240"/>
    <n v="175000"/>
    <n v="14240"/>
  </r>
  <r>
    <x v="18"/>
    <x v="3"/>
    <x v="5"/>
    <n v="30"/>
    <n v="580"/>
    <m/>
    <n v="17400"/>
    <n v="0"/>
    <n v="17400"/>
  </r>
  <r>
    <x v="18"/>
    <x v="3"/>
    <x v="5"/>
    <n v="106"/>
    <n v="775"/>
    <m/>
    <n v="82150"/>
    <m/>
    <n v="82150"/>
  </r>
  <r>
    <x v="20"/>
    <x v="3"/>
    <x v="5"/>
    <n v="190"/>
    <n v="775"/>
    <m/>
    <n v="147250"/>
    <n v="0"/>
    <n v="147250"/>
  </r>
  <r>
    <x v="20"/>
    <x v="3"/>
    <x v="5"/>
    <n v="35"/>
    <n v="580"/>
    <m/>
    <n v="20300"/>
    <m/>
    <n v="20300"/>
  </r>
  <r>
    <x v="19"/>
    <x v="3"/>
    <x v="5"/>
    <m/>
    <m/>
    <m/>
    <n v="0"/>
    <n v="250000"/>
    <n v="-250000"/>
  </r>
  <r>
    <x v="18"/>
    <x v="0"/>
    <x v="10"/>
    <n v="319"/>
    <n v="850"/>
    <n v="60400"/>
    <n v="271150"/>
    <n v="60400"/>
    <n v="210750"/>
  </r>
  <r>
    <x v="19"/>
    <x v="2"/>
    <x v="5"/>
    <m/>
    <m/>
    <m/>
    <n v="0"/>
    <n v="30000"/>
    <n v="-30000"/>
  </r>
  <r>
    <x v="21"/>
    <x v="6"/>
    <x v="5"/>
    <n v="182"/>
    <n v="820"/>
    <m/>
    <n v="149240"/>
    <n v="106500"/>
    <n v="42740"/>
  </r>
  <r>
    <x v="21"/>
    <x v="10"/>
    <x v="5"/>
    <n v="234"/>
    <n v="820"/>
    <m/>
    <n v="191880"/>
    <n v="36000"/>
    <n v="155880"/>
  </r>
  <r>
    <x v="22"/>
    <x v="10"/>
    <x v="5"/>
    <n v="216"/>
    <n v="820"/>
    <m/>
    <n v="177120"/>
    <n v="100100"/>
    <n v="77020"/>
  </r>
  <r>
    <x v="22"/>
    <x v="6"/>
    <x v="5"/>
    <m/>
    <m/>
    <m/>
    <n v="0"/>
    <n v="100514"/>
    <n v="-100514"/>
  </r>
  <r>
    <x v="23"/>
    <x v="10"/>
    <x v="5"/>
    <m/>
    <m/>
    <m/>
    <n v="0"/>
    <m/>
    <n v="0"/>
  </r>
  <r>
    <x v="23"/>
    <x v="6"/>
    <x v="5"/>
    <n v="242"/>
    <n v="820"/>
    <m/>
    <n v="198440"/>
    <n v="150200"/>
    <n v="48240"/>
  </r>
  <r>
    <x v="23"/>
    <x v="10"/>
    <x v="5"/>
    <m/>
    <m/>
    <m/>
    <n v="0"/>
    <n v="55780"/>
    <n v="-55780"/>
  </r>
  <r>
    <x v="23"/>
    <x v="3"/>
    <x v="5"/>
    <m/>
    <m/>
    <m/>
    <n v="0"/>
    <n v="200250"/>
    <n v="-200250"/>
  </r>
  <r>
    <x v="24"/>
    <x v="6"/>
    <x v="5"/>
    <n v="205"/>
    <n v="820"/>
    <m/>
    <n v="168100"/>
    <m/>
    <n v="168100"/>
  </r>
  <r>
    <x v="24"/>
    <x v="6"/>
    <x v="5"/>
    <n v="260"/>
    <n v="850"/>
    <m/>
    <n v="221000"/>
    <m/>
    <n v="221000"/>
  </r>
  <r>
    <x v="24"/>
    <x v="7"/>
    <x v="5"/>
    <n v="133"/>
    <n v="800"/>
    <m/>
    <n v="106400"/>
    <n v="15000"/>
    <n v="91400"/>
  </r>
  <r>
    <x v="25"/>
    <x v="0"/>
    <x v="5"/>
    <m/>
    <m/>
    <m/>
    <n v="0"/>
    <n v="202000"/>
    <n v="-202000"/>
  </r>
  <r>
    <x v="25"/>
    <x v="6"/>
    <x v="5"/>
    <m/>
    <m/>
    <m/>
    <n v="0"/>
    <n v="150000"/>
    <n v="-150000"/>
  </r>
  <r>
    <x v="26"/>
    <x v="6"/>
    <x v="11"/>
    <n v="268"/>
    <n v="850"/>
    <n v="57000"/>
    <n v="227800"/>
    <n v="232000"/>
    <n v="-4200"/>
  </r>
  <r>
    <x v="26"/>
    <x v="3"/>
    <x v="5"/>
    <m/>
    <m/>
    <m/>
    <n v="0"/>
    <n v="202045"/>
    <n v="-202045"/>
  </r>
  <r>
    <x v="26"/>
    <x v="7"/>
    <x v="5"/>
    <m/>
    <m/>
    <m/>
    <n v="0"/>
    <n v="40000"/>
    <n v="-40000"/>
  </r>
  <r>
    <x v="27"/>
    <x v="10"/>
    <x v="5"/>
    <n v="226"/>
    <n v="820"/>
    <m/>
    <n v="185320"/>
    <m/>
    <n v="185320"/>
  </r>
  <r>
    <x v="25"/>
    <x v="3"/>
    <x v="5"/>
    <n v="247"/>
    <n v="775"/>
    <m/>
    <n v="191425"/>
    <m/>
    <n v="191425"/>
  </r>
  <r>
    <x v="26"/>
    <x v="3"/>
    <x v="5"/>
    <n v="138"/>
    <n v="600"/>
    <m/>
    <n v="82800"/>
    <m/>
    <n v="82800"/>
  </r>
  <r>
    <x v="28"/>
    <x v="10"/>
    <x v="5"/>
    <n v="194"/>
    <n v="820"/>
    <n v="31500"/>
    <n v="159080"/>
    <n v="100704"/>
    <n v="58376"/>
  </r>
  <r>
    <x v="29"/>
    <x v="3"/>
    <x v="5"/>
    <n v="262"/>
    <n v="825"/>
    <n v="75000"/>
    <n v="216150"/>
    <n v="75000"/>
    <n v="141150"/>
  </r>
  <r>
    <x v="29"/>
    <x v="6"/>
    <x v="5"/>
    <n v="209"/>
    <n v="850"/>
    <n v="48000"/>
    <n v="177650"/>
    <n v="198062"/>
    <n v="-20412"/>
  </r>
  <r>
    <x v="29"/>
    <x v="0"/>
    <x v="5"/>
    <m/>
    <m/>
    <m/>
    <n v="0"/>
    <n v="200460"/>
    <n v="-200460"/>
  </r>
  <r>
    <x v="29"/>
    <x v="10"/>
    <x v="5"/>
    <m/>
    <m/>
    <m/>
    <n v="0"/>
    <n v="31500"/>
    <n v="-31500"/>
  </r>
  <r>
    <x v="9"/>
    <x v="9"/>
    <x v="5"/>
    <m/>
    <m/>
    <m/>
    <n v="0"/>
    <m/>
    <n v="0"/>
  </r>
  <r>
    <x v="9"/>
    <x v="9"/>
    <x v="5"/>
    <m/>
    <m/>
    <m/>
    <n v="0"/>
    <m/>
    <n v="0"/>
  </r>
  <r>
    <x v="9"/>
    <x v="9"/>
    <x v="5"/>
    <m/>
    <m/>
    <m/>
    <n v="0"/>
    <m/>
    <n v="0"/>
  </r>
  <r>
    <x v="9"/>
    <x v="9"/>
    <x v="5"/>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r>
    <x v="8"/>
    <s v="Dyes"/>
    <m/>
    <m/>
    <n v="187000"/>
    <x v="1"/>
    <n v="80000"/>
    <n v="107000"/>
    <m/>
  </r>
  <r>
    <x v="9"/>
    <s v="Dyes"/>
    <m/>
    <m/>
    <n v="218250"/>
    <x v="1"/>
    <n v="107000"/>
    <n v="111250"/>
    <m/>
  </r>
  <r>
    <x v="10"/>
    <s v="Balance Nill"/>
    <m/>
    <m/>
    <m/>
    <x v="1"/>
    <n v="218250"/>
    <n v="-218250"/>
    <m/>
  </r>
  <r>
    <x v="9"/>
    <s v="Dyes"/>
    <m/>
    <m/>
    <n v="13500"/>
    <x v="5"/>
    <n v="13500"/>
    <n v="0"/>
    <m/>
  </r>
  <r>
    <x v="11"/>
    <s v="Dyes"/>
    <m/>
    <m/>
    <n v="66875"/>
    <x v="5"/>
    <n v="66875"/>
    <n v="0"/>
    <m/>
  </r>
  <r>
    <x v="11"/>
    <s v="Red F3BS"/>
    <m/>
    <m/>
    <n v="43500"/>
    <x v="1"/>
    <n v="0"/>
    <n v="43500"/>
    <m/>
  </r>
  <r>
    <x v="12"/>
    <s v="Dyes"/>
    <m/>
    <m/>
    <m/>
    <x v="1"/>
    <n v="43500"/>
    <n v="-43500"/>
    <m/>
  </r>
  <r>
    <x v="13"/>
    <m/>
    <m/>
    <m/>
    <m/>
    <x v="6"/>
    <n v="0"/>
    <n v="0"/>
    <m/>
  </r>
  <r>
    <x v="13"/>
    <m/>
    <m/>
    <m/>
    <m/>
    <x v="6"/>
    <n v="0"/>
    <n v="0"/>
    <m/>
  </r>
  <r>
    <x v="13"/>
    <m/>
    <m/>
    <m/>
    <m/>
    <x v="6"/>
    <n v="0"/>
    <n v="0"/>
    <m/>
  </r>
  <r>
    <x v="13"/>
    <m/>
    <m/>
    <m/>
    <m/>
    <x v="6"/>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516107.24433065113"/>
    <n v="10"/>
    <n v="4927719.4586686175"/>
  </r>
  <r>
    <x v="1"/>
    <n v="78653.072421360645"/>
    <n v="10"/>
    <n v="943836.86905632773"/>
  </r>
  <r>
    <x v="2"/>
    <n v="152184.52816386247"/>
    <n v="10"/>
    <n v="1619019.7512801758"/>
  </r>
  <r>
    <x v="3"/>
    <n v="8092.5384052670088"/>
    <n v="10.5"/>
    <n v="84971.653255303594"/>
  </r>
  <r>
    <x v="4"/>
    <n v="23995.976591075349"/>
    <n v="10"/>
    <n v="0"/>
  </r>
  <r>
    <x v="5"/>
    <n v="0"/>
    <n v="10"/>
    <n v="0"/>
  </r>
  <r>
    <x v="6"/>
    <n v="23250.731528895394"/>
    <n v="10"/>
    <n v="232507.31528895395"/>
  </r>
  <r>
    <x v="7"/>
    <n v="94839.978054133142"/>
    <n v="10"/>
    <n v="948399.78054133139"/>
  </r>
  <r>
    <x v="8"/>
    <n v="37214.703730797373"/>
    <n v="10"/>
    <n v="446576.44476956851"/>
  </r>
  <r>
    <x v="9"/>
    <n v="0"/>
    <n v="12"/>
    <n v="0"/>
  </r>
  <r>
    <x v="10"/>
    <n v="102513.7161667886"/>
    <m/>
    <n v="1025137.161667886"/>
  </r>
  <r>
    <x v="11"/>
    <n v="149877.46891002197"/>
    <m/>
    <n v="1083114.4842721289"/>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6">
  <r>
    <d v="2025-12-17T00:00:00"/>
    <x v="0"/>
    <m/>
    <n v="74274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3T00:00:00"/>
    <x v="19"/>
    <m/>
    <n v="250000"/>
    <s v="TID:371966"/>
    <s v="Bank"/>
    <m/>
  </r>
  <r>
    <d v="2026-01-03T00:00:00"/>
    <x v="6"/>
    <m/>
    <n v="3500"/>
    <s v="belts"/>
    <s v="Bank"/>
    <m/>
  </r>
  <r>
    <d v="2026-01-03T00:00:00"/>
    <x v="9"/>
    <n v="3500"/>
    <m/>
    <s v="belts"/>
    <s v="Bank"/>
    <m/>
  </r>
  <r>
    <d v="2026-01-03T00:00:00"/>
    <x v="17"/>
    <n v="9139"/>
    <m/>
    <s v="petrol"/>
    <s v="Bank"/>
    <m/>
  </r>
  <r>
    <d v="2026-01-03T00:00:00"/>
    <x v="3"/>
    <n v="3400"/>
    <m/>
    <s v="builty"/>
    <s v="Bank"/>
    <m/>
  </r>
  <r>
    <d v="2026-01-03T00:00:00"/>
    <x v="1"/>
    <m/>
    <n v="3400"/>
    <s v="builty "/>
    <s v="Bank"/>
    <m/>
  </r>
  <r>
    <d v="2026-01-03T00:00:00"/>
    <x v="1"/>
    <m/>
    <n v="9139"/>
    <s v="transport al madina"/>
    <s v="Bank"/>
    <m/>
  </r>
  <r>
    <d v="2026-01-03T00:00:00"/>
    <x v="1"/>
    <m/>
    <n v="660"/>
    <s v="belts"/>
    <s v="Bank"/>
    <m/>
  </r>
  <r>
    <d v="2026-01-03T00:00:00"/>
    <x v="9"/>
    <n v="660"/>
    <m/>
    <s v="a66 belts"/>
    <s v="Bank"/>
    <m/>
  </r>
  <r>
    <d v="2026-01-03T00:00:00"/>
    <x v="7"/>
    <n v="80000"/>
    <m/>
    <s v="107k balance"/>
    <s v="Bank"/>
    <m/>
  </r>
  <r>
    <d v="2025-01-03T00:00:00"/>
    <x v="6"/>
    <m/>
    <n v="80000"/>
    <s v="Madina Dyes"/>
    <s v="Bank"/>
    <m/>
  </r>
  <r>
    <d v="2026-01-03T00:00:00"/>
    <x v="9"/>
    <n v="3340"/>
    <m/>
    <s v="nut qablay"/>
    <s v="Bank"/>
    <m/>
  </r>
  <r>
    <d v="2026-01-03T00:00:00"/>
    <x v="1"/>
    <m/>
    <n v="3340"/>
    <s v="nut qablay"/>
    <s v="Bank"/>
    <m/>
  </r>
  <r>
    <d v="2026-01-03T00:00:00"/>
    <x v="1"/>
    <m/>
    <n v="3500"/>
    <s v="dhaga karaya"/>
    <s v="Bank"/>
    <m/>
  </r>
  <r>
    <d v="2026-01-03T00:00:00"/>
    <x v="17"/>
    <n v="3500"/>
    <m/>
    <s v="dhaga karaya"/>
    <s v="Bank"/>
    <m/>
  </r>
  <r>
    <d v="2026-01-03T00:00:00"/>
    <x v="10"/>
    <n v="200100"/>
    <m/>
    <s v="TID:559109"/>
    <s v="Bank"/>
    <m/>
  </r>
  <r>
    <d v="2026-01-03T00:00:00"/>
    <x v="5"/>
    <n v="60400"/>
    <m/>
    <s v="TID:371235"/>
    <s v="Bank"/>
    <m/>
  </r>
  <r>
    <d v="2026-01-03T00:00:00"/>
    <x v="17"/>
    <n v="2200"/>
    <m/>
    <s v="carton karaya"/>
    <s v="Bank"/>
    <m/>
  </r>
  <r>
    <d v="2026-01-03T00:00:00"/>
    <x v="1"/>
    <m/>
    <n v="2200"/>
    <s v="carton karaya"/>
    <s v="Bank"/>
    <m/>
  </r>
  <r>
    <d v="2026-01-04T00:00:00"/>
    <x v="15"/>
    <n v="30000"/>
    <m/>
    <s v="Waqas ADM"/>
    <s v="Bank"/>
    <m/>
  </r>
  <r>
    <d v="2026-01-04T00:00:00"/>
    <x v="6"/>
    <m/>
    <n v="63000"/>
    <m/>
    <s v="Bank"/>
    <m/>
  </r>
  <r>
    <d v="2026-01-04T00:00:00"/>
    <x v="11"/>
    <n v="20000"/>
    <m/>
    <s v="freight"/>
    <s v="Bank"/>
    <m/>
  </r>
  <r>
    <d v="2026-01-04T00:00:00"/>
    <x v="16"/>
    <n v="3000"/>
    <m/>
    <s v="Package device"/>
    <s v="Bank"/>
    <m/>
  </r>
  <r>
    <d v="2026-01-03T00:00:00"/>
    <x v="1"/>
    <m/>
    <n v="10400"/>
    <s v="Malik zaheer"/>
    <s v="Bank"/>
    <m/>
  </r>
  <r>
    <d v="2026-01-03T00:00:00"/>
    <x v="2"/>
    <n v="620"/>
    <m/>
    <s v="Abdullah load"/>
    <s v="Bank"/>
    <m/>
  </r>
  <r>
    <d v="2026-01-05T00:00:00"/>
    <x v="1"/>
    <m/>
    <n v="2500"/>
    <m/>
    <s v="Bank"/>
    <m/>
  </r>
  <r>
    <d v="2026-01-05T00:00:00"/>
    <x v="16"/>
    <n v="15000"/>
    <m/>
    <s v="Environment"/>
    <s v="Bank"/>
    <m/>
  </r>
  <r>
    <d v="2026-01-05T00:00:00"/>
    <x v="2"/>
    <n v="2800"/>
    <m/>
    <s v="mazdoor"/>
    <s v="Bank"/>
    <m/>
  </r>
  <r>
    <d v="2026-01-05T00:00:00"/>
    <x v="10"/>
    <n v="4000"/>
    <m/>
    <s v="katai"/>
    <s v="Bank"/>
    <m/>
  </r>
  <r>
    <d v="2026-01-05T00:00:00"/>
    <x v="6"/>
    <m/>
    <n v="100000"/>
    <m/>
    <s v="Bank"/>
    <m/>
  </r>
  <r>
    <d v="2026-01-05T00:00:00"/>
    <x v="16"/>
    <n v="500"/>
    <m/>
    <s v="package khalid sahab"/>
    <s v="Bank"/>
    <m/>
  </r>
  <r>
    <d v="2026-01-05T00:00:00"/>
    <x v="16"/>
    <n v="580"/>
    <m/>
    <s v="package khalid sahab"/>
    <s v="Bank"/>
    <m/>
  </r>
  <r>
    <d v="2026-01-05T00:00:00"/>
    <x v="12"/>
    <n v="30000"/>
    <m/>
    <s v="TID:861746"/>
    <s v="Bank"/>
    <m/>
  </r>
  <r>
    <d v="2026-01-05T00:00:00"/>
    <x v="17"/>
    <n v="7639"/>
    <m/>
    <s v="petrol"/>
    <s v="Bank"/>
    <m/>
  </r>
  <r>
    <d v="2026-01-05T00:00:00"/>
    <x v="9"/>
    <n v="7500"/>
    <m/>
    <s v="bulbs x22"/>
    <s v="Bank"/>
    <m/>
  </r>
  <r>
    <d v="2026-01-05T00:00:00"/>
    <x v="9"/>
    <n v="1100"/>
    <m/>
    <s v="silicone"/>
    <s v="Bank"/>
    <m/>
  </r>
  <r>
    <d v="2026-01-05T00:00:00"/>
    <x v="9"/>
    <n v="360"/>
    <m/>
    <s v="taps"/>
    <s v="Bank"/>
    <m/>
  </r>
  <r>
    <d v="2026-01-05T00:00:00"/>
    <x v="6"/>
    <m/>
    <n v="480000"/>
    <s v="TID:362678"/>
    <s v="Bank"/>
    <m/>
  </r>
  <r>
    <d v="2026-01-05T00:00:00"/>
    <x v="13"/>
    <n v="250000"/>
    <m/>
    <m/>
    <s v="Bank"/>
    <m/>
  </r>
  <r>
    <d v="2026-01-05T00:00:00"/>
    <x v="10"/>
    <n v="200200"/>
    <m/>
    <s v="BAHL"/>
    <s v="Bank"/>
    <m/>
  </r>
  <r>
    <d v="2026-01-05T00:00:00"/>
    <x v="4"/>
    <n v="45000"/>
    <m/>
    <s v="khalid sahab"/>
    <s v="Bank"/>
    <s v="45+5k (23/12)"/>
  </r>
  <r>
    <d v="2026-01-05T00:00:00"/>
    <x v="15"/>
    <n v="10000"/>
    <m/>
    <s v="Naeem Electric"/>
    <s v="Bank"/>
    <m/>
  </r>
  <r>
    <d v="2026-01-05T00:00:00"/>
    <x v="25"/>
    <m/>
    <n v="22500"/>
    <s v="Cash BSC"/>
    <s v="Bank"/>
    <m/>
  </r>
  <r>
    <d v="2026-01-05T00:00:00"/>
    <x v="17"/>
    <n v="2000"/>
    <m/>
    <s v="puncture"/>
    <s v="Bank"/>
    <m/>
  </r>
  <r>
    <d v="2026-01-05T00:00:00"/>
    <x v="1"/>
    <m/>
    <n v="1000"/>
    <m/>
    <s v="Bank"/>
    <m/>
  </r>
  <r>
    <d v="2026-01-05T00:00:00"/>
    <x v="23"/>
    <m/>
    <n v="50000"/>
    <s v="Cash"/>
    <s v="Bank"/>
    <m/>
  </r>
  <r>
    <d v="2026-01-05T00:00:00"/>
    <x v="6"/>
    <n v="50000"/>
    <m/>
    <s v="Badshah Fabrics (50k cash)"/>
    <m/>
    <m/>
  </r>
  <r>
    <d v="2026-01-06T00:00:00"/>
    <x v="6"/>
    <m/>
    <n v="138000"/>
    <m/>
    <s v="Bank"/>
    <m/>
  </r>
  <r>
    <d v="2026-01-06T00:00:00"/>
    <x v="7"/>
    <n v="107000"/>
    <m/>
    <s v="Balance Nill"/>
    <s v="Bank"/>
    <m/>
  </r>
  <r>
    <d v="2026-01-06T00:00:00"/>
    <x v="34"/>
    <n v="35000"/>
    <m/>
    <s v="freight"/>
    <s v="Bank"/>
    <m/>
  </r>
  <r>
    <d v="2026-01-06T00:00:00"/>
    <x v="35"/>
    <n v="13500"/>
    <m/>
    <s v="Soda/H202"/>
    <s v="Bank"/>
    <m/>
  </r>
  <r>
    <d v="2026-01-06T00:00:00"/>
    <x v="6"/>
    <m/>
    <n v="13500"/>
    <s v="Soda/H202"/>
    <s v="Bank"/>
    <m/>
  </r>
  <r>
    <d v="2026-01-06T00:00:00"/>
    <x v="8"/>
    <m/>
    <n v="205299"/>
    <s v="TID:182924"/>
    <s v="Bank"/>
    <m/>
  </r>
  <r>
    <d v="2026-01-06T00:00:00"/>
    <x v="9"/>
    <n v="800"/>
    <m/>
    <s v="belts"/>
    <s v="Bank"/>
    <m/>
  </r>
  <r>
    <d v="2026-01-06T00:00:00"/>
    <x v="9"/>
    <n v="300"/>
    <m/>
    <m/>
    <s v="Bank"/>
    <m/>
  </r>
  <r>
    <d v="2026-01-06T00:00:00"/>
    <x v="5"/>
    <n v="200220"/>
    <m/>
    <s v="TID:121641"/>
    <s v="Bank"/>
    <m/>
  </r>
  <r>
    <d v="2026-01-06T00:00:00"/>
    <x v="19"/>
    <m/>
    <n v="200000"/>
    <s v="TID:465532"/>
    <s v="Bank"/>
    <m/>
  </r>
  <r>
    <d v="2026-01-06T00:00:00"/>
    <x v="28"/>
    <m/>
    <n v="100000"/>
    <s v="Taha meezan"/>
    <s v="Bank"/>
    <m/>
  </r>
  <r>
    <d v="2026-01-06T00:00:00"/>
    <x v="3"/>
    <n v="10000"/>
    <m/>
    <s v="Master Abid"/>
    <s v="Bank"/>
    <m/>
  </r>
  <r>
    <d v="2026-01-06T00:00:00"/>
    <x v="9"/>
    <n v="1800"/>
    <m/>
    <s v="garari"/>
    <s v="Bank"/>
    <m/>
  </r>
  <r>
    <d v="2026-01-06T00:00:00"/>
    <x v="13"/>
    <n v="150500"/>
    <m/>
    <s v="TID:491231"/>
    <s v="Bank"/>
    <m/>
  </r>
  <r>
    <d v="2026-01-06T00:00:00"/>
    <x v="10"/>
    <n v="101500"/>
    <m/>
    <s v="TID:146402"/>
    <s v="Bank"/>
    <m/>
  </r>
  <r>
    <d v="2026-01-06T00:00:00"/>
    <x v="17"/>
    <n v="2000"/>
    <m/>
    <s v="bike"/>
    <s v="Bank"/>
    <m/>
  </r>
  <r>
    <d v="2026-01-06T00:00:00"/>
    <x v="17"/>
    <n v="5100"/>
    <m/>
    <s v="CAR"/>
    <s v="Bank"/>
    <m/>
  </r>
  <r>
    <d v="2026-01-06T00:00:00"/>
    <x v="1"/>
    <m/>
    <n v="4000"/>
    <m/>
    <s v="Bank"/>
    <m/>
  </r>
  <r>
    <d v="2026-01-06T00:00:00"/>
    <x v="15"/>
    <n v="6000"/>
    <m/>
    <s v="iqbal Fitter"/>
    <s v="Bank"/>
    <m/>
  </r>
  <r>
    <d v="2026-01-06T00:00:00"/>
    <x v="15"/>
    <n v="5000"/>
    <m/>
    <s v="Ali Raza"/>
    <s v="Bank"/>
    <m/>
  </r>
  <r>
    <d v="2026-01-06T00:00:00"/>
    <x v="6"/>
    <n v="5000"/>
    <m/>
    <s v="Altaf Stenter"/>
    <s v="Bank"/>
    <m/>
  </r>
  <r>
    <d v="2026-01-06T00:00:00"/>
    <x v="10"/>
    <n v="5000"/>
    <m/>
    <s v="unloading"/>
    <s v="Bank"/>
    <m/>
  </r>
  <r>
    <d v="2026-01-06T00:00:00"/>
    <x v="5"/>
    <n v="1000"/>
    <m/>
    <s v="unloading"/>
    <s v="Bank"/>
    <m/>
  </r>
  <r>
    <d v="2026-01-06T00:00:00"/>
    <x v="34"/>
    <n v="1000"/>
    <m/>
    <s v="unloading"/>
    <s v="Bank"/>
    <m/>
  </r>
  <r>
    <d v="2026-01-06T00:00:00"/>
    <x v="13"/>
    <n v="1000"/>
    <m/>
    <s v="unloading"/>
    <s v="Bank"/>
    <m/>
  </r>
  <r>
    <d v="2026-01-06T00:00:00"/>
    <x v="23"/>
    <m/>
    <n v="250000"/>
    <s v="BSC"/>
    <s v="Bank"/>
    <m/>
  </r>
  <r>
    <d v="2026-01-06T00:00:00"/>
    <x v="6"/>
    <m/>
    <m/>
    <m/>
    <s v="Bank"/>
    <m/>
  </r>
  <r>
    <d v="2026-01-07T00:00:00"/>
    <x v="7"/>
    <n v="218250"/>
    <m/>
    <s v="Bill Nill"/>
    <s v="Bank"/>
    <m/>
  </r>
  <r>
    <d v="2026-01-07T00:00:00"/>
    <x v="9"/>
    <n v="7400"/>
    <m/>
    <s v="Folding sirhi"/>
    <s v="Bank"/>
    <m/>
  </r>
  <r>
    <d v="2026-01-07T00:00:00"/>
    <x v="9"/>
    <n v="6600"/>
    <m/>
    <s v="electric"/>
    <s v="Bank"/>
    <m/>
  </r>
  <r>
    <d v="2026-01-07T00:00:00"/>
    <x v="15"/>
    <n v="10000"/>
    <m/>
    <s v="Umar Farooq"/>
    <s v="Bank"/>
    <m/>
  </r>
  <r>
    <d v="2026-01-07T00:00:00"/>
    <x v="28"/>
    <m/>
    <n v="100000"/>
    <s v="TID:331115"/>
    <s v="Bank"/>
    <m/>
  </r>
  <r>
    <d v="2026-01-07T00:00:00"/>
    <x v="28"/>
    <m/>
    <n v="43970"/>
    <s v="TID:983873"/>
    <s v="Bank"/>
    <m/>
  </r>
  <r>
    <d v="2026-01-07T00:00:00"/>
    <x v="25"/>
    <m/>
    <n v="100000"/>
    <s v="TID:647849"/>
    <s v="Bank"/>
    <m/>
  </r>
  <r>
    <d v="2026-01-07T00:00:00"/>
    <x v="10"/>
    <n v="100514"/>
    <m/>
    <s v="TID:381663"/>
    <s v="Bank"/>
    <m/>
  </r>
  <r>
    <d v="2026-01-07T00:00:00"/>
    <x v="34"/>
    <n v="100100"/>
    <m/>
    <s v="TID:292148"/>
    <s v="Bank"/>
    <m/>
  </r>
  <r>
    <d v="2026-01-06T00:00:00"/>
    <x v="15"/>
    <n v="10000"/>
    <m/>
    <s v="khubaib"/>
    <s v="Bank"/>
    <m/>
  </r>
  <r>
    <d v="2026-01-08T00:00:00"/>
    <x v="2"/>
    <m/>
    <n v="2500"/>
    <s v="cash"/>
    <s v="Bank"/>
    <m/>
  </r>
  <r>
    <d v="2026-01-08T00:00:00"/>
    <x v="9"/>
    <n v="4380"/>
    <m/>
    <s v="chain"/>
    <s v="Bank"/>
    <m/>
  </r>
  <r>
    <d v="2026-01-08T00:00:00"/>
    <x v="34"/>
    <n v="55780"/>
    <m/>
    <m/>
    <s v="Bank"/>
    <m/>
  </r>
  <r>
    <d v="2026-01-08T00:00:00"/>
    <x v="9"/>
    <n v="250000"/>
    <m/>
    <s v="High Temp oil Boiler"/>
    <s v="Bank"/>
    <m/>
  </r>
  <r>
    <d v="2026-01-08T00:00:00"/>
    <x v="6"/>
    <m/>
    <n v="250000"/>
    <s v="High Temp oil Boiler"/>
    <s v="Bank"/>
    <m/>
  </r>
  <r>
    <d v="2026-01-08T00:00:00"/>
    <x v="19"/>
    <m/>
    <n v="150000"/>
    <s v="TID:831740"/>
    <s v="Bank"/>
    <m/>
  </r>
  <r>
    <d v="2026-01-08T00:00:00"/>
    <x v="10"/>
    <n v="150200"/>
    <m/>
    <s v="TID:776327"/>
    <s v="Bank"/>
    <m/>
  </r>
  <r>
    <d v="2026-01-08T00:00:00"/>
    <x v="9"/>
    <n v="2000"/>
    <m/>
    <s v="silai machine"/>
    <s v="Bank"/>
    <m/>
  </r>
  <r>
    <d v="2026-01-08T00:00:00"/>
    <x v="36"/>
    <m/>
    <n v="200000"/>
    <s v="TID:548559"/>
    <s v="Bank"/>
    <m/>
  </r>
  <r>
    <d v="2026-01-08T00:00:00"/>
    <x v="13"/>
    <n v="200250"/>
    <m/>
    <s v="TID:117228"/>
    <s v="Bank"/>
    <m/>
  </r>
  <r>
    <d v="2026-01-08T00:00:00"/>
    <x v="23"/>
    <m/>
    <n v="80000"/>
    <s v="Meezan"/>
    <s v="Bank"/>
    <m/>
  </r>
  <r>
    <d v="2026-01-08T00:00:00"/>
    <x v="23"/>
    <m/>
    <n v="120000"/>
    <s v="Cash"/>
    <s v="Bank"/>
    <m/>
  </r>
  <r>
    <d v="2026-01-08T00:00:00"/>
    <x v="23"/>
    <m/>
    <n v="28000"/>
    <s v="Meezan"/>
    <s v="Bank"/>
    <m/>
  </r>
  <r>
    <d v="2026-01-08T00:00:00"/>
    <x v="23"/>
    <m/>
    <n v="2000"/>
    <s v="Cash"/>
    <s v="Bank"/>
    <m/>
  </r>
  <r>
    <d v="2026-01-08T00:00:00"/>
    <x v="6"/>
    <n v="230000"/>
    <m/>
    <s v="Badshah Adjust 230k"/>
    <s v="Bank"/>
    <m/>
  </r>
  <r>
    <d v="2026-01-08T00:00:00"/>
    <x v="6"/>
    <m/>
    <n v="100000"/>
    <s v="Master Tanveer 50+50"/>
    <s v="Bank"/>
    <m/>
  </r>
  <r>
    <d v="2026-01-08T00:00:00"/>
    <x v="4"/>
    <n v="50000"/>
    <m/>
    <s v="Master Tanveer"/>
    <s v="Bank"/>
    <m/>
  </r>
  <r>
    <d v="2026-01-09T00:00:00"/>
    <x v="35"/>
    <n v="32500"/>
    <m/>
    <s v="T Blue"/>
    <s v="Bank"/>
    <m/>
  </r>
  <r>
    <d v="2026-01-09T00:00:00"/>
    <x v="35"/>
    <n v="34375"/>
    <m/>
    <s v="Violet 3R"/>
    <s v="Bank"/>
    <m/>
  </r>
  <r>
    <d v="2026-01-09T00:00:00"/>
    <x v="6"/>
    <m/>
    <n v="66875"/>
    <s v="Dyes//tblue+3R"/>
    <s v="Bank"/>
    <m/>
  </r>
  <r>
    <d v="2026-01-09T00:00:00"/>
    <x v="1"/>
    <m/>
    <n v="15000"/>
    <s v="Amjad wood"/>
    <s v="Bank"/>
    <m/>
  </r>
  <r>
    <d v="2026-01-09T00:00:00"/>
    <x v="11"/>
    <n v="15000"/>
    <m/>
    <s v="freight"/>
    <s v="Bank"/>
    <m/>
  </r>
  <r>
    <d v="2026-01-09T00:00:00"/>
    <x v="9"/>
    <n v="3500"/>
    <m/>
    <s v="bearings"/>
    <s v="Bank"/>
    <m/>
  </r>
  <r>
    <d v="2026-01-09T00:00:00"/>
    <x v="9"/>
    <n v="1050"/>
    <m/>
    <s v="B70"/>
    <s v="Bank"/>
    <m/>
  </r>
  <r>
    <d v="2026-01-09T00:00:00"/>
    <x v="9"/>
    <n v="2300"/>
    <m/>
    <s v="Grinder fix"/>
    <s v="Bank"/>
    <m/>
  </r>
  <r>
    <d v="2026-01-09T00:00:00"/>
    <x v="15"/>
    <n v="2000"/>
    <m/>
    <s v="ghulam abbas"/>
    <s v="Bank"/>
    <m/>
  </r>
  <r>
    <d v="2026-01-10T00:00:00"/>
    <x v="2"/>
    <m/>
    <n v="5000"/>
    <s v="petrol cash"/>
    <s v="Bank"/>
    <m/>
  </r>
  <r>
    <d v="2026-01-10T00:00:00"/>
    <x v="17"/>
    <n v="5000"/>
    <m/>
    <s v="car"/>
    <s v="Bank"/>
    <m/>
  </r>
  <r>
    <d v="2026-01-10T00:00:00"/>
    <x v="19"/>
    <m/>
    <n v="230200"/>
    <s v="TID:359506"/>
    <s v="Bank"/>
    <m/>
  </r>
  <r>
    <d v="2026-01-10T00:00:00"/>
    <x v="5"/>
    <n v="202000"/>
    <m/>
    <s v="TID:676403"/>
    <s v="Bank"/>
    <m/>
  </r>
  <r>
    <d v="2026-01-10T00:00:00"/>
    <x v="6"/>
    <m/>
    <n v="100000"/>
    <s v="UBL"/>
    <s v="Bank"/>
    <m/>
  </r>
  <r>
    <d v="2026-01-10T00:00:00"/>
    <x v="34"/>
    <n v="70000"/>
    <m/>
    <s v="TID:611173"/>
    <s v="Bank"/>
    <m/>
  </r>
  <r>
    <d v="2026-01-10T00:00:00"/>
    <x v="17"/>
    <n v="1273"/>
    <m/>
    <s v="bike"/>
    <s v="Bank"/>
    <m/>
  </r>
  <r>
    <d v="2026-01-10T00:00:00"/>
    <x v="9"/>
    <n v="15513"/>
    <m/>
    <s v="diesel"/>
    <s v="Bank"/>
    <m/>
  </r>
  <r>
    <d v="2026-01-10T00:00:00"/>
    <x v="26"/>
    <n v="16270"/>
    <m/>
    <s v="Bill Nill"/>
    <s v="Bank"/>
    <m/>
  </r>
  <r>
    <d v="2026-01-10T00:00:00"/>
    <x v="6"/>
    <m/>
    <n v="120000"/>
    <s v="TID:132206"/>
    <s v="Bank"/>
    <m/>
  </r>
  <r>
    <d v="2026-01-10T00:00:00"/>
    <x v="6"/>
    <n v="253000"/>
    <m/>
    <s v="hafiz qureshi 253"/>
    <s v="Bank"/>
    <m/>
  </r>
  <r>
    <d v="2026-01-10T00:00:00"/>
    <x v="8"/>
    <m/>
    <n v="253000"/>
    <s v="BSC"/>
    <s v="Bank"/>
    <m/>
  </r>
  <r>
    <d v="2026-01-10T00:00:00"/>
    <x v="6"/>
    <m/>
    <n v="118000"/>
    <s v="Faysal Akraam"/>
    <s v="Bank"/>
    <m/>
  </r>
  <r>
    <d v="2026-01-10T00:00:00"/>
    <x v="24"/>
    <n v="118000"/>
    <m/>
    <s v="Bill Nill"/>
    <s v="Bank"/>
    <m/>
  </r>
  <r>
    <d v="2026-01-10T00:00:00"/>
    <x v="10"/>
    <n v="150000"/>
    <m/>
    <s v="TID:254248"/>
    <s v="Bank"/>
    <m/>
  </r>
  <r>
    <d v="2026-01-10T00:00:00"/>
    <x v="6"/>
    <m/>
    <n v="53000"/>
    <s v="TID:953731"/>
    <s v="Bank"/>
    <m/>
  </r>
  <r>
    <d v="2026-01-10T00:00:00"/>
    <x v="15"/>
    <n v="5000"/>
    <m/>
    <s v="ghulam abbas"/>
    <s v="Bank"/>
    <m/>
  </r>
  <r>
    <d v="2026-01-10T00:00:00"/>
    <x v="2"/>
    <n v="16000"/>
    <m/>
    <s v="cement"/>
    <s v="Bank"/>
    <m/>
  </r>
  <r>
    <d v="2026-01-11T00:00:00"/>
    <x v="26"/>
    <n v="20000"/>
    <m/>
    <s v="atta"/>
    <s v="Bank"/>
    <m/>
  </r>
  <r>
    <d v="2026-01-11T00:00:00"/>
    <x v="6"/>
    <m/>
    <n v="75000"/>
    <s v="TID:640899"/>
    <s v="Bank"/>
    <m/>
  </r>
  <r>
    <d v="2026-01-11T00:00:00"/>
    <x v="34"/>
    <n v="50000"/>
    <m/>
    <s v="TID:518089"/>
    <s v="Bank"/>
    <m/>
  </r>
  <r>
    <d v="2026-01-11T00:00:00"/>
    <x v="6"/>
    <m/>
    <n v="62000"/>
    <s v="TID:134405"/>
    <s v="Bank"/>
    <m/>
  </r>
  <r>
    <d v="2026-01-11T00:00:00"/>
    <x v="15"/>
    <n v="32000"/>
    <m/>
    <s v="khalid sahab"/>
    <s v="Bank"/>
    <m/>
  </r>
  <r>
    <d v="2026-01-11T00:00:00"/>
    <x v="37"/>
    <n v="38750"/>
    <m/>
    <s v="Starch 10 bags"/>
    <s v="Bank"/>
    <m/>
  </r>
  <r>
    <d v="2026-01-11T00:00:00"/>
    <x v="2"/>
    <n v="1400"/>
    <m/>
    <s v="mazdoor"/>
    <s v="Bank"/>
    <m/>
  </r>
  <r>
    <d v="2026-01-11T00:00:00"/>
    <x v="16"/>
    <n v="500"/>
    <m/>
    <s v="raksha karaya"/>
    <s v="Bank"/>
    <m/>
  </r>
  <r>
    <d v="2026-01-12T00:00:00"/>
    <x v="6"/>
    <m/>
    <n v="400000"/>
    <s v="TID:876803"/>
    <s v="Bank"/>
    <m/>
  </r>
  <r>
    <d v="2026-01-12T00:00:00"/>
    <x v="7"/>
    <n v="43500"/>
    <m/>
    <s v="RED F3BS"/>
    <s v="Bank"/>
    <m/>
  </r>
  <r>
    <d v="2026-01-12T00:00:00"/>
    <x v="38"/>
    <n v="351000"/>
    <m/>
    <s v="TID:434978"/>
    <s v="Bank"/>
    <m/>
  </r>
  <r>
    <d v="2026-01-12T00:00:00"/>
    <x v="10"/>
    <n v="57000"/>
    <m/>
    <s v="Karaya-Rifatullah"/>
    <s v="Bank"/>
    <m/>
  </r>
  <r>
    <d v="2026-01-12T00:00:00"/>
    <x v="15"/>
    <n v="18000"/>
    <m/>
    <s v="khalid sahab"/>
    <s v="Bank"/>
    <m/>
  </r>
  <r>
    <d v="2026-01-12T00:00:00"/>
    <x v="1"/>
    <m/>
    <n v="5000"/>
    <s v="TID:674644"/>
    <s v="Bank"/>
    <m/>
  </r>
  <r>
    <d v="2026-01-12T00:00:00"/>
    <x v="15"/>
    <n v="20000"/>
    <m/>
    <s v="iqbal Fitter"/>
    <s v="Bank"/>
    <m/>
  </r>
  <r>
    <d v="2026-01-12T00:00:00"/>
    <x v="15"/>
    <n v="5000"/>
    <m/>
    <s v="iqbal Fitter"/>
    <s v="Bank"/>
    <m/>
  </r>
  <r>
    <d v="2026-01-12T00:00:00"/>
    <x v="11"/>
    <n v="40000"/>
    <m/>
    <s v="TID:808898"/>
    <s v="Bank"/>
    <m/>
  </r>
  <r>
    <d v="2026-01-12T00:00:00"/>
    <x v="6"/>
    <m/>
    <n v="50000"/>
    <s v="TID:196599"/>
    <s v="Bank"/>
    <m/>
  </r>
  <r>
    <d v="2026-01-12T00:00:00"/>
    <x v="6"/>
    <m/>
    <n v="693000"/>
    <s v="100+99+94+400"/>
    <s v="Bank"/>
    <m/>
  </r>
  <r>
    <d v="2026-01-12T00:00:00"/>
    <x v="9"/>
    <n v="15513"/>
    <m/>
    <s v="diesel"/>
    <s v="Bank"/>
    <m/>
  </r>
  <r>
    <d v="2026-01-12T00:00:00"/>
    <x v="13"/>
    <n v="202045"/>
    <m/>
    <s v="TID:562588"/>
    <s v="Bank"/>
    <m/>
  </r>
  <r>
    <d v="2026-01-12T00:00:00"/>
    <x v="10"/>
    <n v="175000"/>
    <m/>
    <s v="TID:899154"/>
    <s v="Bank"/>
    <m/>
  </r>
  <r>
    <d v="2026-01-12T00:00:00"/>
    <x v="25"/>
    <m/>
    <n v="400000"/>
    <s v="TID:134619"/>
    <s v="Bank"/>
    <m/>
  </r>
  <r>
    <d v="2026-01-12T00:00:00"/>
    <x v="3"/>
    <n v="5000"/>
    <m/>
    <s v="master abid"/>
    <s v="Bank"/>
    <m/>
  </r>
  <r>
    <d v="2026-01-12T00:00:00"/>
    <x v="4"/>
    <n v="501260"/>
    <m/>
    <s v="general"/>
    <s v="Bank"/>
    <m/>
  </r>
  <r>
    <d v="2026-01-13T00:00:00"/>
    <x v="4"/>
    <n v="40000"/>
    <m/>
    <s v="master Tanveer"/>
    <s v="Bank"/>
    <m/>
  </r>
  <r>
    <d v="2026-01-13T00:00:00"/>
    <x v="2"/>
    <n v="2200"/>
    <m/>
    <s v="mazdoor"/>
    <s v="Bank"/>
    <m/>
  </r>
  <r>
    <d v="2026-01-13T00:00:00"/>
    <x v="32"/>
    <m/>
    <n v="100000"/>
    <m/>
    <s v="Bank"/>
    <m/>
  </r>
  <r>
    <d v="2026-01-13T00:00:00"/>
    <x v="15"/>
    <n v="20000"/>
    <m/>
    <s v="Nasir opt"/>
    <s v="Bank"/>
    <m/>
  </r>
  <r>
    <d v="2026-01-13T00:00:00"/>
    <x v="15"/>
    <n v="1000"/>
    <m/>
    <s v="ali hasnain helper stenter"/>
    <s v="Bank"/>
    <m/>
  </r>
  <r>
    <d v="2026-01-13T00:00:00"/>
    <x v="1"/>
    <n v="2300"/>
    <m/>
    <m/>
    <s v="Bank"/>
    <m/>
  </r>
  <r>
    <d v="2026-01-13T00:00:00"/>
    <x v="2"/>
    <n v="1000"/>
    <m/>
    <s v="ghar"/>
    <s v="Bank"/>
    <m/>
  </r>
  <r>
    <d v="2026-01-13T00:00:00"/>
    <x v="2"/>
    <n v="300"/>
    <m/>
    <s v="medicine"/>
    <s v="Bank"/>
    <m/>
  </r>
  <r>
    <d v="2026-01-13T00:00:00"/>
    <x v="4"/>
    <n v="22000"/>
    <m/>
    <s v="shoaib"/>
    <s v="Bank"/>
    <m/>
  </r>
  <r>
    <d v="2026-01-13T00:00:00"/>
    <x v="4"/>
    <n v="17000"/>
    <m/>
    <s v="Ashraf Guard"/>
    <s v="Bank"/>
    <m/>
  </r>
  <r>
    <d v="2026-01-13T00:00:00"/>
    <x v="4"/>
    <n v="329640"/>
    <m/>
    <s v="general"/>
    <s v="Bank"/>
    <m/>
  </r>
  <r>
    <d v="2026-01-13T00:00:00"/>
    <x v="17"/>
    <n v="5000"/>
    <m/>
    <s v="petrol cash"/>
    <s v="Bank"/>
    <m/>
  </r>
  <r>
    <d v="2026-01-13T00:00:00"/>
    <x v="6"/>
    <m/>
    <n v="300000"/>
    <s v="100x3"/>
    <s v="Bank"/>
    <m/>
  </r>
  <r>
    <d v="2026-01-13T00:00:00"/>
    <x v="34"/>
    <n v="100704"/>
    <m/>
    <s v="TID:469135"/>
    <s v="Bank"/>
    <m/>
  </r>
  <r>
    <d v="2026-01-13T00:00:00"/>
    <x v="6"/>
    <m/>
    <n v="50000"/>
    <s v="TID:956033"/>
    <s v="Bank"/>
    <m/>
  </r>
  <r>
    <d v="2026-01-13T00:00:00"/>
    <x v="9"/>
    <n v="15513"/>
    <m/>
    <s v="diesel"/>
    <s v="Bank"/>
    <m/>
  </r>
  <r>
    <d v="2026-01-13T00:00:00"/>
    <x v="28"/>
    <m/>
    <n v="190000"/>
    <s v="TID:127303"/>
    <s v="Bank"/>
    <m/>
  </r>
  <r>
    <d v="2026-01-13T00:00:00"/>
    <x v="2"/>
    <n v="4500"/>
    <m/>
    <s v="optix"/>
    <s v="Bank"/>
    <m/>
  </r>
  <r>
    <d v="2026-01-13T00:00:00"/>
    <x v="1"/>
    <n v="400"/>
    <m/>
    <m/>
    <s v="Bank"/>
    <m/>
  </r>
  <r>
    <d v="2026-01-13T00:00:00"/>
    <x v="17"/>
    <n v="350"/>
    <m/>
    <s v="starch karaya"/>
    <s v="Bank"/>
    <m/>
  </r>
  <r>
    <d v="2026-01-14T00:00:00"/>
    <x v="28"/>
    <m/>
    <n v="100000"/>
    <s v="TID:532307"/>
    <s v="Bank"/>
    <m/>
  </r>
  <r>
    <d v="2026-01-14T00:00:00"/>
    <x v="28"/>
    <m/>
    <n v="160000"/>
    <s v="Cash BSC"/>
    <s v="Bank"/>
    <m/>
  </r>
  <r>
    <d v="2026-01-14T00:00:00"/>
    <x v="6"/>
    <n v="160000"/>
    <m/>
    <s v="ejaz sahab"/>
    <s v="Bank"/>
    <m/>
  </r>
  <r>
    <d v="2026-01-14T00:00:00"/>
    <x v="19"/>
    <m/>
    <n v="200000"/>
    <s v="TID:366911"/>
    <s v="Bank"/>
    <m/>
  </r>
  <r>
    <d v="2026-01-14T00:00:00"/>
    <x v="6"/>
    <m/>
    <n v="5100"/>
    <s v="parts"/>
    <s v="Bank"/>
    <m/>
  </r>
  <r>
    <d v="2026-01-14T00:00:00"/>
    <x v="9"/>
    <n v="5100"/>
    <m/>
    <s v="oarts"/>
    <s v="Bank"/>
    <m/>
  </r>
  <r>
    <d v="2026-01-14T00:00:00"/>
    <x v="9"/>
    <n v="3000"/>
    <m/>
    <s v="parts"/>
    <s v="Bank"/>
    <m/>
  </r>
  <r>
    <d v="2026-01-14T00:00:00"/>
    <x v="10"/>
    <n v="150062"/>
    <m/>
    <s v="TID:854707"/>
    <s v="Bank"/>
    <m/>
  </r>
  <r>
    <d v="2026-01-14T00:00:00"/>
    <x v="34"/>
    <n v="31500"/>
    <m/>
    <s v="freight"/>
    <s v="Bank"/>
    <m/>
  </r>
  <r>
    <d v="2026-01-14T00:00:00"/>
    <x v="9"/>
    <n v="1300"/>
    <m/>
    <s v="belts 16inch"/>
    <s v="Bank"/>
    <m/>
  </r>
  <r>
    <d v="2026-01-14T00:00:00"/>
    <x v="13"/>
    <n v="70000"/>
    <m/>
    <s v="freight"/>
    <s v="Bank"/>
    <m/>
  </r>
  <r>
    <d v="2026-01-14T00:00:00"/>
    <x v="13"/>
    <n v="5000"/>
    <m/>
    <s v="freight"/>
    <s v="Bank"/>
    <m/>
  </r>
  <r>
    <d v="2026-01-14T00:00:00"/>
    <x v="5"/>
    <n v="200460"/>
    <m/>
    <s v="TID:341685"/>
    <s v="Bank"/>
    <m/>
  </r>
  <r>
    <d v="2026-01-14T00:00:00"/>
    <x v="9"/>
    <n v="1800"/>
    <m/>
    <m/>
    <s v="Bank"/>
    <m/>
  </r>
  <r>
    <d v="2026-01-14T00:00:00"/>
    <x v="9"/>
    <n v="1000"/>
    <m/>
    <m/>
    <s v="Bank"/>
    <m/>
  </r>
  <r>
    <d v="2026-01-14T00:00:00"/>
    <x v="9"/>
    <n v="2530"/>
    <m/>
    <m/>
    <s v="Bank"/>
    <m/>
  </r>
  <r>
    <d v="2026-01-14T00:00:00"/>
    <x v="37"/>
    <n v="38750"/>
    <m/>
    <s v="starch"/>
    <s v="Bank"/>
    <m/>
  </r>
  <r>
    <d v="2026-01-14T00:00:00"/>
    <x v="9"/>
    <n v="2900"/>
    <m/>
    <s v="nut bolts"/>
    <s v="Bank"/>
    <m/>
  </r>
  <r>
    <d v="2026-01-14T00:00:00"/>
    <x v="9"/>
    <n v="4850"/>
    <m/>
    <m/>
    <s v="Bank"/>
    <m/>
  </r>
  <r>
    <d v="2026-01-14T00:00:00"/>
    <x v="9"/>
    <n v="1630"/>
    <m/>
    <m/>
    <s v="Bank"/>
    <m/>
  </r>
  <r>
    <d v="2026-01-14T00:00:00"/>
    <x v="10"/>
    <n v="48000"/>
    <m/>
    <s v="TID:822769"/>
    <s v="Bank"/>
    <m/>
  </r>
  <r>
    <d v="2026-01-14T00:00:00"/>
    <x v="6"/>
    <m/>
    <n v="126962"/>
    <s v="Kora sale 2189/58"/>
    <s v="Bank"/>
    <m/>
  </r>
  <r>
    <d v="2026-01-14T00:00:00"/>
    <x v="4"/>
    <n v="46400"/>
    <m/>
    <s v="imran jet"/>
    <s v="Bank"/>
    <m/>
  </r>
  <r>
    <d v="2026-01-14T00:00:00"/>
    <x v="17"/>
    <n v="1000"/>
    <m/>
    <s v="kora karaya"/>
    <s v="Bank"/>
    <m/>
  </r>
  <r>
    <d v="2026-01-14T00:00:00"/>
    <x v="17"/>
    <n v="600"/>
    <m/>
    <s v="starch"/>
    <s v="Bank"/>
    <m/>
  </r>
  <r>
    <m/>
    <x v="39"/>
    <m/>
    <m/>
    <m/>
    <m/>
    <m/>
  </r>
  <r>
    <m/>
    <x v="39"/>
    <m/>
    <m/>
    <m/>
    <m/>
    <m/>
  </r>
  <r>
    <m/>
    <x v="39"/>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4">
      <pivotArea field="0" grandRow="1" outline="0" collapsedLevelsAreSubtotals="1" axis="axisRow" fieldPosition="0">
        <references count="1">
          <reference field="4294967294" count="1" selected="0">
            <x v="1"/>
          </reference>
        </references>
      </pivotArea>
    </format>
    <format dxfId="133">
      <pivotArea field="0" grandRow="1" outline="0" collapsedLevelsAreSubtotals="1" axis="axisRow" fieldPosition="0">
        <references count="1">
          <reference field="4294967294" count="1" selected="0">
            <x v="0"/>
          </reference>
        </references>
      </pivotArea>
    </format>
    <format dxfId="132">
      <pivotArea collapsedLevelsAreSubtotals="1" fieldPosition="0">
        <references count="2">
          <reference field="4294967294" count="1" selected="0">
            <x v="1"/>
          </reference>
          <reference field="0" count="0"/>
        </references>
      </pivotArea>
    </format>
    <format dxfId="13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2" firstHeaderRow="0" firstDataRow="1" firstDataCol="1" rowPageCount="1" colPageCount="1"/>
  <pivotFields count="9">
    <pivotField axis="axisRow" numFmtId="14" showAll="0">
      <items count="166">
        <item m="1" x="149"/>
        <item m="1" x="150"/>
        <item m="1" x="151"/>
        <item m="1" x="152"/>
        <item m="1" x="153"/>
        <item m="1" x="154"/>
        <item m="1" x="155"/>
        <item m="1" x="164"/>
        <item m="1" x="145"/>
        <item m="1" x="156"/>
        <item m="1" x="157"/>
        <item m="1" x="158"/>
        <item m="1" x="159"/>
        <item m="1" x="160"/>
        <item m="1" x="161"/>
        <item m="1" x="162"/>
        <item m="1" x="116"/>
        <item m="1" x="117"/>
        <item m="1" x="163"/>
        <item m="1" x="118"/>
        <item m="1" x="115"/>
        <item m="1" x="119"/>
        <item m="1" x="121"/>
        <item m="1" x="122"/>
        <item m="1" x="123"/>
        <item m="1" x="125"/>
        <item m="1" x="126"/>
        <item m="1" x="127"/>
        <item m="1" x="120"/>
        <item m="1" x="124"/>
        <item m="1" x="128"/>
        <item m="1" x="129"/>
        <item m="1" x="130"/>
        <item m="1" x="131"/>
        <item m="1" x="114"/>
        <item m="1" x="132"/>
        <item m="1" x="146"/>
        <item m="1" x="147"/>
        <item m="1" x="148"/>
        <item m="1" x="133"/>
        <item m="1" x="134"/>
        <item m="1" x="135"/>
        <item m="1" x="136"/>
        <item m="1" x="137"/>
        <item m="1" x="138"/>
        <item m="1" x="139"/>
        <item m="1" x="140"/>
        <item m="1" x="141"/>
        <item m="1" x="142"/>
        <item m="1" x="143"/>
        <item m="1" x="144"/>
        <item m="1" x="85"/>
        <item m="1" x="86"/>
        <item m="1" x="87"/>
        <item m="1" x="88"/>
        <item m="1" x="89"/>
        <item m="1" x="90"/>
        <item m="1" x="91"/>
        <item m="1" x="92"/>
        <item m="1" x="94"/>
        <item m="1" x="95"/>
        <item m="1" x="96"/>
        <item m="1" x="93"/>
        <item m="1" x="97"/>
        <item m="1" x="98"/>
        <item m="1" x="99"/>
        <item m="1" x="100"/>
        <item m="1" x="101"/>
        <item m="1" x="102"/>
        <item m="1" x="103"/>
        <item m="1" x="104"/>
        <item m="1" x="105"/>
        <item m="1" x="106"/>
        <item m="1" x="107"/>
        <item m="1" x="108"/>
        <item m="1" x="109"/>
        <item m="1" x="110"/>
        <item m="1" x="111"/>
        <item m="1" x="112"/>
        <item m="1" x="113"/>
        <item m="1" x="31"/>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32"/>
        <item m="1" x="35"/>
        <item m="1" x="33"/>
        <item m="1" x="34"/>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x="0"/>
        <item x="1"/>
        <item x="2"/>
        <item x="3"/>
        <item x="4"/>
        <item x="5"/>
        <item x="6"/>
        <item x="7"/>
        <item x="9"/>
        <item x="8"/>
        <item x="10"/>
        <item x="11"/>
        <item x="12"/>
        <item x="13"/>
        <item x="14"/>
        <item m="1" x="30"/>
        <item x="15"/>
        <item x="16"/>
        <item x="17"/>
        <item x="18"/>
        <item x="19"/>
        <item x="20"/>
        <item x="21"/>
        <item x="22"/>
        <item x="23"/>
        <item x="24"/>
        <item x="25"/>
        <item x="26"/>
        <item x="27"/>
        <item x="28"/>
        <item x="29"/>
        <item t="default"/>
      </items>
    </pivotField>
    <pivotField axis="axisPage" showAll="0">
      <items count="14">
        <item x="1"/>
        <item x="0"/>
        <item x="9"/>
        <item m="1" x="12"/>
        <item x="2"/>
        <item x="3"/>
        <item x="4"/>
        <item m="1" x="11"/>
        <item x="5"/>
        <item x="6"/>
        <item x="7"/>
        <item x="8"/>
        <item x="10"/>
        <item t="default"/>
      </items>
    </pivotField>
    <pivotField axis="axisRow" showAll="0">
      <items count="67">
        <item m="1" x="56"/>
        <item m="1" x="40"/>
        <item m="1" x="52"/>
        <item m="1" x="22"/>
        <item m="1" x="57"/>
        <item m="1" x="58"/>
        <item m="1" x="53"/>
        <item m="1" x="54"/>
        <item m="1" x="55"/>
        <item m="1" x="33"/>
        <item m="1" x="59"/>
        <item m="1" x="60"/>
        <item m="1" x="61"/>
        <item m="1" x="62"/>
        <item m="1" x="63"/>
        <item m="1" x="64"/>
        <item m="1" x="29"/>
        <item m="1" x="30"/>
        <item m="1" x="65"/>
        <item m="1" x="31"/>
        <item x="0"/>
        <item m="1" x="32"/>
        <item m="1" x="34"/>
        <item m="1" x="35"/>
        <item m="1" x="36"/>
        <item m="1" x="37"/>
        <item m="1" x="38"/>
        <item m="1" x="39"/>
        <item m="1" x="41"/>
        <item m="1" x="42"/>
        <item m="1" x="24"/>
        <item m="1" x="43"/>
        <item m="1" x="44"/>
        <item m="1" x="45"/>
        <item m="1" x="28"/>
        <item m="1" x="46"/>
        <item m="1" x="47"/>
        <item m="1" x="26"/>
        <item m="1" x="48"/>
        <item m="1" x="49"/>
        <item m="1" x="50"/>
        <item m="1" x="51"/>
        <item m="1" x="14"/>
        <item m="1" x="15"/>
        <item m="1" x="16"/>
        <item m="1" x="17"/>
        <item m="1" x="18"/>
        <item m="1" x="19"/>
        <item m="1" x="20"/>
        <item m="1" x="21"/>
        <item m="1" x="23"/>
        <item m="1" x="25"/>
        <item m="1" x="27"/>
        <item m="1" x="13"/>
        <item x="5"/>
        <item x="1"/>
        <item x="2"/>
        <item m="1" x="12"/>
        <item x="3"/>
        <item x="4"/>
        <item x="6"/>
        <item x="7"/>
        <item x="8"/>
        <item x="9"/>
        <item x="10"/>
        <item x="11"/>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4">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x v="148"/>
    </i>
    <i r="1">
      <x v="54"/>
    </i>
    <i>
      <x v="150"/>
    </i>
    <i r="1">
      <x v="54"/>
    </i>
    <i>
      <x v="151"/>
    </i>
    <i r="1">
      <x v="54"/>
    </i>
    <i>
      <x v="152"/>
    </i>
    <i r="1">
      <x v="54"/>
    </i>
    <i>
      <x v="153"/>
    </i>
    <i r="1">
      <x v="54"/>
    </i>
    <i r="1">
      <x v="64"/>
    </i>
    <i>
      <x v="154"/>
    </i>
    <i r="1">
      <x v="54"/>
    </i>
    <i>
      <x v="155"/>
    </i>
    <i r="1">
      <x v="54"/>
    </i>
    <i>
      <x v="156"/>
    </i>
    <i r="1">
      <x v="54"/>
    </i>
    <i>
      <x v="157"/>
    </i>
    <i r="1">
      <x v="54"/>
    </i>
    <i>
      <x v="158"/>
    </i>
    <i r="1">
      <x v="54"/>
    </i>
    <i>
      <x v="159"/>
    </i>
    <i r="1">
      <x v="54"/>
    </i>
    <i>
      <x v="160"/>
    </i>
    <i r="1">
      <x v="54"/>
    </i>
    <i>
      <x v="161"/>
    </i>
    <i r="1">
      <x v="54"/>
    </i>
    <i r="1">
      <x v="65"/>
    </i>
    <i>
      <x v="162"/>
    </i>
    <i r="1">
      <x v="54"/>
    </i>
    <i>
      <x v="163"/>
    </i>
    <i r="1">
      <x v="54"/>
    </i>
    <i>
      <x v="164"/>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4" firstHeaderRow="0" firstDataRow="1" firstDataCol="1"/>
  <pivotFields count="7">
    <pivotField numFmtId="14" showAll="0"/>
    <pivotField axis="axisRow" showAll="0">
      <items count="81">
        <item x="15"/>
        <item x="19"/>
        <item m="1" x="42"/>
        <item m="1" x="66"/>
        <item m="1" x="70"/>
        <item x="37"/>
        <item x="5"/>
        <item x="16"/>
        <item x="9"/>
        <item x="26"/>
        <item x="4"/>
        <item m="1" x="78"/>
        <item x="29"/>
        <item x="17"/>
        <item x="24"/>
        <item m="1" x="76"/>
        <item x="2"/>
        <item x="31"/>
        <item x="1"/>
        <item x="28"/>
        <item x="39"/>
        <item x="22"/>
        <item m="1" x="79"/>
        <item x="30"/>
        <item x="8"/>
        <item m="1" x="77"/>
        <item m="1" x="69"/>
        <item m="1" x="49"/>
        <item m="1" x="71"/>
        <item m="1" x="72"/>
        <item m="1" x="73"/>
        <item m="1" x="74"/>
        <item m="1" x="52"/>
        <item m="1" x="75"/>
        <item x="32"/>
        <item x="12"/>
        <item x="35"/>
        <item x="14"/>
        <item m="1" x="65"/>
        <item m="1" x="61"/>
        <item x="23"/>
        <item x="13"/>
        <item m="1" x="48"/>
        <item m="1" x="67"/>
        <item x="6"/>
        <item m="1" x="68"/>
        <item m="1" x="56"/>
        <item m="1" x="46"/>
        <item x="7"/>
        <item m="1" x="57"/>
        <item m="1" x="58"/>
        <item m="1" x="59"/>
        <item m="1" x="60"/>
        <item m="1" x="62"/>
        <item x="33"/>
        <item m="1" x="43"/>
        <item m="1" x="63"/>
        <item m="1" x="64"/>
        <item m="1" x="41"/>
        <item m="1" x="45"/>
        <item m="1" x="40"/>
        <item x="18"/>
        <item m="1" x="44"/>
        <item x="38"/>
        <item m="1" x="55"/>
        <item x="3"/>
        <item m="1" x="50"/>
        <item m="1" x="51"/>
        <item x="21"/>
        <item m="1" x="47"/>
        <item x="10"/>
        <item m="1" x="53"/>
        <item x="11"/>
        <item m="1" x="54"/>
        <item x="0"/>
        <item x="20"/>
        <item x="25"/>
        <item x="27"/>
        <item x="34"/>
        <item x="36"/>
        <item t="default"/>
      </items>
    </pivotField>
    <pivotField dataField="1" showAll="0"/>
    <pivotField dataField="1" showAll="0"/>
    <pivotField showAll="0"/>
    <pivotField showAll="0"/>
    <pivotField showAll="0"/>
  </pivotFields>
  <rowFields count="1">
    <field x="1"/>
  </rowFields>
  <rowItems count="41">
    <i>
      <x/>
    </i>
    <i>
      <x v="1"/>
    </i>
    <i>
      <x v="5"/>
    </i>
    <i>
      <x v="6"/>
    </i>
    <i>
      <x v="7"/>
    </i>
    <i>
      <x v="8"/>
    </i>
    <i>
      <x v="9"/>
    </i>
    <i>
      <x v="10"/>
    </i>
    <i>
      <x v="12"/>
    </i>
    <i>
      <x v="13"/>
    </i>
    <i>
      <x v="14"/>
    </i>
    <i>
      <x v="16"/>
    </i>
    <i>
      <x v="17"/>
    </i>
    <i>
      <x v="18"/>
    </i>
    <i>
      <x v="19"/>
    </i>
    <i>
      <x v="20"/>
    </i>
    <i>
      <x v="21"/>
    </i>
    <i>
      <x v="23"/>
    </i>
    <i>
      <x v="24"/>
    </i>
    <i>
      <x v="34"/>
    </i>
    <i>
      <x v="35"/>
    </i>
    <i>
      <x v="36"/>
    </i>
    <i>
      <x v="37"/>
    </i>
    <i>
      <x v="40"/>
    </i>
    <i>
      <x v="41"/>
    </i>
    <i>
      <x v="44"/>
    </i>
    <i>
      <x v="48"/>
    </i>
    <i>
      <x v="54"/>
    </i>
    <i>
      <x v="61"/>
    </i>
    <i>
      <x v="63"/>
    </i>
    <i>
      <x v="65"/>
    </i>
    <i>
      <x v="68"/>
    </i>
    <i>
      <x v="70"/>
    </i>
    <i>
      <x v="72"/>
    </i>
    <i>
      <x v="74"/>
    </i>
    <i>
      <x v="75"/>
    </i>
    <i>
      <x v="76"/>
    </i>
    <i>
      <x v="77"/>
    </i>
    <i>
      <x v="78"/>
    </i>
    <i>
      <x v="79"/>
    </i>
    <i t="grand">
      <x/>
    </i>
  </rowItems>
  <colFields count="1">
    <field x="-2"/>
  </colFields>
  <colItems count="2">
    <i>
      <x/>
    </i>
    <i i="1">
      <x v="1"/>
    </i>
  </colItems>
  <dataFields count="2">
    <dataField name="Sum of Credit" fld="3" baseField="0" baseItem="0"/>
    <dataField name="Sum of Debit" fld="2" baseField="0" baseItem="0"/>
  </dataFields>
  <formats count="1">
    <format dxfId="7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4" firstHeaderRow="0" firstDataRow="1" firstDataCol="1" rowPageCount="1" colPageCount="1"/>
  <pivotFields count="9">
    <pivotField axis="axisRow" showAll="0">
      <items count="65">
        <item m="1" x="59"/>
        <item m="1" x="60"/>
        <item m="1" x="61"/>
        <item m="1" x="62"/>
        <item m="1" x="63"/>
        <item m="1" x="58"/>
        <item m="1" x="46"/>
        <item m="1" x="47"/>
        <item m="1" x="51"/>
        <item m="1" x="52"/>
        <item m="1" x="48"/>
        <item m="1" x="53"/>
        <item m="1" x="54"/>
        <item m="1" x="55"/>
        <item m="1" x="56"/>
        <item m="1" x="57"/>
        <item m="1" x="45"/>
        <item m="1" x="49"/>
        <item m="1" x="50"/>
        <item m="1" x="38"/>
        <item m="1" x="39"/>
        <item m="1" x="40"/>
        <item m="1" x="41"/>
        <item m="1" x="42"/>
        <item m="1" x="43"/>
        <item m="1" x="44"/>
        <item m="1" x="14"/>
        <item m="1" x="30"/>
        <item m="1" x="31"/>
        <item m="1" x="32"/>
        <item m="1" x="33"/>
        <item m="1" x="34"/>
        <item m="1" x="35"/>
        <item m="1" x="36"/>
        <item m="1" x="37"/>
        <item m="1" x="15"/>
        <item m="1" x="16"/>
        <item m="1" x="17"/>
        <item m="1" x="18"/>
        <item m="1" x="19"/>
        <item m="1" x="20"/>
        <item m="1" x="21"/>
        <item m="1" x="23"/>
        <item m="1" x="24"/>
        <item m="1" x="22"/>
        <item m="1" x="25"/>
        <item m="1" x="26"/>
        <item m="1" x="27"/>
        <item m="1" x="28"/>
        <item m="1" x="29"/>
        <item x="0"/>
        <item x="1"/>
        <item x="2"/>
        <item x="3"/>
        <item x="4"/>
        <item x="5"/>
        <item x="6"/>
        <item x="7"/>
        <item x="8"/>
        <item x="9"/>
        <item x="10"/>
        <item x="11"/>
        <item x="12"/>
        <item x="13"/>
        <item t="default"/>
      </items>
    </pivotField>
    <pivotField showAll="0"/>
    <pivotField showAll="0"/>
    <pivotField showAll="0"/>
    <pivotField dataField="1" showAll="0"/>
    <pivotField axis="axisPage" showAll="0">
      <items count="10">
        <item x="0"/>
        <item x="6"/>
        <item m="1" x="8"/>
        <item m="1" x="7"/>
        <item x="1"/>
        <item x="2"/>
        <item x="3"/>
        <item x="4"/>
        <item x="5"/>
        <item t="default"/>
      </items>
    </pivotField>
    <pivotField showAll="0"/>
    <pivotField dataField="1" showAll="0"/>
    <pivotField showAll="0"/>
  </pivotFields>
  <rowFields count="1">
    <field x="0"/>
  </rowFields>
  <rowItems count="15">
    <i>
      <x v="50"/>
    </i>
    <i>
      <x v="51"/>
    </i>
    <i>
      <x v="52"/>
    </i>
    <i>
      <x v="53"/>
    </i>
    <i>
      <x v="54"/>
    </i>
    <i>
      <x v="55"/>
    </i>
    <i>
      <x v="56"/>
    </i>
    <i>
      <x v="57"/>
    </i>
    <i>
      <x v="58"/>
    </i>
    <i>
      <x v="59"/>
    </i>
    <i>
      <x v="60"/>
    </i>
    <i>
      <x v="61"/>
    </i>
    <i>
      <x v="62"/>
    </i>
    <i>
      <x v="63"/>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0" firstHeaderRow="0" firstDataRow="1" firstDataCol="1"/>
  <pivotFields count="8">
    <pivotField numFmtId="14" showAll="0"/>
    <pivotField axis="axisRow" showAll="0">
      <items count="9">
        <item m="1" x="7"/>
        <item m="1"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6">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1" firstHeaderRow="0" firstDataRow="1" firstDataCol="1" rowPageCount="1" colPageCount="1"/>
  <pivotFields count="14">
    <pivotField showAll="0"/>
    <pivotField axis="axisPage" multipleItemSelectionAllowed="1" showAll="0">
      <items count="35">
        <item m="1" x="31"/>
        <item x="2"/>
        <item x="0"/>
        <item x="1"/>
        <item m="1" x="33"/>
        <item m="1" x="29"/>
        <item x="6"/>
        <item m="1" x="32"/>
        <item x="3"/>
        <item x="4"/>
        <item m="1" x="30"/>
        <item m="1" x="28"/>
        <item x="27"/>
        <item x="5"/>
        <item x="10"/>
        <item x="8"/>
        <item x="9"/>
        <item x="7"/>
        <item x="11"/>
        <item x="12"/>
        <item x="13"/>
        <item x="14"/>
        <item x="15"/>
        <item x="16"/>
        <item x="17"/>
        <item x="18"/>
        <item x="19"/>
        <item x="20"/>
        <item x="21"/>
        <item x="22"/>
        <item x="23"/>
        <item x="24"/>
        <item x="25"/>
        <item x="26"/>
        <item t="default"/>
      </items>
    </pivotField>
    <pivotField showAll="0"/>
    <pivotField showAll="0"/>
    <pivotField axis="axisRow" showAll="0">
      <items count="377">
        <item m="1" x="359"/>
        <item m="1" x="360"/>
        <item m="1" x="358"/>
        <item m="1" x="357"/>
        <item m="1" x="361"/>
        <item m="1" x="363"/>
        <item m="1" x="362"/>
        <item m="1" x="364"/>
        <item m="1" x="365"/>
        <item m="1" x="366"/>
        <item m="1" x="367"/>
        <item m="1" x="368"/>
        <item m="1" x="369"/>
        <item m="1" x="370"/>
        <item m="1" x="295"/>
        <item m="1" x="317"/>
        <item m="1" x="371"/>
        <item m="1" x="372"/>
        <item m="1" x="373"/>
        <item m="1" x="325"/>
        <item m="1" x="324"/>
        <item m="1" x="374"/>
        <item m="1" x="375"/>
        <item m="1" x="334"/>
        <item m="1" x="326"/>
        <item m="1" x="327"/>
        <item m="1" x="328"/>
        <item m="1" x="329"/>
        <item m="1" x="330"/>
        <item m="1" x="331"/>
        <item m="1" x="332"/>
        <item m="1" x="333"/>
        <item m="1" x="335"/>
        <item m="1" x="355"/>
        <item m="1" x="336"/>
        <item m="1" x="356"/>
        <item m="1" x="337"/>
        <item m="1" x="338"/>
        <item m="1" x="339"/>
        <item m="1" x="340"/>
        <item m="1" x="341"/>
        <item m="1" x="272"/>
        <item m="1" x="342"/>
        <item m="1" x="343"/>
        <item m="1" x="344"/>
        <item m="1" x="345"/>
        <item m="1" x="346"/>
        <item m="1" x="347"/>
        <item m="1" x="348"/>
        <item m="1" x="349"/>
        <item m="1" x="350"/>
        <item m="1" x="351"/>
        <item m="1" x="352"/>
        <item m="1" x="353"/>
        <item m="1" x="354"/>
        <item x="0"/>
        <item m="1" x="271"/>
        <item m="1" x="273"/>
        <item m="1" x="274"/>
        <item m="1" x="275"/>
        <item m="1" x="276"/>
        <item m="1" x="277"/>
        <item m="1" x="278"/>
        <item m="1" x="279"/>
        <item m="1" x="280"/>
        <item m="1" x="281"/>
        <item m="1" x="282"/>
        <item m="1" x="283"/>
        <item m="1" x="284"/>
        <item m="1" x="285"/>
        <item x="6"/>
        <item m="1" x="286"/>
        <item m="1" x="287"/>
        <item m="1" x="288"/>
        <item m="1" x="289"/>
        <item m="1" x="290"/>
        <item m="1" x="291"/>
        <item m="1" x="292"/>
        <item m="1" x="293"/>
        <item m="1" x="294"/>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8"/>
        <item m="1" x="319"/>
        <item m="1" x="320"/>
        <item m="1" x="321"/>
        <item m="1" x="322"/>
        <item m="1" x="323"/>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x="24"/>
        <item m="1" x="240"/>
        <item m="1" x="241"/>
        <item m="1" x="242"/>
        <item m="1" x="243"/>
        <item m="1" x="244"/>
        <item m="1" x="245"/>
        <item m="1" x="246"/>
        <item m="1" x="247"/>
        <item m="1" x="248"/>
        <item m="1" x="249"/>
        <item m="1" x="250"/>
        <item m="1" x="270"/>
        <item m="1" x="251"/>
        <item m="1" x="252"/>
        <item m="1" x="253"/>
        <item m="1" x="254"/>
        <item m="1" x="255"/>
        <item m="1" x="256"/>
        <item m="1" x="257"/>
        <item m="1" x="258"/>
        <item m="1" x="259"/>
        <item m="1" x="260"/>
        <item m="1" x="261"/>
        <item m="1" x="262"/>
        <item m="1" x="263"/>
        <item m="1" x="264"/>
        <item m="1" x="265"/>
        <item m="1" x="266"/>
        <item m="1" x="267"/>
        <item m="1" x="268"/>
        <item m="1" x="269"/>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66"/>
        <item m="1" x="189"/>
        <item m="1" x="57"/>
        <item m="1" x="58"/>
        <item m="1" x="59"/>
        <item m="1" x="60"/>
        <item m="1" x="61"/>
        <item m="1" x="62"/>
        <item m="1" x="63"/>
        <item m="1" x="64"/>
        <item m="1" x="65"/>
        <item m="1" x="67"/>
        <item m="1" x="68"/>
        <item m="1" x="69"/>
        <item m="1" x="70"/>
        <item m="1" x="71"/>
        <item m="1" x="72"/>
        <item m="1" x="73"/>
        <item m="1" x="74"/>
        <item m="1" x="75"/>
        <item m="1" x="76"/>
        <item m="1" x="77"/>
        <item m="1" x="78"/>
        <item m="1" x="79"/>
        <item m="1" x="80"/>
        <item x="3"/>
        <item m="1" x="81"/>
        <item m="1" x="82"/>
        <item m="1" x="83"/>
        <item m="1" x="84"/>
        <item m="1" x="85"/>
        <item m="1" x="86"/>
        <item m="1" x="87"/>
        <item m="1" x="88"/>
        <item m="1" x="89"/>
        <item m="1" x="90"/>
        <item m="1" x="91"/>
        <item m="1" x="92"/>
        <item m="1" x="93"/>
        <item m="1" x="94"/>
        <item m="1" x="95"/>
        <item m="1" x="96"/>
        <item m="1" x="97"/>
        <item m="1" x="98"/>
        <item m="1" x="99"/>
        <item m="1" x="100"/>
        <item m="1" x="101"/>
        <item m="1" x="102"/>
        <item x="7"/>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x="4"/>
        <item m="1" x="132"/>
        <item m="1" x="133"/>
        <item x="1"/>
        <item x="10"/>
        <item x="2"/>
        <item x="5"/>
        <item x="8"/>
        <item x="9"/>
        <item x="11"/>
        <item x="12"/>
        <item x="13"/>
        <item x="14"/>
        <item x="15"/>
        <item x="16"/>
        <item x="17"/>
        <item x="18"/>
        <item x="19"/>
        <item x="21"/>
        <item x="20"/>
        <item x="22"/>
        <item x="23"/>
        <item x="25"/>
        <item x="26"/>
        <item x="27"/>
        <item x="28"/>
        <item x="29"/>
        <item x="30"/>
        <item x="31"/>
        <item x="32"/>
        <item x="33"/>
        <item x="34"/>
        <item x="35"/>
        <item x="36"/>
        <item x="37"/>
        <item x="38"/>
        <item x="39"/>
        <item x="40"/>
        <item x="41"/>
        <item x="42"/>
        <item x="43"/>
        <item x="44"/>
        <item x="45"/>
        <item x="46"/>
        <item x="47"/>
        <item x="48"/>
        <item x="49"/>
        <item x="50"/>
        <item x="51"/>
        <item x="53"/>
        <item x="52"/>
        <item x="54"/>
        <item x="55"/>
        <item x="5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58">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6">
      <pivotArea type="all" dataOnly="0" outline="0" fieldPosition="0"/>
    </format>
    <format dxfId="35">
      <pivotArea outline="0" collapsedLevelsAreSubtotals="1" fieldPosition="0"/>
    </format>
    <format dxfId="34">
      <pivotArea field="4" type="button" dataOnly="0" labelOnly="1" outline="0" axis="axisRow" fieldPosition="0"/>
    </format>
    <format dxfId="33">
      <pivotArea dataOnly="0" labelOnly="1" fieldPosition="0">
        <references count="1">
          <reference field="4" count="0"/>
        </references>
      </pivotArea>
    </format>
    <format dxfId="32">
      <pivotArea dataOnly="0" labelOnly="1" grandRow="1" outline="0" fieldPosition="0"/>
    </format>
    <format dxfId="31">
      <pivotArea dataOnly="0" labelOnly="1" outline="0" fieldPosition="0">
        <references count="1">
          <reference field="4294967294" count="2">
            <x v="0"/>
            <x v="1"/>
          </reference>
        </references>
      </pivotArea>
    </format>
    <format dxfId="30">
      <pivotArea grandRow="1" outline="0" collapsedLevelsAreSubtotals="1" fieldPosition="0"/>
    </format>
    <format dxfId="29">
      <pivotArea field="4" type="button" dataOnly="0" labelOnly="1" outline="0" axis="axisRow" fieldPosition="0"/>
    </format>
    <format dxfId="2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76">
        <i x="6" s="1"/>
        <i x="27" s="1"/>
        <i x="22" s="1"/>
        <i x="5" s="1"/>
        <i x="4" s="1"/>
        <i x="3" s="1"/>
        <i x="23" s="1"/>
        <i x="16" s="1"/>
        <i x="15" s="1"/>
        <i x="2" s="1"/>
        <i x="14" s="1"/>
        <i x="7" s="1"/>
        <i x="44" s="1"/>
        <i x="1" s="1"/>
        <i x="10" s="1"/>
        <i x="9" s="1"/>
        <i x="39" s="1"/>
        <i x="13" s="1"/>
        <i x="11" s="1"/>
        <i x="18" s="1"/>
        <i x="19" s="1"/>
        <i x="17" s="1"/>
        <i x="12" s="1"/>
        <i x="8" s="1"/>
        <i x="29" s="1"/>
        <i x="28" s="1"/>
        <i x="41" s="1"/>
        <i x="26" s="1"/>
        <i x="21" s="1"/>
        <i x="45" s="1"/>
        <i x="25" s="1"/>
        <i x="40" s="1"/>
        <i x="42" s="1"/>
        <i x="24" s="1"/>
        <i x="30" s="1"/>
        <i x="43" s="1"/>
        <i x="35" s="1"/>
        <i x="32" s="1"/>
        <i x="33" s="1"/>
        <i x="34" s="1"/>
        <i x="38" s="1"/>
        <i x="36" s="1"/>
        <i x="37" s="1"/>
        <i x="47" s="1"/>
        <i x="46" s="1"/>
        <i x="53" s="1"/>
        <i x="54" s="1"/>
        <i x="48" s="1"/>
        <i x="49" s="1"/>
        <i x="50" s="1"/>
        <i x="51" s="1"/>
        <i x="55" s="1"/>
        <i x="56" s="1"/>
        <i x="31" s="1"/>
        <i x="20" s="1"/>
        <i x="52" s="1"/>
        <i x="330" s="1" nd="1"/>
        <i x="359" s="1" nd="1"/>
        <i x="360" s="1" nd="1"/>
        <i x="368" s="1" nd="1"/>
        <i x="358" s="1" nd="1"/>
        <i x="357" s="1" nd="1"/>
        <i x="361" s="1" nd="1"/>
        <i x="372" s="1" nd="1"/>
        <i x="364" s="1" nd="1"/>
        <i x="365" s="1" nd="1"/>
        <i x="362" s="1" nd="1"/>
        <i x="363" s="1" nd="1"/>
        <i x="373" s="1" nd="1"/>
        <i x="366" s="1" nd="1"/>
        <i x="367" s="1" nd="1"/>
        <i x="370" s="1" nd="1"/>
        <i x="371" s="1" nd="1"/>
        <i x="369" s="1" nd="1"/>
        <i x="325" s="1" nd="1"/>
        <i x="375" s="1" nd="1"/>
        <i x="324" s="1" nd="1"/>
        <i x="374" s="1" nd="1"/>
        <i x="327" s="1" nd="1"/>
        <i x="288" s="1" nd="1"/>
        <i x="326" s="1" nd="1"/>
        <i x="328" s="1" nd="1"/>
        <i x="334" s="1" nd="1"/>
        <i x="329" s="1" nd="1"/>
        <i x="331" s="1" nd="1"/>
        <i x="347" s="1" nd="1"/>
        <i x="271" s="1" nd="1"/>
        <i x="335" s="1" nd="1"/>
        <i x="276" s="1" nd="1"/>
        <i x="341" s="1" nd="1"/>
        <i x="336" s="1" nd="1"/>
        <i x="339" s="1" nd="1"/>
        <i x="344" s="1" nd="1"/>
        <i x="355" s="1" nd="1"/>
        <i x="337" s="1" nd="1"/>
        <i x="349" s="1" nd="1"/>
        <i x="352" s="1" nd="1"/>
        <i x="343" s="1" nd="1"/>
        <i x="332" s="1" nd="1"/>
        <i x="340" s="1" nd="1"/>
        <i x="333" s="1" nd="1"/>
        <i x="338" s="1" nd="1"/>
        <i x="272" s="1" nd="1"/>
        <i x="342" s="1" nd="1"/>
        <i x="348" s="1" nd="1"/>
        <i x="345" s="1" nd="1"/>
        <i x="350" s="1" nd="1"/>
        <i x="346" s="1" nd="1"/>
        <i x="312" s="1" nd="1"/>
        <i x="351" s="1" nd="1"/>
        <i x="353" s="1" nd="1"/>
        <i x="274" s="1" nd="1"/>
        <i x="281" s="1" nd="1"/>
        <i x="354" s="1" nd="1"/>
        <i x="278" s="1" nd="1"/>
        <i x="279" s="1" nd="1"/>
        <i x="273" s="1" nd="1"/>
        <i x="277" s="1" nd="1"/>
        <i x="165" s="1" nd="1"/>
        <i x="275" s="1" nd="1"/>
        <i x="284" s="1" nd="1"/>
        <i x="280" s="1" nd="1"/>
        <i x="282" s="1" nd="1"/>
        <i x="285" s="1" nd="1"/>
        <i x="292" s="1" nd="1"/>
        <i x="283" s="1" nd="1"/>
        <i x="291" s="1" nd="1"/>
        <i x="296" s="1" nd="1"/>
        <i x="290" s="1" nd="1"/>
        <i x="293" s="1" nd="1"/>
        <i x="303" s="1" nd="1"/>
        <i x="289" s="1" nd="1"/>
        <i x="286" s="1" nd="1"/>
        <i x="287" s="1" nd="1"/>
        <i x="302" s="1" nd="1"/>
        <i x="161" s="1" nd="1"/>
        <i x="295" s="1" nd="1"/>
        <i x="306" s="1" nd="1"/>
        <i x="301" s="1" nd="1"/>
        <i x="294" s="1" nd="1"/>
        <i x="318" s="1" nd="1"/>
        <i x="299" s="1" nd="1"/>
        <i x="309" s="1" nd="1"/>
        <i x="307" s="1" nd="1"/>
        <i x="297" s="1" nd="1"/>
        <i x="305" s="1" nd="1"/>
        <i x="304" s="1" nd="1"/>
        <i x="300" s="1" nd="1"/>
        <i x="310" s="1" nd="1"/>
        <i x="308" s="1" nd="1"/>
        <i x="311" s="1" nd="1"/>
        <i x="298" s="1" nd="1"/>
        <i x="240" s="1" nd="1"/>
        <i x="313" s="1" nd="1"/>
        <i x="314" s="1" nd="1"/>
        <i x="199" s="1" nd="1"/>
        <i x="201" s="1" nd="1"/>
        <i x="321" s="1" nd="1"/>
        <i x="195" s="1" nd="1"/>
        <i x="241" s="1" nd="1"/>
        <i x="315" s="1" nd="1"/>
        <i x="316" s="1" nd="1"/>
        <i x="198" s="1" nd="1"/>
        <i x="323" s="1" nd="1"/>
        <i x="197" s="1" nd="1"/>
        <i x="212" s="1" nd="1"/>
        <i x="322" s="1" nd="1"/>
        <i x="317" s="1" nd="1"/>
        <i x="216" s="1" nd="1"/>
        <i x="320" s="1" nd="1"/>
        <i x="319" s="1" nd="1"/>
        <i x="237" s="1" nd="1"/>
        <i x="190" s="1" nd="1"/>
        <i x="202" s="1" nd="1"/>
        <i x="238" s="1" nd="1"/>
        <i x="236" s="1" nd="1"/>
        <i x="194" s="1" nd="1"/>
        <i x="196" s="1" nd="1"/>
        <i x="200" s="1" nd="1"/>
        <i x="191" s="1" nd="1"/>
        <i x="226" s="1" nd="1"/>
        <i x="231" s="1" nd="1"/>
        <i x="192" s="1" nd="1"/>
        <i x="193" s="1" nd="1"/>
        <i x="203" s="1" nd="1"/>
        <i x="206" s="1" nd="1"/>
        <i x="213" s="1" nd="1"/>
        <i x="205" s="1" nd="1"/>
        <i x="208" s="1" nd="1"/>
        <i x="207" s="1" nd="1"/>
        <i x="249" s="1" nd="1"/>
        <i x="204" s="1" nd="1"/>
        <i x="229" s="1" nd="1"/>
        <i x="244" s="1" nd="1"/>
        <i x="209" s="1" nd="1"/>
        <i x="234" s="1" nd="1"/>
        <i x="246" s="1" nd="1"/>
        <i x="218" s="1" nd="1"/>
        <i x="258" s="1" nd="1"/>
        <i x="217" s="1" nd="1"/>
        <i x="214" s="1" nd="1"/>
        <i x="210" s="1" nd="1"/>
        <i x="211" s="1" nd="1"/>
        <i x="230" s="1" nd="1"/>
        <i x="219" s="1" nd="1"/>
        <i x="142" s="1" nd="1"/>
        <i x="220" s="1" nd="1"/>
        <i x="215" s="1" nd="1"/>
        <i x="222" s="1" nd="1"/>
        <i x="223" s="1" nd="1"/>
        <i x="251" s="1" nd="1"/>
        <i x="221" s="1" nd="1"/>
        <i x="239" s="1" nd="1"/>
        <i x="227" s="1" nd="1"/>
        <i x="224" s="1" nd="1"/>
        <i x="228" s="1" nd="1"/>
        <i x="225" s="1" nd="1"/>
        <i x="232" s="1" nd="1"/>
        <i x="250" s="1" nd="1"/>
        <i x="245" s="1" nd="1"/>
        <i x="264" s="1" nd="1"/>
        <i x="233" s="1" nd="1"/>
        <i x="135" s="1" nd="1"/>
        <i x="243" s="1" nd="1"/>
        <i x="235" s="1" nd="1"/>
        <i x="259" s="1" nd="1"/>
        <i x="242" s="1" nd="1"/>
        <i x="257" s="1" nd="1"/>
        <i x="143" s="1" nd="1"/>
        <i x="248" s="1" nd="1"/>
        <i x="247" s="1" nd="1"/>
        <i x="263" s="1" nd="1"/>
        <i x="260" s="1" nd="1"/>
        <i x="154" s="1" nd="1"/>
        <i x="268" s="1" nd="1"/>
        <i x="252" s="1" nd="1"/>
        <i x="261" s="1" nd="1"/>
        <i x="266" s="1" nd="1"/>
        <i x="145" s="1" nd="1"/>
        <i x="171" s="1" nd="1"/>
        <i x="270" s="1" nd="1"/>
        <i x="267" s="1" nd="1"/>
        <i x="136" s="1" nd="1"/>
        <i x="156" s="1" nd="1"/>
        <i x="262" s="1" nd="1"/>
        <i x="138" s="1" nd="1"/>
        <i x="253" s="1" nd="1"/>
        <i x="256" s="1" nd="1"/>
        <i x="153" s="1" nd="1"/>
        <i x="265" s="1" nd="1"/>
        <i x="254" s="1" nd="1"/>
        <i x="255" s="1" nd="1"/>
        <i x="140" s="1" nd="1"/>
        <i x="158" s="1" nd="1"/>
        <i x="159" s="1" nd="1"/>
        <i x="172" s="1" nd="1"/>
        <i x="269" s="1" nd="1"/>
        <i x="134" s="1" nd="1"/>
        <i x="157" s="1" nd="1"/>
        <i x="150" s="1" nd="1"/>
        <i x="137" s="1" nd="1"/>
        <i x="141" s="1" nd="1"/>
        <i x="147" s="1" nd="1"/>
        <i x="139" s="1" nd="1"/>
        <i x="163" s="1" nd="1"/>
        <i x="167" s="1" nd="1"/>
        <i x="168" s="1" nd="1"/>
        <i x="160" s="1" nd="1"/>
        <i x="144" s="1" nd="1"/>
        <i x="146" s="1" nd="1"/>
        <i x="148" s="1" nd="1"/>
        <i x="151" s="1" nd="1"/>
        <i x="164" s="1" nd="1"/>
        <i x="149" s="1" nd="1"/>
        <i x="170" s="1" nd="1"/>
        <i x="102" s="1" nd="1"/>
        <i x="81" s="1" nd="1"/>
        <i x="185" s="1" nd="1"/>
        <i x="152" s="1" nd="1"/>
        <i x="173" s="1" nd="1"/>
        <i x="169" s="1" nd="1"/>
        <i x="155" s="1" nd="1"/>
        <i x="177" s="1" nd="1"/>
        <i x="113" s="1" nd="1"/>
        <i x="76" s="1" nd="1"/>
        <i x="162" s="1" nd="1"/>
        <i x="186" s="1" nd="1"/>
        <i x="166" s="1" nd="1"/>
        <i x="189" s="1" nd="1"/>
        <i x="176" s="1" nd="1"/>
        <i x="181" s="1" nd="1"/>
        <i x="58" s="1" nd="1"/>
        <i x="178" s="1" nd="1"/>
        <i x="180" s="1" nd="1"/>
        <i x="98" s="1" nd="1"/>
        <i x="66" s="1" nd="1"/>
        <i x="175" s="1" nd="1"/>
        <i x="63" s="1" nd="1"/>
        <i x="174" s="1" nd="1"/>
        <i x="75" s="1" nd="1"/>
        <i x="59" s="1" nd="1"/>
        <i x="57" s="1" nd="1"/>
        <i x="179" s="1" nd="1"/>
        <i x="73" s="1" nd="1"/>
        <i x="67" s="1" nd="1"/>
        <i x="78" s="1" nd="1"/>
        <i x="95" s="1" nd="1"/>
        <i x="72" s="1" nd="1"/>
        <i x="83" s="1" nd="1"/>
        <i x="77" s="1" nd="1"/>
        <i x="74" s="1" nd="1"/>
        <i x="187" s="1" nd="1"/>
        <i x="131" s="1" nd="1"/>
        <i x="85" s="1" nd="1"/>
        <i x="86" s="1" nd="1"/>
        <i x="183" s="1" nd="1"/>
        <i x="182" s="1" nd="1"/>
        <i x="60" s="1" nd="1"/>
        <i x="62" s="1" nd="1"/>
        <i x="93" s="1" nd="1"/>
        <i x="69" s="1" nd="1"/>
        <i x="188" s="1" nd="1"/>
        <i x="127" s="1" nd="1"/>
        <i x="118" s="1" nd="1"/>
        <i x="106" s="1" nd="1"/>
        <i x="80" s="1" nd="1"/>
        <i x="65" s="1" nd="1"/>
        <i x="96" s="1" nd="1"/>
        <i x="115" s="1" nd="1"/>
        <i x="107" s="1" nd="1"/>
        <i x="103" s="1" nd="1"/>
        <i x="71" s="1" nd="1"/>
        <i x="91" s="1" nd="1"/>
        <i x="90" s="1" nd="1"/>
        <i x="105" s="1" nd="1"/>
        <i x="92" s="1" nd="1"/>
        <i x="184" s="1" nd="1"/>
        <i x="68" s="1" nd="1"/>
        <i x="64" s="1" nd="1"/>
        <i x="94" s="1" nd="1"/>
        <i x="61" s="1" nd="1"/>
        <i x="99" s="1" nd="1"/>
        <i x="100" s="1" nd="1"/>
        <i x="104" s="1" nd="1"/>
        <i x="84" s="1" nd="1"/>
        <i x="79" s="1" nd="1"/>
        <i x="112" s="1" nd="1"/>
        <i x="111" s="1" nd="1"/>
        <i x="116" s="1" nd="1"/>
        <i x="70" s="1" nd="1"/>
        <i x="114" s="1" nd="1"/>
        <i x="101" s="1" nd="1"/>
        <i x="82" s="1" nd="1"/>
        <i x="87" s="1" nd="1"/>
        <i x="88" s="1" nd="1"/>
        <i x="97" s="1" nd="1"/>
        <i x="89" s="1" nd="1"/>
        <i x="108" s="1" nd="1"/>
        <i x="119" s="1" nd="1"/>
        <i x="109" s="1" nd="1"/>
        <i x="125" s="1" nd="1"/>
        <i x="122" s="1" nd="1"/>
        <i x="120" s="1" nd="1"/>
        <i x="132" s="1" nd="1"/>
        <i x="126" s="1" nd="1"/>
        <i x="133" s="1" nd="1"/>
        <i x="128" s="1" nd="1"/>
        <i x="129" s="1" nd="1"/>
        <i x="110" s="1" nd="1"/>
        <i x="123" s="1" nd="1"/>
        <i x="130" s="1" nd="1"/>
        <i x="121" s="1" nd="1"/>
        <i x="124" s="1" nd="1"/>
        <i x="117" s="1" nd="1"/>
        <i x="35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0">
      <calculatedColumnFormula>B49</calculatedColumnFormula>
    </tableColumn>
    <tableColumn id="2" xr3:uid="{7EDCC2ED-0339-42B3-9633-FFEA7A3DD9F3}" name="Tiyaar" dataDxfId="129">
      <calculatedColumnFormula>SUMIFS(ledger!G:G, ledger!B:B, B2, ledger!E:E, "&lt;&gt;*RD*") / 1.0936</calculatedColumnFormula>
    </tableColumn>
    <tableColumn id="3" xr3:uid="{CC1535DD-3FE7-4F55-8040-E7643388A78E}" name="Rate"/>
    <tableColumn id="4" xr3:uid="{059CB70B-ADAD-4985-84AA-0D530BAC5567}" name="Total" dataDxfId="12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7" dataDxfId="126">
  <autoFilter ref="B7:E20" xr:uid="{449E5D32-DF9C-4018-96AB-CA98E118D910}"/>
  <tableColumns count="4">
    <tableColumn id="1" xr3:uid="{F663704C-91DD-4BB9-B7EB-EEB0C5EDED6C}" name="Description" dataDxfId="125"/>
    <tableColumn id="2" xr3:uid="{6D94D495-CD0B-4FD3-9771-81D731982A97}" name="Rate" dataDxfId="124" dataCellStyle="Comma"/>
    <tableColumn id="3" xr3:uid="{2D14CEAD-3602-40E7-A488-3584EBC9141E}" name="gazana" dataDxfId="123" dataCellStyle="Comma"/>
    <tableColumn id="4" xr3:uid="{06FEE63C-6480-4079-8426-51BC26B38B34}" name="sum" dataDxfId="12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1" totalsRowDxfId="120" dataCellStyle="Comma">
      <totalsRowFormula>SUM(Table12[Amount])</totalsRowFormula>
    </tableColumn>
    <tableColumn id="3" xr3:uid="{12F975D1-A51D-47BD-82DF-F0C35A709016}" name="Description"/>
    <tableColumn id="4" xr3:uid="{96712812-B120-49C2-B905-59FC86A743E8}" name="cost per meter" totalsRowFunction="custom" dataDxfId="119" totalsRowDxfId="11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66" totalsRowCount="1" headerRowDxfId="108" dataDxfId="107" headerRowCellStyle="Comma" dataCellStyle="Comma">
  <autoFilter ref="A1:K165"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90" totalsRowDxfId="89"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11" totalsRowCount="1" headerRowDxfId="86" headerRowBorderDxfId="85" tableBorderDxfId="84">
  <autoFilter ref="A1:I110" xr:uid="{F8E8C957-ABE7-4E4F-8D4E-7D44E26B334F}"/>
  <tableColumns count="9">
    <tableColumn id="1" xr3:uid="{C2E817D6-AB98-4DDD-8890-736B27F261CD}" name="Date" dataDxfId="83" totalsRowDxfId="6"/>
    <tableColumn id="2" xr3:uid="{CFB51890-CCDC-463C-81C9-3F8BD7469CB9}" name="Party Name"/>
    <tableColumn id="3" xr3:uid="{A113D971-1C9D-4733-99C4-BD0CC4333209}" name="Vehicle Number"/>
    <tableColumn id="4" xr3:uid="{49780304-3DD1-4AE9-98EE-2BC7EB8F3B57}" name="Weight" dataDxfId="82" totalsRowDxfId="5" dataCellStyle="Comma"/>
    <tableColumn id="5" xr3:uid="{FCAF1BC6-1D8C-42AD-8BBC-F924BF2DC7FE}" name="Rate" dataDxfId="81" totalsRowDxfId="4" dataCellStyle="Comma"/>
    <tableColumn id="6" xr3:uid="{8C70A624-4134-410C-9C45-9FDEB51D51BF}" name="Rent" dataDxfId="80" totalsRowDxfId="3" dataCellStyle="Comma"/>
    <tableColumn id="7" xr3:uid="{EBCE10AE-9634-4982-9C95-37ABC8A7078C}" name="Total" totalsRowFunction="sum" dataDxfId="79" totalsRowDxfId="2" dataCellStyle="Comma">
      <calculatedColumnFormula>D2*E2</calculatedColumnFormula>
    </tableColumn>
    <tableColumn id="9" xr3:uid="{D4788559-C94A-44D9-B9AE-E72B214355AC}" name="Paid" totalsRowFunction="sum" dataDxfId="78" totalsRowDxfId="1" dataCellStyle="Comma"/>
    <tableColumn id="8" xr3:uid="{E26F5BF0-1875-4FC6-994D-49F202ED562B}" name="balance" totalsRowFunction="sum" dataDxfId="77" totalsRowDxfId="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74" totalsRowCount="1">
  <autoFilter ref="A1:G473" xr:uid="{CB032221-B416-47A8-9A76-693DE76CFD04}"/>
  <tableColumns count="7">
    <tableColumn id="1" xr3:uid="{554B1EED-65B6-4E9A-B646-82727FAC40DE}" name="Date" dataDxfId="19" totalsRowDxfId="10"/>
    <tableColumn id="2" xr3:uid="{32259059-42CF-4947-83DE-115AA430BE2B}" name="Party"/>
    <tableColumn id="3" xr3:uid="{A1320223-D55D-483C-91C3-AB19B95CC9D8}" name="Debit" totalsRowFunction="sum" dataDxfId="18" totalsRowDxfId="9" dataCellStyle="Comma"/>
    <tableColumn id="4" xr3:uid="{E9745767-9FF0-4B1C-9052-FF335D1D7588}" name="Credit" totalsRowFunction="sum" dataDxfId="17" totalsRowDxfId="8" dataCellStyle="Comma"/>
    <tableColumn id="5" xr3:uid="{5C88A48E-2467-4E6D-B626-2442B7FD0BE4}" name="Description"/>
    <tableColumn id="6" xr3:uid="{63CA4666-144E-4BE6-8B7C-7CB992BD3041}" name="Mode" totalsRowFunction="custom" dataDxfId="16" totalsRowDxfId="7">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5" tableBorderDxfId="74" totalsRowBorderDxfId="73">
  <autoFilter ref="J3:K6" xr:uid="{DCE01694-23ED-48BF-8B92-4186B9ED10A8}"/>
  <tableColumns count="2">
    <tableColumn id="1" xr3:uid="{C8484DAF-2989-4C2F-9AEC-A6917E1C57F6}" name="Type" dataDxfId="72"/>
    <tableColumn id="2" xr3:uid="{B07B7A2A-4D4E-4654-BED6-FE2F0A7BEC34}" name="Amount" dataDxfId="71"/>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0" headerRowBorderDxfId="69" tableBorderDxfId="68" totalsRowBorderDxfId="67">
  <autoFilter ref="M3:O6" xr:uid="{D166BDD1-ACD7-45D7-8AE9-7350373F8CEB}"/>
  <tableColumns count="3">
    <tableColumn id="1" xr3:uid="{64F0205E-DEA7-4571-BA86-E4374A5FEE28}" name="Type" totalsRowLabel="Total" dataDxfId="66" totalsRowDxfId="65"/>
    <tableColumn id="2" xr3:uid="{15FA05F9-789C-4459-9BE0-5C1EC84D3365}" name="amount" totalsRowFunction="custom" dataDxfId="64" totalsRowDxfId="63">
      <totalsRowFormula>SUM(N5:N6)</totalsRowFormula>
    </tableColumn>
    <tableColumn id="3" xr3:uid="{3681D409-90C6-44D0-BDE2-4B5943A516F0}" name="Actual" totalsRowFunction="custom" totalsRowDxfId="62">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1" totalsRowDxfId="60"/>
    <tableColumn id="2" xr3:uid="{5B9D0FEE-4304-4C5C-A05C-5B27CF7841D3}" name="Type"/>
    <tableColumn id="3" xr3:uid="{6A91CA0D-C802-4C6F-9F39-CA53687E8EDE}" name="Description"/>
    <tableColumn id="4" xr3:uid="{A251D40C-AB87-4BB4-85F8-444B20E32FDF}" name="Total" totalsRowFunction="custom" dataDxfId="59" totalsRowDxfId="58"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4" totalsRowCount="1" headerRowDxfId="57" headerRowBorderDxfId="56">
  <autoFilter ref="A1:I23"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5"/>
    <tableColumn id="4" xr3:uid="{1889A312-9B41-4EC4-BD8F-05252F27084A}" name="Price" totalsRowFunction="sum"/>
    <tableColumn id="6" xr3:uid="{8B974B20-F003-4E67-8660-024FA4F324A9}" name="Party"/>
    <tableColumn id="7" xr3:uid="{0A5A5C21-FD61-47DA-9F54-66A6479FA557}" name="Paid" dataDxfId="54">
      <calculatedColumnFormula>SUMIFS(Table14[Debit], Table14[Date], Table8[[#This Row],[Date]], Table14[Party], Table8[[#This Row],[Party]])</calculatedColumnFormula>
    </tableColumn>
    <tableColumn id="8" xr3:uid="{8DCB3B43-2161-4081-82EC-CDB0F4DE4E6F}" name="Balance" totalsRowFunction="sum" dataDxfId="53">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52" headerRowBorderDxfId="51">
  <autoFilter ref="A4:H13" xr:uid="{A4C80688-A8BA-4BA7-90B4-791CD99446B4}"/>
  <sortState xmlns:xlrd2="http://schemas.microsoft.com/office/spreadsheetml/2017/richdata2" ref="A5:H6">
    <sortCondition ref="A4:A6"/>
  </sortState>
  <tableColumns count="8">
    <tableColumn id="1" xr3:uid="{4A818912-918E-4111-ACFC-BC93FEF7C1AD}" name="Date" dataDxfId="50" totalsRowDxfId="49"/>
    <tableColumn id="8" xr3:uid="{477ACFD5-62AF-4F69-974B-E9B974C11D7D}" name="Party Name" dataDxfId="48"/>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7">
      <calculatedColumnFormula>Table2[[#This Row],[Quantity]]*200*Table2[[#This Row],[Boxes]]</calculatedColumnFormula>
    </tableColumn>
    <tableColumn id="6" xr3:uid="{30432929-CBD4-4BA8-B63F-CD0F6CF6405F}" name="Paid" totalsRowFunction="sum" dataDxfId="46">
      <calculatedColumnFormula>SUMIFS(Table14[Debit], Table14[Date], Table2[[#This Row],[Date]], Table14[Party], Table2[[#This Row],[Party Name]])</calculatedColumnFormula>
    </tableColumn>
    <tableColumn id="7" xr3:uid="{BB689DF2-5D1E-436D-84C4-9745D88E8F3D}" name="Balance" totalsRowFunction="sum" dataDxfId="45">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4" totalsRowDxfId="43"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2" totalsRowDxfId="41"/>
    <tableColumn id="2" xr3:uid="{053BFC14-4828-417C-9F9F-95B6E232A945}" name="Amount" totalsRowFunction="custom" dataDxfId="40" totalsRowDxfId="39"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8" totalsRowDxfId="37"/>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27" totalsRowDxfId="26"/>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25" totalsRowDxfId="24"/>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23">
      <calculatedColumnFormula>Billing!Q5</calculatedColumnFormula>
    </tableColumn>
    <tableColumn id="2" xr3:uid="{7093A59E-B58F-487D-888A-9AA8156B5F9A}" name="Amount Paid" dataDxfId="22">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21"/>
    <tableColumn id="2" xr3:uid="{F72CFEEB-BA11-4A49-BD19-88592EB6A27C}" name="Credit" dataDxfId="20"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Q14" zoomScale="109" zoomScaleNormal="80" workbookViewId="0">
      <selection activeCell="C110" sqref="C110"/>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516107.24433065113</v>
      </c>
      <c r="D2">
        <v>10</v>
      </c>
      <c r="E2" s="14">
        <f>(SUMIFS(ledger!G:G, ledger!B:B, B2, ledger!E:E, "&lt;&gt;*RD*",ledger!D:D, "Silky") / 1.0936)*12 + (SUMIFS(ledger!G:G, ledger!B:B, B2, ledger!E:E, "&lt;&gt;*RD*",ledger!D:D, "Chamki") / 1.0936)*10</f>
        <v>4927719.4586686175</v>
      </c>
      <c r="I2" t="s">
        <v>21</v>
      </c>
      <c r="Q2" t="s">
        <v>1</v>
      </c>
    </row>
    <row r="3" spans="2:33" x14ac:dyDescent="0.3">
      <c r="B3" t="str">
        <f t="shared" si="0"/>
        <v>Ejaz Sahab</v>
      </c>
      <c r="C3" s="18">
        <f>SUMIFS(ledger!G:G, ledger!B:B, B3, ledger!E:E, "&lt;&gt;*RD*") / 1.0936</f>
        <v>78653.072421360645</v>
      </c>
      <c r="D3">
        <v>10</v>
      </c>
      <c r="E3" s="14">
        <f>(SUMIFS(ledger!G:G, ledger!B:B, B3, ledger!E:E, "&lt;&gt;*RD*",ledger!D:D, "Silky") / 1.0936)*12 + (SUMIFS(ledger!G:G, ledger!B:B, B3, ledger!E:E, "&lt;&gt;*RD*",ledger!D:D, "Chamki") / 1.0936)*10</f>
        <v>943836.86905632773</v>
      </c>
      <c r="I3" t="s">
        <v>22</v>
      </c>
    </row>
    <row r="4" spans="2:33" x14ac:dyDescent="0.3">
      <c r="B4" t="str">
        <f t="shared" si="0"/>
        <v>Arshad</v>
      </c>
      <c r="C4" s="18">
        <f>SUMIFS(ledger!G:G, ledger!B:B, B4, ledger!E:E, "&lt;&gt;*RD*") / 1.0936</f>
        <v>152184.52816386247</v>
      </c>
      <c r="D4">
        <v>10</v>
      </c>
      <c r="E4" s="14">
        <f>(SUMIFS(ledger!G:G, ledger!B:B, B4, ledger!E:E, "&lt;&gt;*RD*",ledger!D:D, "Silky") / 1.0936)*12 + (SUMIFS(ledger!G:G, ledger!B:B, B4, ledger!E:E, "&lt;&gt;*RD*",ledger!D:D, "Chamki") / 1.0936)*10</f>
        <v>1619019.7512801758</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2">_xlfn.UNIQUE(Table1[Party Name])</f>
        <v>BSC</v>
      </c>
      <c r="R5" s="22" cm="1">
        <f t="array" ref="R5">_xlfn.BYROW(B49,_xlfn.LAMBDA(_xlpm.party,SUMIFS(ledger!G:G,ledger!B:B,_xlpm.party,ledger!E:E,"&lt;&gt;*RD*")))+_xlfn.IFNA(C84,0)</f>
        <v>3099353.8824</v>
      </c>
      <c r="S5" s="22" cm="1">
        <f t="array" ref="S5">_xlfn.BYROW(B49, _xlfn.LAMBDA(_xlpm.party, SUMIFS(ledger!G:G, ledger!B:B, _xlpm.party, ledger!E:E, "&lt;&gt;*RD*") / 1.0936 ))+_xlfn.IFNA(D84,0)</f>
        <v>2834083.6525237751</v>
      </c>
      <c r="T5" s="22" cm="1">
        <f t="array" ref="T5">(_xlfn.BYROW(B49,_xlfn.LAMBDA(_xlpm.party,SUMIFS(ledger!G:G,ledger!B:B,_xlpm.party,ledger!E:E,"&lt;&gt;*RD*",ledger!D:D,"Chamki")+SUMIFS(ledger!G:G, ledger!B:B, _xlpm.party, ledger!E:E, "&lt;&gt;*RD*", ledger!D:D, "Crinkle")))/1.0936)+_xlfn.IFNA(E84,0)</f>
        <v>2454150.4045354794</v>
      </c>
      <c r="U5" s="70" cm="1">
        <f t="array" ref="U5">(_xlfn.BYROW(B49,_xlfn.LAMBDA(_xlpm.party,SUMIFS(ledger!G:G,ledger!B:B,_xlpm.party,ledger!E:E,"&lt;&gt;*RD*",ledger!D:D,"Silky")))/1.0936)+_xlfn.IFNA(F84,0)</f>
        <v>379933.24798829557</v>
      </c>
      <c r="V5" s="22" cm="1">
        <f t="array" ref="V5">(_xlfn.BYROW(B49,_xlfn.LAMBDA(_xlpm.party,
(SUMIFS(ledger!J:J,ledger!B:B,_xlpm.party,ledger!E:E,"&lt;&gt;*RD*",ledger!D:D,"Chamki",ledger!C:C,"&lt;&gt;November Closing CF")+
SUMIFS(ledger!J:J,ledger!B:B,_xlpm.party,ledger!E:E,"&lt;&gt;*RD*",ledger!D:D,"Crinkle",ledger!C:C,"&lt;&gt;November Closing CF")
)+_xlfn.IFNA(G84,0))))</f>
        <v>24541504.045354798</v>
      </c>
      <c r="W5" s="70" cm="1">
        <f t="array" ref="W5">_xlfn.BYROW(B49, _xlfn.LAMBDA(_xlpm.party,
   SUMIFS(ledger!J:J, ledger!B:B, _xlpm.party, ledger!E:E, "&lt;&gt;*RD*", ledger!D:D, "Silky", ledger!C:C, "&lt;&gt;November Closing CF")
)) + _xlfn.IFNA(H84, 0)</f>
        <v>4850776.335040235</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29392280.380395032</v>
      </c>
      <c r="AD5" s="22">
        <f>(SUMIF(Table14[Party],Q5,Table14[Credit]))+_xlfn.IFNA(O84,0)</f>
        <v>19750734</v>
      </c>
      <c r="AE5" s="33">
        <f>AC5-AD5</f>
        <v>9641546.3803950325</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479409</v>
      </c>
      <c r="S6" s="22" cm="1">
        <f t="array" ref="S6">_xlfn.BYROW(B50, _xlfn.LAMBDA(_xlpm.party, SUMIFS(ledger!G:G, ledger!B:B, _xlpm.party, ledger!E:E, "&lt;&gt;*RD*") / 1.0936 ))+_xlfn.IFNA(D85,0)</f>
        <v>438376.92026335048</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290231.34601316752</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3713863.386978786</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5195319.1294806153</v>
      </c>
      <c r="AD6" s="22">
        <f>(SUMIF(Table14[Party],Q6,Table14[Credit]))+_xlfn.IFNA(O85,0)</f>
        <v>5195319</v>
      </c>
      <c r="AE6" s="33">
        <f t="shared" ref="AE6:AE31" si="2">AC6-AD6</f>
        <v>0.12948061525821686</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823577</v>
      </c>
      <c r="S7" s="22" cm="1">
        <f t="array" ref="S7">_xlfn.BYROW(B51, _xlfn.LAMBDA(_xlpm.party, SUMIFS(ledger!G:G, ledger!B:B, _xlpm.party, ledger!E:E, "&lt;&gt;*RD*") / 1.0936 ))+_xlfn.IFNA(D86,0)</f>
        <v>753087.9663496709</v>
      </c>
      <c r="T7" s="22" cm="1">
        <f t="array" ref="T7">(_xlfn.BYROW(B51,_xlfn.LAMBDA(_xlpm.party,SUMIFS(ledger!G:G,ledger!B:B,_xlpm.party,ledger!E:E,"&lt;&gt;*RD*",ledger!D:D,"Chamki")+SUMIFS(ledger!G:G, ledger!B:B, _xlpm.party, ledger!E:E, "&lt;&gt;*RD*", ledger!D:D, "Crinkle")))/1.0936)+_xlfn.IFNA(E86,0)</f>
        <v>626388.07607900514</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(SUMIFS(ledger!J:J,ledger!B:B,_xlpm.party,ledger!E:E,"&lt;&gt;*RD*",ledger!D:D,"Chamki",ledger!C:C,"&lt;&gt;November Closing CF")+
SUMIFS(ledger!J:J,ledger!B:B,_xlpm.party,ledger!E:E,"&lt;&gt;*RD*",ledger!D:D,"Crinkle",ledger!C:C,"&lt;&gt;November Closing CF")
)+_xlfn.IFNA(G86,0))))</f>
        <v>6263880.7607900519</v>
      </c>
      <c r="W7" s="70" cm="1">
        <f t="array" ref="W7">_xlfn.BYROW(B51, _xlfn.LAMBDA(_xlpm.party,
   SUMIFS(ledger!J:J, ledger!B:B, _xlpm.party, ledger!E:E, "&lt;&gt;*RD*", ledger!D:D, "Silky", ledger!C:C, "&lt;&gt;November Closing CF")
)) + _xlfn.IFNA(H86, 0)</f>
        <v>1632304.3160204829</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7896185.076810535</v>
      </c>
      <c r="AD7" s="22">
        <f>(SUMIF(Table14[Party],Q7,Table14[Credit]))+_xlfn.IFNA(O86,0)</f>
        <v>7735501</v>
      </c>
      <c r="AE7" s="33">
        <f t="shared" si="2"/>
        <v>160684.07681053504</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37214.703730797373</v>
      </c>
      <c r="D10">
        <v>10</v>
      </c>
      <c r="E10" s="14">
        <f>(SUMIFS(ledger!G:G, ledger!B:B, B10, ledger!E:E, "&lt;&gt;*RD*",ledger!D:D, "Silky") / 1.0936)*12 + (SUMIFS(ledger!G:G, ledger!B:B, B10, ledger!E:E, "&lt;&gt;*RD*",ledger!D:D, "Chamki") / 1.0936)*10</f>
        <v>446576.44476956851</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102513.7161667886</v>
      </c>
      <c r="E12" s="14">
        <f>(SUMIFS(ledger!G:G, ledger!B:B, B12, ledger!E:E, "&lt;&gt;*RD*",ledger!D:D, "Silky") / 1.0936)*12 + (SUMIFS(ledger!G:G, ledger!B:B, B12, ledger!E:E, "&lt;&gt;*RD*",ledger!D:D, "Chamki") / 1.0936)*10</f>
        <v>1025137.161667886</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149877.46891002197</v>
      </c>
      <c r="E13" s="14">
        <f>(SUMIFS(ledger!G:G, ledger!B:B, B13, ledger!E:E, "&lt;&gt;*RD*",ledger!D:D, "Silky") / 1.0936)*12 + (SUMIFS(ledger!G:G, ledger!B:B, B13, ledger!E:E, "&lt;&gt;*RD*",ledger!D:D, "Chamki") / 1.0936)*10</f>
        <v>1083114.4842721289</v>
      </c>
      <c r="I13" t="s">
        <v>166</v>
      </c>
      <c r="Q13" s="24" t="str">
        <v>Ubaidullah</v>
      </c>
      <c r="R13" s="22" cm="1">
        <f t="array" ref="R13">_xlfn.BYROW(B57,_xlfn.LAMBDA(_xlpm.party,SUMIFS(ledger!G:G,ledger!B:B,_xlpm.party,ledger!E:E,"&lt;&gt;*RD*")))+_xlfn.IFNA(C92,0)</f>
        <v>107548</v>
      </c>
      <c r="S13" s="22" cm="1">
        <f t="array" ref="S13">_xlfn.BYROW(B57, _xlfn.LAMBDA(_xlpm.party, SUMIFS(ledger!G:G, ledger!B:B, _xlpm.party, ledger!E:E, "&lt;&gt;*RD*") / 1.0936 ))+_xlfn.IFNA(D92,0)</f>
        <v>98343.087051938564</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52210.131675201177</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663736.28383321152</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1125065.8376005855</v>
      </c>
      <c r="AD13" s="22">
        <f>(SUMIF(Table14[Party],Q13,Table14[Credit]))+_xlfn.IFNA(O92,0)</f>
        <v>640190</v>
      </c>
      <c r="AE13" s="33">
        <f t="shared" si="2"/>
        <v>484875.83760058554</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314924</v>
      </c>
      <c r="S15" s="22" cm="1">
        <f t="array" ref="S15">_xlfn.BYROW(B59, _xlfn.LAMBDA(_xlpm.party, SUMIFS(ledger!G:G, ledger!B:B, _xlpm.party, ledger!E:E, "&lt;&gt;*RD*") / 1.0936 ))+_xlfn.IFNA(D94,0)</f>
        <v>287970.007315289</v>
      </c>
      <c r="T15" s="22" cm="1">
        <f t="array" ref="T15">(_xlfn.BYROW(B59,_xlfn.LAMBDA(_xlpm.party,SUMIFS(ledger!G:G,ledger!B:B,_xlpm.party,ledger!E:E,"&lt;&gt;*RD*",ledger!D:D,"Chamki")+SUMIFS(ledger!G:G, ledger!B:B, _xlpm.party, ledger!E:E, "&lt;&gt;*RD*", ledger!D:D, "Crinkle")))/1.0936)+_xlfn.IFNA(E94,0)</f>
        <v>287970.007315289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2879700.07315289</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2879700.07315289</v>
      </c>
      <c r="AD15" s="22">
        <f>(SUMIF(Table14[Party],Q15,Table14[Credit]))+_xlfn.IFNA(O94,0)</f>
        <v>2869679</v>
      </c>
      <c r="AE15" s="33">
        <f t="shared" si="2"/>
        <v>10021.073152889963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(SUMIFS(ledger!J:J,ledger!B:B,_xlpm.party,ledger!E:E,"&lt;&gt;*RD*",ledger!D:D,"Chamki",ledger!C:C,"&lt;&gt;November Closing CF")+
SUMIFS(ledger!J:J,ledger!B:B,_xlpm.party,ledger!E:E,"&lt;&gt;*RD*",ledger!D:D,"Crinkle",ledger!C:C,"&lt;&gt;November Closing CF")
)+_xlfn.IFNA(G95,0))))</f>
        <v>4861679.7732260432</v>
      </c>
      <c r="W16" s="70" cm="1">
        <f t="array" ref="W16">_xlfn.BYROW(B60, _xlfn.LAMBDA(_xlpm.party,
   SUMIFS(ledger!J:J, ledger!B:B, _xlpm.party, ledger!E:E, "&lt;&gt;*RD*", ledger!D:D, "Silky", ledger!C:C, "&lt;&gt;November Closing CF")
)) + _xlfn.IFNA(H95, 0)</f>
        <v>1776019.5683979518</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15387768.675932702</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15387768.675932702</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2709310</v>
      </c>
      <c r="AE23" s="33">
        <f t="shared" si="2"/>
        <v>-0.38039502501487732</v>
      </c>
      <c r="AF23" s="21">
        <v>10</v>
      </c>
      <c r="AG23" s="21">
        <v>13</v>
      </c>
    </row>
    <row r="24" spans="2:33" x14ac:dyDescent="0.3">
      <c r="I24" t="s">
        <v>195</v>
      </c>
      <c r="Q24" t="str">
        <v>Salman Zaffar</v>
      </c>
      <c r="R24" s="22" cm="1">
        <f t="array" ref="R24">_xlfn.BYROW(B68,_xlfn.LAMBDA(_xlpm.party,SUMIFS(ledger!G:G,ledger!B:B,_xlpm.party,ledger!E:E,"&lt;&gt;*RD*")))+_xlfn.IFNA(C103,0)</f>
        <v>167026</v>
      </c>
      <c r="S24" s="22" cm="1">
        <f t="array" ref="S24">_xlfn.BYROW(B68, _xlfn.LAMBDA(_xlpm.party, SUMIFS(ledger!G:G, ledger!B:B, _xlpm.party, ledger!E:E, "&lt;&gt;*RD*") / 1.0936 ))+_xlfn.IFNA(D103,0)</f>
        <v>152730.43160204831</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552340.89246525243</v>
      </c>
      <c r="AB24" s="70" cm="1">
        <f t="array" ref="AB24">_xlfn.BYROW(B68, _xlfn.LAMBDA(_xlpm.party,
   SUMIFS(ledger!J:J, ledger!B:B, _xlpm.party, ledger!E:E, "&lt;&gt;*RD*", ledger!D:D, "Munaar", ledger!C:C, "&lt;&gt;November Closing CF")
))+ _xlfn.IFNA(M103, 0)</f>
        <v>0</v>
      </c>
      <c r="AC24" s="39">
        <f t="shared" si="1"/>
        <v>1648473.8478419899</v>
      </c>
      <c r="AD24" s="22">
        <f>(SUMIF(Table14[Party],Q24,Table14[Credit]))+_xlfn.IFNA(O103,0)</f>
        <v>1496025</v>
      </c>
      <c r="AE24" s="33">
        <f t="shared" si="2"/>
        <v>152448.84784198995</v>
      </c>
      <c r="AF24" s="21">
        <v>10</v>
      </c>
      <c r="AG24" s="21">
        <v>13</v>
      </c>
    </row>
    <row r="25" spans="2:33" x14ac:dyDescent="0.3">
      <c r="I25" t="s">
        <v>201</v>
      </c>
      <c r="Q25" t="str">
        <v>Shahid Qasayi</v>
      </c>
      <c r="R25" s="22" cm="1">
        <f t="array" ref="R25">_xlfn.BYROW(B69,_xlfn.LAMBDA(_xlpm.party,SUMIFS(ledger!G:G,ledger!B:B,_xlpm.party,ledger!E:E,"&lt;&gt;*RD*")))+_xlfn.IFNA(C104,0)</f>
        <v>293270</v>
      </c>
      <c r="S25" s="22" cm="1">
        <f t="array" ref="S25">_xlfn.BYROW(B69, _xlfn.LAMBDA(_xlpm.party, SUMIFS(ledger!G:G, ledger!B:B, _xlpm.party, ledger!E:E, "&lt;&gt;*RD*") / 1.0936 ))+_xlfn.IFNA(D104,0)</f>
        <v>268169.34893928317</v>
      </c>
      <c r="T25" s="22" cm="1">
        <f t="array" ref="T25">(_xlfn.BYROW(B69,_xlfn.LAMBDA(_xlpm.party,SUMIFS(ledger!G:G,ledger!B:B,_xlpm.party,ledger!E:E,"&lt;&gt;*RD*",ledger!D:D,"Chamki")+SUMIFS(ledger!G:G, ledger!B:B, _xlpm.party, ledger!E:E, "&lt;&gt;*RD*", ledger!D:D, "Crinkle")))/1.0936)+_xlfn.IFNA(E104,0)</f>
        <v>218630.21214337967</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2186302.1214337964</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23767.373811265548</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2733213.240673006</v>
      </c>
      <c r="AD25" s="22">
        <f>(SUMIF(Table14[Party],Q25,Table14[Credit]))+_xlfn.IFNA(O104,0)</f>
        <v>2461895</v>
      </c>
      <c r="AE25" s="33">
        <f t="shared" si="2"/>
        <v>271318.24067300605</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Gauhar Kashif</v>
      </c>
      <c r="R31" s="22" cm="1">
        <f t="array" ref="R31">_xlfn.BYROW(B75,_xlfn.LAMBDA(_xlpm.party,SUMIFS(ledger!G:G,ledger!B:B,_xlpm.party,ledger!E:E,"&lt;&gt;*RD*")))+_xlfn.IFNA(C110,0)</f>
        <v>55125</v>
      </c>
      <c r="S31" s="22" cm="1">
        <f t="array" ref="S31">_xlfn.BYROW(B75, _xlfn.LAMBDA(_xlpm.party, SUMIFS(ledger!G:G, ledger!B:B, _xlpm.party, ledger!E:E, "&lt;&gt;*RD*") / 1.0936 ))+_xlfn.IFNA(D110,0)</f>
        <v>50406.91294806145</v>
      </c>
      <c r="T31" s="22" cm="1">
        <f t="array" ref="T31">(_xlfn.BYROW(B75,_xlfn.LAMBDA(_xlpm.party,SUMIFS(ledger!G:G,ledger!B:B,_xlpm.party,ledger!E:E,"&lt;&gt;*RD*",ledger!D:D,"Chamki")+SUMIFS(ledger!G:G, ledger!B:B, _xlpm.party, ledger!E:E, "&lt;&gt;*RD*", ledger!D:D, "Crinkle")))/1.0936)+_xlfn.IFNA(E110,0)</f>
        <v>50406.91294806145</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504069.1294806145</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504069.1294806145</v>
      </c>
      <c r="AD31" s="22">
        <f>(SUMIF(Table14[Party],Q31,Table14[Credit]))+_xlfn.IFNA(O110,0)</f>
        <v>485800</v>
      </c>
      <c r="AE31" s="33">
        <f t="shared" si="2"/>
        <v>18269.129480614502</v>
      </c>
      <c r="AF31" s="21">
        <v>10</v>
      </c>
      <c r="AG31" s="21">
        <v>13</v>
      </c>
    </row>
    <row r="32" spans="2:33" x14ac:dyDescent="0.3">
      <c r="Q32">
        <v>0</v>
      </c>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6">_xlfn.UNIQUE(Table1[Party Name])</f>
        <v>BSC</v>
      </c>
      <c r="C49" s="22" cm="1">
        <f t="array" ref="C49:C76">_xlfn.BYROW(_xlfn.ANCHORARRAY(B49),_xlfn.LAMBDA(_xlpm.party,SUMIFS(ledger!G:G,ledger!B:B,_xlpm.party,ledger!E:E,"&lt;&gt;*RD*")))</f>
        <v>564414.8824</v>
      </c>
      <c r="D49" s="22" cm="1">
        <f t="array" ref="D49:D76">_xlfn.BYROW(_xlfn.ANCHORARRAY(B49), _xlfn.LAMBDA(_xlpm.party, SUMIFS(ledger!G:G, ledger!B:B, _xlpm.party, ledger!E:E, "&lt;&gt;*RD*") / 1.0936 ))</f>
        <v>516107.24433065113</v>
      </c>
      <c r="E49" s="63" cm="1">
        <f t="array" ref="E49:E76">(_xlfn.BYROW(_xlfn.ANCHORARRAY(B49),_xlfn.LAMBDA(_xlpm.party,SUMIFS(ledger!G:G,ledger!B:B,_xlpm.party,ledger!E:E,"&lt;&gt;*RD*",ledger!D:D,"Chamki")+SUMIFS(ledger!G:G, ledger!B:B, _xlpm.party, ledger!E:E, "&lt;&gt;*RD*", ledger!D:D, "Crinkle")))/1.0936)</f>
        <v>418642.90636430145</v>
      </c>
      <c r="F49" s="63" cm="1">
        <f t="array" ref="F49:F76">(_xlfn.BYROW(_xlfn.ANCHORARRAY(B49),_xlfn.LAMBDA(_xlpm.party,SUMIFS(ledger!G:G,ledger!B:B,_xlpm.party,ledger!E:E,"&lt;&gt;*RD*",ledger!D:D,"Silky")))/1.0936)</f>
        <v>97464.337966349674</v>
      </c>
      <c r="G49" s="22" cm="1">
        <f t="array" ref="G49">(_xlfn.BYROW(B49,_xlfn.LAMBDA(_xlpm.party,
(SUMIFS(ledger!J:J,ledger!B:B,_xlpm.party,ledger!E:E,"&lt;&gt;*RD*",ledger!D:D,"Chamki",ledger!C:C,"&lt;&gt;November Closing CF")+
SUMIFS(ledger!J:J,ledger!B:B,_xlpm.party,ledger!E:E,"&lt;&gt;*RD*",ledger!D:D,"Crinkle",ledger!C:C,"&lt;&gt;November Closing CF")
))))</f>
        <v>4186429.0636430145</v>
      </c>
      <c r="H49" s="22" cm="1">
        <f t="array" ref="H49">_xlfn.BYROW(B49, _xlfn.LAMBDA(_xlpm.party,
   SUMIFS(ledger!J:J, ledger!B:B, _xlpm.party, ledger!E:E, "&lt;&gt;*RD*", ledger!D:D, "Silky", ledger!C:C, "&lt;&gt;November Closing CF")
))</f>
        <v>1267036.393562546</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5453465.4572055601</v>
      </c>
      <c r="O49" s="22">
        <f>(SUMIF(Table14[Party],B49,Table14[Credit]))</f>
        <v>0</v>
      </c>
      <c r="P49" s="37">
        <f>N49-O49</f>
        <v>5453465.4572055601</v>
      </c>
      <c r="Q49" s="21">
        <v>10</v>
      </c>
      <c r="R49" s="21">
        <v>12</v>
      </c>
    </row>
    <row r="50" spans="1:23" x14ac:dyDescent="0.3">
      <c r="B50" s="24" t="str">
        <v>Ejaz Sahab</v>
      </c>
      <c r="C50" s="22">
        <v>86015</v>
      </c>
      <c r="D50" s="22">
        <v>78653.072421360645</v>
      </c>
      <c r="E50" s="63">
        <v>0</v>
      </c>
      <c r="F50" s="63">
        <v>78653.072421360645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1022489.9414776884</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1022489.9414776884</v>
      </c>
      <c r="O50" s="22">
        <f>(SUMIF(Table14[Party],B50,Table14[Credit]))</f>
        <v>1231415</v>
      </c>
      <c r="P50" s="37">
        <f>N50-O50</f>
        <v>-208925.05852231162</v>
      </c>
      <c r="Q50" s="21">
        <v>10</v>
      </c>
      <c r="R50" s="21">
        <v>12</v>
      </c>
    </row>
    <row r="51" spans="1:23" x14ac:dyDescent="0.3">
      <c r="B51" s="24" t="str">
        <v>Arshad</v>
      </c>
      <c r="C51" s="22">
        <v>166429</v>
      </c>
      <c r="D51" s="22">
        <v>152184.52816386247</v>
      </c>
      <c r="E51" s="63">
        <v>103597.29334308706</v>
      </c>
      <c r="F51" s="63">
        <v>48587.234820775426</v>
      </c>
      <c r="G51" s="22" cm="1">
        <f t="array" ref="G51">(_xlfn.BYROW(B51,_xlfn.LAMBDA(_xlpm.party,
(SUMIFS(ledger!J:J,ledger!B:B,_xlpm.party,ledger!E:E,"&lt;&gt;*RD*",ledger!D:D,"Chamki",ledger!C:C,"&lt;&gt;November Closing CF")+
SUMIFS(ledger!J:J,ledger!B:B,_xlpm.party,ledger!E:E,"&lt;&gt;*RD*",ledger!D:D,"Crinkle",ledger!C:C,"&lt;&gt;November Closing CF")
))))</f>
        <v>1035972.9334308705</v>
      </c>
      <c r="H51" s="22" cm="1">
        <f t="array" ref="H51">_xlfn.BYROW(B51, _xlfn.LAMBDA(_xlpm.party,
   SUMIFS(ledger!J:J, ledger!B:B, _xlpm.party, ledger!E:E, "&lt;&gt;*RD*", ledger!D:D, "Silky", ledger!C:C, "&lt;&gt;November Closing CF")
))</f>
        <v>631634.05267008045</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1667606.986100951</v>
      </c>
      <c r="O51" s="22">
        <f>(SUMIF(Table14[Party],B51,Table14[Credit]))</f>
        <v>1732566</v>
      </c>
      <c r="P51" s="37">
        <f>N51-O51</f>
        <v>-64959.013899049023</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300000</v>
      </c>
      <c r="P55" s="37">
        <f t="shared" si="5"/>
        <v>-67492.68471104608</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40698</v>
      </c>
      <c r="D57" s="22">
        <v>37214.703730797373</v>
      </c>
      <c r="E57" s="63">
        <v>0</v>
      </c>
      <c r="F57" s="63">
        <v>37214.703730797373</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483791.14850036579</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483791.14850036579</v>
      </c>
      <c r="O57" s="22">
        <f>SUMIF(Table14[Party], B57, Table14[Credit])</f>
        <v>0</v>
      </c>
      <c r="P57" s="37">
        <f t="shared" si="6"/>
        <v>483791.14850036579</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516107.24433065113</v>
      </c>
      <c r="W58" s="18">
        <v>4927719.4586686175</v>
      </c>
    </row>
    <row r="59" spans="1:23" x14ac:dyDescent="0.3">
      <c r="B59" s="24" t="str">
        <v>Hafiz Qureshi</v>
      </c>
      <c r="C59" s="22">
        <v>112109</v>
      </c>
      <c r="D59" s="22">
        <v>102513.7161667886</v>
      </c>
      <c r="E59" s="63">
        <v>102513.7161667886</v>
      </c>
      <c r="F59" s="63">
        <v>0</v>
      </c>
      <c r="G59" s="22" cm="1">
        <f t="array" ref="G59">(_xlfn.BYROW(B59,_xlfn.LAMBDA(_xlpm.party,
(SUMIFS(ledger!J:J,ledger!B:B,_xlpm.party,ledger!E:E,"&lt;&gt;*RD*",ledger!D:D,"Chamki",ledger!C:C,"&lt;&gt;November Closing CF")+
SUMIFS(ledger!J:J,ledger!B:B,_xlpm.party,ledger!E:E,"&lt;&gt;*RD*",ledger!D:D,"Crinkle",ledger!C:C,"&lt;&gt;November Closing CF")
))))</f>
        <v>1025137.1616678862</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1025137.1616678862</v>
      </c>
      <c r="O59" s="22">
        <f>SUMIF(Table14[Party], B59, Table14[Credit])</f>
        <v>1063699</v>
      </c>
      <c r="P59" s="37">
        <f t="shared" si="6"/>
        <v>-38561.83833211381</v>
      </c>
      <c r="Q59" s="21">
        <v>10</v>
      </c>
      <c r="R59" s="21">
        <v>12</v>
      </c>
      <c r="U59" s="4" t="s">
        <v>22</v>
      </c>
      <c r="V59" s="5">
        <v>78653.072421360645</v>
      </c>
      <c r="W59" s="18">
        <v>943836.86905632773</v>
      </c>
    </row>
    <row r="60" spans="1:23" x14ac:dyDescent="0.3">
      <c r="B60" s="24" t="str">
        <v>Badshah Fabrics</v>
      </c>
      <c r="C60" s="22">
        <v>163906</v>
      </c>
      <c r="D60" s="22">
        <v>149877.46891002197</v>
      </c>
      <c r="E60" s="63">
        <v>125616.31309436724</v>
      </c>
      <c r="F60" s="63">
        <v>24261.155815654722</v>
      </c>
      <c r="G60" s="22" cm="1">
        <f t="array" ref="G60">(_xlfn.BYROW(B60,_xlfn.LAMBDA(_xlpm.party,
(SUMIFS(ledger!J:J,ledger!B:B,_xlpm.party,ledger!E:E,"&lt;&gt;*RD*",ledger!D:D,"Chamki",ledger!C:C,"&lt;&gt;November Closing CF")+
SUMIFS(ledger!J:J,ledger!B:B,_xlpm.party,ledger!E:E,"&lt;&gt;*RD*",ledger!D:D,"Crinkle",ledger!C:C,"&lt;&gt;November Closing CF")
))))</f>
        <v>1302581.3825896124</v>
      </c>
      <c r="H60" s="22" cm="1">
        <f t="array" ref="H60">_xlfn.BYROW(B60, _xlfn.LAMBDA(_xlpm.party,
   SUMIFS(ledger!J:J, ledger!B:B, _xlpm.party, ledger!E:E, "&lt;&gt;*RD*", ledger!D:D, "Silky", ledger!C:C, "&lt;&gt;November Closing CF")
))</f>
        <v>315395.02560351137</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1617976.4081931238</v>
      </c>
      <c r="O60" s="22">
        <f>SUMIF(Table14[Party], B60, Table14[Credit])</f>
        <v>1620000</v>
      </c>
      <c r="P60" s="37">
        <f t="shared" si="6"/>
        <v>-2023.5918068762403</v>
      </c>
      <c r="Q60" s="21">
        <v>10</v>
      </c>
      <c r="R60" s="21">
        <v>12</v>
      </c>
      <c r="U60" s="4" t="s">
        <v>9</v>
      </c>
      <c r="V60" s="5">
        <v>152184.52816386247</v>
      </c>
      <c r="W60" s="18">
        <v>1619019.7512801758</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37214.703730797373</v>
      </c>
      <c r="W66" s="18">
        <v>446576.44476956851</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409310</v>
      </c>
      <c r="P67" s="37">
        <f t="shared" si="6"/>
        <v>-409310</v>
      </c>
      <c r="Q67" s="21">
        <v>10</v>
      </c>
      <c r="R67" s="21">
        <v>12</v>
      </c>
      <c r="U67" s="4" t="s">
        <v>148</v>
      </c>
      <c r="V67" s="5">
        <v>0</v>
      </c>
      <c r="W67" s="18">
        <v>0</v>
      </c>
    </row>
    <row r="68" spans="2:23" x14ac:dyDescent="0.3">
      <c r="B68" s="81" t="str">
        <v>Salman Zaffar</v>
      </c>
      <c r="C68" s="22">
        <v>102246</v>
      </c>
      <c r="D68" s="22">
        <v>93494.879297732274</v>
      </c>
      <c r="E68" s="63">
        <v>38260.790051207026</v>
      </c>
      <c r="F68" s="63">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552340.89246525243</v>
      </c>
      <c r="M68" s="70" cm="1">
        <f t="array" ref="M68">_xlfn.BYROW(B68, _xlfn.LAMBDA(_xlpm.party,
   SUMIFS(ledger!J:J, ledger!B:B, _xlpm.party, ledger!E:E, "&lt;&gt;*RD*", ledger!D:D, "Munaar", ledger!C:C, "&lt;&gt;November Closing CF")
))</f>
        <v>0</v>
      </c>
      <c r="N68" s="39">
        <f t="shared" si="4"/>
        <v>934948.79297732259</v>
      </c>
      <c r="O68" s="22">
        <f>SUMIF(Table14[Party], B68, Table14[Credit])</f>
        <v>1496025</v>
      </c>
      <c r="P68" s="37">
        <f t="shared" si="6"/>
        <v>-561076.20702267741</v>
      </c>
      <c r="Q68" s="21">
        <v>10</v>
      </c>
      <c r="R68" s="21">
        <v>12</v>
      </c>
      <c r="U68" s="4" t="s">
        <v>27</v>
      </c>
      <c r="V68" s="5">
        <v>102513.7161667886</v>
      </c>
      <c r="W68" s="18">
        <v>1025137.161667886</v>
      </c>
    </row>
    <row r="69" spans="2:23" x14ac:dyDescent="0.3">
      <c r="B69" s="81" t="str">
        <v>Shahid Qasayi</v>
      </c>
      <c r="C69" s="22">
        <v>117141</v>
      </c>
      <c r="D69" s="22">
        <v>107115.03291880031</v>
      </c>
      <c r="E69" s="63">
        <v>105134.41843452817</v>
      </c>
      <c r="F69" s="21">
        <v>0</v>
      </c>
      <c r="G69" s="22" cm="1">
        <f t="array" ref="G69">(_xlfn.BYROW(B69,_xlfn.LAMBDA(_xlpm.party,
(SUMIFS(ledger!J:J,ledger!B:B,_xlpm.party,ledger!E:E,"&lt;&gt;*RD*",ledger!D:D,"Chamki",ledger!C:C,"&lt;&gt;November Closing CF")+
SUMIFS(ledger!J:J,ledger!B:B,_xlpm.party,ledger!E:E,"&lt;&gt;*RD*",ledger!D:D,"Crinkle",ledger!C:C,"&lt;&gt;November Closing CF")
))))</f>
        <v>1051344.1843452817</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23767.373811265548</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1075111.5581565471</v>
      </c>
      <c r="O69" s="22">
        <f>SUMIF(Table14[Party], B69, Table14[Credit])</f>
        <v>993570</v>
      </c>
      <c r="P69" s="37">
        <f t="shared" si="6"/>
        <v>81541.558156547137</v>
      </c>
      <c r="Q69" s="21">
        <v>10</v>
      </c>
      <c r="R69" s="21">
        <v>12</v>
      </c>
      <c r="U69" s="4" t="s">
        <v>166</v>
      </c>
      <c r="V69" s="5">
        <v>149877.46891002197</v>
      </c>
      <c r="W69" s="18">
        <v>1083114.4842721289</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t="str">
        <v>Gauhar Kashif</v>
      </c>
      <c r="C75">
        <v>55125</v>
      </c>
      <c r="D75">
        <v>50406.91294806145</v>
      </c>
      <c r="E75">
        <v>50406.91294806145</v>
      </c>
      <c r="F75">
        <v>0</v>
      </c>
      <c r="G75" s="22" cm="1">
        <f t="array" ref="G75">(_xlfn.BYROW(B75,_xlfn.LAMBDA(_xlpm.party,
(SUMIFS(ledger!J:J,ledger!B:B,_xlpm.party,ledger!E:E,"&lt;&gt;*RD*",ledger!D:D,"Chamki",ledger!C:C,"&lt;&gt;November Closing CF")+
SUMIFS(ledger!J:J,ledger!B:B,_xlpm.party,ledger!E:E,"&lt;&gt;*RD*",ledger!D:D,"Crinkle",ledger!C:C,"&lt;&gt;November Closing CF")
))))</f>
        <v>504069.1294806145</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504069.1294806145</v>
      </c>
      <c r="O75" s="22">
        <f>SUMIF(Table14[Party], B75, Table14[Credit])</f>
        <v>485800</v>
      </c>
      <c r="P75" s="37">
        <f t="shared" si="6"/>
        <v>18269.129480614502</v>
      </c>
      <c r="U75" s="4" t="s">
        <v>28</v>
      </c>
      <c r="V75" s="14">
        <v>1186729.9583028532</v>
      </c>
      <c r="W75" s="14">
        <v>11311282.918800291</v>
      </c>
    </row>
    <row r="76" spans="2:23" x14ac:dyDescent="0.3">
      <c r="B76">
        <v>0</v>
      </c>
      <c r="C76">
        <v>0</v>
      </c>
      <c r="D76">
        <v>0</v>
      </c>
      <c r="E76">
        <v>0</v>
      </c>
      <c r="F76">
        <v>0</v>
      </c>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11">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t="str">
        <v>Gauhar Kashif</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ref="N110:N115" si="9">G110+H110+I110+J110+K110+L110+M110</f>
        <v>#N/A</v>
      </c>
      <c r="O110" s="22" t="e">
        <f>_xlfn.XLOOKUP($B75,[1]Billing!$Q$5:$Q$40,[1]Billing!$AD$5:$AD$40)</f>
        <v>#N/A</v>
      </c>
      <c r="P110" s="37" t="e">
        <f t="shared" ref="P110:P115" si="10">N110-O110</f>
        <v>#N/A</v>
      </c>
    </row>
    <row r="111" spans="2:18" x14ac:dyDescent="0.3">
      <c r="B111">
        <v>0</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9"/>
        <v>#N/A</v>
      </c>
      <c r="O111" s="22" t="e">
        <f>_xlfn.XLOOKUP($B76,[1]Billing!$Q$5:$Q$40,[1]Billing!$AD$5:$AD$40)</f>
        <v>#N/A</v>
      </c>
      <c r="P111" s="37" t="e">
        <f t="shared" si="10"/>
        <v>#N/A</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1"/>
  <sheetViews>
    <sheetView topLeftCell="A2"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1">_xlfn.UNIQUE(Table1[Party Name])</f>
        <v>BSC</v>
      </c>
    </row>
    <row r="5" spans="2:10" x14ac:dyDescent="0.3">
      <c r="J5" t="str">
        <v>Ejaz Sahab</v>
      </c>
    </row>
    <row r="6" spans="2:10" ht="21" x14ac:dyDescent="0.4">
      <c r="B6" s="64" t="s">
        <v>483</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Billing!Q5), INDEX(Billing!R5:R25, _xlfn.SEQUENCE(ROWS(_xlfn.ANCHORARRAY(Billing!$Q$5)))),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Billing!$Q$5), INDEX(Billing!S5:S25, _xlfn.SEQUENCE(ROWS(_xlfn.ANCHORARRAY(Billing!$Q$5)))),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0</v>
      </c>
      <c r="D12" s="66" t="e" cm="1">
        <f t="array" ref="D12">_xlfn.XLOOKUP($B$6,_xlfn.ANCHORARRAY( Billing!$Q$5), INDEX(Billing!T5:T25, _xlfn.SEQUENCE(ROWS(_xlfn.ANCHORARRAY(Billing!$Q$5)))),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0</v>
      </c>
      <c r="D14" s="66" t="e" cm="1">
        <f t="array" ref="D14">_xlfn.XLOOKUP($B$6,_xlfn.ANCHORARRAY( Billing!$Q$5), INDEX(Billing!U5:U25, _xlfn.SEQUENCE(ROWS(_xlfn.ANCHORARRAY(Billing!$Q$5)))), "Not Found")</f>
        <v>#REF!</v>
      </c>
      <c r="E14" s="66" t="e">
        <f ca="1">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485800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18269.129480614502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Gauhar Kashif</v>
      </c>
    </row>
    <row r="31" spans="2:10" x14ac:dyDescent="0.3">
      <c r="J31">
        <v>0</v>
      </c>
    </row>
  </sheetData>
  <conditionalFormatting sqref="E20">
    <cfRule type="cellIs" dxfId="15" priority="1" operator="lessThan">
      <formula>20000</formula>
    </cfRule>
    <cfRule type="cellIs" dxfId="14"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G13" sqref="G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8465740</v>
      </c>
      <c r="D4" t="s">
        <v>190</v>
      </c>
      <c r="E4" s="43">
        <f ca="1">Table12[[#This Row],[Amount]]/Table1[[#Totals],[tiyar/meters]]</f>
        <v>5.8576950909865344</v>
      </c>
    </row>
    <row r="5" spans="1:5" x14ac:dyDescent="0.3">
      <c r="B5" t="s">
        <v>48</v>
      </c>
      <c r="C5" s="11">
        <f>SUM(Table8[Price])+Dyes!P56</f>
        <v>1606785</v>
      </c>
      <c r="E5" s="43">
        <f ca="1">Table12[[#This Row],[Amount]]/Table1[[#Totals],[tiyar/meters]]</f>
        <v>1.1117819123633372</v>
      </c>
    </row>
    <row r="6" spans="1:5" x14ac:dyDescent="0.3">
      <c r="B6" t="s">
        <v>49</v>
      </c>
      <c r="C6" s="11">
        <f>SUM(Table2[Price])+Finish!K30</f>
        <v>457600</v>
      </c>
      <c r="D6" t="s">
        <v>189</v>
      </c>
      <c r="E6" s="43">
        <f ca="1">Table12[[#This Row],[Amount]]/Table1[[#Totals],[tiyar/meters]]</f>
        <v>0.31662693085724791</v>
      </c>
    </row>
    <row r="7" spans="1:5" x14ac:dyDescent="0.3">
      <c r="B7" t="s">
        <v>50</v>
      </c>
      <c r="C7" s="11">
        <f>SUMIFS(Table14[Debit], Table14[Party],Table12[[#This Row],[Type]])</f>
        <v>32355</v>
      </c>
      <c r="E7" s="43">
        <f ca="1">Table12[[#This Row],[Amount]]/Table1[[#Totals],[tiyar/meters]]</f>
        <v>2.2387378382618568E-2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1530600</v>
      </c>
      <c r="E9" s="43">
        <f ca="1">Table12[[#This Row],[Amount]]/Table1[[#Totals],[tiyar/meters]]</f>
        <v>1.059067264794807</v>
      </c>
    </row>
    <row r="10" spans="1:5" x14ac:dyDescent="0.3">
      <c r="B10" t="s">
        <v>53</v>
      </c>
      <c r="C10" s="11">
        <f>Table5[[#Totals],[Amount]]</f>
        <v>111730</v>
      </c>
      <c r="E10" s="43">
        <f ca="1">Table12[[#This Row],[Amount]]/Table1[[#Totals],[tiyar/meters]]</f>
        <v>7.7309280997990198E-2</v>
      </c>
    </row>
    <row r="11" spans="1:5" x14ac:dyDescent="0.3">
      <c r="B11" t="s">
        <v>54</v>
      </c>
      <c r="C11" s="11">
        <f>Table13[[#Totals],[Debit]]</f>
        <v>129791</v>
      </c>
      <c r="E11" s="43">
        <f ca="1">Table12[[#This Row],[Amount]]/Table1[[#Totals],[tiyar/meters]]</f>
        <v>8.9806219368210372E-2</v>
      </c>
    </row>
    <row r="12" spans="1:5" x14ac:dyDescent="0.3">
      <c r="B12" t="s">
        <v>55</v>
      </c>
      <c r="C12" s="11">
        <f>Table15[[#Totals],[Amount]]</f>
        <v>449234</v>
      </c>
      <c r="E12" s="43">
        <f ca="1">Table12[[#This Row],[Amount]]/Table1[[#Totals],[tiyar/meters]]</f>
        <v>0.310838248812773</v>
      </c>
    </row>
    <row r="13" spans="1:5" x14ac:dyDescent="0.3">
      <c r="C13" s="11"/>
      <c r="E13" s="43">
        <f ca="1">Table12[[#This Row],[Amount]]/Table1[[#Totals],[tiyar/meters]]</f>
        <v>0</v>
      </c>
    </row>
    <row r="14" spans="1:5" x14ac:dyDescent="0.3">
      <c r="C14" s="14">
        <f>SUM(Table12[Amount])</f>
        <v>12783835</v>
      </c>
      <c r="E14" s="43">
        <f ca="1">SUM(Table12[cost per meter])</f>
        <v>8.8455123265635187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15387768.675932702</v>
      </c>
    </row>
    <row r="4" spans="1:3" x14ac:dyDescent="0.3">
      <c r="B4" s="11" t="s">
        <v>44</v>
      </c>
      <c r="C4" s="11">
        <f>Table12[[#Totals],[Amount]]</f>
        <v>12783835</v>
      </c>
    </row>
    <row r="5" spans="1:3" x14ac:dyDescent="0.3">
      <c r="A5" s="6"/>
      <c r="B5" s="15" t="s">
        <v>68</v>
      </c>
      <c r="C5" s="15">
        <f>C3-C4</f>
        <v>2603933.6759327017</v>
      </c>
    </row>
    <row r="10" spans="1:3" ht="15" thickBot="1" x14ac:dyDescent="0.35">
      <c r="B10" t="s">
        <v>66</v>
      </c>
      <c r="C10" s="14" t="s">
        <v>67</v>
      </c>
    </row>
    <row r="11" spans="1:3" x14ac:dyDescent="0.3">
      <c r="B11" s="56" t="s">
        <v>0</v>
      </c>
      <c r="C11" s="57">
        <f>C3</f>
        <v>15387768.675932702</v>
      </c>
    </row>
    <row r="12" spans="1:3" x14ac:dyDescent="0.3">
      <c r="B12" s="58" t="s">
        <v>69</v>
      </c>
      <c r="C12" s="59">
        <f>SUM(Table14[Credit])</f>
        <v>28468633</v>
      </c>
    </row>
    <row r="13" spans="1:3" ht="15" thickBot="1" x14ac:dyDescent="0.35">
      <c r="B13" s="74" t="s">
        <v>93</v>
      </c>
      <c r="C13" s="73">
        <f>(C11-C12)</f>
        <v>-13080864.324067298</v>
      </c>
    </row>
    <row r="14" spans="1:3" ht="15" thickBot="1" x14ac:dyDescent="0.35">
      <c r="B14" s="58"/>
      <c r="C14" s="59"/>
    </row>
    <row r="15" spans="1:3" x14ac:dyDescent="0.3">
      <c r="B15" s="56" t="s">
        <v>44</v>
      </c>
      <c r="C15" s="57">
        <f>C4</f>
        <v>12783835</v>
      </c>
    </row>
    <row r="16" spans="1:3" x14ac:dyDescent="0.3">
      <c r="B16" s="58" t="s">
        <v>70</v>
      </c>
      <c r="C16" s="59">
        <f>SUM(Table14[Debit])</f>
        <v>28444756</v>
      </c>
    </row>
    <row r="17" spans="2:6" ht="15" thickBot="1" x14ac:dyDescent="0.35">
      <c r="B17" s="74" t="s">
        <v>71</v>
      </c>
      <c r="C17" s="73">
        <f>C15-C16</f>
        <v>-15660921</v>
      </c>
    </row>
    <row r="18" spans="2:6" ht="15" thickBot="1" x14ac:dyDescent="0.35">
      <c r="B18" s="58"/>
      <c r="C18" s="59"/>
    </row>
    <row r="19" spans="2:6" ht="15" thickBot="1" x14ac:dyDescent="0.35">
      <c r="B19" s="75" t="s">
        <v>72</v>
      </c>
      <c r="C19" s="76">
        <f>Table18[[#Totals],[amount]]</f>
        <v>73877</v>
      </c>
    </row>
    <row r="20" spans="2:6" ht="15" thickBot="1" x14ac:dyDescent="0.35">
      <c r="B20" s="71"/>
      <c r="C20" s="72"/>
    </row>
    <row r="21" spans="2:6" ht="15" thickBot="1" x14ac:dyDescent="0.35">
      <c r="B21" s="60" t="s">
        <v>73</v>
      </c>
      <c r="C21" s="61">
        <f>(C13-C17)+C19</f>
        <v>2653933.6759327017</v>
      </c>
      <c r="E21" s="79" t="s">
        <v>74</v>
      </c>
      <c r="F21" s="80">
        <f>C5*0.05</f>
        <v>130196.68379663509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K33" sqref="K3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9639</v>
      </c>
      <c r="E24">
        <f>SUMIFS(Table14[Credit], Table14[Date], Table13[[#This Row],[Date]], Table14[Party], "Transport")</f>
        <v>0</v>
      </c>
    </row>
    <row r="25" spans="2:5" x14ac:dyDescent="0.3">
      <c r="B25" s="1">
        <v>46028</v>
      </c>
      <c r="D25">
        <f>SUMIFS(Table14[Debit], Table14[Date], Table13[[#This Row],[Date]], Table14[Party], "Transport")</f>
        <v>7100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6273</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5350</v>
      </c>
      <c r="E32">
        <f>SUMIFS(Table14[Credit], Table14[Date], Table13[[#This Row],[Date]], Table14[Party], "Transport")</f>
        <v>0</v>
      </c>
    </row>
    <row r="33" spans="2:6" x14ac:dyDescent="0.3">
      <c r="B33" s="1">
        <v>46036</v>
      </c>
      <c r="D33">
        <f>SUMIFS(Table14[Debit], Table14[Date], Table13[[#This Row],[Date]], Table14[Party], "Transport")</f>
        <v>1600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129791</v>
      </c>
      <c r="E38">
        <f>SUBTOTAL(109,Table13[Credit])</f>
        <v>0</v>
      </c>
      <c r="F38">
        <f>Table13[[#Totals],[Debit]]-Table13[[#Totals],[Credit]]</f>
        <v>129791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6"/>
  <sheetViews>
    <sheetView topLeftCell="C144" zoomScale="115" zoomScaleNormal="115" workbookViewId="0">
      <selection activeCell="M158" sqref="M15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255627.28602779811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254973.48207754208</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1.7369209781855233</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2.8356080605362024</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3.6215321596478134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f>4332/2</f>
        <v>2166</v>
      </c>
      <c r="H100" s="120">
        <f>_xlfn.XLOOKUP(Table1[[#This Row],[Shipment Number]], 'pivot '!A:A,'pivot '!G:G, "NF")</f>
        <v>1.5178395094718695</v>
      </c>
      <c r="I100" s="121">
        <f>Table1[[#This Row],[Tiyaar/gaz]]/1.0936</f>
        <v>1980.6144842721289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23767.373811265548</v>
      </c>
      <c r="K100" s="119"/>
      <c r="M100"/>
      <c r="P100"/>
      <c r="Q100"/>
      <c r="R100"/>
    </row>
    <row r="101" spans="1:18" x14ac:dyDescent="0.3">
      <c r="A101" s="122">
        <v>46020</v>
      </c>
      <c r="B101" s="124" t="s">
        <v>193</v>
      </c>
      <c r="C101" s="119" t="s">
        <v>333</v>
      </c>
      <c r="D101" s="119" t="s">
        <v>85</v>
      </c>
      <c r="E101" s="11">
        <v>1984</v>
      </c>
      <c r="F101" s="11">
        <v>28662</v>
      </c>
      <c r="G101" s="11">
        <f>4276+2166</f>
        <v>6442</v>
      </c>
      <c r="H101" s="120">
        <f>_xlfn.XLOOKUP(Table1[[#This Row],[Shipment Number]], 'pivot '!A:A,'pivot '!G:G, "NF")</f>
        <v>1.5178395094718695</v>
      </c>
      <c r="I101" s="121">
        <f>Table1[[#This Row],[Tiyaar/gaz]]/1.0936</f>
        <v>5890.6364301389913</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58906.364301389913</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0.27372001379688982</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f>61388-17127</f>
        <v>44261</v>
      </c>
      <c r="G112" s="11">
        <v>8547</v>
      </c>
      <c r="H112" s="120">
        <f>_xlfn.XLOOKUP(Table1[[#This Row],[Shipment Number]], 'pivot '!A:A,'pivot '!G:G, "NF")</f>
        <v>3.5014370020011683</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s="122">
        <v>46023</v>
      </c>
      <c r="B114" s="124" t="s">
        <v>21</v>
      </c>
      <c r="C114" s="119">
        <v>1309</v>
      </c>
      <c r="D114" s="119" t="s">
        <v>85</v>
      </c>
      <c r="E114" s="11">
        <v>1990</v>
      </c>
      <c r="F114" s="11">
        <v>45681</v>
      </c>
      <c r="G114" s="11">
        <v>14728</v>
      </c>
      <c r="H114" s="120">
        <f>_xlfn.XLOOKUP(Table1[[#This Row],[Shipment Number]], 'pivot '!A:A,'pivot '!G:G, "NF")</f>
        <v>0.27372001379688982</v>
      </c>
      <c r="I114" s="121">
        <f>Table1[[#This Row],[Tiyaar/gaz]]/1.0936</f>
        <v>13467.446964155086</v>
      </c>
      <c r="J114" s="121"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9"/>
      <c r="O114"/>
      <c r="P114"/>
      <c r="Q114"/>
    </row>
    <row r="115" spans="1:17" x14ac:dyDescent="0.3">
      <c r="A115" s="122">
        <v>46023</v>
      </c>
      <c r="B115" s="124" t="s">
        <v>166</v>
      </c>
      <c r="C115" s="119">
        <v>1310</v>
      </c>
      <c r="D115" s="119" t="s">
        <v>85</v>
      </c>
      <c r="E115" s="11" t="s">
        <v>378</v>
      </c>
      <c r="F115" s="11">
        <f>17127+489</f>
        <v>17616</v>
      </c>
      <c r="G115" s="11">
        <v>18976</v>
      </c>
      <c r="H115" s="120">
        <f>_xlfn.XLOOKUP(Table1[[#This Row],[Shipment Number]], 'pivot '!A:A,'pivot '!G:G, "NF")</f>
        <v>1.4994016877653848</v>
      </c>
      <c r="I115" s="121">
        <f>Table1[[#This Row],[Tiyaar/gaz]]/1.0936</f>
        <v>17351.865398683251</v>
      </c>
      <c r="J115" s="121"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9"/>
      <c r="O115"/>
      <c r="P115"/>
      <c r="Q115"/>
    </row>
    <row r="116" spans="1:17" x14ac:dyDescent="0.3">
      <c r="A116" s="122">
        <v>46024</v>
      </c>
      <c r="B116" s="124" t="s">
        <v>21</v>
      </c>
      <c r="C116" s="119">
        <v>1311</v>
      </c>
      <c r="D116" s="119" t="s">
        <v>85</v>
      </c>
      <c r="E116" s="11">
        <v>1989</v>
      </c>
      <c r="F116" s="11">
        <f>61388-17127</f>
        <v>44261</v>
      </c>
      <c r="G116" s="11">
        <v>37510</v>
      </c>
      <c r="H116" s="120">
        <f>_xlfn.XLOOKUP(Table1[[#This Row],[Shipment Number]], 'pivot '!A:A,'pivot '!G:G, "NF")</f>
        <v>3.5014370020011683</v>
      </c>
      <c r="I116" s="121">
        <f>Table1[[#This Row],[Tiyaar/gaz]]/1.0936</f>
        <v>34299.561082662767</v>
      </c>
      <c r="J116" s="121"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9"/>
      <c r="O116"/>
      <c r="P116"/>
      <c r="Q116"/>
    </row>
    <row r="117" spans="1:17" x14ac:dyDescent="0.3">
      <c r="A117" s="122">
        <v>46024</v>
      </c>
      <c r="B117" s="124" t="s">
        <v>184</v>
      </c>
      <c r="C117" s="119">
        <v>1312</v>
      </c>
      <c r="D117" s="119" t="s">
        <v>85</v>
      </c>
      <c r="E117" s="11">
        <v>2004</v>
      </c>
      <c r="F117" s="11">
        <v>12579</v>
      </c>
      <c r="G117" s="11">
        <v>13390</v>
      </c>
      <c r="H117" s="120">
        <f>_xlfn.XLOOKUP(Table1[[#This Row],[Shipment Number]], 'pivot '!A:A,'pivot '!G:G, "NF")</f>
        <v>2.663447916265028</v>
      </c>
      <c r="I117" s="121">
        <f>Table1[[#This Row],[Tiyaar/gaz]]/1.0936</f>
        <v>12243.964886613023</v>
      </c>
      <c r="J117" s="121"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9"/>
      <c r="O117"/>
      <c r="P117"/>
      <c r="Q117"/>
    </row>
    <row r="118" spans="1:17" x14ac:dyDescent="0.3">
      <c r="A118" s="122">
        <v>46025</v>
      </c>
      <c r="B118" s="124" t="s">
        <v>21</v>
      </c>
      <c r="C118" s="119">
        <v>1313</v>
      </c>
      <c r="D118" s="119" t="s">
        <v>86</v>
      </c>
      <c r="E118" s="11">
        <v>2005</v>
      </c>
      <c r="F118" s="11">
        <v>11805</v>
      </c>
      <c r="G118" s="11">
        <v>12520</v>
      </c>
      <c r="H118" s="120">
        <f>_xlfn.XLOOKUP(Table1[[#This Row],[Shipment Number]], 'pivot '!A:A,'pivot '!G:G, "NF")</f>
        <v>3.0205233979253734</v>
      </c>
      <c r="I118" s="121">
        <f>Table1[[#This Row],[Tiyaar/gaz]]/1.0936</f>
        <v>11448.427212874909</v>
      </c>
      <c r="J118" s="121"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148829.55376737381</v>
      </c>
      <c r="K118" s="119"/>
      <c r="O118"/>
      <c r="P118"/>
      <c r="Q118"/>
    </row>
    <row r="119" spans="1:17" x14ac:dyDescent="0.3">
      <c r="A119" s="122">
        <v>46025</v>
      </c>
      <c r="B119" s="124" t="s">
        <v>21</v>
      </c>
      <c r="C119" s="119">
        <v>1314</v>
      </c>
      <c r="D119" s="119" t="s">
        <v>86</v>
      </c>
      <c r="E119" s="11">
        <v>2006</v>
      </c>
      <c r="F119" s="11">
        <v>24208</v>
      </c>
      <c r="G119" s="11">
        <v>12918</v>
      </c>
      <c r="H119" s="120">
        <f>_xlfn.XLOOKUP(Table1[[#This Row],[Shipment Number]], 'pivot '!A:A,'pivot '!G:G, "NF")</f>
        <v>40.854885554165762</v>
      </c>
      <c r="I119" s="121">
        <f>Table1[[#This Row],[Tiyaar/gaz]]/1.0936</f>
        <v>11812.362838332116</v>
      </c>
      <c r="J119" s="121"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153560.71689831751</v>
      </c>
      <c r="K119" s="119"/>
      <c r="O119"/>
      <c r="P119"/>
      <c r="Q119"/>
    </row>
    <row r="120" spans="1:17" x14ac:dyDescent="0.3">
      <c r="A120" s="122">
        <v>46025</v>
      </c>
      <c r="B120" s="124" t="s">
        <v>21</v>
      </c>
      <c r="C120" s="119">
        <v>1315</v>
      </c>
      <c r="D120" s="119" t="s">
        <v>86</v>
      </c>
      <c r="E120" s="11">
        <v>2003</v>
      </c>
      <c r="F120" s="11">
        <v>12005</v>
      </c>
      <c r="G120" s="11">
        <v>9524</v>
      </c>
      <c r="H120" s="120">
        <f>_xlfn.XLOOKUP(Table1[[#This Row],[Shipment Number]], 'pivot '!A:A,'pivot '!G:G, "NF")</f>
        <v>-1.2821711996982401</v>
      </c>
      <c r="I120" s="121">
        <f>Table1[[#This Row],[Tiyaar/gaz]]/1.0936</f>
        <v>8708.8514996342365</v>
      </c>
      <c r="J120" s="121"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113215.06949524507</v>
      </c>
      <c r="K120" s="119"/>
      <c r="P120"/>
      <c r="Q120"/>
    </row>
    <row r="121" spans="1:17" x14ac:dyDescent="0.3">
      <c r="A121" s="122">
        <v>46025</v>
      </c>
      <c r="B121" s="124" t="s">
        <v>21</v>
      </c>
      <c r="C121" s="119">
        <v>1316</v>
      </c>
      <c r="D121" s="119" t="s">
        <v>86</v>
      </c>
      <c r="E121" s="11">
        <v>2008</v>
      </c>
      <c r="F121" s="11"/>
      <c r="G121" s="11">
        <v>6008</v>
      </c>
      <c r="H121" s="120">
        <f>_xlfn.XLOOKUP(Table1[[#This Row],[Shipment Number]], 'pivot '!A:A,'pivot '!G:G, "NF")</f>
        <v>1.3065122083183383</v>
      </c>
      <c r="I121" s="121">
        <f>Table1[[#This Row],[Tiyaar/gaz]]/1.0936</f>
        <v>5493.7820043891743</v>
      </c>
      <c r="J121" s="121"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71419.166057059265</v>
      </c>
      <c r="K121" s="119"/>
      <c r="P121"/>
      <c r="Q121"/>
    </row>
    <row r="122" spans="1:17" x14ac:dyDescent="0.3">
      <c r="A122" s="122">
        <v>46025</v>
      </c>
      <c r="B122" s="124" t="s">
        <v>21</v>
      </c>
      <c r="C122" s="119">
        <v>1317</v>
      </c>
      <c r="D122" s="119" t="s">
        <v>85</v>
      </c>
      <c r="E122" s="11">
        <v>2009</v>
      </c>
      <c r="F122" s="11">
        <v>12335</v>
      </c>
      <c r="G122" s="11">
        <v>13230</v>
      </c>
      <c r="H122" s="120">
        <f>_xlfn.XLOOKUP(Table1[[#This Row],[Shipment Number]], 'pivot '!A:A,'pivot '!G:G, "NF")</f>
        <v>1.9241255976104696</v>
      </c>
      <c r="I122" s="121">
        <f>Table1[[#This Row],[Tiyaar/gaz]]/1.0936</f>
        <v>12097.659107534748</v>
      </c>
      <c r="J122" s="121"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120976.59107534747</v>
      </c>
      <c r="K122" s="119"/>
      <c r="P122"/>
      <c r="Q122"/>
    </row>
    <row r="123" spans="1:17" x14ac:dyDescent="0.3">
      <c r="A123" s="122">
        <v>46025</v>
      </c>
      <c r="B123" s="124" t="s">
        <v>21</v>
      </c>
      <c r="C123" s="119">
        <v>1318</v>
      </c>
      <c r="D123" s="119" t="s">
        <v>85</v>
      </c>
      <c r="E123" s="11">
        <v>2007</v>
      </c>
      <c r="F123" s="11">
        <v>51307</v>
      </c>
      <c r="G123" s="11">
        <v>13287</v>
      </c>
      <c r="H123" s="120">
        <f>_xlfn.XLOOKUP(Table1[[#This Row],[Shipment Number]], 'pivot '!A:A,'pivot '!G:G, "NF")</f>
        <v>32.235875074135606</v>
      </c>
      <c r="I123" s="121">
        <f>Table1[[#This Row],[Tiyaar/gaz]]/1.0936</f>
        <v>12149.780541331384</v>
      </c>
      <c r="J123" s="121"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121497.80541331384</v>
      </c>
      <c r="K123" s="119"/>
      <c r="P123"/>
      <c r="Q123"/>
    </row>
    <row r="124" spans="1:17" x14ac:dyDescent="0.3">
      <c r="A124" s="122">
        <v>46025</v>
      </c>
      <c r="B124" s="124" t="s">
        <v>21</v>
      </c>
      <c r="C124" s="119">
        <v>1319</v>
      </c>
      <c r="D124" s="119" t="s">
        <v>85</v>
      </c>
      <c r="E124" s="11">
        <v>1989</v>
      </c>
      <c r="F124" s="11">
        <f>61388-17127</f>
        <v>44261</v>
      </c>
      <c r="G124" s="11">
        <v>652</v>
      </c>
      <c r="H124" s="120">
        <f>_xlfn.XLOOKUP(Table1[[#This Row],[Shipment Number]], 'pivot '!A:A,'pivot '!G:G, "NF")</f>
        <v>3.5014370020011683</v>
      </c>
      <c r="I124" s="121">
        <f>Table1[[#This Row],[Tiyaar/gaz]]/1.0936</f>
        <v>596.19604974396498</v>
      </c>
      <c r="J124" s="121"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5961.9604974396498</v>
      </c>
      <c r="K124" s="119"/>
      <c r="P124"/>
      <c r="Q124"/>
    </row>
    <row r="125" spans="1:17" x14ac:dyDescent="0.3">
      <c r="A125" s="122">
        <v>46025</v>
      </c>
      <c r="B125" s="124" t="s">
        <v>21</v>
      </c>
      <c r="C125" s="119">
        <v>1320</v>
      </c>
      <c r="D125" s="119" t="s">
        <v>85</v>
      </c>
      <c r="E125" s="11">
        <v>2007</v>
      </c>
      <c r="F125" s="11">
        <v>51307</v>
      </c>
      <c r="G125" s="11">
        <v>24735</v>
      </c>
      <c r="H125" s="120">
        <f>_xlfn.XLOOKUP(Table1[[#This Row],[Shipment Number]], 'pivot '!A:A,'pivot '!G:G, "NF")</f>
        <v>32.235875074135606</v>
      </c>
      <c r="I125" s="121">
        <f>Table1[[#This Row],[Tiyaar/gaz]]/1.0936</f>
        <v>22617.95903438186</v>
      </c>
      <c r="J125" s="121"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5" s="119"/>
      <c r="P125"/>
      <c r="Q125"/>
    </row>
    <row r="126" spans="1:17" x14ac:dyDescent="0.3">
      <c r="A126" s="128">
        <v>46025</v>
      </c>
      <c r="B126" s="129" t="s">
        <v>21</v>
      </c>
      <c r="C126" s="130">
        <v>1321</v>
      </c>
      <c r="D126" s="130" t="s">
        <v>85</v>
      </c>
      <c r="E126" s="131">
        <v>1976</v>
      </c>
      <c r="F126" s="131">
        <v>22604</v>
      </c>
      <c r="G126" s="131">
        <v>24276</v>
      </c>
      <c r="H126" s="132">
        <f>_xlfn.XLOOKUP(Table1[[#This Row],[Shipment Number]], 'pivot '!A:A,'pivot '!G:G, "NF")</f>
        <v>1.7950613579407957</v>
      </c>
      <c r="I126" s="133">
        <f>Table1[[#This Row],[Tiyaar/gaz]]/1.0936</f>
        <v>22198.244330651061</v>
      </c>
      <c r="J126" s="133"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221982.44330651063</v>
      </c>
      <c r="K126" s="130"/>
      <c r="P126"/>
      <c r="Q126"/>
    </row>
    <row r="127" spans="1:17" x14ac:dyDescent="0.3">
      <c r="A127" s="122">
        <v>46027</v>
      </c>
      <c r="B127" s="124" t="s">
        <v>9</v>
      </c>
      <c r="C127" s="119">
        <v>1322</v>
      </c>
      <c r="D127" s="119" t="s">
        <v>85</v>
      </c>
      <c r="E127" s="11">
        <v>1998</v>
      </c>
      <c r="F127" s="11">
        <v>51009</v>
      </c>
      <c r="G127" s="11">
        <v>46821</v>
      </c>
      <c r="H127" s="120">
        <f>_xlfn.XLOOKUP(Table1[[#This Row],[Shipment Number]], 'pivot '!A:A,'pivot '!G:G, "NF")</f>
        <v>1.4116059642816055</v>
      </c>
      <c r="I127" s="121">
        <f>Table1[[#This Row],[Tiyaar/gaz]]/1.0936</f>
        <v>42813.643013899054</v>
      </c>
      <c r="J127" s="121"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428136.43013899052</v>
      </c>
      <c r="K127" s="119"/>
      <c r="P127"/>
      <c r="Q127"/>
    </row>
    <row r="128" spans="1:17" x14ac:dyDescent="0.3">
      <c r="A128" s="122">
        <v>46027</v>
      </c>
      <c r="B128" s="124" t="s">
        <v>9</v>
      </c>
      <c r="C128" s="119">
        <v>1323</v>
      </c>
      <c r="D128" s="119" t="s">
        <v>85</v>
      </c>
      <c r="E128" s="11">
        <v>1998</v>
      </c>
      <c r="F128" s="11">
        <v>51009</v>
      </c>
      <c r="G128" s="11">
        <v>8175</v>
      </c>
      <c r="H128" s="120">
        <f>_xlfn.XLOOKUP(Table1[[#This Row],[Shipment Number]], 'pivot '!A:A,'pivot '!G:G, "NF")</f>
        <v>1.4116059642816055</v>
      </c>
      <c r="I128" s="121">
        <f>Table1[[#This Row],[Tiyaar/gaz]]/1.0936</f>
        <v>7475.3108997805421</v>
      </c>
      <c r="J128" s="121"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74753.108997805422</v>
      </c>
      <c r="K128" s="119"/>
      <c r="P128"/>
      <c r="Q128"/>
    </row>
    <row r="129" spans="1:17" x14ac:dyDescent="0.3">
      <c r="A129" s="122">
        <v>46027</v>
      </c>
      <c r="B129" s="124" t="s">
        <v>27</v>
      </c>
      <c r="C129" s="119">
        <v>1324</v>
      </c>
      <c r="D129" s="119" t="s">
        <v>85</v>
      </c>
      <c r="E129" s="11">
        <v>1991</v>
      </c>
      <c r="F129" s="11">
        <v>25470</v>
      </c>
      <c r="G129" s="11">
        <v>13785</v>
      </c>
      <c r="H129" s="120">
        <f>_xlfn.XLOOKUP(Table1[[#This Row],[Shipment Number]], 'pivot '!A:A,'pivot '!G:G, "NF")</f>
        <v>0.64619821819435685</v>
      </c>
      <c r="I129" s="121">
        <f>Table1[[#This Row],[Tiyaar/gaz]]/1.0936</f>
        <v>12605.15727871251</v>
      </c>
      <c r="J129" s="121"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126051.5727871251</v>
      </c>
      <c r="K129" s="119"/>
      <c r="P129"/>
      <c r="Q129"/>
    </row>
    <row r="130" spans="1:17" x14ac:dyDescent="0.3">
      <c r="A130" s="122">
        <v>46028</v>
      </c>
      <c r="B130" s="124" t="s">
        <v>21</v>
      </c>
      <c r="C130" s="119">
        <v>1325</v>
      </c>
      <c r="D130" s="119" t="s">
        <v>86</v>
      </c>
      <c r="E130" s="11">
        <v>2008</v>
      </c>
      <c r="F130" s="11"/>
      <c r="G130" s="11">
        <v>39807</v>
      </c>
      <c r="H130" s="120">
        <f>_xlfn.XLOOKUP(Table1[[#This Row],[Shipment Number]], 'pivot '!A:A,'pivot '!G:G, "NF")</f>
        <v>1.3065122083183383</v>
      </c>
      <c r="I130" s="121">
        <f>Table1[[#This Row],[Tiyaar/gaz]]/1.0936</f>
        <v>36399.963423555237</v>
      </c>
      <c r="J130" s="121"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473199.52450621809</v>
      </c>
      <c r="K130" s="119"/>
      <c r="P130"/>
      <c r="Q130"/>
    </row>
    <row r="131" spans="1:17" x14ac:dyDescent="0.3">
      <c r="A131" s="122">
        <v>46028</v>
      </c>
      <c r="B131" s="124" t="s">
        <v>21</v>
      </c>
      <c r="C131" s="119">
        <v>1326</v>
      </c>
      <c r="D131" s="119" t="s">
        <v>86</v>
      </c>
      <c r="E131" s="11">
        <v>2003</v>
      </c>
      <c r="F131" s="11">
        <v>12005</v>
      </c>
      <c r="G131" s="11">
        <v>3773</v>
      </c>
      <c r="H131" s="120">
        <f>_xlfn.XLOOKUP(Table1[[#This Row],[Shipment Number]], 'pivot '!A:A,'pivot '!G:G, "NF")</f>
        <v>-1.2821711996982401</v>
      </c>
      <c r="I131" s="121">
        <f>Table1[[#This Row],[Tiyaar/gaz]]/1.0936</f>
        <v>3450.0731528895394</v>
      </c>
      <c r="J131" s="121"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44850.950987564014</v>
      </c>
      <c r="K131" s="119"/>
      <c r="O131"/>
      <c r="P131"/>
      <c r="Q131"/>
    </row>
    <row r="132" spans="1:17" x14ac:dyDescent="0.3">
      <c r="A132" s="122">
        <v>46028</v>
      </c>
      <c r="B132" s="124" t="s">
        <v>27</v>
      </c>
      <c r="C132" s="119">
        <v>1327</v>
      </c>
      <c r="D132" s="119" t="s">
        <v>85</v>
      </c>
      <c r="E132" s="11">
        <v>1991</v>
      </c>
      <c r="F132" s="11">
        <v>25470</v>
      </c>
      <c r="G132" s="11">
        <v>6942</v>
      </c>
      <c r="H132" s="120">
        <f>_xlfn.XLOOKUP(Table1[[#This Row],[Shipment Number]], 'pivot '!A:A,'pivot '!G:G, "NF")</f>
        <v>0.64619821819435685</v>
      </c>
      <c r="I132" s="121">
        <f>Table1[[#This Row],[Tiyaar/gaz]]/1.0936</f>
        <v>6347.8419897585964</v>
      </c>
      <c r="J132" s="121"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63478.419897585962</v>
      </c>
      <c r="K132" s="119"/>
      <c r="M132"/>
      <c r="N132"/>
    </row>
    <row r="133" spans="1:17" x14ac:dyDescent="0.3">
      <c r="A133" s="122">
        <v>46028</v>
      </c>
      <c r="B133" s="124" t="s">
        <v>166</v>
      </c>
      <c r="C133" s="119">
        <v>1328</v>
      </c>
      <c r="D133" s="119" t="s">
        <v>86</v>
      </c>
      <c r="E133" s="11">
        <v>1999</v>
      </c>
      <c r="F133" s="11">
        <v>25064</v>
      </c>
      <c r="G133" s="11">
        <v>26532</v>
      </c>
      <c r="H133" s="120">
        <f>_xlfn.XLOOKUP(Table1[[#This Row],[Shipment Number]], 'pivot '!A:A,'pivot '!G:G, "NF")</f>
        <v>3.2031766052716364</v>
      </c>
      <c r="I133" s="121">
        <f>Table1[[#This Row],[Tiyaar/gaz]]/1.0936</f>
        <v>24261.155815654722</v>
      </c>
      <c r="J133" s="121"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315395.02560351137</v>
      </c>
      <c r="K133" s="119"/>
    </row>
    <row r="134" spans="1:17" x14ac:dyDescent="0.3">
      <c r="A134" s="122">
        <v>46028</v>
      </c>
      <c r="B134" s="124" t="s">
        <v>27</v>
      </c>
      <c r="C134" s="119">
        <v>1329</v>
      </c>
      <c r="D134" s="119" t="s">
        <v>85</v>
      </c>
      <c r="E134" s="11">
        <v>1991</v>
      </c>
      <c r="F134" s="11">
        <v>25470</v>
      </c>
      <c r="G134" s="11">
        <v>6947</v>
      </c>
      <c r="H134" s="120">
        <f>_xlfn.XLOOKUP(Table1[[#This Row],[Shipment Number]], 'pivot '!A:A,'pivot '!G:G, "NF")</f>
        <v>0.64619821819435685</v>
      </c>
      <c r="I134" s="121">
        <f>Table1[[#This Row],[Tiyaar/gaz]]/1.0936</f>
        <v>6352.4140453547925</v>
      </c>
      <c r="J134" s="121"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63524.140453547923</v>
      </c>
      <c r="K134" s="119"/>
    </row>
    <row r="135" spans="1:17" x14ac:dyDescent="0.3">
      <c r="A135" s="122">
        <v>46031</v>
      </c>
      <c r="B135" s="124" t="s">
        <v>21</v>
      </c>
      <c r="C135" s="119">
        <v>1330</v>
      </c>
      <c r="D135" s="119" t="s">
        <v>86</v>
      </c>
      <c r="E135" s="11">
        <v>2008</v>
      </c>
      <c r="F135" s="11">
        <v>48429</v>
      </c>
      <c r="G135" s="11">
        <v>6455</v>
      </c>
      <c r="H135" s="120">
        <f>_xlfn.XLOOKUP(Table1[[#This Row],[Shipment Number]], 'pivot '!A:A,'pivot '!G:G, "NF")</f>
        <v>1.3065122083183383</v>
      </c>
      <c r="I135" s="121">
        <f>Table1[[#This Row],[Tiyaar/gaz]]/1.0936</f>
        <v>5902.5237746891007</v>
      </c>
      <c r="J135" s="121"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76732.809070958305</v>
      </c>
      <c r="K135" s="119"/>
    </row>
    <row r="136" spans="1:17" x14ac:dyDescent="0.3">
      <c r="A136" s="122">
        <v>46031</v>
      </c>
      <c r="B136" s="124" t="s">
        <v>21</v>
      </c>
      <c r="C136" s="119">
        <v>1331</v>
      </c>
      <c r="D136" s="119" t="s">
        <v>86</v>
      </c>
      <c r="E136" s="11">
        <v>2006</v>
      </c>
      <c r="F136" s="11"/>
      <c r="G136" s="11">
        <v>2740</v>
      </c>
      <c r="H136" s="120">
        <f>_xlfn.XLOOKUP(Table1[[#This Row],[Shipment Number]], 'pivot '!A:A,'pivot '!G:G, "NF")</f>
        <v>40.854885554165762</v>
      </c>
      <c r="I136" s="121">
        <f>Table1[[#This Row],[Tiyaar/gaz]]/1.0936</f>
        <v>2505.4864667154357</v>
      </c>
      <c r="J136" s="121"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32571.324067300662</v>
      </c>
      <c r="K136" s="119"/>
    </row>
    <row r="137" spans="1:17" x14ac:dyDescent="0.3">
      <c r="A137" s="122">
        <v>46031</v>
      </c>
      <c r="B137" s="124" t="s">
        <v>21</v>
      </c>
      <c r="C137" s="119">
        <v>1332</v>
      </c>
      <c r="D137" s="119" t="s">
        <v>86</v>
      </c>
      <c r="E137" s="11">
        <v>2002</v>
      </c>
      <c r="F137" s="11">
        <v>12052</v>
      </c>
      <c r="G137" s="11">
        <v>12842</v>
      </c>
      <c r="H137" s="120">
        <f>_xlfn.XLOOKUP(Table1[[#This Row],[Shipment Number]], 'pivot '!A:A,'pivot '!G:G, "NF")</f>
        <v>2.5649884395126605</v>
      </c>
      <c r="I137" s="121">
        <f>Table1[[#This Row],[Tiyaar/gaz]]/1.0936</f>
        <v>11742.867593269935</v>
      </c>
      <c r="J137" s="121"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152657.27871250917</v>
      </c>
      <c r="K137" s="119"/>
    </row>
    <row r="138" spans="1:17" x14ac:dyDescent="0.3">
      <c r="A138" s="122">
        <v>46031</v>
      </c>
      <c r="B138" s="124" t="s">
        <v>9</v>
      </c>
      <c r="C138" s="119">
        <v>1333</v>
      </c>
      <c r="D138" s="119" t="s">
        <v>86</v>
      </c>
      <c r="E138" s="11">
        <v>1948</v>
      </c>
      <c r="F138" s="11">
        <v>20882</v>
      </c>
      <c r="G138" s="11">
        <v>19077</v>
      </c>
      <c r="H138" s="120">
        <f>_xlfn.XLOOKUP(Table1[[#This Row],[Shipment Number]], 'pivot '!A:A,'pivot '!G:G, "NF")</f>
        <v>2.8356080605362024</v>
      </c>
      <c r="I138" s="121">
        <f>Table1[[#This Row],[Tiyaar/gaz]]/1.0936</f>
        <v>17444.22092172641</v>
      </c>
      <c r="J138" s="121"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226774.87198244332</v>
      </c>
      <c r="K138" s="119"/>
    </row>
    <row r="139" spans="1:17" x14ac:dyDescent="0.3">
      <c r="A139" s="122">
        <v>46031</v>
      </c>
      <c r="B139" s="124" t="s">
        <v>9</v>
      </c>
      <c r="C139" s="119">
        <v>1334</v>
      </c>
      <c r="D139" s="119" t="s">
        <v>86</v>
      </c>
      <c r="E139" s="11">
        <v>1947</v>
      </c>
      <c r="F139" s="11">
        <v>11427</v>
      </c>
      <c r="G139" s="11">
        <v>5970</v>
      </c>
      <c r="H139" s="120">
        <f>_xlfn.XLOOKUP(Table1[[#This Row],[Shipment Number]], 'pivot '!A:A,'pivot '!G:G, "NF")</f>
        <v>3.6215321596478134</v>
      </c>
      <c r="I139" s="121">
        <f>Table1[[#This Row],[Tiyaar/gaz]]/1.0936</f>
        <v>5459.0343818580841</v>
      </c>
      <c r="J139" s="121"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70967.446964155097</v>
      </c>
      <c r="K139" s="119"/>
    </row>
    <row r="140" spans="1:17" x14ac:dyDescent="0.3">
      <c r="A140" s="122">
        <v>46031</v>
      </c>
      <c r="B140" s="124" t="s">
        <v>9</v>
      </c>
      <c r="C140" s="119">
        <v>1335</v>
      </c>
      <c r="D140" s="119" t="s">
        <v>86</v>
      </c>
      <c r="E140" s="11">
        <v>1954</v>
      </c>
      <c r="F140" s="11">
        <v>10254</v>
      </c>
      <c r="G140" s="11">
        <v>6177</v>
      </c>
      <c r="H140" s="120">
        <f>_xlfn.XLOOKUP(Table1[[#This Row],[Shipment Number]], 'pivot '!A:A,'pivot '!G:G, "NF")</f>
        <v>1.7369209781855233</v>
      </c>
      <c r="I140" s="121">
        <f>Table1[[#This Row],[Tiyaar/gaz]]/1.0936</f>
        <v>5648.3174835406007</v>
      </c>
      <c r="J140" s="121"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73428.127286027811</v>
      </c>
      <c r="K140" s="119"/>
    </row>
    <row r="141" spans="1:17" x14ac:dyDescent="0.3">
      <c r="A141" s="122">
        <v>46031</v>
      </c>
      <c r="B141" s="124" t="s">
        <v>9</v>
      </c>
      <c r="C141" s="119">
        <v>1336</v>
      </c>
      <c r="D141" s="119" t="s">
        <v>86</v>
      </c>
      <c r="E141" s="11">
        <v>1969</v>
      </c>
      <c r="F141" s="11">
        <v>7371</v>
      </c>
      <c r="G141" s="11">
        <v>7883</v>
      </c>
      <c r="H141" s="120">
        <f>_xlfn.XLOOKUP(Table1[[#This Row],[Shipment Number]], 'pivot '!A:A,'pivot '!G:G, "NF")</f>
        <v>2.2072601687329723</v>
      </c>
      <c r="I141" s="121">
        <f>Table1[[#This Row],[Tiyaar/gaz]]/1.0936</f>
        <v>7208.3028529626927</v>
      </c>
      <c r="J141" s="121"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93707.937088514998</v>
      </c>
      <c r="K141" s="119"/>
    </row>
    <row r="142" spans="1:17" x14ac:dyDescent="0.3">
      <c r="A142" s="122">
        <v>46031</v>
      </c>
      <c r="B142" s="124" t="s">
        <v>22</v>
      </c>
      <c r="C142" s="119">
        <v>1337</v>
      </c>
      <c r="D142" s="119" t="s">
        <v>86</v>
      </c>
      <c r="E142" s="11">
        <v>1994</v>
      </c>
      <c r="F142" s="11">
        <v>45911</v>
      </c>
      <c r="G142" s="11">
        <v>2736</v>
      </c>
      <c r="H142" s="120">
        <f>_xlfn.XLOOKUP(Table1[[#This Row],[Shipment Number]], 'pivot '!A:A,'pivot '!G:G, "NF")</f>
        <v>2.924358102156134</v>
      </c>
      <c r="I142" s="121">
        <f>Table1[[#This Row],[Tiyaar/gaz]]/1.0936</f>
        <v>2501.8288222384786</v>
      </c>
      <c r="J142" s="121"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32523.774689100221</v>
      </c>
      <c r="K142" s="119"/>
    </row>
    <row r="143" spans="1:17" x14ac:dyDescent="0.3">
      <c r="A143" s="122">
        <v>46032</v>
      </c>
      <c r="B143" s="124" t="s">
        <v>22</v>
      </c>
      <c r="C143" s="119">
        <v>1338</v>
      </c>
      <c r="D143" s="119" t="s">
        <v>86</v>
      </c>
      <c r="E143" s="11">
        <v>1994</v>
      </c>
      <c r="F143" s="11">
        <v>45911</v>
      </c>
      <c r="G143" s="11">
        <v>28328</v>
      </c>
      <c r="H143" s="120">
        <f>_xlfn.XLOOKUP(Table1[[#This Row],[Shipment Number]], 'pivot '!A:A,'pivot '!G:G, "NF")</f>
        <v>2.924358102156134</v>
      </c>
      <c r="I143" s="121">
        <f>Table1[[#This Row],[Tiyaar/gaz]]/1.0936</f>
        <v>25903.438185808343</v>
      </c>
      <c r="J143" s="121"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336744.69641550846</v>
      </c>
      <c r="K143" s="119"/>
    </row>
    <row r="144" spans="1:17" x14ac:dyDescent="0.3">
      <c r="A144" s="122">
        <v>46032</v>
      </c>
      <c r="B144" s="124" t="s">
        <v>184</v>
      </c>
      <c r="C144" s="119">
        <v>1339</v>
      </c>
      <c r="D144" s="119" t="s">
        <v>212</v>
      </c>
      <c r="E144" s="11">
        <v>2011</v>
      </c>
      <c r="F144" s="11">
        <v>30098</v>
      </c>
      <c r="G144" s="11">
        <v>31138</v>
      </c>
      <c r="H144" s="120">
        <f>_xlfn.XLOOKUP(Table1[[#This Row],[Shipment Number]], 'pivot '!A:A,'pivot '!G:G, "NF")</f>
        <v>5.3992510104640843</v>
      </c>
      <c r="I144" s="121">
        <f>Table1[[#This Row],[Tiyaar/gaz]]/1.0936</f>
        <v>28472.933430870522</v>
      </c>
      <c r="J144" s="121"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284729.33430870523</v>
      </c>
      <c r="K144" s="119"/>
    </row>
    <row r="145" spans="1:11" x14ac:dyDescent="0.3">
      <c r="A145" s="122">
        <v>46032</v>
      </c>
      <c r="B145" s="124" t="s">
        <v>184</v>
      </c>
      <c r="C145" s="119">
        <v>1340</v>
      </c>
      <c r="D145" s="119" t="s">
        <v>212</v>
      </c>
      <c r="E145" s="11">
        <v>2010</v>
      </c>
      <c r="F145" s="11">
        <v>32275</v>
      </c>
      <c r="G145" s="11">
        <v>16568</v>
      </c>
      <c r="H145" s="120">
        <f>_xlfn.XLOOKUP(Table1[[#This Row],[Shipment Number]], 'pivot '!A:A,'pivot '!G:G, "NF")</f>
        <v>17.083947898823482</v>
      </c>
      <c r="I145" s="121">
        <f>Table1[[#This Row],[Tiyaar/gaz]]/1.0936</f>
        <v>15149.963423555231</v>
      </c>
      <c r="J145" s="121"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151499.63423555231</v>
      </c>
      <c r="K145" s="119"/>
    </row>
    <row r="146" spans="1:11" x14ac:dyDescent="0.3">
      <c r="A146" s="122">
        <v>46032</v>
      </c>
      <c r="B146" s="124" t="s">
        <v>22</v>
      </c>
      <c r="C146" s="119">
        <v>1341</v>
      </c>
      <c r="D146" s="119" t="s">
        <v>86</v>
      </c>
      <c r="E146" s="11">
        <v>1994</v>
      </c>
      <c r="F146" s="11">
        <v>45911</v>
      </c>
      <c r="G146" s="11">
        <v>17676</v>
      </c>
      <c r="H146" s="120">
        <f>_xlfn.XLOOKUP(Table1[[#This Row],[Shipment Number]], 'pivot '!A:A,'pivot '!G:G, "NF")</f>
        <v>2.924358102156134</v>
      </c>
      <c r="I146" s="121">
        <f>Table1[[#This Row],[Tiyaar/gaz]]/1.0936</f>
        <v>16163.130943672277</v>
      </c>
      <c r="J146" s="121"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210120.7022677396</v>
      </c>
      <c r="K146" s="119"/>
    </row>
    <row r="147" spans="1:11" x14ac:dyDescent="0.3">
      <c r="A147" s="122">
        <v>46032</v>
      </c>
      <c r="B147" s="124" t="s">
        <v>184</v>
      </c>
      <c r="C147" s="119">
        <v>1342</v>
      </c>
      <c r="D147" s="119" t="s">
        <v>212</v>
      </c>
      <c r="E147" s="11">
        <v>2010</v>
      </c>
      <c r="F147" s="11">
        <v>32275</v>
      </c>
      <c r="G147" s="11">
        <v>12698</v>
      </c>
      <c r="H147" s="120">
        <f>_xlfn.XLOOKUP(Table1[[#This Row],[Shipment Number]], 'pivot '!A:A,'pivot '!G:G, "NF")</f>
        <v>17.083947898823482</v>
      </c>
      <c r="I147" s="121">
        <f>Table1[[#This Row],[Tiyaar/gaz]]/1.0936</f>
        <v>11611.192392099489</v>
      </c>
      <c r="J147" s="121"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116111.92392099489</v>
      </c>
      <c r="K147" s="119"/>
    </row>
    <row r="148" spans="1:11" x14ac:dyDescent="0.3">
      <c r="A148" s="122">
        <v>46034</v>
      </c>
      <c r="B148" s="124" t="s">
        <v>21</v>
      </c>
      <c r="C148" s="119">
        <v>1343</v>
      </c>
      <c r="D148" s="119" t="s">
        <v>85</v>
      </c>
      <c r="E148" s="11">
        <v>2022</v>
      </c>
      <c r="F148" s="11">
        <v>44988</v>
      </c>
      <c r="G148" s="11">
        <v>19339</v>
      </c>
      <c r="H148" s="120">
        <f>_xlfn.XLOOKUP(Table1[[#This Row],[Shipment Number]], 'pivot '!A:A,'pivot '!G:G, "NF")</f>
        <v>4.1502508447509854</v>
      </c>
      <c r="I148" s="121">
        <f>Table1[[#This Row],[Tiyaar/gaz]]/1.0936</f>
        <v>17683.796634967082</v>
      </c>
      <c r="J148" s="121"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176837.96634967084</v>
      </c>
      <c r="K148" s="119"/>
    </row>
    <row r="149" spans="1:11" x14ac:dyDescent="0.3">
      <c r="A149" s="122">
        <v>46034</v>
      </c>
      <c r="B149" s="124" t="s">
        <v>21</v>
      </c>
      <c r="C149" s="119" t="s">
        <v>478</v>
      </c>
      <c r="D149" s="119" t="s">
        <v>85</v>
      </c>
      <c r="E149" s="11">
        <v>2027</v>
      </c>
      <c r="F149" s="11">
        <v>11450</v>
      </c>
      <c r="G149" s="11">
        <v>300</v>
      </c>
      <c r="H149" s="120">
        <f>_xlfn.XLOOKUP(Table1[[#This Row],[Shipment Number]], 'pivot '!A:A,'pivot '!G:G, "NF")</f>
        <v>1.3394326019109144</v>
      </c>
      <c r="I149" s="121">
        <f>Table1[[#This Row],[Tiyaar/gaz]]/1.0936</f>
        <v>274.32333577176303</v>
      </c>
      <c r="J149" s="121"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2743.2333577176305</v>
      </c>
      <c r="K149" s="119"/>
    </row>
    <row r="150" spans="1:11" x14ac:dyDescent="0.3">
      <c r="A150" s="122">
        <v>46034</v>
      </c>
      <c r="B150" s="124" t="s">
        <v>21</v>
      </c>
      <c r="C150" s="119" t="s">
        <v>479</v>
      </c>
      <c r="D150" s="119" t="s">
        <v>85</v>
      </c>
      <c r="E150" s="11">
        <v>2028</v>
      </c>
      <c r="F150" s="11">
        <v>6629</v>
      </c>
      <c r="G150" s="11">
        <v>930</v>
      </c>
      <c r="H150" s="120">
        <f>_xlfn.XLOOKUP(Table1[[#This Row],[Shipment Number]], 'pivot '!A:A,'pivot '!G:G, "NF")</f>
        <v>5.1103622077760491</v>
      </c>
      <c r="I150" s="121">
        <f>Table1[[#This Row],[Tiyaar/gaz]]/1.0936</f>
        <v>850.4023408924653</v>
      </c>
      <c r="J150" s="121"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8504.0234089246533</v>
      </c>
      <c r="K150" s="119"/>
    </row>
    <row r="151" spans="1:11" x14ac:dyDescent="0.3">
      <c r="A151" s="122">
        <v>46034</v>
      </c>
      <c r="B151" s="124" t="s">
        <v>21</v>
      </c>
      <c r="C151" s="119" t="s">
        <v>480</v>
      </c>
      <c r="D151" s="119" t="s">
        <v>85</v>
      </c>
      <c r="E151" s="11">
        <v>2029</v>
      </c>
      <c r="F151" s="11">
        <v>12001</v>
      </c>
      <c r="G151" s="11">
        <v>928</v>
      </c>
      <c r="H151" s="120">
        <f>_xlfn.XLOOKUP(Table1[[#This Row],[Shipment Number]], 'pivot '!A:A,'pivot '!G:G, "NF")</f>
        <v>1.7775707181680218</v>
      </c>
      <c r="I151" s="121">
        <f>Table1[[#This Row],[Tiyaar/gaz]]/1.0936</f>
        <v>848.57351865398687</v>
      </c>
      <c r="J151" s="121"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8485.7351865398687</v>
      </c>
      <c r="K151" s="119"/>
    </row>
    <row r="152" spans="1:11" x14ac:dyDescent="0.3">
      <c r="A152" s="122">
        <v>46034</v>
      </c>
      <c r="B152" s="124" t="s">
        <v>437</v>
      </c>
      <c r="C152" s="119">
        <v>1345</v>
      </c>
      <c r="D152" s="119" t="s">
        <v>85</v>
      </c>
      <c r="E152" s="11" t="s">
        <v>481</v>
      </c>
      <c r="F152" s="11">
        <v>51307</v>
      </c>
      <c r="G152" s="11">
        <v>29817</v>
      </c>
      <c r="H152" s="120">
        <f>_xlfn.XLOOKUP(Table1[[#This Row],[Shipment Number]], 'pivot '!A:A,'pivot '!G:G, "NF")</f>
        <v>1.7543162764117</v>
      </c>
      <c r="I152" s="121">
        <f>Table1[[#This Row],[Tiyaar/gaz]]/1.0936</f>
        <v>27264.996342355524</v>
      </c>
      <c r="J152" s="121"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152" s="119"/>
    </row>
    <row r="153" spans="1:11" x14ac:dyDescent="0.3">
      <c r="A153" s="122">
        <v>46034</v>
      </c>
      <c r="B153" s="124" t="s">
        <v>21</v>
      </c>
      <c r="C153" s="119">
        <v>1346</v>
      </c>
      <c r="D153" s="119" t="s">
        <v>85</v>
      </c>
      <c r="E153" s="11">
        <v>2027</v>
      </c>
      <c r="F153" s="11">
        <v>11450</v>
      </c>
      <c r="G153" s="11">
        <f>12354-300</f>
        <v>12054</v>
      </c>
      <c r="H153" s="120">
        <f>_xlfn.XLOOKUP(Table1[[#This Row],[Shipment Number]], 'pivot '!A:A,'pivot '!G:G, "NF")</f>
        <v>1.3394326019109144</v>
      </c>
      <c r="I153" s="121">
        <f>Table1[[#This Row],[Tiyaar/gaz]]/1.0936</f>
        <v>11022.311631309438</v>
      </c>
      <c r="J153" s="121"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110223.11631309438</v>
      </c>
      <c r="K153" s="119"/>
    </row>
    <row r="154" spans="1:11" x14ac:dyDescent="0.3">
      <c r="A154" s="122">
        <v>46034</v>
      </c>
      <c r="B154" s="124" t="s">
        <v>21</v>
      </c>
      <c r="C154" s="119">
        <v>1347</v>
      </c>
      <c r="D154" s="119" t="s">
        <v>85</v>
      </c>
      <c r="E154" s="11">
        <v>2022</v>
      </c>
      <c r="F154" s="11">
        <v>44988</v>
      </c>
      <c r="G154" s="11">
        <v>20583</v>
      </c>
      <c r="H154" s="120">
        <f>_xlfn.XLOOKUP(Table1[[#This Row],[Shipment Number]], 'pivot '!A:A,'pivot '!G:G, "NF")</f>
        <v>4.1502508447509854</v>
      </c>
      <c r="I154" s="121">
        <f>Table1[[#This Row],[Tiyaar/gaz]]/1.0936</f>
        <v>18821.324067300658</v>
      </c>
      <c r="J154" s="121"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188213.24067300657</v>
      </c>
      <c r="K154" s="119"/>
    </row>
    <row r="155" spans="1:11" x14ac:dyDescent="0.3">
      <c r="A155" s="122">
        <v>46034</v>
      </c>
      <c r="B155" s="124" t="s">
        <v>21</v>
      </c>
      <c r="C155" s="119">
        <v>1348</v>
      </c>
      <c r="D155" s="119" t="s">
        <v>85</v>
      </c>
      <c r="E155" s="11">
        <v>2017</v>
      </c>
      <c r="F155" s="11">
        <v>28441</v>
      </c>
      <c r="G155" s="11">
        <v>30546</v>
      </c>
      <c r="H155" s="120">
        <f>_xlfn.XLOOKUP(Table1[[#This Row],[Shipment Number]], 'pivot '!A:A,'pivot '!G:G, "NF")</f>
        <v>1.7910690612815756</v>
      </c>
      <c r="I155" s="121">
        <f>Table1[[#This Row],[Tiyaar/gaz]]/1.0936</f>
        <v>27931.602048280911</v>
      </c>
      <c r="J155" s="121"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279316.02048280911</v>
      </c>
      <c r="K155" s="119"/>
    </row>
    <row r="156" spans="1:11" x14ac:dyDescent="0.3">
      <c r="A156" s="122">
        <v>46034</v>
      </c>
      <c r="B156" s="124" t="s">
        <v>21</v>
      </c>
      <c r="C156" s="119">
        <v>1349</v>
      </c>
      <c r="D156" s="119" t="s">
        <v>85</v>
      </c>
      <c r="E156" s="11">
        <v>2029</v>
      </c>
      <c r="F156" s="11">
        <v>12001</v>
      </c>
      <c r="G156" s="11">
        <v>11963</v>
      </c>
      <c r="H156" s="120">
        <f>_xlfn.XLOOKUP(Table1[[#This Row],[Shipment Number]], 'pivot '!A:A,'pivot '!G:G, "NF")</f>
        <v>1.7775707181680218</v>
      </c>
      <c r="I156" s="121">
        <f>Table1[[#This Row],[Tiyaar/gaz]]/1.0936</f>
        <v>10939.100219458669</v>
      </c>
      <c r="J156" s="121"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109391.00219458669</v>
      </c>
      <c r="K156" s="119"/>
    </row>
    <row r="157" spans="1:11" x14ac:dyDescent="0.3">
      <c r="A157" s="122">
        <v>46034</v>
      </c>
      <c r="B157" s="124" t="s">
        <v>21</v>
      </c>
      <c r="C157" s="119">
        <v>1350</v>
      </c>
      <c r="D157" s="119" t="s">
        <v>85</v>
      </c>
      <c r="E157" s="11">
        <v>2028</v>
      </c>
      <c r="F157" s="11">
        <v>6629</v>
      </c>
      <c r="G157" s="11">
        <v>5949</v>
      </c>
      <c r="H157" s="120">
        <f>_xlfn.XLOOKUP(Table1[[#This Row],[Shipment Number]], 'pivot '!A:A,'pivot '!G:G, "NF")</f>
        <v>5.1103622077760491</v>
      </c>
      <c r="I157" s="121">
        <f>Table1[[#This Row],[Tiyaar/gaz]]/1.0936</f>
        <v>5439.8317483540604</v>
      </c>
      <c r="J157" s="121"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54398.317483540603</v>
      </c>
      <c r="K157" s="119"/>
    </row>
    <row r="158" spans="1:11" x14ac:dyDescent="0.3">
      <c r="A158" s="122">
        <v>46034</v>
      </c>
      <c r="B158" s="124" t="s">
        <v>21</v>
      </c>
      <c r="C158" s="119">
        <v>1351</v>
      </c>
      <c r="D158" s="119" t="s">
        <v>85</v>
      </c>
      <c r="E158" s="11">
        <v>2022</v>
      </c>
      <c r="F158" s="11">
        <v>44988</v>
      </c>
      <c r="G158" s="11">
        <v>7235</v>
      </c>
      <c r="H158" s="120">
        <f>_xlfn.XLOOKUP(Table1[[#This Row],[Shipment Number]], 'pivot '!A:A,'pivot '!G:G, "NF")</f>
        <v>4.1502508447509854</v>
      </c>
      <c r="I158" s="121">
        <f>Table1[[#This Row],[Tiyaar/gaz]]/1.0936</f>
        <v>6615.7644476956848</v>
      </c>
      <c r="J158" s="121"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66157.644476956848</v>
      </c>
      <c r="K158" s="119"/>
    </row>
    <row r="159" spans="1:11" x14ac:dyDescent="0.3">
      <c r="A159" s="122">
        <v>46035</v>
      </c>
      <c r="B159" s="124" t="s">
        <v>437</v>
      </c>
      <c r="C159" s="119">
        <v>1352</v>
      </c>
      <c r="D159" s="119" t="s">
        <v>85</v>
      </c>
      <c r="E159" s="11" t="s">
        <v>481</v>
      </c>
      <c r="F159" s="11">
        <v>51307</v>
      </c>
      <c r="G159" s="11">
        <v>25308</v>
      </c>
      <c r="H159" s="120">
        <f>_xlfn.XLOOKUP(Table1[[#This Row],[Shipment Number]], 'pivot '!A:A,'pivot '!G:G, "NF")</f>
        <v>1.7543162764117</v>
      </c>
      <c r="I159" s="121">
        <f>Table1[[#This Row],[Tiyaar/gaz]]/1.0936</f>
        <v>23141.916605705926</v>
      </c>
      <c r="J159" s="121"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231419.16605705925</v>
      </c>
      <c r="K159" s="119"/>
    </row>
    <row r="160" spans="1:11" x14ac:dyDescent="0.3">
      <c r="A160" s="126">
        <v>46035</v>
      </c>
      <c r="B160" s="124" t="s">
        <v>193</v>
      </c>
      <c r="C160" s="119">
        <v>1353</v>
      </c>
      <c r="D160" s="119" t="s">
        <v>85</v>
      </c>
      <c r="E160" s="11">
        <v>2018</v>
      </c>
      <c r="F160" s="11">
        <v>48184</v>
      </c>
      <c r="G160" s="11">
        <v>23397</v>
      </c>
      <c r="H160" s="120">
        <f>_xlfn.XLOOKUP(Table1[[#This Row],[Shipment Number]], 'pivot '!A:A,'pivot '!G:G, "NF")</f>
        <v>44.107512278280723</v>
      </c>
      <c r="I160" s="121">
        <f>Table1[[#This Row],[Tiyaar/gaz]]/1.0936</f>
        <v>21394.476956839797</v>
      </c>
      <c r="J160" s="121"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213944.76956839795</v>
      </c>
      <c r="K160" s="119"/>
    </row>
    <row r="161" spans="1:12" x14ac:dyDescent="0.3">
      <c r="A161" s="122">
        <v>46036</v>
      </c>
      <c r="B161" s="124" t="s">
        <v>35</v>
      </c>
      <c r="C161" s="119">
        <v>1354</v>
      </c>
      <c r="D161" s="119" t="s">
        <v>86</v>
      </c>
      <c r="E161" s="11">
        <v>2030</v>
      </c>
      <c r="F161" s="11">
        <v>24735</v>
      </c>
      <c r="G161" s="11">
        <v>26408</v>
      </c>
      <c r="H161" s="120">
        <f>_xlfn.XLOOKUP(Table1[[#This Row],[Shipment Number]], 'pivot '!A:A,'pivot '!G:G, "NF")</f>
        <v>2.3740900065936614</v>
      </c>
      <c r="I161" s="121">
        <f>Table1[[#This Row],[Tiyaar/gaz]]/1.0936</f>
        <v>24147.768836869058</v>
      </c>
      <c r="J161" s="121"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313920.99487929774</v>
      </c>
      <c r="K161" s="119"/>
    </row>
    <row r="162" spans="1:12" x14ac:dyDescent="0.3">
      <c r="A162" s="122">
        <v>46036</v>
      </c>
      <c r="B162" s="124" t="s">
        <v>35</v>
      </c>
      <c r="C162" s="119">
        <v>1355</v>
      </c>
      <c r="D162" s="119" t="s">
        <v>86</v>
      </c>
      <c r="E162" s="11">
        <v>2037</v>
      </c>
      <c r="F162" s="11">
        <v>14961</v>
      </c>
      <c r="G162" s="11">
        <v>14290</v>
      </c>
      <c r="H162" s="120">
        <f>_xlfn.XLOOKUP(Table1[[#This Row],[Shipment Number]], 'pivot '!A:A,'pivot '!G:G, "NF")</f>
        <v>12.6600167506964</v>
      </c>
      <c r="I162" s="121">
        <f>Table1[[#This Row],[Tiyaar/gaz]]/1.0936</f>
        <v>13066.934893928312</v>
      </c>
      <c r="J162" s="121"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169870.15362106805</v>
      </c>
      <c r="K162" s="119"/>
    </row>
    <row r="163" spans="1:12" x14ac:dyDescent="0.3">
      <c r="A163" s="122">
        <v>46036</v>
      </c>
      <c r="B163" s="124" t="s">
        <v>193</v>
      </c>
      <c r="C163" s="119">
        <v>1356</v>
      </c>
      <c r="D163" s="119" t="s">
        <v>85</v>
      </c>
      <c r="E163" s="11">
        <v>2018</v>
      </c>
      <c r="F163" s="11">
        <v>23397</v>
      </c>
      <c r="G163" s="11">
        <v>6055</v>
      </c>
      <c r="H163" s="120">
        <f>_xlfn.XLOOKUP(Table1[[#This Row],[Shipment Number]], 'pivot '!A:A,'pivot '!G:G, "NF")</f>
        <v>44.107512278280723</v>
      </c>
      <c r="I163" s="121">
        <f>Table1[[#This Row],[Tiyaar/gaz]]/1.0936</f>
        <v>5536.7593269934168</v>
      </c>
      <c r="J163" s="121"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55367.593269934165</v>
      </c>
      <c r="K163" s="119"/>
      <c r="L163"/>
    </row>
    <row r="164" spans="1:12" x14ac:dyDescent="0.3">
      <c r="A164" s="122">
        <v>46036</v>
      </c>
      <c r="B164" s="124"/>
      <c r="C164" s="119">
        <v>1357</v>
      </c>
      <c r="D164" s="119"/>
      <c r="E164" s="11"/>
      <c r="F164" s="11"/>
      <c r="G164" s="11"/>
      <c r="H164" s="120" t="e">
        <f>_xlfn.XLOOKUP(Table1[[#This Row],[Shipment Number]], 'pivot '!A:A,'pivot '!G:G, "NF")</f>
        <v>#DIV/0!</v>
      </c>
      <c r="I164" s="134"/>
      <c r="J164" s="121"/>
      <c r="K164" s="119"/>
    </row>
    <row r="165" spans="1:12" x14ac:dyDescent="0.3">
      <c r="A165" s="122">
        <v>46036</v>
      </c>
      <c r="B165" s="124"/>
      <c r="C165" s="119">
        <v>1358</v>
      </c>
      <c r="D165" s="119"/>
      <c r="E165" s="11"/>
      <c r="F165" s="11"/>
      <c r="G165" s="11"/>
      <c r="H165" s="120" t="e">
        <f>_xlfn.XLOOKUP(Table1[[#This Row],[Shipment Number]], 'pivot '!A:A,'pivot '!G:G, "NF")</f>
        <v>#DIV/0!</v>
      </c>
      <c r="I165" s="134"/>
      <c r="J165" s="121"/>
      <c r="K165" s="119"/>
    </row>
    <row r="166" spans="1:12" x14ac:dyDescent="0.3">
      <c r="A166"/>
      <c r="B166"/>
      <c r="C166"/>
      <c r="D166"/>
      <c r="E166" s="14"/>
      <c r="F166" s="14"/>
      <c r="G166" s="14"/>
      <c r="H166" s="43"/>
      <c r="I166" s="94" cm="1">
        <f t="array" aca="1" ref="I166" ca="1">SUMPRODUCT( SUBTOTAL(109, OFFSET(Table1[tiyar/meters], ROW(Table1[tiyar/meters])-MIN(ROW(Table1[tiyar/meters])), 0, 1)), --(Table1[Bill Number]&lt;&gt;"November Closing CF") )</f>
        <v>1445233.9817117772</v>
      </c>
      <c r="J166" s="43" cm="1">
        <f t="array" aca="1" ref="J166" ca="1">SUMPRODUCT( SUBTOTAL(109, OFFSET(Table1[billing], ROW(Table1[billing])-MIN(ROW(Table1[billing])), 0, 1)), --(Table1[Bill Number]&lt;&gt;"November Closing CF") )</f>
        <v>15387768.675932705</v>
      </c>
      <c r="K166" s="14">
        <f>SUMIFS(Table1[billing], Table1[Bill Number], "&lt;&gt;November Closing CF")</f>
        <v>15387768.675932705</v>
      </c>
    </row>
  </sheetData>
  <phoneticPr fontId="7" alignment="center"/>
  <conditionalFormatting sqref="H2:H166">
    <cfRule type="cellIs" dxfId="13"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11"/>
  <sheetViews>
    <sheetView tabSelected="1" topLeftCell="A97" zoomScale="145" zoomScaleNormal="90" workbookViewId="0">
      <selection activeCell="B109" sqref="B10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7893640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353845</v>
      </c>
      <c r="O30" s="14">
        <v>296000</v>
      </c>
      <c r="P30" s="14">
        <v>57845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182125</v>
      </c>
      <c r="O31" s="14">
        <v>150000</v>
      </c>
      <c r="P31" s="14">
        <v>32125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27">
        <v>775</v>
      </c>
      <c r="F33" s="11"/>
      <c r="G33" s="11">
        <f t="shared" si="5"/>
        <v>93000</v>
      </c>
      <c r="H33" s="11">
        <f>SUMIFS(Table14[Debit], Table14[Date], Table3[[#This Row],[Date]], Table14[Party], Table3[[#This Row],[Party Name]])</f>
        <v>150000</v>
      </c>
      <c r="I33" s="11">
        <f>(D33*E33)-Table3[[#This Row],[Paid]]</f>
        <v>-57000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960</v>
      </c>
      <c r="N40" s="14">
        <v>770010</v>
      </c>
      <c r="O40" s="14">
        <v>185000</v>
      </c>
      <c r="P40" s="14">
        <v>585010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631</v>
      </c>
      <c r="N41" s="14">
        <v>509890</v>
      </c>
      <c r="O41" s="14">
        <v>185000</v>
      </c>
      <c r="P41" s="14">
        <v>324890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128</v>
      </c>
      <c r="N43" s="14">
        <v>95300</v>
      </c>
      <c r="O43" s="14">
        <v>0</v>
      </c>
      <c r="P43" s="14">
        <v>95300</v>
      </c>
    </row>
    <row r="44" spans="1:16" x14ac:dyDescent="0.3">
      <c r="A44" s="1">
        <v>46018</v>
      </c>
      <c r="B44" t="s">
        <v>169</v>
      </c>
      <c r="C44" t="s">
        <v>334</v>
      </c>
      <c r="D44" s="11"/>
      <c r="E44" s="11"/>
      <c r="F44" s="11"/>
      <c r="G44" s="11">
        <f t="shared" si="5"/>
        <v>0</v>
      </c>
      <c r="H44" s="11">
        <f>SUMIFS(Table14[Debit], Table14[Date], Table3[[#This Row],[Date]], Table14[Party], Table3[[#This Row],[Party Name]])</f>
        <v>0</v>
      </c>
      <c r="I44" s="11">
        <f>(D44*E44)-Table3[[#This Row],[Paid]]</f>
        <v>0</v>
      </c>
      <c r="L44" s="26">
        <v>46020</v>
      </c>
      <c r="M44" s="14">
        <v>148</v>
      </c>
      <c r="N44" s="14">
        <v>103390</v>
      </c>
      <c r="O44" s="14">
        <v>100000</v>
      </c>
      <c r="P44" s="14">
        <v>3390</v>
      </c>
    </row>
    <row r="45" spans="1:16" x14ac:dyDescent="0.3">
      <c r="A45" s="1">
        <v>46018</v>
      </c>
      <c r="B45" t="s">
        <v>200</v>
      </c>
      <c r="C45" t="s">
        <v>297</v>
      </c>
      <c r="D45" s="11">
        <v>201</v>
      </c>
      <c r="E45" s="11">
        <v>820</v>
      </c>
      <c r="F45" s="11"/>
      <c r="G45" s="11">
        <f>D45*E45</f>
        <v>164820</v>
      </c>
      <c r="H45" s="11"/>
      <c r="I45" s="11">
        <f>(D45*E45)-Table3[[#This Row],[Paid]]</f>
        <v>164820</v>
      </c>
      <c r="L45" s="42" t="s">
        <v>103</v>
      </c>
      <c r="M45" s="14">
        <v>148</v>
      </c>
      <c r="N45" s="14">
        <v>103390</v>
      </c>
      <c r="O45" s="14">
        <v>100000</v>
      </c>
      <c r="P45" s="14">
        <v>3390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v>136</v>
      </c>
      <c r="N46" s="14">
        <v>101500</v>
      </c>
      <c r="O46" s="14">
        <v>0</v>
      </c>
      <c r="P46" s="14">
        <v>101500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v>136</v>
      </c>
      <c r="N47" s="14">
        <v>101500</v>
      </c>
      <c r="O47" s="14">
        <v>0</v>
      </c>
      <c r="P47" s="14">
        <v>101500</v>
      </c>
    </row>
    <row r="48" spans="1:16" x14ac:dyDescent="0.3">
      <c r="A48" s="1">
        <v>46018</v>
      </c>
      <c r="B48" t="s">
        <v>169</v>
      </c>
      <c r="D48" s="11">
        <v>45</v>
      </c>
      <c r="E48" s="11">
        <v>580</v>
      </c>
      <c r="F48" s="11"/>
      <c r="G48" s="11">
        <f t="shared" ref="G48:G49" si="8">D48*E48</f>
        <v>26100</v>
      </c>
      <c r="H48" s="11"/>
      <c r="I48" s="11">
        <f>(D48*E48)-Table3[[#This Row],[Paid]]</f>
        <v>26100</v>
      </c>
      <c r="L48" s="26">
        <v>46021</v>
      </c>
      <c r="M48" s="14"/>
      <c r="N48" s="14">
        <v>0</v>
      </c>
      <c r="O48" s="14">
        <v>495251</v>
      </c>
      <c r="P48" s="14">
        <v>-495251</v>
      </c>
    </row>
    <row r="49" spans="1:16" x14ac:dyDescent="0.3">
      <c r="A49" s="1">
        <v>46018</v>
      </c>
      <c r="B49" t="s">
        <v>169</v>
      </c>
      <c r="D49" s="11">
        <v>90</v>
      </c>
      <c r="E49" s="11">
        <v>775</v>
      </c>
      <c r="F49" s="11"/>
      <c r="G49" s="11">
        <f t="shared" si="8"/>
        <v>69750</v>
      </c>
      <c r="H49" s="11"/>
      <c r="I49" s="11">
        <f>(D49*E49)-Table3[[#This Row],[Paid]]</f>
        <v>69750</v>
      </c>
      <c r="L49" s="42" t="s">
        <v>103</v>
      </c>
      <c r="M49" s="14"/>
      <c r="N49" s="14">
        <v>0</v>
      </c>
      <c r="O49" s="14">
        <v>495251</v>
      </c>
      <c r="P49" s="14">
        <v>-495251</v>
      </c>
    </row>
    <row r="50" spans="1:16" x14ac:dyDescent="0.3">
      <c r="A50" s="1">
        <v>46018</v>
      </c>
      <c r="B50" t="s">
        <v>169</v>
      </c>
      <c r="C50" t="s">
        <v>334</v>
      </c>
      <c r="D50" s="11">
        <v>20</v>
      </c>
      <c r="E50" s="11">
        <v>580</v>
      </c>
      <c r="F50" s="11"/>
      <c r="G50" s="11">
        <f>D50*E50</f>
        <v>11600</v>
      </c>
      <c r="H50" s="11"/>
      <c r="I50" s="11">
        <f>(D50*E50)-Table3[[#This Row],[Paid]]</f>
        <v>11600</v>
      </c>
      <c r="L50" s="26">
        <v>46022</v>
      </c>
      <c r="M50" s="14">
        <v>773</v>
      </c>
      <c r="N50" s="14">
        <v>589760</v>
      </c>
      <c r="O50" s="14">
        <v>250010</v>
      </c>
      <c r="P50" s="14">
        <v>339750</v>
      </c>
    </row>
    <row r="51" spans="1:16" x14ac:dyDescent="0.3">
      <c r="A51" s="1">
        <v>46018</v>
      </c>
      <c r="B51" t="s">
        <v>169</v>
      </c>
      <c r="C51" t="s">
        <v>334</v>
      </c>
      <c r="D51" s="11">
        <v>108</v>
      </c>
      <c r="E51" s="11">
        <v>775</v>
      </c>
      <c r="F51" s="11"/>
      <c r="G51" s="11">
        <f t="shared" ref="G51:G53" si="9">D51*E51</f>
        <v>83700</v>
      </c>
      <c r="H51" s="11">
        <f>SUMIFS(Table14[Debit], Table14[Date], Table3[[#This Row],[Date]], Table14[Party], Table3[[#This Row],[Party Name]])</f>
        <v>0</v>
      </c>
      <c r="I51" s="11">
        <f>(D51*E51)-Table3[[#This Row],[Paid]]</f>
        <v>83700</v>
      </c>
      <c r="L51" s="42" t="s">
        <v>103</v>
      </c>
      <c r="M51" s="14">
        <v>773</v>
      </c>
      <c r="N51" s="14">
        <v>589760</v>
      </c>
      <c r="O51" s="14">
        <v>250010</v>
      </c>
      <c r="P51" s="14">
        <v>339750</v>
      </c>
    </row>
    <row r="52" spans="1:16" x14ac:dyDescent="0.3">
      <c r="A52" s="1">
        <v>46020</v>
      </c>
      <c r="B52" t="s">
        <v>169</v>
      </c>
      <c r="D52" s="11"/>
      <c r="E52" s="11"/>
      <c r="F52" s="11"/>
      <c r="G52" s="11">
        <f t="shared" si="9"/>
        <v>0</v>
      </c>
      <c r="H52" s="11">
        <f>SUMIFS(Table14[Debit], Table14[Date], Table3[[#This Row],[Date]], Table14[Party], Table3[[#This Row],[Party Name]])</f>
        <v>100000</v>
      </c>
      <c r="I52" s="11">
        <f>(D52*E52)-Table3[[#This Row],[Paid]]</f>
        <v>-100000</v>
      </c>
      <c r="L52" s="26">
        <v>46023</v>
      </c>
      <c r="M52" s="14">
        <v>658</v>
      </c>
      <c r="N52" s="14">
        <v>541840</v>
      </c>
      <c r="O52" s="14">
        <v>275111</v>
      </c>
      <c r="P52" s="14">
        <v>266729</v>
      </c>
    </row>
    <row r="53" spans="1:16" x14ac:dyDescent="0.3">
      <c r="A53" s="1">
        <v>46019</v>
      </c>
      <c r="B53" t="s">
        <v>200</v>
      </c>
      <c r="D53" s="11"/>
      <c r="E53" s="11"/>
      <c r="F53" s="11"/>
      <c r="G53" s="11">
        <f t="shared" si="9"/>
        <v>0</v>
      </c>
      <c r="H53" s="11">
        <f>SUMIFS(Table14[Debit], Table14[Date], Table3[[#This Row],[Date]], Table14[Party], Table3[[#This Row],[Party Name]])</f>
        <v>0</v>
      </c>
      <c r="I53" s="11">
        <f>(D53*E53)-Table3[[#This Row],[Paid]]</f>
        <v>0</v>
      </c>
      <c r="L53" s="42" t="s">
        <v>103</v>
      </c>
      <c r="M53" s="14">
        <v>658</v>
      </c>
      <c r="N53" s="14">
        <v>541840</v>
      </c>
      <c r="O53" s="14">
        <v>275111</v>
      </c>
      <c r="P53" s="14">
        <v>266729</v>
      </c>
    </row>
    <row r="54" spans="1:16" x14ac:dyDescent="0.3">
      <c r="A54" s="1">
        <v>46019</v>
      </c>
      <c r="B54" t="s">
        <v>169</v>
      </c>
      <c r="D54" s="11">
        <v>116</v>
      </c>
      <c r="E54" s="11">
        <v>775</v>
      </c>
      <c r="F54" s="11"/>
      <c r="G54" s="11">
        <f t="shared" ref="G54:G55" si="10">D54*E54</f>
        <v>89900</v>
      </c>
      <c r="H54" s="11"/>
      <c r="I54" s="11">
        <f>(D54*E54)-Table3[[#This Row],[Paid]]</f>
        <v>89900</v>
      </c>
      <c r="L54" s="26">
        <v>46024</v>
      </c>
      <c r="M54" s="14">
        <v>473</v>
      </c>
      <c r="N54" s="14">
        <v>402050</v>
      </c>
      <c r="O54" s="14">
        <v>200154</v>
      </c>
      <c r="P54" s="14">
        <v>201896</v>
      </c>
    </row>
    <row r="55" spans="1:16" x14ac:dyDescent="0.3">
      <c r="A55" s="1">
        <v>46019</v>
      </c>
      <c r="B55" t="s">
        <v>169</v>
      </c>
      <c r="D55" s="11">
        <v>20</v>
      </c>
      <c r="E55" s="11">
        <v>580</v>
      </c>
      <c r="F55" s="11"/>
      <c r="G55" s="11">
        <f t="shared" si="10"/>
        <v>11600</v>
      </c>
      <c r="H55" s="11"/>
      <c r="I55" s="11">
        <f>(D55*E55)-Table3[[#This Row],[Paid]]</f>
        <v>11600</v>
      </c>
      <c r="L55" s="42" t="s">
        <v>103</v>
      </c>
      <c r="M55" s="14">
        <v>473</v>
      </c>
      <c r="N55" s="14">
        <v>402050</v>
      </c>
      <c r="O55" s="14">
        <v>200154</v>
      </c>
      <c r="P55" s="14">
        <v>201896</v>
      </c>
    </row>
    <row r="56" spans="1:16" x14ac:dyDescent="0.3">
      <c r="A56" s="1">
        <v>46020</v>
      </c>
      <c r="B56" t="s">
        <v>169</v>
      </c>
      <c r="D56" s="11">
        <v>90</v>
      </c>
      <c r="E56" s="11">
        <v>775</v>
      </c>
      <c r="F56" s="11"/>
      <c r="G56" s="11">
        <f t="shared" ref="G56:G62" si="11">D56*E56</f>
        <v>69750</v>
      </c>
      <c r="H56" s="11"/>
      <c r="I56" s="11">
        <f>(D56*E56)-Table3[[#This Row],[Paid]]</f>
        <v>69750</v>
      </c>
      <c r="L56" s="26">
        <v>46025</v>
      </c>
      <c r="M56" s="14">
        <v>455</v>
      </c>
      <c r="N56" s="14">
        <v>370700</v>
      </c>
      <c r="O56" s="14">
        <v>260500</v>
      </c>
      <c r="P56" s="14">
        <v>110200</v>
      </c>
    </row>
    <row r="57" spans="1:16" x14ac:dyDescent="0.3">
      <c r="A57" s="1">
        <v>46020</v>
      </c>
      <c r="B57" t="s">
        <v>169</v>
      </c>
      <c r="D57" s="11">
        <v>58</v>
      </c>
      <c r="E57" s="11">
        <v>580</v>
      </c>
      <c r="F57" s="11"/>
      <c r="G57" s="11">
        <f t="shared" si="11"/>
        <v>33640</v>
      </c>
      <c r="H57" s="11"/>
      <c r="I57" s="11">
        <f>(D57*E57)-Table3[[#This Row],[Paid]]</f>
        <v>33640</v>
      </c>
      <c r="L57" s="42" t="s">
        <v>103</v>
      </c>
      <c r="M57" s="14">
        <v>136</v>
      </c>
      <c r="N57" s="14">
        <v>99550</v>
      </c>
      <c r="O57" s="14">
        <v>200100</v>
      </c>
      <c r="P57" s="14">
        <v>-100550</v>
      </c>
    </row>
    <row r="58" spans="1:16" x14ac:dyDescent="0.3">
      <c r="A58" s="1">
        <v>46021</v>
      </c>
      <c r="B58" t="s">
        <v>169</v>
      </c>
      <c r="D58" s="11"/>
      <c r="E58" s="11"/>
      <c r="F58" s="11"/>
      <c r="G58" s="11">
        <f t="shared" si="11"/>
        <v>0</v>
      </c>
      <c r="H58" s="11">
        <f>SUMIFS(Table14[Debit], Table14[Date], Table3[[#This Row],[Date]], Table14[Party], Table3[[#This Row],[Party Name]])</f>
        <v>250000</v>
      </c>
      <c r="I58" s="11">
        <f>(D58*E58)-Table3[[#This Row],[Paid]]</f>
        <v>-250000</v>
      </c>
      <c r="L58" s="42" t="s">
        <v>394</v>
      </c>
      <c r="M58" s="14">
        <v>319</v>
      </c>
      <c r="N58" s="14">
        <v>271150</v>
      </c>
      <c r="O58" s="14">
        <v>60400</v>
      </c>
      <c r="P58" s="14">
        <v>210750</v>
      </c>
    </row>
    <row r="59" spans="1:16" x14ac:dyDescent="0.3">
      <c r="A59" s="1">
        <v>46021</v>
      </c>
      <c r="B59" t="s">
        <v>200</v>
      </c>
      <c r="D59" s="11"/>
      <c r="E59" s="11"/>
      <c r="F59" s="11"/>
      <c r="G59" s="11">
        <f t="shared" si="11"/>
        <v>0</v>
      </c>
      <c r="H59" s="11">
        <f>SUMIFS(Table14[Debit], Table14[Date], Table3[[#This Row],[Date]], Table14[Party], Table3[[#This Row],[Party Name]])</f>
        <v>205401</v>
      </c>
      <c r="I59" s="11">
        <f>(D59*E59)-Table3[[#This Row],[Paid]]</f>
        <v>-205401</v>
      </c>
      <c r="L59" s="26">
        <v>46027</v>
      </c>
      <c r="M59" s="14"/>
      <c r="N59" s="14">
        <v>0</v>
      </c>
      <c r="O59" s="14">
        <v>484200</v>
      </c>
      <c r="P59" s="14">
        <v>-484200</v>
      </c>
    </row>
    <row r="60" spans="1:16" x14ac:dyDescent="0.3">
      <c r="A60" s="1">
        <v>46021</v>
      </c>
      <c r="B60" t="s">
        <v>241</v>
      </c>
      <c r="D60" s="11"/>
      <c r="E60" s="11"/>
      <c r="F60" s="11"/>
      <c r="G60" s="11">
        <f t="shared" si="11"/>
        <v>0</v>
      </c>
      <c r="H60" s="11">
        <f>SUMIFS(Table14[Debit], Table14[Date], Table3[[#This Row],[Date]], Table14[Party], Table3[[#This Row],[Party Name]])</f>
        <v>11850</v>
      </c>
      <c r="I60" s="11">
        <f>(D60*E60)-Table3[[#This Row],[Paid]]</f>
        <v>-11850</v>
      </c>
      <c r="L60" s="42" t="s">
        <v>103</v>
      </c>
      <c r="M60" s="14"/>
      <c r="N60" s="14">
        <v>0</v>
      </c>
      <c r="O60" s="14">
        <v>484200</v>
      </c>
      <c r="P60" s="14">
        <v>-484200</v>
      </c>
    </row>
    <row r="61" spans="1:16" x14ac:dyDescent="0.3">
      <c r="A61" s="1">
        <v>46021</v>
      </c>
      <c r="B61" t="s">
        <v>202</v>
      </c>
      <c r="D61" s="11"/>
      <c r="E61" s="11"/>
      <c r="F61" s="11"/>
      <c r="G61" s="11">
        <f t="shared" si="11"/>
        <v>0</v>
      </c>
      <c r="H61" s="11">
        <f>SUMIFS(Table14[Debit], Table14[Date], Table3[[#This Row],[Date]], Table14[Party], Table3[[#This Row],[Party Name]])</f>
        <v>27000</v>
      </c>
      <c r="I61" s="11">
        <f>(D61*E61)-Table3[[#This Row],[Paid]]</f>
        <v>-27000</v>
      </c>
      <c r="L61" s="26">
        <v>46026</v>
      </c>
      <c r="M61" s="14">
        <v>350</v>
      </c>
      <c r="N61" s="14">
        <v>267550</v>
      </c>
      <c r="O61" s="14">
        <v>20000</v>
      </c>
      <c r="P61" s="14">
        <v>247550</v>
      </c>
    </row>
    <row r="62" spans="1:16" x14ac:dyDescent="0.3">
      <c r="A62" s="1">
        <v>46021</v>
      </c>
      <c r="B62" t="s">
        <v>94</v>
      </c>
      <c r="D62" s="11"/>
      <c r="E62" s="11"/>
      <c r="F62" s="11"/>
      <c r="G62" s="11">
        <f t="shared" si="11"/>
        <v>0</v>
      </c>
      <c r="H62" s="11">
        <f>SUMIFS(Table14[Debit], Table14[Date], Table3[[#This Row],[Date]], Table14[Party], Table3[[#This Row],[Party Name]])</f>
        <v>1000</v>
      </c>
      <c r="I62" s="11">
        <f>(D62*E62)-Table3[[#This Row],[Paid]]</f>
        <v>-1000</v>
      </c>
      <c r="L62" s="42" t="s">
        <v>103</v>
      </c>
      <c r="M62" s="14">
        <v>350</v>
      </c>
      <c r="N62" s="14">
        <v>267550</v>
      </c>
      <c r="O62" s="14">
        <v>20000</v>
      </c>
      <c r="P62" s="14">
        <v>247550</v>
      </c>
    </row>
    <row r="63" spans="1:16" x14ac:dyDescent="0.3">
      <c r="A63" s="1">
        <v>46022</v>
      </c>
      <c r="B63" t="s">
        <v>200</v>
      </c>
      <c r="D63" s="11">
        <v>193</v>
      </c>
      <c r="E63" s="11">
        <v>820</v>
      </c>
      <c r="F63" s="11"/>
      <c r="G63" s="11">
        <f t="shared" ref="G63:G82" si="12">D63*E63</f>
        <v>158260</v>
      </c>
      <c r="H63" s="11">
        <f>SUMIFS(Table14[Debit], Table14[Date], Table3[[#This Row],[Date]], Table14[Party], Table3[[#This Row],[Party Name]])</f>
        <v>50000</v>
      </c>
      <c r="I63" s="11">
        <f>(D63*E63)-Table3[[#This Row],[Paid]]</f>
        <v>108260</v>
      </c>
      <c r="L63" s="26">
        <v>46028</v>
      </c>
      <c r="M63" s="14">
        <v>416</v>
      </c>
      <c r="N63" s="14">
        <v>341120</v>
      </c>
      <c r="O63" s="14">
        <v>142500</v>
      </c>
      <c r="P63" s="14">
        <v>198620</v>
      </c>
    </row>
    <row r="64" spans="1:16" x14ac:dyDescent="0.3">
      <c r="A64" s="1">
        <v>46022</v>
      </c>
      <c r="B64" t="s">
        <v>200</v>
      </c>
      <c r="D64" s="11">
        <v>185</v>
      </c>
      <c r="E64" s="11">
        <v>820</v>
      </c>
      <c r="F64" s="11"/>
      <c r="G64" s="11">
        <f t="shared" si="12"/>
        <v>151700</v>
      </c>
      <c r="H64" s="11"/>
      <c r="I64" s="11">
        <f>(D64*E64)-Table3[[#This Row],[Paid]]</f>
        <v>151700</v>
      </c>
      <c r="L64" s="42" t="s">
        <v>103</v>
      </c>
      <c r="M64" s="14">
        <v>416</v>
      </c>
      <c r="N64" s="14">
        <v>341120</v>
      </c>
      <c r="O64" s="14">
        <v>142500</v>
      </c>
      <c r="P64" s="14">
        <v>198620</v>
      </c>
    </row>
    <row r="65" spans="1:16" x14ac:dyDescent="0.3">
      <c r="A65" s="1">
        <v>46023</v>
      </c>
      <c r="B65" t="s">
        <v>200</v>
      </c>
      <c r="D65" s="11">
        <v>202</v>
      </c>
      <c r="E65" s="11">
        <v>820</v>
      </c>
      <c r="F65" s="11"/>
      <c r="G65" s="11">
        <f t="shared" si="12"/>
        <v>165640</v>
      </c>
      <c r="H65" s="11">
        <f>SUMIFS(Table14[Debit], Table14[Date], Table3[[#This Row],[Date]], Table14[Party], Table3[[#This Row],[Party Name]])</f>
        <v>100111</v>
      </c>
      <c r="I65" s="11">
        <f>(D65*E65)-Table3[[#This Row],[Paid]]</f>
        <v>65529</v>
      </c>
      <c r="L65" s="26">
        <v>46029</v>
      </c>
      <c r="M65" s="14">
        <v>216</v>
      </c>
      <c r="N65" s="14">
        <v>177120</v>
      </c>
      <c r="O65" s="14">
        <v>200614</v>
      </c>
      <c r="P65" s="14">
        <v>-23494</v>
      </c>
    </row>
    <row r="66" spans="1:16" x14ac:dyDescent="0.3">
      <c r="A66" s="1">
        <v>46023</v>
      </c>
      <c r="B66" t="s">
        <v>200</v>
      </c>
      <c r="D66" s="11">
        <v>228</v>
      </c>
      <c r="E66" s="11">
        <v>820</v>
      </c>
      <c r="F66" s="11"/>
      <c r="G66" s="11">
        <f t="shared" ref="G66:G67" si="13">D66*E66</f>
        <v>186960</v>
      </c>
      <c r="H66" s="11"/>
      <c r="I66" s="11">
        <f>(D66*E66)-Table3[[#This Row],[Paid]]</f>
        <v>186960</v>
      </c>
      <c r="L66" s="42" t="s">
        <v>103</v>
      </c>
      <c r="M66" s="14">
        <v>216</v>
      </c>
      <c r="N66" s="14">
        <v>177120</v>
      </c>
      <c r="O66" s="14">
        <v>200614</v>
      </c>
      <c r="P66" s="14">
        <v>-23494</v>
      </c>
    </row>
    <row r="67" spans="1:16" x14ac:dyDescent="0.3">
      <c r="A67" s="1">
        <v>46024</v>
      </c>
      <c r="B67" t="s">
        <v>200</v>
      </c>
      <c r="D67" s="11">
        <v>229</v>
      </c>
      <c r="E67" s="11">
        <v>850</v>
      </c>
      <c r="F67" s="11"/>
      <c r="G67" s="11">
        <f t="shared" si="13"/>
        <v>194650</v>
      </c>
      <c r="H67" s="11">
        <f>SUMIFS(Table14[Debit], Table14[Date], Table3[[#This Row],[Date]], Table14[Party], Table3[[#This Row],[Party Name]])</f>
        <v>200154</v>
      </c>
      <c r="I67" s="11">
        <f>(D67*E67)-Table3[[#This Row],[Paid]]</f>
        <v>-5504</v>
      </c>
      <c r="L67" s="26">
        <v>46030</v>
      </c>
      <c r="M67" s="14">
        <v>242</v>
      </c>
      <c r="N67" s="14">
        <v>198440</v>
      </c>
      <c r="O67" s="14">
        <v>406230</v>
      </c>
      <c r="P67" s="14">
        <v>-207790</v>
      </c>
    </row>
    <row r="68" spans="1:16" x14ac:dyDescent="0.3">
      <c r="A68" s="1">
        <v>46024</v>
      </c>
      <c r="B68" t="s">
        <v>200</v>
      </c>
      <c r="D68" s="11">
        <v>244</v>
      </c>
      <c r="E68" s="11">
        <v>850</v>
      </c>
      <c r="F68" s="11"/>
      <c r="G68" s="11">
        <f t="shared" ref="G68:G69" si="14">D68*E68</f>
        <v>207400</v>
      </c>
      <c r="H68" s="11"/>
      <c r="I68" s="11">
        <f>(D68*E68)-Table3[[#This Row],[Paid]]</f>
        <v>207400</v>
      </c>
      <c r="L68" s="42" t="s">
        <v>103</v>
      </c>
      <c r="M68" s="14">
        <v>242</v>
      </c>
      <c r="N68" s="14">
        <v>198440</v>
      </c>
      <c r="O68" s="14">
        <v>406230</v>
      </c>
      <c r="P68" s="14">
        <v>-207790</v>
      </c>
    </row>
    <row r="69" spans="1:16" x14ac:dyDescent="0.3">
      <c r="A69" s="1">
        <v>46025</v>
      </c>
      <c r="B69" t="s">
        <v>200</v>
      </c>
      <c r="D69" s="11"/>
      <c r="E69" s="11"/>
      <c r="F69" s="11"/>
      <c r="G69" s="11">
        <f t="shared" si="14"/>
        <v>0</v>
      </c>
      <c r="H69" s="11">
        <f>SUMIFS(Table14[Debit], Table14[Date], Table3[[#This Row],[Date]], Table14[Party], Table3[[#This Row],[Party Name]])</f>
        <v>200100</v>
      </c>
      <c r="I69" s="11">
        <f>(D69*E69)-Table3[[#This Row],[Paid]]</f>
        <v>-200100</v>
      </c>
      <c r="L69" s="26">
        <v>46031</v>
      </c>
      <c r="M69" s="14">
        <v>598</v>
      </c>
      <c r="N69" s="14">
        <v>495500</v>
      </c>
      <c r="O69" s="14">
        <v>15000</v>
      </c>
      <c r="P69" s="14">
        <v>480500</v>
      </c>
    </row>
    <row r="70" spans="1:16" x14ac:dyDescent="0.3">
      <c r="A70" s="1">
        <v>46027</v>
      </c>
      <c r="B70" t="s">
        <v>200</v>
      </c>
      <c r="D70" s="11"/>
      <c r="E70" s="11"/>
      <c r="F70" s="11"/>
      <c r="G70" s="11">
        <f t="shared" ref="G70:G78" si="15">D70*E70</f>
        <v>0</v>
      </c>
      <c r="H70" s="11">
        <f>SUMIFS(Table14[Debit], Table14[Date], Table3[[#This Row],[Date]], Table14[Party], Table3[[#This Row],[Party Name]])</f>
        <v>204200</v>
      </c>
      <c r="I70" s="11">
        <f>(D70*E70)-Table3[[#This Row],[Paid]]</f>
        <v>-204200</v>
      </c>
      <c r="L70" s="42" t="s">
        <v>103</v>
      </c>
      <c r="M70" s="14">
        <v>598</v>
      </c>
      <c r="N70" s="14">
        <v>495500</v>
      </c>
      <c r="O70" s="14">
        <v>15000</v>
      </c>
      <c r="P70" s="14">
        <v>480500</v>
      </c>
    </row>
    <row r="71" spans="1:16" x14ac:dyDescent="0.3">
      <c r="A71" s="1">
        <v>46026</v>
      </c>
      <c r="B71" t="s">
        <v>202</v>
      </c>
      <c r="D71" s="11">
        <v>125</v>
      </c>
      <c r="E71" s="11">
        <v>800</v>
      </c>
      <c r="F71" s="11"/>
      <c r="G71" s="11">
        <f t="shared" ref="G71:G74" si="16">D71*E71</f>
        <v>100000</v>
      </c>
      <c r="H71" s="11">
        <f>SUMIFS(Table14[Debit], Table14[Date], Table3[[#This Row],[Date]], Table14[Party], Table3[[#This Row],[Party Name]])</f>
        <v>20000</v>
      </c>
      <c r="I71" s="11">
        <f>(D71*E71)-Table3[[#This Row],[Paid]]</f>
        <v>80000</v>
      </c>
      <c r="L71" s="26">
        <v>46032</v>
      </c>
      <c r="M71" s="14">
        <v>247</v>
      </c>
      <c r="N71" s="14">
        <v>191425</v>
      </c>
      <c r="O71" s="14">
        <v>352000</v>
      </c>
      <c r="P71" s="14">
        <v>-160575</v>
      </c>
    </row>
    <row r="72" spans="1:16" x14ac:dyDescent="0.3">
      <c r="A72" s="1">
        <v>46022</v>
      </c>
      <c r="B72" t="s">
        <v>94</v>
      </c>
      <c r="D72" s="11"/>
      <c r="E72" s="11"/>
      <c r="F72" s="11"/>
      <c r="G72" s="11">
        <f>D72*E72</f>
        <v>0</v>
      </c>
      <c r="H72" s="11">
        <f>SUMIFS(Table14[Debit], Table14[Date], Table3[[#This Row],[Date]], Table14[Party], Table3[[#This Row],[Party Name]])</f>
        <v>200010</v>
      </c>
      <c r="I72" s="11">
        <f>(D72*E72)-Table3[[#This Row],[Paid]]</f>
        <v>-200010</v>
      </c>
      <c r="L72" s="42" t="s">
        <v>103</v>
      </c>
      <c r="M72" s="14">
        <v>247</v>
      </c>
      <c r="N72" s="14">
        <v>191425</v>
      </c>
      <c r="O72" s="14">
        <v>352000</v>
      </c>
      <c r="P72" s="14">
        <v>-160575</v>
      </c>
    </row>
    <row r="73" spans="1:16" x14ac:dyDescent="0.3">
      <c r="A73" s="1">
        <v>46022</v>
      </c>
      <c r="B73" t="s">
        <v>169</v>
      </c>
      <c r="D73" s="11">
        <v>260</v>
      </c>
      <c r="E73" s="11">
        <v>775</v>
      </c>
      <c r="F73" s="11"/>
      <c r="G73" s="11">
        <f t="shared" si="16"/>
        <v>201500</v>
      </c>
      <c r="H73" s="11">
        <f>SUMIFS(Table14[Debit], Table14[Date], Table3[[#This Row],[Date]], Table14[Party], Table3[[#This Row],[Party Name]])</f>
        <v>0</v>
      </c>
      <c r="I73" s="11">
        <f>(D73*E73)-Table3[[#This Row],[Paid]]</f>
        <v>201500</v>
      </c>
      <c r="L73" s="26">
        <v>46034</v>
      </c>
      <c r="M73" s="14">
        <v>406</v>
      </c>
      <c r="N73" s="14">
        <v>310600</v>
      </c>
      <c r="O73" s="14">
        <v>474045</v>
      </c>
      <c r="P73" s="14">
        <v>-163445</v>
      </c>
    </row>
    <row r="74" spans="1:16" x14ac:dyDescent="0.3">
      <c r="A74" s="1">
        <v>46022</v>
      </c>
      <c r="B74" t="s">
        <v>169</v>
      </c>
      <c r="D74" s="11">
        <v>135</v>
      </c>
      <c r="E74" s="11">
        <v>580</v>
      </c>
      <c r="F74" s="11"/>
      <c r="G74" s="11">
        <f t="shared" si="16"/>
        <v>78300</v>
      </c>
      <c r="H74" s="11"/>
      <c r="I74" s="11">
        <f>(D74*E74)-Table3[[#This Row],[Paid]]</f>
        <v>78300</v>
      </c>
      <c r="L74" s="42" t="s">
        <v>103</v>
      </c>
      <c r="M74" s="14">
        <v>138</v>
      </c>
      <c r="N74" s="14">
        <v>82800</v>
      </c>
      <c r="O74" s="14">
        <v>242045</v>
      </c>
      <c r="P74" s="14">
        <v>-159245</v>
      </c>
    </row>
    <row r="75" spans="1:16" x14ac:dyDescent="0.3">
      <c r="A75" s="1">
        <v>46023</v>
      </c>
      <c r="B75" t="s">
        <v>169</v>
      </c>
      <c r="D75" s="11">
        <v>228</v>
      </c>
      <c r="E75" s="11">
        <v>830</v>
      </c>
      <c r="F75" s="11"/>
      <c r="G75" s="11">
        <f t="shared" ref="G75:G77" si="17">D75*E75</f>
        <v>189240</v>
      </c>
      <c r="H75" s="11">
        <f>SUMIFS(Table14[Debit], Table14[Date], Table3[[#This Row],[Date]], Table14[Party], Table3[[#This Row],[Party Name]])</f>
        <v>175000</v>
      </c>
      <c r="I75" s="11">
        <f>(D75*E75)-Table3[[#This Row],[Paid]]</f>
        <v>14240</v>
      </c>
      <c r="L75" s="42" t="s">
        <v>482</v>
      </c>
      <c r="M75" s="14">
        <v>268</v>
      </c>
      <c r="N75" s="14">
        <v>227800</v>
      </c>
      <c r="O75" s="14">
        <v>232000</v>
      </c>
      <c r="P75" s="14">
        <v>-4200</v>
      </c>
    </row>
    <row r="76" spans="1:16" x14ac:dyDescent="0.3">
      <c r="A76" s="1">
        <v>46025</v>
      </c>
      <c r="B76" t="s">
        <v>169</v>
      </c>
      <c r="D76" s="11">
        <v>30</v>
      </c>
      <c r="E76" s="11">
        <v>580</v>
      </c>
      <c r="F76" s="11"/>
      <c r="G76" s="11">
        <f t="shared" si="17"/>
        <v>17400</v>
      </c>
      <c r="H76" s="11">
        <f>SUMIFS(Table14[Debit], Table14[Date], Table3[[#This Row],[Date]], Table14[Party], Table3[[#This Row],[Party Name]])</f>
        <v>0</v>
      </c>
      <c r="I76" s="11">
        <f>(D76*E76)-Table3[[#This Row],[Paid]]</f>
        <v>17400</v>
      </c>
      <c r="L76" s="26">
        <v>46033</v>
      </c>
      <c r="M76" s="14">
        <v>226</v>
      </c>
      <c r="N76" s="14">
        <v>185320</v>
      </c>
      <c r="O76" s="14"/>
      <c r="P76" s="14">
        <v>185320</v>
      </c>
    </row>
    <row r="77" spans="1:16" x14ac:dyDescent="0.3">
      <c r="A77" s="1">
        <v>46025</v>
      </c>
      <c r="B77" t="s">
        <v>169</v>
      </c>
      <c r="D77" s="11">
        <v>106</v>
      </c>
      <c r="E77" s="11">
        <v>775</v>
      </c>
      <c r="F77" s="11"/>
      <c r="G77" s="11">
        <f t="shared" si="17"/>
        <v>82150</v>
      </c>
      <c r="H77" s="11"/>
      <c r="I77" s="11">
        <f>(D77*E77)-Table3[[#This Row],[Paid]]</f>
        <v>82150</v>
      </c>
      <c r="L77" s="42" t="s">
        <v>103</v>
      </c>
      <c r="M77" s="14">
        <v>226</v>
      </c>
      <c r="N77" s="14">
        <v>185320</v>
      </c>
      <c r="O77" s="14"/>
      <c r="P77" s="14">
        <v>185320</v>
      </c>
    </row>
    <row r="78" spans="1:16" x14ac:dyDescent="0.3">
      <c r="A78" s="1">
        <v>46026</v>
      </c>
      <c r="B78" t="s">
        <v>169</v>
      </c>
      <c r="D78" s="11">
        <v>190</v>
      </c>
      <c r="E78" s="11">
        <v>775</v>
      </c>
      <c r="F78" s="11"/>
      <c r="G78" s="11">
        <f t="shared" si="15"/>
        <v>147250</v>
      </c>
      <c r="H78" s="11">
        <f>SUMIFS(Table14[Debit], Table14[Date], Table3[[#This Row],[Date]], Table14[Party], Table3[[#This Row],[Party Name]])</f>
        <v>0</v>
      </c>
      <c r="I78" s="11">
        <f>(D78*E78)-Table3[[#This Row],[Paid]]</f>
        <v>147250</v>
      </c>
      <c r="L78" s="26">
        <v>46035</v>
      </c>
      <c r="M78" s="14">
        <v>194</v>
      </c>
      <c r="N78" s="14">
        <v>159080</v>
      </c>
      <c r="O78" s="14">
        <v>100704</v>
      </c>
      <c r="P78" s="14">
        <v>58376</v>
      </c>
    </row>
    <row r="79" spans="1:16" x14ac:dyDescent="0.3">
      <c r="A79" s="1">
        <v>46026</v>
      </c>
      <c r="B79" t="s">
        <v>169</v>
      </c>
      <c r="D79" s="11">
        <v>35</v>
      </c>
      <c r="E79" s="11">
        <v>580</v>
      </c>
      <c r="F79" s="11"/>
      <c r="G79" s="11">
        <f t="shared" ref="G79:G80" si="18">D79*E79</f>
        <v>20300</v>
      </c>
      <c r="H79" s="11"/>
      <c r="I79" s="11">
        <f>(D79*E79)-Table3[[#This Row],[Paid]]</f>
        <v>20300</v>
      </c>
      <c r="L79" s="42" t="s">
        <v>103</v>
      </c>
      <c r="M79" s="14">
        <v>194</v>
      </c>
      <c r="N79" s="14">
        <v>159080</v>
      </c>
      <c r="O79" s="14">
        <v>100704</v>
      </c>
      <c r="P79" s="14">
        <v>58376</v>
      </c>
    </row>
    <row r="80" spans="1:16" x14ac:dyDescent="0.3">
      <c r="A80" s="1">
        <v>46027</v>
      </c>
      <c r="B80" t="s">
        <v>169</v>
      </c>
      <c r="D80" s="11"/>
      <c r="E80" s="11"/>
      <c r="F80" s="11"/>
      <c r="G80" s="11">
        <f t="shared" si="18"/>
        <v>0</v>
      </c>
      <c r="H80" s="11">
        <f>SUMIFS(Table14[Debit], Table14[Date], Table3[[#This Row],[Date]], Table14[Party], Table3[[#This Row],[Party Name]])</f>
        <v>250000</v>
      </c>
      <c r="I80" s="11">
        <f>(D80*E80)-Table3[[#This Row],[Paid]]</f>
        <v>-250000</v>
      </c>
      <c r="L80" s="26">
        <v>46036</v>
      </c>
      <c r="M80" s="14">
        <v>471</v>
      </c>
      <c r="N80" s="14">
        <v>393800</v>
      </c>
      <c r="O80" s="14">
        <v>505022</v>
      </c>
      <c r="P80" s="14">
        <v>-111222</v>
      </c>
    </row>
    <row r="81" spans="1:16" x14ac:dyDescent="0.3">
      <c r="A81" s="1">
        <v>46025</v>
      </c>
      <c r="B81" t="s">
        <v>94</v>
      </c>
      <c r="C81" t="s">
        <v>394</v>
      </c>
      <c r="D81" s="11">
        <v>319</v>
      </c>
      <c r="E81" s="11">
        <v>850</v>
      </c>
      <c r="F81" s="11">
        <v>60400</v>
      </c>
      <c r="G81" s="11">
        <f t="shared" si="12"/>
        <v>271150</v>
      </c>
      <c r="H81" s="11">
        <f>SUMIFS(Table14[Debit], Table14[Date], Table3[[#This Row],[Date]], Table14[Party], Table3[[#This Row],[Party Name]])</f>
        <v>60400</v>
      </c>
      <c r="I81" s="11">
        <f>(D81*E81)-Table3[[#This Row],[Paid]]</f>
        <v>210750</v>
      </c>
      <c r="L81" s="42" t="s">
        <v>103</v>
      </c>
      <c r="M81" s="14">
        <v>471</v>
      </c>
      <c r="N81" s="14">
        <v>393800</v>
      </c>
      <c r="O81" s="14">
        <v>505022</v>
      </c>
      <c r="P81" s="14">
        <v>-111222</v>
      </c>
    </row>
    <row r="82" spans="1:16" x14ac:dyDescent="0.3">
      <c r="A82" s="1">
        <v>46027</v>
      </c>
      <c r="B82" t="s">
        <v>149</v>
      </c>
      <c r="D82" s="11"/>
      <c r="E82" s="11"/>
      <c r="F82" s="11"/>
      <c r="G82" s="11">
        <f t="shared" si="12"/>
        <v>0</v>
      </c>
      <c r="H82" s="11">
        <f>SUMIFS(Table14[Debit], Table14[Date], Table3[[#This Row],[Date]], Table14[Party], Table3[[#This Row],[Party Name]])</f>
        <v>30000</v>
      </c>
      <c r="I82" s="11">
        <f>(D82*E82)-Table3[[#This Row],[Paid]]</f>
        <v>-30000</v>
      </c>
      <c r="L82" s="26" t="s">
        <v>28</v>
      </c>
      <c r="M82" s="14">
        <v>9235</v>
      </c>
      <c r="N82" s="14">
        <v>7324075</v>
      </c>
      <c r="O82" s="14">
        <v>6382991</v>
      </c>
      <c r="P82" s="14">
        <v>4262512</v>
      </c>
    </row>
    <row r="83" spans="1:16" x14ac:dyDescent="0.3">
      <c r="A83" s="1">
        <v>46028</v>
      </c>
      <c r="B83" t="s">
        <v>200</v>
      </c>
      <c r="D83" s="11">
        <v>182</v>
      </c>
      <c r="E83" s="11">
        <v>820</v>
      </c>
      <c r="F83" s="11"/>
      <c r="G83" s="11">
        <f t="shared" ref="G83:G90" si="19">D83*E83</f>
        <v>149240</v>
      </c>
      <c r="H83" s="11">
        <f>SUMIFS(Table14[Debit], Table14[Date], Table3[[#This Row],[Date]], Table14[Party], Table3[[#This Row],[Party Name]])</f>
        <v>106500</v>
      </c>
      <c r="I83" s="11">
        <f>(D83*E83)-Table3[[#This Row],[Paid]]</f>
        <v>42740</v>
      </c>
    </row>
    <row r="84" spans="1:16" x14ac:dyDescent="0.3">
      <c r="A84" s="1">
        <v>46028</v>
      </c>
      <c r="B84" t="s">
        <v>424</v>
      </c>
      <c r="D84" s="11">
        <v>234</v>
      </c>
      <c r="E84" s="11">
        <v>820</v>
      </c>
      <c r="F84" s="11"/>
      <c r="G84" s="11">
        <f t="shared" si="19"/>
        <v>191880</v>
      </c>
      <c r="H84" s="11">
        <f>SUMIFS(Table14[Debit], Table14[Date], Table3[[#This Row],[Date]], Table14[Party], Table3[[#This Row],[Party Name]])</f>
        <v>36000</v>
      </c>
      <c r="I84" s="11">
        <f>(D84*E84)-Table3[[#This Row],[Paid]]</f>
        <v>155880</v>
      </c>
    </row>
    <row r="85" spans="1:16" x14ac:dyDescent="0.3">
      <c r="A85" s="1">
        <v>46029</v>
      </c>
      <c r="B85" t="s">
        <v>424</v>
      </c>
      <c r="D85" s="11">
        <v>216</v>
      </c>
      <c r="E85" s="11">
        <v>820</v>
      </c>
      <c r="F85" s="11"/>
      <c r="G85" s="11">
        <f t="shared" si="19"/>
        <v>177120</v>
      </c>
      <c r="H85" s="11">
        <f>SUMIFS(Table14[Debit], Table14[Date], Table3[[#This Row],[Date]], Table14[Party], Table3[[#This Row],[Party Name]])</f>
        <v>100100</v>
      </c>
      <c r="I85" s="11">
        <f>(D85*E85)-Table3[[#This Row],[Paid]]</f>
        <v>77020</v>
      </c>
    </row>
    <row r="86" spans="1:16" x14ac:dyDescent="0.3">
      <c r="A86" s="1">
        <v>46029</v>
      </c>
      <c r="B86" t="s">
        <v>200</v>
      </c>
      <c r="D86" s="11"/>
      <c r="E86" s="11"/>
      <c r="F86" s="11"/>
      <c r="G86" s="11">
        <f t="shared" si="19"/>
        <v>0</v>
      </c>
      <c r="H86" s="11">
        <f>SUMIFS(Table14[Debit], Table14[Date], Table3[[#This Row],[Date]], Table14[Party], Table3[[#This Row],[Party Name]])</f>
        <v>100514</v>
      </c>
      <c r="I86" s="11">
        <f>(D86*E86)-Table3[[#This Row],[Paid]]</f>
        <v>-100514</v>
      </c>
    </row>
    <row r="87" spans="1:16" x14ac:dyDescent="0.3">
      <c r="A87" s="1">
        <v>46030</v>
      </c>
      <c r="B87" t="s">
        <v>424</v>
      </c>
      <c r="D87" s="11"/>
      <c r="E87" s="11"/>
      <c r="F87" s="11"/>
      <c r="G87" s="11">
        <f t="shared" si="19"/>
        <v>0</v>
      </c>
      <c r="H87" s="11"/>
      <c r="I87" s="11">
        <f>(D87*E87)-Table3[[#This Row],[Paid]]</f>
        <v>0</v>
      </c>
    </row>
    <row r="88" spans="1:16" x14ac:dyDescent="0.3">
      <c r="A88" s="1">
        <v>46030</v>
      </c>
      <c r="B88" t="s">
        <v>200</v>
      </c>
      <c r="D88" s="11">
        <v>242</v>
      </c>
      <c r="E88" s="11">
        <v>820</v>
      </c>
      <c r="F88" s="11"/>
      <c r="G88" s="11">
        <f t="shared" si="19"/>
        <v>198440</v>
      </c>
      <c r="H88" s="11">
        <f>SUMIFS(Table14[Debit], Table14[Date], Table3[[#This Row],[Date]], Table14[Party], Table3[[#This Row],[Party Name]])</f>
        <v>150200</v>
      </c>
      <c r="I88" s="11">
        <f>(D88*E88)-Table3[[#This Row],[Paid]]</f>
        <v>48240</v>
      </c>
    </row>
    <row r="89" spans="1:16" x14ac:dyDescent="0.3">
      <c r="A89" s="1">
        <v>46030</v>
      </c>
      <c r="B89" t="s">
        <v>424</v>
      </c>
      <c r="D89" s="11"/>
      <c r="E89" s="11"/>
      <c r="F89" s="11"/>
      <c r="G89" s="11">
        <f t="shared" si="19"/>
        <v>0</v>
      </c>
      <c r="H89" s="11">
        <f>SUMIFS(Table14[Debit], Table14[Date], Table3[[#This Row],[Date]], Table14[Party], Table3[[#This Row],[Party Name]])</f>
        <v>55780</v>
      </c>
      <c r="I89" s="11">
        <f>(D89*E89)-Table3[[#This Row],[Paid]]</f>
        <v>-55780</v>
      </c>
    </row>
    <row r="90" spans="1:16" x14ac:dyDescent="0.3">
      <c r="A90" s="1">
        <v>46030</v>
      </c>
      <c r="B90" t="s">
        <v>169</v>
      </c>
      <c r="D90" s="11"/>
      <c r="E90" s="11"/>
      <c r="F90" s="11"/>
      <c r="G90" s="11">
        <f t="shared" si="19"/>
        <v>0</v>
      </c>
      <c r="H90" s="11">
        <f>SUMIFS(Table14[Debit], Table14[Date], Table3[[#This Row],[Date]], Table14[Party], Table3[[#This Row],[Party Name]])</f>
        <v>200250</v>
      </c>
      <c r="I90" s="11">
        <f>(D90*E90)-Table3[[#This Row],[Paid]]</f>
        <v>-200250</v>
      </c>
    </row>
    <row r="91" spans="1:16" x14ac:dyDescent="0.3">
      <c r="A91" s="1">
        <v>46031</v>
      </c>
      <c r="B91" t="s">
        <v>200</v>
      </c>
      <c r="D91" s="11">
        <v>205</v>
      </c>
      <c r="E91" s="11">
        <v>820</v>
      </c>
      <c r="F91" s="11"/>
      <c r="G91" s="11">
        <f t="shared" ref="G91:G98" si="20">D91*E91</f>
        <v>168100</v>
      </c>
      <c r="H91" s="11"/>
      <c r="I91" s="11">
        <f>(D91*E91)-Table3[[#This Row],[Paid]]</f>
        <v>168100</v>
      </c>
    </row>
    <row r="92" spans="1:16" x14ac:dyDescent="0.3">
      <c r="A92" s="1">
        <v>46031</v>
      </c>
      <c r="B92" t="s">
        <v>200</v>
      </c>
      <c r="D92" s="11">
        <v>260</v>
      </c>
      <c r="E92" s="11">
        <v>850</v>
      </c>
      <c r="F92" s="11"/>
      <c r="G92" s="11">
        <f t="shared" si="20"/>
        <v>221000</v>
      </c>
      <c r="H92" s="11"/>
      <c r="I92" s="11">
        <f>(D92*E92)-Table3[[#This Row],[Paid]]</f>
        <v>221000</v>
      </c>
    </row>
    <row r="93" spans="1:16" x14ac:dyDescent="0.3">
      <c r="A93" s="1">
        <v>46031</v>
      </c>
      <c r="B93" t="s">
        <v>202</v>
      </c>
      <c r="D93" s="11">
        <v>133</v>
      </c>
      <c r="E93" s="11">
        <v>800</v>
      </c>
      <c r="F93" s="11"/>
      <c r="G93" s="11">
        <f t="shared" si="20"/>
        <v>106400</v>
      </c>
      <c r="H93" s="11">
        <f>SUMIFS(Table14[Debit], Table14[Date], Table3[[#This Row],[Date]], Table14[Party], Table3[[#This Row],[Party Name]])</f>
        <v>15000</v>
      </c>
      <c r="I93" s="11">
        <f>(D93*E93)-Table3[[#This Row],[Paid]]</f>
        <v>91400</v>
      </c>
    </row>
    <row r="94" spans="1:16" x14ac:dyDescent="0.3">
      <c r="A94" s="1">
        <v>46032</v>
      </c>
      <c r="B94" t="s">
        <v>94</v>
      </c>
      <c r="D94" s="11"/>
      <c r="E94" s="11"/>
      <c r="F94" s="11"/>
      <c r="G94" s="11">
        <f t="shared" si="20"/>
        <v>0</v>
      </c>
      <c r="H94" s="11">
        <f>SUMIFS(Table14[Debit], Table14[Date], Table3[[#This Row],[Date]], Table14[Party], Table3[[#This Row],[Party Name]])</f>
        <v>202000</v>
      </c>
      <c r="I94" s="11">
        <f>(D94*E94)-Table3[[#This Row],[Paid]]</f>
        <v>-202000</v>
      </c>
    </row>
    <row r="95" spans="1:16" x14ac:dyDescent="0.3">
      <c r="A95" s="1">
        <v>46032</v>
      </c>
      <c r="B95" t="s">
        <v>200</v>
      </c>
      <c r="D95" s="11"/>
      <c r="E95" s="11"/>
      <c r="F95" s="11"/>
      <c r="G95" s="11">
        <f t="shared" si="20"/>
        <v>0</v>
      </c>
      <c r="H95" s="11">
        <f>SUMIFS(Table14[Debit], Table14[Date], Table3[[#This Row],[Date]], Table14[Party], Table3[[#This Row],[Party Name]])</f>
        <v>150000</v>
      </c>
      <c r="I95" s="11">
        <f>(D95*E95)-Table3[[#This Row],[Paid]]</f>
        <v>-150000</v>
      </c>
    </row>
    <row r="96" spans="1:16" x14ac:dyDescent="0.3">
      <c r="A96" s="1">
        <v>46034</v>
      </c>
      <c r="B96" t="s">
        <v>200</v>
      </c>
      <c r="C96" t="s">
        <v>482</v>
      </c>
      <c r="D96" s="11">
        <v>268</v>
      </c>
      <c r="E96" s="11">
        <v>850</v>
      </c>
      <c r="F96" s="11">
        <v>57000</v>
      </c>
      <c r="G96" s="11">
        <f t="shared" si="20"/>
        <v>227800</v>
      </c>
      <c r="H96" s="11">
        <f>SUMIFS(Table14[Debit], Table14[Date], Table3[[#This Row],[Date]], Table14[Party], Table3[[#This Row],[Party Name]])</f>
        <v>232000</v>
      </c>
      <c r="I96" s="11">
        <f>(D96*E96)-Table3[[#This Row],[Paid]]</f>
        <v>-4200</v>
      </c>
    </row>
    <row r="97" spans="1:9" x14ac:dyDescent="0.3">
      <c r="A97" s="1">
        <v>46034</v>
      </c>
      <c r="B97" t="s">
        <v>169</v>
      </c>
      <c r="D97" s="11"/>
      <c r="E97" s="11"/>
      <c r="F97" s="11"/>
      <c r="G97" s="11">
        <f t="shared" si="20"/>
        <v>0</v>
      </c>
      <c r="H97" s="11">
        <f>SUMIFS(Table14[Debit], Table14[Date], Table3[[#This Row],[Date]], Table14[Party], Table3[[#This Row],[Party Name]])</f>
        <v>202045</v>
      </c>
      <c r="I97" s="11">
        <f>(D97*E97)-Table3[[#This Row],[Paid]]</f>
        <v>-202045</v>
      </c>
    </row>
    <row r="98" spans="1:9" x14ac:dyDescent="0.3">
      <c r="A98" s="1">
        <v>46034</v>
      </c>
      <c r="B98" t="s">
        <v>202</v>
      </c>
      <c r="D98" s="11"/>
      <c r="E98" s="11"/>
      <c r="F98" s="11"/>
      <c r="G98" s="11">
        <f t="shared" si="20"/>
        <v>0</v>
      </c>
      <c r="H98" s="11">
        <f>SUMIFS(Table14[Debit], Table14[Date], Table3[[#This Row],[Date]], Table14[Party], Table3[[#This Row],[Party Name]])</f>
        <v>40000</v>
      </c>
      <c r="I98" s="11">
        <f>(D98*E98)-Table3[[#This Row],[Paid]]</f>
        <v>-40000</v>
      </c>
    </row>
    <row r="99" spans="1:9" x14ac:dyDescent="0.3">
      <c r="A99" s="1">
        <v>46033</v>
      </c>
      <c r="B99" t="s">
        <v>424</v>
      </c>
      <c r="D99" s="11">
        <v>226</v>
      </c>
      <c r="E99" s="11">
        <v>820</v>
      </c>
      <c r="F99" s="11"/>
      <c r="G99" s="11">
        <f t="shared" ref="G99:G102" si="21">D99*E99</f>
        <v>185320</v>
      </c>
      <c r="H99" s="11"/>
      <c r="I99" s="11">
        <f>(D99*E99)-Table3[[#This Row],[Paid]]</f>
        <v>185320</v>
      </c>
    </row>
    <row r="100" spans="1:9" x14ac:dyDescent="0.3">
      <c r="A100" s="1">
        <v>46032</v>
      </c>
      <c r="B100" t="s">
        <v>169</v>
      </c>
      <c r="D100" s="11">
        <v>247</v>
      </c>
      <c r="E100" s="11">
        <v>580</v>
      </c>
      <c r="F100" s="11"/>
      <c r="G100" s="11">
        <f t="shared" si="21"/>
        <v>143260</v>
      </c>
      <c r="H100" s="11"/>
      <c r="I100" s="11">
        <f>(D100*E100)-Table3[[#This Row],[Paid]]</f>
        <v>143260</v>
      </c>
    </row>
    <row r="101" spans="1:9" x14ac:dyDescent="0.3">
      <c r="A101" s="1">
        <v>46034</v>
      </c>
      <c r="B101" t="s">
        <v>169</v>
      </c>
      <c r="D101" s="11">
        <v>138</v>
      </c>
      <c r="E101" s="11">
        <v>580</v>
      </c>
      <c r="F101" s="11"/>
      <c r="G101" s="11">
        <f t="shared" si="21"/>
        <v>80040</v>
      </c>
      <c r="H101" s="11"/>
      <c r="I101" s="11">
        <f>(D101*E101)-Table3[[#This Row],[Paid]]</f>
        <v>80040</v>
      </c>
    </row>
    <row r="102" spans="1:9" x14ac:dyDescent="0.3">
      <c r="A102" s="1">
        <v>46035</v>
      </c>
      <c r="B102" t="s">
        <v>424</v>
      </c>
      <c r="D102" s="11">
        <v>194</v>
      </c>
      <c r="E102" s="11">
        <v>820</v>
      </c>
      <c r="F102" s="11">
        <v>31500</v>
      </c>
      <c r="G102" s="11">
        <f t="shared" si="21"/>
        <v>159080</v>
      </c>
      <c r="H102" s="11">
        <f>SUMIFS(Table14[Debit], Table14[Date], Table3[[#This Row],[Date]], Table14[Party], Table3[[#This Row],[Party Name]])</f>
        <v>100704</v>
      </c>
      <c r="I102" s="11">
        <f>(D102*E102)-Table3[[#This Row],[Paid]]</f>
        <v>58376</v>
      </c>
    </row>
    <row r="103" spans="1:9" x14ac:dyDescent="0.3">
      <c r="A103" s="1">
        <v>46036</v>
      </c>
      <c r="B103" t="s">
        <v>169</v>
      </c>
      <c r="D103" s="11">
        <v>262</v>
      </c>
      <c r="E103" s="11">
        <v>825</v>
      </c>
      <c r="F103" s="11">
        <v>75000</v>
      </c>
      <c r="G103" s="11">
        <f t="shared" ref="G103:G110" si="22">D103*E103</f>
        <v>216150</v>
      </c>
      <c r="H103" s="11">
        <f>SUMIFS(Table14[Debit], Table14[Date], Table3[[#This Row],[Date]], Table14[Party], Table3[[#This Row],[Party Name]])</f>
        <v>75000</v>
      </c>
      <c r="I103" s="11">
        <f>(D103*E103)-Table3[[#This Row],[Paid]]</f>
        <v>141150</v>
      </c>
    </row>
    <row r="104" spans="1:9" x14ac:dyDescent="0.3">
      <c r="A104" s="1">
        <v>46036</v>
      </c>
      <c r="B104" t="s">
        <v>200</v>
      </c>
      <c r="D104" s="11">
        <v>209</v>
      </c>
      <c r="E104" s="11">
        <v>850</v>
      </c>
      <c r="F104" s="11">
        <v>48000</v>
      </c>
      <c r="G104" s="11">
        <f t="shared" si="22"/>
        <v>177650</v>
      </c>
      <c r="H104" s="11">
        <f>SUMIFS(Table14[Debit], Table14[Date], Table3[[#This Row],[Date]], Table14[Party], Table3[[#This Row],[Party Name]])</f>
        <v>198062</v>
      </c>
      <c r="I104" s="11">
        <f>(D104*E104)-Table3[[#This Row],[Paid]]</f>
        <v>-20412</v>
      </c>
    </row>
    <row r="105" spans="1:9" x14ac:dyDescent="0.3">
      <c r="A105" s="1">
        <v>46036</v>
      </c>
      <c r="B105" t="s">
        <v>94</v>
      </c>
      <c r="D105" s="11"/>
      <c r="E105" s="11"/>
      <c r="F105" s="11"/>
      <c r="G105" s="11">
        <f t="shared" si="22"/>
        <v>0</v>
      </c>
      <c r="H105" s="11">
        <f>SUMIFS(Table14[Debit], Table14[Date], Table3[[#This Row],[Date]], Table14[Party], Table3[[#This Row],[Party Name]])</f>
        <v>200460</v>
      </c>
      <c r="I105" s="11">
        <f>(D105*E105)-Table3[[#This Row],[Paid]]</f>
        <v>-200460</v>
      </c>
    </row>
    <row r="106" spans="1:9" x14ac:dyDescent="0.3">
      <c r="A106" s="1">
        <v>46036</v>
      </c>
      <c r="B106" t="s">
        <v>424</v>
      </c>
      <c r="D106" s="11"/>
      <c r="E106" s="11"/>
      <c r="F106" s="11"/>
      <c r="G106" s="11">
        <f t="shared" si="22"/>
        <v>0</v>
      </c>
      <c r="H106" s="11">
        <f>SUMIFS(Table14[Debit], Table14[Date], Table3[[#This Row],[Date]], Table14[Party], Table3[[#This Row],[Party Name]])</f>
        <v>31500</v>
      </c>
      <c r="I106" s="11">
        <f>(D106*E106)-Table3[[#This Row],[Paid]]</f>
        <v>-31500</v>
      </c>
    </row>
    <row r="107" spans="1:9" x14ac:dyDescent="0.3">
      <c r="A107" s="1">
        <v>46037</v>
      </c>
      <c r="B107" t="s">
        <v>94</v>
      </c>
      <c r="C107" t="s">
        <v>519</v>
      </c>
      <c r="D107" s="11">
        <v>522</v>
      </c>
      <c r="E107" s="11">
        <v>850</v>
      </c>
      <c r="F107" s="11">
        <v>95200</v>
      </c>
      <c r="G107" s="11">
        <f t="shared" si="22"/>
        <v>443700</v>
      </c>
      <c r="H107" s="11">
        <f>SUMIFS(Table14[Debit], Table14[Date], Table3[[#This Row],[Date]], Table14[Party], Table3[[#This Row],[Party Name]])</f>
        <v>95200</v>
      </c>
      <c r="I107" s="11">
        <f>(D107*E107)-Table3[[#This Row],[Paid]]</f>
        <v>348500</v>
      </c>
    </row>
    <row r="108" spans="1:9" x14ac:dyDescent="0.3">
      <c r="A108" s="1">
        <v>46037</v>
      </c>
      <c r="B108" t="s">
        <v>200</v>
      </c>
      <c r="D108" s="11">
        <v>213</v>
      </c>
      <c r="E108" s="11">
        <v>830</v>
      </c>
      <c r="F108" s="11"/>
      <c r="G108" s="11">
        <f t="shared" si="22"/>
        <v>176790</v>
      </c>
      <c r="H108" s="11"/>
      <c r="I108" s="11">
        <f>(D108*E108)-Table3[[#This Row],[Paid]]</f>
        <v>176790</v>
      </c>
    </row>
    <row r="109" spans="1:9" x14ac:dyDescent="0.3">
      <c r="A109" s="1">
        <v>46037</v>
      </c>
      <c r="B109" t="s">
        <v>424</v>
      </c>
      <c r="D109" s="11"/>
      <c r="E109" s="11"/>
      <c r="F109" s="11"/>
      <c r="G109" s="11">
        <f t="shared" si="22"/>
        <v>0</v>
      </c>
      <c r="H109" s="11"/>
      <c r="I109" s="11">
        <f>(D109*E109)-Table3[[#This Row],[Paid]]</f>
        <v>0</v>
      </c>
    </row>
    <row r="110" spans="1:9" x14ac:dyDescent="0.3">
      <c r="A110" s="1"/>
      <c r="D110" s="11"/>
      <c r="E110" s="11"/>
      <c r="F110" s="11"/>
      <c r="G110" s="11">
        <f t="shared" si="22"/>
        <v>0</v>
      </c>
      <c r="H110" s="11"/>
      <c r="I110" s="11">
        <f>(D110*E110)-Table3[[#This Row],[Paid]]</f>
        <v>0</v>
      </c>
    </row>
    <row r="111" spans="1:9" x14ac:dyDescent="0.3">
      <c r="A111" s="1"/>
      <c r="D111" s="14"/>
      <c r="E111" s="14"/>
      <c r="F111" s="14"/>
      <c r="G111" s="14">
        <f>SUBTOTAL(109,Table3[Total])</f>
        <v>7893640</v>
      </c>
      <c r="H111" s="14">
        <f>SUBTOTAL(109,Table3[Paid])</f>
        <v>6478191</v>
      </c>
      <c r="I111" s="14">
        <f>SUBTOTAL(109,Table3[balance])</f>
        <v>4736877</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461" zoomScale="158" workbookViewId="0">
      <selection activeCell="C473" sqref="C47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7427462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28444756</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28468633</v>
      </c>
      <c r="M5" s="45" t="s">
        <v>108</v>
      </c>
      <c r="N5" s="46">
        <f>(SUMIFS(Table14[Credit],Table14[Mode],"Bank")-SUMIFS(Table14[Debit],Table14[Mode],"Bank")-SUMIFS(Table14[Withdrawal],Table14[Mode],"Transfer"))</f>
        <v>684793</v>
      </c>
      <c r="O5">
        <v>360000</v>
      </c>
    </row>
    <row r="6" spans="1:16" x14ac:dyDescent="0.3">
      <c r="A6" s="38">
        <v>46009</v>
      </c>
      <c r="B6" t="s">
        <v>177</v>
      </c>
      <c r="C6" s="96">
        <v>3600</v>
      </c>
      <c r="D6" s="96"/>
      <c r="E6" t="s">
        <v>218</v>
      </c>
      <c r="F6" s="111" t="s">
        <v>108</v>
      </c>
      <c r="J6" s="52" t="s">
        <v>43</v>
      </c>
      <c r="K6" s="53">
        <f>(K5-K4)</f>
        <v>23877</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73877</v>
      </c>
      <c r="O7" s="90">
        <f>SUM(O5,O6)</f>
        <v>410000</v>
      </c>
      <c r="P7" s="14">
        <f>Table18[[#Totals],[amount]]-Table18[[#Totals],[Actual]]</f>
        <v>-336123</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314300</v>
      </c>
    </row>
    <row r="165" spans="1:12" x14ac:dyDescent="0.3">
      <c r="A165" s="38">
        <v>46018</v>
      </c>
      <c r="B165" t="s">
        <v>54</v>
      </c>
      <c r="C165" s="11">
        <v>2500</v>
      </c>
      <c r="D165" s="11"/>
      <c r="E165" t="s">
        <v>236</v>
      </c>
      <c r="F165" s="111" t="s">
        <v>108</v>
      </c>
      <c r="J165" s="4" t="s">
        <v>9</v>
      </c>
      <c r="K165" s="14">
        <v>1732566</v>
      </c>
      <c r="L165" s="14"/>
    </row>
    <row r="166" spans="1:12" x14ac:dyDescent="0.3">
      <c r="A166" s="38">
        <v>46018</v>
      </c>
      <c r="B166" t="s">
        <v>55</v>
      </c>
      <c r="C166" s="11">
        <v>1000</v>
      </c>
      <c r="D166" s="11"/>
      <c r="F166" s="111" t="s">
        <v>108</v>
      </c>
      <c r="J166" s="4" t="s">
        <v>461</v>
      </c>
      <c r="K166" s="14"/>
      <c r="L166" s="14">
        <v>77500</v>
      </c>
    </row>
    <row r="167" spans="1:12" x14ac:dyDescent="0.3">
      <c r="A167" s="38">
        <v>46018</v>
      </c>
      <c r="B167" t="s">
        <v>50</v>
      </c>
      <c r="C167" s="11">
        <v>1000</v>
      </c>
      <c r="D167" s="11"/>
      <c r="E167" t="s">
        <v>217</v>
      </c>
      <c r="F167" s="111" t="s">
        <v>108</v>
      </c>
      <c r="J167" s="4" t="s">
        <v>94</v>
      </c>
      <c r="K167" s="14"/>
      <c r="L167" s="14">
        <v>1318915</v>
      </c>
    </row>
    <row r="168" spans="1:12" x14ac:dyDescent="0.3">
      <c r="A168" s="38">
        <v>46019</v>
      </c>
      <c r="B168" t="s">
        <v>55</v>
      </c>
      <c r="C168" s="96">
        <v>2630</v>
      </c>
      <c r="D168" s="96"/>
      <c r="E168" t="s">
        <v>328</v>
      </c>
      <c r="F168" s="111" t="s">
        <v>108</v>
      </c>
      <c r="J168" s="4" t="s">
        <v>50</v>
      </c>
      <c r="K168" s="14"/>
      <c r="L168" s="14">
        <v>32355</v>
      </c>
    </row>
    <row r="169" spans="1:12" x14ac:dyDescent="0.3">
      <c r="A169" s="116">
        <v>46019</v>
      </c>
      <c r="B169" t="s">
        <v>55</v>
      </c>
      <c r="C169" s="11">
        <v>21000</v>
      </c>
      <c r="D169" s="11"/>
      <c r="E169" t="s">
        <v>329</v>
      </c>
      <c r="F169" s="111" t="s">
        <v>108</v>
      </c>
      <c r="J169" s="4" t="s">
        <v>55</v>
      </c>
      <c r="K169" s="14"/>
      <c r="L169" s="14">
        <v>437234</v>
      </c>
    </row>
    <row r="170" spans="1:12" x14ac:dyDescent="0.3">
      <c r="A170" s="38">
        <v>46019</v>
      </c>
      <c r="B170" t="s">
        <v>54</v>
      </c>
      <c r="C170" s="11">
        <v>1000</v>
      </c>
      <c r="D170" s="11"/>
      <c r="E170" t="s">
        <v>236</v>
      </c>
      <c r="F170" s="111" t="s">
        <v>108</v>
      </c>
      <c r="J170" s="4" t="s">
        <v>113</v>
      </c>
      <c r="K170" s="14"/>
      <c r="L170" s="14">
        <v>111730</v>
      </c>
    </row>
    <row r="171" spans="1:12" x14ac:dyDescent="0.3">
      <c r="A171" s="116">
        <v>46020</v>
      </c>
      <c r="B171" t="s">
        <v>198</v>
      </c>
      <c r="C171" s="11">
        <v>61000</v>
      </c>
      <c r="D171" s="11"/>
      <c r="E171" t="s">
        <v>18</v>
      </c>
      <c r="F171" s="111" t="s">
        <v>108</v>
      </c>
      <c r="J171" s="4" t="s">
        <v>52</v>
      </c>
      <c r="K171" s="14"/>
      <c r="L171" s="14">
        <v>1051300</v>
      </c>
    </row>
    <row r="172" spans="1:12" x14ac:dyDescent="0.3">
      <c r="A172" s="38">
        <v>46020</v>
      </c>
      <c r="B172" t="s">
        <v>198</v>
      </c>
      <c r="C172" s="11">
        <v>100000</v>
      </c>
      <c r="D172" s="11"/>
      <c r="F172" s="111" t="s">
        <v>108</v>
      </c>
      <c r="J172" s="4" t="s">
        <v>339</v>
      </c>
      <c r="K172" s="14">
        <v>84970</v>
      </c>
      <c r="L172" s="14"/>
    </row>
    <row r="173" spans="1:12" x14ac:dyDescent="0.3">
      <c r="A173" s="116">
        <v>46020</v>
      </c>
      <c r="B173" t="s">
        <v>9</v>
      </c>
      <c r="C173" s="11"/>
      <c r="D173" s="11">
        <v>200000</v>
      </c>
      <c r="F173" s="111" t="s">
        <v>108</v>
      </c>
      <c r="J173" s="4" t="s">
        <v>54</v>
      </c>
      <c r="K173" s="14"/>
      <c r="L173" s="14">
        <v>129791</v>
      </c>
    </row>
    <row r="174" spans="1:12" x14ac:dyDescent="0.3">
      <c r="A174" s="38">
        <v>46020</v>
      </c>
      <c r="B174" t="s">
        <v>169</v>
      </c>
      <c r="C174" s="11">
        <v>100000</v>
      </c>
      <c r="D174" s="11"/>
      <c r="F174" s="111" t="s">
        <v>108</v>
      </c>
      <c r="J174" s="4" t="s">
        <v>116</v>
      </c>
      <c r="K174" s="14"/>
      <c r="L174" s="14">
        <v>268000</v>
      </c>
    </row>
    <row r="175" spans="1:12" x14ac:dyDescent="0.3">
      <c r="A175" s="116">
        <v>46020</v>
      </c>
      <c r="B175" t="s">
        <v>192</v>
      </c>
      <c r="C175" s="11"/>
      <c r="D175" s="11">
        <v>975000</v>
      </c>
      <c r="E175" t="s">
        <v>330</v>
      </c>
      <c r="F175" s="111" t="s">
        <v>108</v>
      </c>
      <c r="J175" s="4" t="s">
        <v>177</v>
      </c>
      <c r="K175" s="14">
        <v>7500</v>
      </c>
      <c r="L175" s="14">
        <v>724010</v>
      </c>
    </row>
    <row r="176" spans="1:12" x14ac:dyDescent="0.3">
      <c r="A176" s="38">
        <v>46020</v>
      </c>
      <c r="B176" t="s">
        <v>54</v>
      </c>
      <c r="C176" s="11">
        <v>10000</v>
      </c>
      <c r="D176" s="11"/>
      <c r="E176" t="s">
        <v>236</v>
      </c>
      <c r="F176" s="111" t="s">
        <v>108</v>
      </c>
      <c r="J176" s="4" t="s">
        <v>337</v>
      </c>
      <c r="K176" s="14"/>
      <c r="L176" s="14">
        <v>1500</v>
      </c>
    </row>
    <row r="177" spans="1:12" x14ac:dyDescent="0.3">
      <c r="A177" s="116">
        <v>46020</v>
      </c>
      <c r="B177" t="s">
        <v>54</v>
      </c>
      <c r="C177" s="11">
        <v>7950</v>
      </c>
      <c r="D177" s="11"/>
      <c r="E177" t="s">
        <v>236</v>
      </c>
      <c r="F177" s="111" t="s">
        <v>108</v>
      </c>
      <c r="J177" s="4" t="s">
        <v>222</v>
      </c>
      <c r="K177" s="14">
        <v>394511</v>
      </c>
      <c r="L177" s="14">
        <v>115743</v>
      </c>
    </row>
    <row r="178" spans="1:12" x14ac:dyDescent="0.3">
      <c r="A178" s="38">
        <v>46020</v>
      </c>
      <c r="B178" t="s">
        <v>233</v>
      </c>
      <c r="C178" s="11">
        <v>15000</v>
      </c>
      <c r="D178" s="11"/>
      <c r="E178" t="s">
        <v>238</v>
      </c>
      <c r="F178" s="111" t="s">
        <v>108</v>
      </c>
      <c r="J178" s="4" t="s">
        <v>326</v>
      </c>
      <c r="K178" s="14">
        <v>1102058</v>
      </c>
      <c r="L178" s="14"/>
    </row>
    <row r="179" spans="1:12" x14ac:dyDescent="0.3">
      <c r="A179" s="116">
        <v>46020</v>
      </c>
      <c r="B179" t="s">
        <v>219</v>
      </c>
      <c r="C179" s="11">
        <v>5000</v>
      </c>
      <c r="D179" s="11"/>
      <c r="E179" t="s">
        <v>220</v>
      </c>
      <c r="F179" s="111" t="s">
        <v>108</v>
      </c>
      <c r="J179" s="4" t="s">
        <v>103</v>
      </c>
      <c r="K179" s="14"/>
      <c r="L179" s="14"/>
    </row>
    <row r="180" spans="1:12" x14ac:dyDescent="0.3">
      <c r="A180" s="38">
        <v>46020</v>
      </c>
      <c r="B180" t="s">
        <v>177</v>
      </c>
      <c r="C180" s="11">
        <v>7200</v>
      </c>
      <c r="D180" s="11"/>
      <c r="F180" s="111" t="s">
        <v>108</v>
      </c>
      <c r="J180" s="4" t="s">
        <v>277</v>
      </c>
      <c r="K180" s="14">
        <v>600000</v>
      </c>
      <c r="L180" s="14"/>
    </row>
    <row r="181" spans="1:12" x14ac:dyDescent="0.3">
      <c r="A181" s="116">
        <v>46020</v>
      </c>
      <c r="B181" t="s">
        <v>192</v>
      </c>
      <c r="C181" s="96"/>
      <c r="D181" s="96">
        <v>50000</v>
      </c>
      <c r="E181" t="s">
        <v>284</v>
      </c>
      <c r="F181" s="111" t="s">
        <v>108</v>
      </c>
      <c r="J181" s="4" t="s">
        <v>341</v>
      </c>
      <c r="K181" s="14">
        <v>849664</v>
      </c>
      <c r="L181" s="14"/>
    </row>
    <row r="182" spans="1:12" x14ac:dyDescent="0.3">
      <c r="A182" s="38">
        <v>46020</v>
      </c>
      <c r="B182" t="s">
        <v>192</v>
      </c>
      <c r="C182" s="11"/>
      <c r="D182" s="11">
        <v>30000</v>
      </c>
      <c r="E182" t="s">
        <v>234</v>
      </c>
      <c r="F182" s="111" t="s">
        <v>108</v>
      </c>
      <c r="J182" s="4" t="s">
        <v>224</v>
      </c>
      <c r="K182" s="14">
        <v>1063699</v>
      </c>
      <c r="L182" s="14"/>
    </row>
    <row r="183" spans="1:12" x14ac:dyDescent="0.3">
      <c r="A183" s="116">
        <v>46020</v>
      </c>
      <c r="B183" t="s">
        <v>166</v>
      </c>
      <c r="C183" s="11"/>
      <c r="D183" s="11">
        <v>100000</v>
      </c>
      <c r="E183" t="s">
        <v>21</v>
      </c>
      <c r="F183" s="111" t="s">
        <v>108</v>
      </c>
      <c r="J183" s="4" t="s">
        <v>26</v>
      </c>
      <c r="K183" s="14">
        <v>300000</v>
      </c>
      <c r="L183" s="14"/>
    </row>
    <row r="184" spans="1:12" x14ac:dyDescent="0.3">
      <c r="A184" s="38">
        <v>46020</v>
      </c>
      <c r="B184" t="s">
        <v>192</v>
      </c>
      <c r="C184" s="11">
        <v>100000</v>
      </c>
      <c r="D184" s="11"/>
      <c r="E184" t="s">
        <v>335</v>
      </c>
      <c r="F184" s="111" t="s">
        <v>108</v>
      </c>
      <c r="J184" s="4" t="s">
        <v>149</v>
      </c>
      <c r="K184" s="14"/>
      <c r="L184" s="14">
        <v>80000</v>
      </c>
    </row>
    <row r="185" spans="1:12" x14ac:dyDescent="0.3">
      <c r="A185" s="116">
        <v>46021</v>
      </c>
      <c r="B185" t="s">
        <v>224</v>
      </c>
      <c r="C185" s="11"/>
      <c r="D185" s="11">
        <v>68900</v>
      </c>
      <c r="E185" t="s">
        <v>352</v>
      </c>
      <c r="F185" s="111" t="s">
        <v>108</v>
      </c>
      <c r="J185" s="4" t="s">
        <v>64</v>
      </c>
      <c r="K185" s="14"/>
      <c r="L185" s="14">
        <v>80375</v>
      </c>
    </row>
    <row r="186" spans="1:12" x14ac:dyDescent="0.3">
      <c r="A186" s="38">
        <v>46021</v>
      </c>
      <c r="B186" t="s">
        <v>192</v>
      </c>
      <c r="C186" s="96"/>
      <c r="D186" s="96">
        <v>194000</v>
      </c>
      <c r="F186" s="111" t="s">
        <v>108</v>
      </c>
      <c r="J186" s="4" t="s">
        <v>152</v>
      </c>
      <c r="K186" s="14">
        <v>1007920</v>
      </c>
      <c r="L186" s="14"/>
    </row>
    <row r="187" spans="1:12" x14ac:dyDescent="0.3">
      <c r="A187" s="116">
        <v>46021</v>
      </c>
      <c r="B187" t="s">
        <v>199</v>
      </c>
      <c r="C187" s="11"/>
      <c r="D187" s="11">
        <v>100000</v>
      </c>
      <c r="E187" t="s">
        <v>338</v>
      </c>
      <c r="F187" s="111" t="s">
        <v>108</v>
      </c>
      <c r="J187" s="4" t="s">
        <v>166</v>
      </c>
      <c r="K187" s="14">
        <v>1620000</v>
      </c>
      <c r="L187" s="14"/>
    </row>
    <row r="188" spans="1:12" x14ac:dyDescent="0.3">
      <c r="A188" s="38">
        <v>46021</v>
      </c>
      <c r="B188" t="s">
        <v>199</v>
      </c>
      <c r="C188" s="96"/>
      <c r="D188" s="96">
        <v>100000</v>
      </c>
      <c r="E188" t="s">
        <v>225</v>
      </c>
      <c r="F188" s="111" t="s">
        <v>108</v>
      </c>
      <c r="J188" s="4" t="s">
        <v>169</v>
      </c>
      <c r="K188" s="14"/>
      <c r="L188" s="14">
        <v>1969595</v>
      </c>
    </row>
    <row r="189" spans="1:12" x14ac:dyDescent="0.3">
      <c r="A189" s="116">
        <v>46021</v>
      </c>
      <c r="B189" t="s">
        <v>339</v>
      </c>
      <c r="C189" s="11"/>
      <c r="D189" s="11">
        <v>84970</v>
      </c>
      <c r="F189" s="111" t="s">
        <v>108</v>
      </c>
      <c r="J189" s="4" t="s">
        <v>192</v>
      </c>
      <c r="K189" s="14">
        <v>9215137</v>
      </c>
      <c r="L189" s="14">
        <v>13935982</v>
      </c>
    </row>
    <row r="190" spans="1:12" x14ac:dyDescent="0.3">
      <c r="A190" s="38">
        <v>46021</v>
      </c>
      <c r="B190" t="s">
        <v>222</v>
      </c>
      <c r="C190" s="11">
        <f>883+150+150</f>
        <v>1183</v>
      </c>
      <c r="D190" s="11"/>
      <c r="F190" s="111" t="s">
        <v>108</v>
      </c>
      <c r="J190" s="4" t="s">
        <v>198</v>
      </c>
      <c r="K190" s="14"/>
      <c r="L190" s="14">
        <v>1119000</v>
      </c>
    </row>
    <row r="191" spans="1:12" x14ac:dyDescent="0.3">
      <c r="A191" s="116">
        <v>46021</v>
      </c>
      <c r="B191" t="s">
        <v>229</v>
      </c>
      <c r="C191" s="11">
        <v>200401</v>
      </c>
      <c r="D191" s="11"/>
      <c r="E191" t="s">
        <v>340</v>
      </c>
      <c r="F191" s="111" t="s">
        <v>108</v>
      </c>
      <c r="J191" s="4" t="s">
        <v>179</v>
      </c>
      <c r="K191" s="14">
        <v>409310</v>
      </c>
      <c r="L191" s="14"/>
    </row>
    <row r="192" spans="1:12" x14ac:dyDescent="0.3">
      <c r="A192" s="38">
        <v>46021</v>
      </c>
      <c r="B192" t="s">
        <v>341</v>
      </c>
      <c r="C192" s="11"/>
      <c r="D192" s="11">
        <v>239960</v>
      </c>
      <c r="F192" s="111" t="s">
        <v>108</v>
      </c>
      <c r="J192" s="4" t="s">
        <v>51</v>
      </c>
      <c r="K192" s="14"/>
      <c r="L192" s="14">
        <v>2047865</v>
      </c>
    </row>
    <row r="193" spans="1:12" x14ac:dyDescent="0.3">
      <c r="A193" s="116">
        <v>46021</v>
      </c>
      <c r="B193" t="s">
        <v>169</v>
      </c>
      <c r="C193" s="11">
        <v>250000</v>
      </c>
      <c r="D193" s="11"/>
      <c r="F193" s="111" t="s">
        <v>108</v>
      </c>
      <c r="J193" s="4" t="s">
        <v>466</v>
      </c>
      <c r="K193" s="14"/>
      <c r="L193" s="14">
        <v>351000</v>
      </c>
    </row>
    <row r="194" spans="1:12" x14ac:dyDescent="0.3">
      <c r="A194" s="38">
        <v>46021</v>
      </c>
      <c r="B194" t="s">
        <v>326</v>
      </c>
      <c r="C194" s="11"/>
      <c r="D194" s="11">
        <v>60000</v>
      </c>
      <c r="E194" t="s">
        <v>342</v>
      </c>
      <c r="F194" s="111" t="s">
        <v>108</v>
      </c>
      <c r="J194" s="4" t="s">
        <v>219</v>
      </c>
      <c r="K194" s="14"/>
      <c r="L194" s="14">
        <v>28400</v>
      </c>
    </row>
    <row r="195" spans="1:12" x14ac:dyDescent="0.3">
      <c r="A195" s="116">
        <v>46021</v>
      </c>
      <c r="B195" t="s">
        <v>192</v>
      </c>
      <c r="C195" s="11">
        <v>60000</v>
      </c>
      <c r="D195" s="11"/>
      <c r="E195" t="s">
        <v>343</v>
      </c>
      <c r="F195" s="111" t="s">
        <v>108</v>
      </c>
      <c r="J195" s="4" t="s">
        <v>199</v>
      </c>
      <c r="K195" s="14">
        <v>993570</v>
      </c>
      <c r="L195" s="14"/>
    </row>
    <row r="196" spans="1:12" x14ac:dyDescent="0.3">
      <c r="A196" s="38">
        <v>46021</v>
      </c>
      <c r="B196" t="s">
        <v>256</v>
      </c>
      <c r="C196" s="11">
        <v>11850</v>
      </c>
      <c r="D196" s="11"/>
      <c r="E196" t="s">
        <v>294</v>
      </c>
      <c r="F196" s="111" t="s">
        <v>108</v>
      </c>
      <c r="J196" s="4" t="s">
        <v>229</v>
      </c>
      <c r="K196" s="14"/>
      <c r="L196" s="14">
        <v>2794267</v>
      </c>
    </row>
    <row r="197" spans="1:12" x14ac:dyDescent="0.3">
      <c r="A197" s="116">
        <v>46021</v>
      </c>
      <c r="B197" t="s">
        <v>202</v>
      </c>
      <c r="C197" s="11">
        <v>27000</v>
      </c>
      <c r="D197" s="11"/>
      <c r="E197" t="s">
        <v>230</v>
      </c>
      <c r="F197" s="111" t="s">
        <v>108</v>
      </c>
      <c r="J197" s="4" t="s">
        <v>202</v>
      </c>
      <c r="K197" s="14"/>
      <c r="L197" s="14">
        <v>182000</v>
      </c>
    </row>
    <row r="198" spans="1:12" x14ac:dyDescent="0.3">
      <c r="A198" s="38">
        <v>46021</v>
      </c>
      <c r="B198" t="s">
        <v>233</v>
      </c>
      <c r="C198" s="11">
        <v>1300</v>
      </c>
      <c r="D198" s="11"/>
      <c r="E198" t="s">
        <v>344</v>
      </c>
      <c r="F198" s="111" t="s">
        <v>108</v>
      </c>
      <c r="J198" s="4" t="s">
        <v>216</v>
      </c>
      <c r="K198" s="14">
        <v>6816546</v>
      </c>
      <c r="L198" s="14"/>
    </row>
    <row r="199" spans="1:12" x14ac:dyDescent="0.3">
      <c r="A199" s="116">
        <v>46021</v>
      </c>
      <c r="B199" t="s">
        <v>233</v>
      </c>
      <c r="C199" s="11">
        <v>60000</v>
      </c>
      <c r="D199" s="11"/>
      <c r="E199" t="s">
        <v>290</v>
      </c>
      <c r="F199" s="111" t="s">
        <v>108</v>
      </c>
      <c r="J199" s="4" t="s">
        <v>256</v>
      </c>
      <c r="K199" s="14"/>
      <c r="L199" s="14">
        <v>66850</v>
      </c>
    </row>
    <row r="200" spans="1:12" x14ac:dyDescent="0.3">
      <c r="A200" s="38">
        <v>46021</v>
      </c>
      <c r="B200" t="s">
        <v>94</v>
      </c>
      <c r="C200" s="11">
        <v>1000</v>
      </c>
      <c r="D200" s="11"/>
      <c r="E200" t="s">
        <v>345</v>
      </c>
      <c r="F200" s="111" t="s">
        <v>108</v>
      </c>
      <c r="J200" s="4" t="s">
        <v>286</v>
      </c>
      <c r="K200" s="14">
        <v>1496025</v>
      </c>
      <c r="L200" s="14"/>
    </row>
    <row r="201" spans="1:12" x14ac:dyDescent="0.3">
      <c r="A201" s="116">
        <v>46021</v>
      </c>
      <c r="B201" t="s">
        <v>229</v>
      </c>
      <c r="C201" s="11">
        <v>5000</v>
      </c>
      <c r="D201" s="11"/>
      <c r="E201" t="s">
        <v>345</v>
      </c>
      <c r="F201" s="111" t="s">
        <v>108</v>
      </c>
      <c r="J201" s="4" t="s">
        <v>302</v>
      </c>
      <c r="K201" s="14"/>
      <c r="L201" s="14">
        <v>162500</v>
      </c>
    </row>
    <row r="202" spans="1:12" x14ac:dyDescent="0.3">
      <c r="A202" s="38">
        <v>46021</v>
      </c>
      <c r="B202" t="s">
        <v>50</v>
      </c>
      <c r="C202" s="11">
        <v>1000</v>
      </c>
      <c r="D202" s="11"/>
      <c r="E202" t="s">
        <v>345</v>
      </c>
      <c r="F202" s="111" t="s">
        <v>108</v>
      </c>
      <c r="J202" s="4" t="s">
        <v>410</v>
      </c>
      <c r="K202" s="14"/>
      <c r="L202" s="14">
        <v>444084</v>
      </c>
    </row>
    <row r="203" spans="1:12" x14ac:dyDescent="0.3">
      <c r="A203" s="116">
        <v>46021</v>
      </c>
      <c r="B203" t="s">
        <v>177</v>
      </c>
      <c r="C203" s="11">
        <v>3600</v>
      </c>
      <c r="D203" s="11"/>
      <c r="E203" t="s">
        <v>218</v>
      </c>
      <c r="F203" s="111" t="s">
        <v>108</v>
      </c>
      <c r="J203" s="4" t="s">
        <v>437</v>
      </c>
      <c r="K203" s="14">
        <v>200000</v>
      </c>
      <c r="L203" s="14"/>
    </row>
    <row r="204" spans="1:12" x14ac:dyDescent="0.3">
      <c r="A204" s="38">
        <v>46021</v>
      </c>
      <c r="B204" t="s">
        <v>192</v>
      </c>
      <c r="C204" s="11">
        <v>200000</v>
      </c>
      <c r="D204" s="11"/>
      <c r="E204" t="s">
        <v>346</v>
      </c>
      <c r="F204" s="111" t="s">
        <v>108</v>
      </c>
      <c r="J204" s="4" t="s">
        <v>28</v>
      </c>
      <c r="K204" s="14">
        <v>27893476</v>
      </c>
      <c r="L204" s="14">
        <v>27844296</v>
      </c>
    </row>
    <row r="205" spans="1:12" x14ac:dyDescent="0.3">
      <c r="A205" s="116">
        <v>46021</v>
      </c>
      <c r="B205" t="s">
        <v>55</v>
      </c>
      <c r="C205" s="11">
        <v>1000</v>
      </c>
      <c r="D205" s="11"/>
      <c r="E205" t="s">
        <v>347</v>
      </c>
      <c r="F205" s="111" t="s">
        <v>108</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6" x14ac:dyDescent="0.3">
      <c r="A241" s="38">
        <v>46023</v>
      </c>
      <c r="B241" t="s">
        <v>179</v>
      </c>
      <c r="C241" s="96"/>
      <c r="D241" s="96">
        <v>409310</v>
      </c>
      <c r="E241" t="s">
        <v>368</v>
      </c>
      <c r="F241" s="111" t="s">
        <v>108</v>
      </c>
    </row>
    <row r="242" spans="1:6" x14ac:dyDescent="0.3">
      <c r="A242" s="38">
        <v>46023</v>
      </c>
      <c r="B242" t="s">
        <v>192</v>
      </c>
      <c r="C242" s="96">
        <v>409310</v>
      </c>
      <c r="D242" s="96"/>
      <c r="E242" t="s">
        <v>369</v>
      </c>
      <c r="F242" s="111" t="s">
        <v>108</v>
      </c>
    </row>
    <row r="243" spans="1:6" x14ac:dyDescent="0.3">
      <c r="A243" s="116">
        <v>46024</v>
      </c>
      <c r="B243" t="s">
        <v>199</v>
      </c>
      <c r="C243" s="11"/>
      <c r="D243" s="11">
        <v>128800</v>
      </c>
      <c r="E243" t="s">
        <v>109</v>
      </c>
      <c r="F243" s="111" t="s">
        <v>108</v>
      </c>
    </row>
    <row r="244" spans="1:6" x14ac:dyDescent="0.3">
      <c r="A244" s="38">
        <v>46024</v>
      </c>
      <c r="B244" t="s">
        <v>224</v>
      </c>
      <c r="C244" s="96"/>
      <c r="D244" s="96">
        <v>150000</v>
      </c>
      <c r="E244" t="s">
        <v>370</v>
      </c>
      <c r="F244" s="111" t="s">
        <v>108</v>
      </c>
    </row>
    <row r="245" spans="1:6" x14ac:dyDescent="0.3">
      <c r="A245" s="116">
        <v>46024</v>
      </c>
      <c r="B245" t="s">
        <v>222</v>
      </c>
      <c r="C245" s="96"/>
      <c r="D245" s="96">
        <v>11000</v>
      </c>
      <c r="F245" s="111" t="s">
        <v>108</v>
      </c>
    </row>
    <row r="246" spans="1:6" x14ac:dyDescent="0.3">
      <c r="A246" s="38">
        <v>46024</v>
      </c>
      <c r="B246" t="s">
        <v>198</v>
      </c>
      <c r="C246" s="11">
        <v>80250</v>
      </c>
      <c r="D246" s="11"/>
      <c r="E246" t="s">
        <v>294</v>
      </c>
      <c r="F246" s="111" t="s">
        <v>108</v>
      </c>
    </row>
    <row r="247" spans="1:6" x14ac:dyDescent="0.3">
      <c r="A247" s="116">
        <v>46024</v>
      </c>
      <c r="B247" t="s">
        <v>113</v>
      </c>
      <c r="C247" s="11">
        <v>1000</v>
      </c>
      <c r="D247" s="11"/>
      <c r="E247" t="s">
        <v>371</v>
      </c>
      <c r="F247" s="111" t="s">
        <v>108</v>
      </c>
    </row>
    <row r="248" spans="1:6" x14ac:dyDescent="0.3">
      <c r="A248" s="38">
        <v>46024</v>
      </c>
      <c r="B248" t="s">
        <v>337</v>
      </c>
      <c r="C248" s="11">
        <v>1500</v>
      </c>
      <c r="D248" s="11"/>
      <c r="E248" t="s">
        <v>372</v>
      </c>
      <c r="F248" s="111" t="s">
        <v>108</v>
      </c>
    </row>
    <row r="249" spans="1:6" x14ac:dyDescent="0.3">
      <c r="A249" s="116">
        <v>46024</v>
      </c>
      <c r="B249" t="s">
        <v>113</v>
      </c>
      <c r="C249" s="11">
        <v>20000</v>
      </c>
      <c r="D249" s="11"/>
      <c r="E249" t="s">
        <v>304</v>
      </c>
      <c r="F249" s="111" t="s">
        <v>108</v>
      </c>
    </row>
    <row r="250" spans="1:6" x14ac:dyDescent="0.3">
      <c r="A250" s="38">
        <v>46024</v>
      </c>
      <c r="B250" t="s">
        <v>54</v>
      </c>
      <c r="C250" s="11">
        <v>10185</v>
      </c>
      <c r="D250" s="11"/>
      <c r="F250" s="111" t="s">
        <v>108</v>
      </c>
    </row>
    <row r="251" spans="1:6" x14ac:dyDescent="0.3">
      <c r="A251" s="116">
        <v>46024</v>
      </c>
      <c r="B251" t="s">
        <v>177</v>
      </c>
      <c r="C251" s="11">
        <v>3600</v>
      </c>
      <c r="D251" s="11"/>
      <c r="E251" t="s">
        <v>218</v>
      </c>
      <c r="F251" s="111" t="s">
        <v>108</v>
      </c>
    </row>
    <row r="252" spans="1:6" x14ac:dyDescent="0.3">
      <c r="A252" s="38">
        <v>46024</v>
      </c>
      <c r="B252" t="s">
        <v>52</v>
      </c>
      <c r="C252" s="11"/>
      <c r="D252" s="11"/>
      <c r="E252" t="s">
        <v>373</v>
      </c>
      <c r="F252" s="111" t="s">
        <v>108</v>
      </c>
    </row>
    <row r="253" spans="1:6" x14ac:dyDescent="0.3">
      <c r="A253" s="116">
        <v>46024</v>
      </c>
      <c r="B253" t="s">
        <v>52</v>
      </c>
      <c r="C253" s="11"/>
      <c r="D253" s="11"/>
      <c r="E253" t="s">
        <v>221</v>
      </c>
      <c r="F253" s="111" t="s">
        <v>108</v>
      </c>
    </row>
    <row r="254" spans="1:6" x14ac:dyDescent="0.3">
      <c r="A254" s="38">
        <v>46024</v>
      </c>
      <c r="B254" t="s">
        <v>229</v>
      </c>
      <c r="C254" s="11">
        <v>200154</v>
      </c>
      <c r="D254" s="11"/>
      <c r="E254" t="s">
        <v>374</v>
      </c>
      <c r="F254" s="111" t="s">
        <v>108</v>
      </c>
    </row>
    <row r="255" spans="1:6" x14ac:dyDescent="0.3">
      <c r="A255" s="116">
        <v>46024</v>
      </c>
      <c r="B255" t="s">
        <v>192</v>
      </c>
      <c r="C255" s="11"/>
      <c r="D255" s="11">
        <v>100000</v>
      </c>
      <c r="E255" t="s">
        <v>375</v>
      </c>
      <c r="F255" s="111" t="s">
        <v>108</v>
      </c>
    </row>
    <row r="256" spans="1:6" x14ac:dyDescent="0.3">
      <c r="A256" s="38">
        <v>46024</v>
      </c>
      <c r="B256" t="s">
        <v>50</v>
      </c>
      <c r="C256" s="11">
        <v>1500</v>
      </c>
      <c r="D256" s="11"/>
      <c r="E256" t="s">
        <v>376</v>
      </c>
      <c r="F256" s="111" t="s">
        <v>108</v>
      </c>
    </row>
    <row r="257" spans="1:6" x14ac:dyDescent="0.3">
      <c r="A257" s="116">
        <v>46025</v>
      </c>
      <c r="B257" t="s">
        <v>9</v>
      </c>
      <c r="C257" s="11"/>
      <c r="D257" s="11">
        <v>250000</v>
      </c>
      <c r="E257" t="s">
        <v>379</v>
      </c>
      <c r="F257" s="111" t="s">
        <v>108</v>
      </c>
    </row>
    <row r="258" spans="1:6" x14ac:dyDescent="0.3">
      <c r="A258" s="38">
        <v>46025</v>
      </c>
      <c r="B258" t="s">
        <v>192</v>
      </c>
      <c r="C258" s="11"/>
      <c r="D258" s="11">
        <v>3500</v>
      </c>
      <c r="E258" t="s">
        <v>380</v>
      </c>
      <c r="F258" s="111" t="s">
        <v>108</v>
      </c>
    </row>
    <row r="259" spans="1:6" x14ac:dyDescent="0.3">
      <c r="A259" s="116">
        <v>46025</v>
      </c>
      <c r="B259" t="s">
        <v>55</v>
      </c>
      <c r="C259" s="11">
        <v>3500</v>
      </c>
      <c r="D259" s="11"/>
      <c r="E259" t="s">
        <v>380</v>
      </c>
      <c r="F259" s="111" t="s">
        <v>108</v>
      </c>
    </row>
    <row r="260" spans="1:6" x14ac:dyDescent="0.3">
      <c r="A260" s="38">
        <v>46025</v>
      </c>
      <c r="B260" t="s">
        <v>54</v>
      </c>
      <c r="C260" s="11">
        <v>9139</v>
      </c>
      <c r="D260" s="11"/>
      <c r="E260" t="s">
        <v>236</v>
      </c>
      <c r="F260" s="111" t="s">
        <v>108</v>
      </c>
    </row>
    <row r="261" spans="1:6" x14ac:dyDescent="0.3">
      <c r="A261" s="116">
        <v>46025</v>
      </c>
      <c r="B261" t="s">
        <v>219</v>
      </c>
      <c r="C261" s="11">
        <v>3400</v>
      </c>
      <c r="D261" s="11"/>
      <c r="E261" t="s">
        <v>385</v>
      </c>
      <c r="F261" s="111" t="s">
        <v>108</v>
      </c>
    </row>
    <row r="262" spans="1:6" x14ac:dyDescent="0.3">
      <c r="A262" s="38">
        <v>46025</v>
      </c>
      <c r="B262" t="s">
        <v>222</v>
      </c>
      <c r="C262" s="11"/>
      <c r="D262" s="11">
        <v>3400</v>
      </c>
      <c r="E262" t="s">
        <v>386</v>
      </c>
      <c r="F262" s="111" t="s">
        <v>108</v>
      </c>
    </row>
    <row r="263" spans="1:6" x14ac:dyDescent="0.3">
      <c r="A263" s="116">
        <v>46025</v>
      </c>
      <c r="B263" t="s">
        <v>222</v>
      </c>
      <c r="C263" s="11"/>
      <c r="D263" s="11">
        <v>9139</v>
      </c>
      <c r="E263" t="s">
        <v>382</v>
      </c>
      <c r="F263" s="111" t="s">
        <v>108</v>
      </c>
    </row>
    <row r="264" spans="1:6" x14ac:dyDescent="0.3">
      <c r="A264" s="38">
        <v>46025</v>
      </c>
      <c r="B264" t="s">
        <v>222</v>
      </c>
      <c r="C264" s="11"/>
      <c r="D264" s="11">
        <v>660</v>
      </c>
      <c r="E264" t="s">
        <v>380</v>
      </c>
      <c r="F264" s="111" t="s">
        <v>108</v>
      </c>
    </row>
    <row r="265" spans="1:6" x14ac:dyDescent="0.3">
      <c r="A265" s="116">
        <v>46025</v>
      </c>
      <c r="B265" t="s">
        <v>55</v>
      </c>
      <c r="C265" s="11">
        <v>660</v>
      </c>
      <c r="D265" s="11"/>
      <c r="E265" t="s">
        <v>383</v>
      </c>
      <c r="F265" s="111" t="s">
        <v>108</v>
      </c>
    </row>
    <row r="266" spans="1:6" x14ac:dyDescent="0.3">
      <c r="A266" s="38">
        <v>46025</v>
      </c>
      <c r="B266" t="s">
        <v>198</v>
      </c>
      <c r="C266" s="11">
        <v>80000</v>
      </c>
      <c r="D266" s="11"/>
      <c r="E266" t="s">
        <v>384</v>
      </c>
      <c r="F266" s="111" t="s">
        <v>108</v>
      </c>
    </row>
    <row r="267" spans="1:6" x14ac:dyDescent="0.3">
      <c r="A267" s="116">
        <v>45660</v>
      </c>
      <c r="B267" t="s">
        <v>192</v>
      </c>
      <c r="C267" s="11"/>
      <c r="D267" s="11">
        <v>80000</v>
      </c>
      <c r="E267" t="s">
        <v>198</v>
      </c>
      <c r="F267" s="111" t="s">
        <v>108</v>
      </c>
    </row>
    <row r="268" spans="1:6" x14ac:dyDescent="0.3">
      <c r="A268" s="116">
        <v>46025</v>
      </c>
      <c r="B268" t="s">
        <v>55</v>
      </c>
      <c r="C268" s="96">
        <v>3340</v>
      </c>
      <c r="D268" s="96"/>
      <c r="E268" t="s">
        <v>328</v>
      </c>
      <c r="F268" s="111" t="s">
        <v>108</v>
      </c>
    </row>
    <row r="269" spans="1:6" x14ac:dyDescent="0.3">
      <c r="A269" s="38">
        <v>46025</v>
      </c>
      <c r="B269" t="s">
        <v>222</v>
      </c>
      <c r="C269" s="11"/>
      <c r="D269" s="11">
        <v>3340</v>
      </c>
      <c r="E269" t="s">
        <v>328</v>
      </c>
      <c r="F269" s="111" t="s">
        <v>108</v>
      </c>
    </row>
    <row r="270" spans="1:6" x14ac:dyDescent="0.3">
      <c r="A270" s="116">
        <v>46025</v>
      </c>
      <c r="B270" t="s">
        <v>222</v>
      </c>
      <c r="C270" s="11"/>
      <c r="D270" s="11">
        <v>3500</v>
      </c>
      <c r="E270" t="s">
        <v>381</v>
      </c>
      <c r="F270" s="111" t="s">
        <v>108</v>
      </c>
    </row>
    <row r="271" spans="1:6" x14ac:dyDescent="0.3">
      <c r="A271" s="38">
        <v>46025</v>
      </c>
      <c r="B271" t="s">
        <v>54</v>
      </c>
      <c r="C271" s="11">
        <v>3500</v>
      </c>
      <c r="D271" s="11"/>
      <c r="E271" t="s">
        <v>381</v>
      </c>
      <c r="F271" s="111" t="s">
        <v>108</v>
      </c>
    </row>
    <row r="272" spans="1:6" x14ac:dyDescent="0.3">
      <c r="A272" s="116">
        <v>46025</v>
      </c>
      <c r="B272" t="s">
        <v>229</v>
      </c>
      <c r="C272" s="11">
        <v>200100</v>
      </c>
      <c r="D272" s="11"/>
      <c r="E272" t="s">
        <v>387</v>
      </c>
      <c r="F272" s="111" t="s">
        <v>108</v>
      </c>
    </row>
    <row r="273" spans="1:6" x14ac:dyDescent="0.3">
      <c r="A273" s="38">
        <v>46025</v>
      </c>
      <c r="B273" t="s">
        <v>94</v>
      </c>
      <c r="C273" s="11">
        <v>60400</v>
      </c>
      <c r="D273" s="11"/>
      <c r="E273" t="s">
        <v>388</v>
      </c>
      <c r="F273" s="111" t="s">
        <v>108</v>
      </c>
    </row>
    <row r="274" spans="1:6" x14ac:dyDescent="0.3">
      <c r="A274" s="116">
        <v>46025</v>
      </c>
      <c r="B274" t="s">
        <v>54</v>
      </c>
      <c r="C274" s="11">
        <v>2200</v>
      </c>
      <c r="D274" s="11"/>
      <c r="E274" t="s">
        <v>389</v>
      </c>
      <c r="F274" s="111" t="s">
        <v>108</v>
      </c>
    </row>
    <row r="275" spans="1:6" x14ac:dyDescent="0.3">
      <c r="A275" s="38">
        <v>46025</v>
      </c>
      <c r="B275" t="s">
        <v>222</v>
      </c>
      <c r="C275" s="11"/>
      <c r="D275" s="11">
        <v>2200</v>
      </c>
      <c r="E275" t="s">
        <v>389</v>
      </c>
      <c r="F275" s="111" t="s">
        <v>108</v>
      </c>
    </row>
    <row r="276" spans="1:6" x14ac:dyDescent="0.3">
      <c r="A276" s="116">
        <v>46026</v>
      </c>
      <c r="B276" t="s">
        <v>233</v>
      </c>
      <c r="C276" s="11">
        <v>30000</v>
      </c>
      <c r="D276" s="11"/>
      <c r="E276" t="s">
        <v>390</v>
      </c>
      <c r="F276" s="111" t="s">
        <v>108</v>
      </c>
    </row>
    <row r="277" spans="1:6" x14ac:dyDescent="0.3">
      <c r="A277" s="38">
        <v>46026</v>
      </c>
      <c r="B277" t="s">
        <v>192</v>
      </c>
      <c r="C277" s="11"/>
      <c r="D277" s="11">
        <v>63000</v>
      </c>
      <c r="F277" s="111" t="s">
        <v>108</v>
      </c>
    </row>
    <row r="278" spans="1:6" x14ac:dyDescent="0.3">
      <c r="A278" s="116">
        <v>46026</v>
      </c>
      <c r="B278" t="s">
        <v>202</v>
      </c>
      <c r="C278" s="11">
        <v>20000</v>
      </c>
      <c r="D278" s="11"/>
      <c r="E278" t="s">
        <v>289</v>
      </c>
      <c r="F278" s="111" t="s">
        <v>108</v>
      </c>
    </row>
    <row r="279" spans="1:6" x14ac:dyDescent="0.3">
      <c r="A279" s="38">
        <v>46026</v>
      </c>
      <c r="B279" t="s">
        <v>50</v>
      </c>
      <c r="C279" s="11">
        <v>3000</v>
      </c>
      <c r="D279" s="11"/>
      <c r="E279" t="s">
        <v>391</v>
      </c>
      <c r="F279" s="111" t="s">
        <v>108</v>
      </c>
    </row>
    <row r="280" spans="1:6" x14ac:dyDescent="0.3">
      <c r="A280" s="116">
        <v>46025</v>
      </c>
      <c r="B280" t="s">
        <v>222</v>
      </c>
      <c r="C280" s="11"/>
      <c r="D280" s="11">
        <v>10400</v>
      </c>
      <c r="E280" t="s">
        <v>392</v>
      </c>
      <c r="F280" s="111" t="s">
        <v>108</v>
      </c>
    </row>
    <row r="281" spans="1:6" x14ac:dyDescent="0.3">
      <c r="A281" s="38">
        <v>46025</v>
      </c>
      <c r="B281" t="s">
        <v>177</v>
      </c>
      <c r="C281" s="11">
        <v>620</v>
      </c>
      <c r="D281" s="11"/>
      <c r="E281" t="s">
        <v>393</v>
      </c>
      <c r="F281" s="111" t="s">
        <v>108</v>
      </c>
    </row>
    <row r="282" spans="1:6" x14ac:dyDescent="0.3">
      <c r="A282" s="38">
        <v>46027</v>
      </c>
      <c r="B282" t="s">
        <v>222</v>
      </c>
      <c r="C282" s="96"/>
      <c r="D282" s="96">
        <v>2500</v>
      </c>
      <c r="F282" s="111" t="s">
        <v>108</v>
      </c>
    </row>
    <row r="283" spans="1:6" x14ac:dyDescent="0.3">
      <c r="A283" s="116">
        <v>46027</v>
      </c>
      <c r="B283" t="s">
        <v>50</v>
      </c>
      <c r="C283" s="11">
        <v>15000</v>
      </c>
      <c r="D283" s="11"/>
      <c r="E283" t="s">
        <v>395</v>
      </c>
      <c r="F283" s="111" t="s">
        <v>108</v>
      </c>
    </row>
    <row r="284" spans="1:6" x14ac:dyDescent="0.3">
      <c r="A284" s="116">
        <v>46027</v>
      </c>
      <c r="B284" t="s">
        <v>177</v>
      </c>
      <c r="C284" s="11">
        <v>2800</v>
      </c>
      <c r="D284" s="11"/>
      <c r="E284" t="s">
        <v>218</v>
      </c>
      <c r="F284" s="111" t="s">
        <v>108</v>
      </c>
    </row>
    <row r="285" spans="1:6" x14ac:dyDescent="0.3">
      <c r="A285" s="38">
        <v>46027</v>
      </c>
      <c r="B285" t="s">
        <v>229</v>
      </c>
      <c r="C285" s="96">
        <v>4000</v>
      </c>
      <c r="D285" s="96"/>
      <c r="E285" t="s">
        <v>396</v>
      </c>
      <c r="F285" s="111" t="s">
        <v>108</v>
      </c>
    </row>
    <row r="286" spans="1:6" x14ac:dyDescent="0.3">
      <c r="A286" s="38">
        <v>46027</v>
      </c>
      <c r="B286" t="s">
        <v>192</v>
      </c>
      <c r="C286" s="96"/>
      <c r="D286" s="96">
        <v>100000</v>
      </c>
      <c r="F286" s="111" t="s">
        <v>108</v>
      </c>
    </row>
    <row r="287" spans="1:6" x14ac:dyDescent="0.3">
      <c r="A287" s="38">
        <v>46027</v>
      </c>
      <c r="B287" t="s">
        <v>50</v>
      </c>
      <c r="C287" s="11">
        <v>500</v>
      </c>
      <c r="D287" s="11"/>
      <c r="E287" t="s">
        <v>397</v>
      </c>
      <c r="F287" s="111" t="s">
        <v>108</v>
      </c>
    </row>
    <row r="288" spans="1:6" x14ac:dyDescent="0.3">
      <c r="A288" s="38">
        <v>46027</v>
      </c>
      <c r="B288" t="s">
        <v>50</v>
      </c>
      <c r="C288" s="11">
        <v>580</v>
      </c>
      <c r="D288" s="11"/>
      <c r="E288" t="s">
        <v>397</v>
      </c>
      <c r="F288" s="111" t="s">
        <v>108</v>
      </c>
    </row>
    <row r="289" spans="1:7" x14ac:dyDescent="0.3">
      <c r="A289" s="38">
        <v>46027</v>
      </c>
      <c r="B289" t="s">
        <v>149</v>
      </c>
      <c r="C289" s="11">
        <v>30000</v>
      </c>
      <c r="D289" s="11"/>
      <c r="E289" t="s">
        <v>398</v>
      </c>
      <c r="F289" s="111" t="s">
        <v>108</v>
      </c>
    </row>
    <row r="290" spans="1:7" x14ac:dyDescent="0.3">
      <c r="A290" s="38">
        <v>46027</v>
      </c>
      <c r="B290" t="s">
        <v>54</v>
      </c>
      <c r="C290" s="11">
        <v>7639</v>
      </c>
      <c r="D290" s="11"/>
      <c r="E290" t="s">
        <v>236</v>
      </c>
      <c r="F290" s="111" t="s">
        <v>108</v>
      </c>
    </row>
    <row r="291" spans="1:7" x14ac:dyDescent="0.3">
      <c r="A291" s="38">
        <v>46027</v>
      </c>
      <c r="B291" t="s">
        <v>55</v>
      </c>
      <c r="C291" s="11">
        <v>7500</v>
      </c>
      <c r="D291" s="11"/>
      <c r="E291" t="s">
        <v>399</v>
      </c>
      <c r="F291" s="111" t="s">
        <v>108</v>
      </c>
    </row>
    <row r="292" spans="1:7" x14ac:dyDescent="0.3">
      <c r="A292" s="38">
        <v>46027</v>
      </c>
      <c r="B292" t="s">
        <v>55</v>
      </c>
      <c r="C292" s="11">
        <v>1100</v>
      </c>
      <c r="D292" s="11"/>
      <c r="E292" t="s">
        <v>400</v>
      </c>
      <c r="F292" s="111" t="s">
        <v>108</v>
      </c>
    </row>
    <row r="293" spans="1:7" x14ac:dyDescent="0.3">
      <c r="A293" s="38">
        <v>46027</v>
      </c>
      <c r="B293" t="s">
        <v>55</v>
      </c>
      <c r="C293" s="11">
        <v>360</v>
      </c>
      <c r="D293" s="11"/>
      <c r="E293" t="s">
        <v>401</v>
      </c>
      <c r="F293" s="111" t="s">
        <v>108</v>
      </c>
    </row>
    <row r="294" spans="1:7" x14ac:dyDescent="0.3">
      <c r="A294" s="38">
        <v>46027</v>
      </c>
      <c r="B294" t="s">
        <v>192</v>
      </c>
      <c r="C294" s="11"/>
      <c r="D294" s="11">
        <v>480000</v>
      </c>
      <c r="E294" t="s">
        <v>402</v>
      </c>
      <c r="F294" s="111" t="s">
        <v>108</v>
      </c>
    </row>
    <row r="295" spans="1:7" x14ac:dyDescent="0.3">
      <c r="A295" s="38">
        <v>46027</v>
      </c>
      <c r="B295" t="s">
        <v>169</v>
      </c>
      <c r="C295" s="11">
        <v>250000</v>
      </c>
      <c r="D295" s="11"/>
      <c r="F295" s="111" t="s">
        <v>108</v>
      </c>
    </row>
    <row r="296" spans="1:7" x14ac:dyDescent="0.3">
      <c r="A296" s="38">
        <v>46027</v>
      </c>
      <c r="B296" t="s">
        <v>229</v>
      </c>
      <c r="C296" s="11">
        <v>200200</v>
      </c>
      <c r="D296" s="11"/>
      <c r="E296" t="s">
        <v>253</v>
      </c>
      <c r="F296" s="111" t="s">
        <v>108</v>
      </c>
    </row>
    <row r="297" spans="1:7" x14ac:dyDescent="0.3">
      <c r="A297" s="38">
        <v>46027</v>
      </c>
      <c r="B297" t="s">
        <v>52</v>
      </c>
      <c r="C297" s="11">
        <v>45000</v>
      </c>
      <c r="D297" s="11"/>
      <c r="E297" t="s">
        <v>403</v>
      </c>
      <c r="F297" s="111" t="s">
        <v>108</v>
      </c>
      <c r="G297" t="s">
        <v>404</v>
      </c>
    </row>
    <row r="298" spans="1:7" x14ac:dyDescent="0.3">
      <c r="A298" s="38">
        <v>46027</v>
      </c>
      <c r="B298" t="s">
        <v>233</v>
      </c>
      <c r="C298" s="11">
        <v>10000</v>
      </c>
      <c r="D298" s="11"/>
      <c r="E298" t="s">
        <v>405</v>
      </c>
      <c r="F298" s="111" t="s">
        <v>108</v>
      </c>
    </row>
    <row r="299" spans="1:7" x14ac:dyDescent="0.3">
      <c r="A299" s="38">
        <v>46027</v>
      </c>
      <c r="B299" t="s">
        <v>286</v>
      </c>
      <c r="C299" s="11"/>
      <c r="D299" s="11">
        <v>22500</v>
      </c>
      <c r="E299" t="s">
        <v>406</v>
      </c>
      <c r="F299" s="111" t="s">
        <v>108</v>
      </c>
    </row>
    <row r="300" spans="1:7" x14ac:dyDescent="0.3">
      <c r="A300" s="38">
        <v>46027</v>
      </c>
      <c r="B300" t="s">
        <v>54</v>
      </c>
      <c r="C300" s="11">
        <v>2000</v>
      </c>
      <c r="D300" s="11"/>
      <c r="E300" t="s">
        <v>407</v>
      </c>
      <c r="F300" s="111" t="s">
        <v>108</v>
      </c>
    </row>
    <row r="301" spans="1:7" x14ac:dyDescent="0.3">
      <c r="A301" s="38">
        <v>46027</v>
      </c>
      <c r="B301" t="s">
        <v>222</v>
      </c>
      <c r="C301" s="11"/>
      <c r="D301" s="11">
        <v>1000</v>
      </c>
      <c r="F301" s="111" t="s">
        <v>108</v>
      </c>
    </row>
    <row r="302" spans="1:7" x14ac:dyDescent="0.3">
      <c r="A302" s="38">
        <v>46027</v>
      </c>
      <c r="B302" t="s">
        <v>166</v>
      </c>
      <c r="C302" s="11"/>
      <c r="D302" s="11">
        <v>50000</v>
      </c>
      <c r="E302" t="s">
        <v>109</v>
      </c>
      <c r="F302" s="111" t="s">
        <v>108</v>
      </c>
    </row>
    <row r="303" spans="1:7" x14ac:dyDescent="0.3">
      <c r="A303" s="38">
        <v>46027</v>
      </c>
      <c r="B303" t="s">
        <v>192</v>
      </c>
      <c r="C303" s="11">
        <v>50000</v>
      </c>
      <c r="D303" s="11"/>
      <c r="E303" t="s">
        <v>408</v>
      </c>
      <c r="F303" s="111"/>
    </row>
    <row r="304" spans="1:7" x14ac:dyDescent="0.3">
      <c r="A304" s="38">
        <v>46028</v>
      </c>
      <c r="B304" t="s">
        <v>192</v>
      </c>
      <c r="C304" s="11"/>
      <c r="D304" s="11">
        <v>138000</v>
      </c>
      <c r="F304" s="111" t="s">
        <v>108</v>
      </c>
    </row>
    <row r="305" spans="1:6" x14ac:dyDescent="0.3">
      <c r="A305" s="38">
        <v>46028</v>
      </c>
      <c r="B305" t="s">
        <v>198</v>
      </c>
      <c r="C305" s="96">
        <v>107000</v>
      </c>
      <c r="D305" s="96"/>
      <c r="E305" t="s">
        <v>409</v>
      </c>
      <c r="F305" s="111" t="s">
        <v>108</v>
      </c>
    </row>
    <row r="306" spans="1:6" x14ac:dyDescent="0.3">
      <c r="A306" s="38">
        <v>46028</v>
      </c>
      <c r="B306" t="s">
        <v>410</v>
      </c>
      <c r="C306" s="11">
        <v>35000</v>
      </c>
      <c r="D306" s="11"/>
      <c r="E306" t="s">
        <v>289</v>
      </c>
      <c r="F306" s="111" t="s">
        <v>108</v>
      </c>
    </row>
    <row r="307" spans="1:6" x14ac:dyDescent="0.3">
      <c r="A307" s="38">
        <v>46028</v>
      </c>
      <c r="B307" t="s">
        <v>64</v>
      </c>
      <c r="C307" s="11">
        <v>13500</v>
      </c>
      <c r="D307" s="11"/>
      <c r="E307" t="s">
        <v>411</v>
      </c>
      <c r="F307" s="111" t="s">
        <v>108</v>
      </c>
    </row>
    <row r="308" spans="1:6" x14ac:dyDescent="0.3">
      <c r="A308" s="38">
        <v>46028</v>
      </c>
      <c r="B308" t="s">
        <v>192</v>
      </c>
      <c r="C308" s="11"/>
      <c r="D308" s="11">
        <v>13500</v>
      </c>
      <c r="E308" t="s">
        <v>411</v>
      </c>
      <c r="F308" s="111" t="s">
        <v>108</v>
      </c>
    </row>
    <row r="309" spans="1:6" x14ac:dyDescent="0.3">
      <c r="A309" s="38">
        <v>46028</v>
      </c>
      <c r="B309" t="s">
        <v>224</v>
      </c>
      <c r="C309" s="11"/>
      <c r="D309" s="11">
        <v>205299</v>
      </c>
      <c r="E309" t="s">
        <v>412</v>
      </c>
      <c r="F309" s="111" t="s">
        <v>108</v>
      </c>
    </row>
    <row r="310" spans="1:6" x14ac:dyDescent="0.3">
      <c r="A310" s="38">
        <v>46028</v>
      </c>
      <c r="B310" t="s">
        <v>55</v>
      </c>
      <c r="C310" s="11">
        <v>800</v>
      </c>
      <c r="D310" s="11"/>
      <c r="E310" t="s">
        <v>380</v>
      </c>
      <c r="F310" s="111" t="s">
        <v>108</v>
      </c>
    </row>
    <row r="311" spans="1:6" x14ac:dyDescent="0.3">
      <c r="A311" s="38">
        <v>46028</v>
      </c>
      <c r="B311" t="s">
        <v>55</v>
      </c>
      <c r="C311" s="11">
        <v>300</v>
      </c>
      <c r="D311" s="11"/>
      <c r="F311" s="111" t="s">
        <v>108</v>
      </c>
    </row>
    <row r="312" spans="1:6" x14ac:dyDescent="0.3">
      <c r="A312" s="38">
        <v>46028</v>
      </c>
      <c r="B312" t="s">
        <v>94</v>
      </c>
      <c r="C312" s="11">
        <v>200220</v>
      </c>
      <c r="D312" s="11"/>
      <c r="E312" t="s">
        <v>413</v>
      </c>
      <c r="F312" s="111" t="s">
        <v>108</v>
      </c>
    </row>
    <row r="313" spans="1:6" x14ac:dyDescent="0.3">
      <c r="A313" s="38">
        <v>46028</v>
      </c>
      <c r="B313" t="s">
        <v>9</v>
      </c>
      <c r="C313" s="11"/>
      <c r="D313" s="11">
        <v>200000</v>
      </c>
      <c r="E313" t="s">
        <v>414</v>
      </c>
      <c r="F313" s="111" t="s">
        <v>108</v>
      </c>
    </row>
    <row r="314" spans="1:6" x14ac:dyDescent="0.3">
      <c r="A314" s="38">
        <v>46028</v>
      </c>
      <c r="B314" t="s">
        <v>326</v>
      </c>
      <c r="C314" s="11"/>
      <c r="D314" s="11">
        <v>100000</v>
      </c>
      <c r="E314" t="s">
        <v>415</v>
      </c>
      <c r="F314" s="111" t="s">
        <v>108</v>
      </c>
    </row>
    <row r="315" spans="1:6" x14ac:dyDescent="0.3">
      <c r="A315" s="38">
        <v>46028</v>
      </c>
      <c r="B315" t="s">
        <v>219</v>
      </c>
      <c r="C315" s="11">
        <v>10000</v>
      </c>
      <c r="D315" s="11"/>
      <c r="E315" t="s">
        <v>416</v>
      </c>
      <c r="F315" s="111" t="s">
        <v>108</v>
      </c>
    </row>
    <row r="316" spans="1:6" x14ac:dyDescent="0.3">
      <c r="A316" s="38">
        <v>46028</v>
      </c>
      <c r="B316" t="s">
        <v>55</v>
      </c>
      <c r="C316" s="11">
        <v>1800</v>
      </c>
      <c r="D316" s="11"/>
      <c r="E316" t="s">
        <v>320</v>
      </c>
      <c r="F316" s="111" t="s">
        <v>108</v>
      </c>
    </row>
    <row r="317" spans="1:6" x14ac:dyDescent="0.3">
      <c r="A317" s="38">
        <v>46028</v>
      </c>
      <c r="B317" t="s">
        <v>169</v>
      </c>
      <c r="C317" s="11">
        <v>150500</v>
      </c>
      <c r="D317" s="11"/>
      <c r="E317" t="s">
        <v>417</v>
      </c>
      <c r="F317" s="111" t="s">
        <v>108</v>
      </c>
    </row>
    <row r="318" spans="1:6" x14ac:dyDescent="0.3">
      <c r="A318" s="38">
        <v>46028</v>
      </c>
      <c r="B318" t="s">
        <v>229</v>
      </c>
      <c r="C318" s="11">
        <v>101500</v>
      </c>
      <c r="D318" s="11"/>
      <c r="E318" t="s">
        <v>418</v>
      </c>
      <c r="F318" s="111" t="s">
        <v>108</v>
      </c>
    </row>
    <row r="319" spans="1:6" x14ac:dyDescent="0.3">
      <c r="A319" s="38">
        <v>46028</v>
      </c>
      <c r="B319" t="s">
        <v>54</v>
      </c>
      <c r="C319" s="11">
        <v>2000</v>
      </c>
      <c r="D319" s="11"/>
      <c r="E319" t="s">
        <v>419</v>
      </c>
      <c r="F319" s="111" t="s">
        <v>108</v>
      </c>
    </row>
    <row r="320" spans="1:6" x14ac:dyDescent="0.3">
      <c r="A320" s="38">
        <v>46028</v>
      </c>
      <c r="B320" t="s">
        <v>54</v>
      </c>
      <c r="C320" s="11">
        <v>5100</v>
      </c>
      <c r="D320" s="11"/>
      <c r="E320" t="s">
        <v>420</v>
      </c>
      <c r="F320" s="111" t="s">
        <v>108</v>
      </c>
    </row>
    <row r="321" spans="1:6" x14ac:dyDescent="0.3">
      <c r="A321" s="38">
        <v>46028</v>
      </c>
      <c r="B321" t="s">
        <v>222</v>
      </c>
      <c r="C321" s="96"/>
      <c r="D321" s="96">
        <v>4000</v>
      </c>
      <c r="F321" s="111" t="s">
        <v>108</v>
      </c>
    </row>
    <row r="322" spans="1:6" x14ac:dyDescent="0.3">
      <c r="A322" s="38">
        <v>46028</v>
      </c>
      <c r="B322" t="s">
        <v>233</v>
      </c>
      <c r="C322" s="96">
        <v>6000</v>
      </c>
      <c r="D322" s="96"/>
      <c r="E322" t="s">
        <v>421</v>
      </c>
      <c r="F322" s="111" t="s">
        <v>108</v>
      </c>
    </row>
    <row r="323" spans="1:6" x14ac:dyDescent="0.3">
      <c r="A323" s="38">
        <v>46028</v>
      </c>
      <c r="B323" t="s">
        <v>233</v>
      </c>
      <c r="C323" s="11">
        <v>5000</v>
      </c>
      <c r="D323" s="11"/>
      <c r="E323" t="s">
        <v>422</v>
      </c>
      <c r="F323" s="111" t="s">
        <v>108</v>
      </c>
    </row>
    <row r="324" spans="1:6" x14ac:dyDescent="0.3">
      <c r="A324" s="38">
        <v>46028</v>
      </c>
      <c r="B324" t="s">
        <v>192</v>
      </c>
      <c r="C324" s="11">
        <v>5000</v>
      </c>
      <c r="D324" s="11"/>
      <c r="E324" t="s">
        <v>423</v>
      </c>
      <c r="F324" s="111" t="s">
        <v>108</v>
      </c>
    </row>
    <row r="325" spans="1:6" x14ac:dyDescent="0.3">
      <c r="A325" s="38">
        <v>46028</v>
      </c>
      <c r="B325" t="s">
        <v>229</v>
      </c>
      <c r="C325" s="11">
        <v>5000</v>
      </c>
      <c r="D325" s="11"/>
      <c r="E325" t="s">
        <v>345</v>
      </c>
      <c r="F325" s="111" t="s">
        <v>108</v>
      </c>
    </row>
    <row r="326" spans="1:6" x14ac:dyDescent="0.3">
      <c r="A326" s="38">
        <v>46028</v>
      </c>
      <c r="B326" t="s">
        <v>94</v>
      </c>
      <c r="C326" s="11">
        <v>1000</v>
      </c>
      <c r="D326" s="11"/>
      <c r="E326" t="s">
        <v>345</v>
      </c>
      <c r="F326" s="111" t="s">
        <v>108</v>
      </c>
    </row>
    <row r="327" spans="1:6" x14ac:dyDescent="0.3">
      <c r="A327" s="38">
        <v>46028</v>
      </c>
      <c r="B327" t="s">
        <v>410</v>
      </c>
      <c r="C327" s="11">
        <v>1000</v>
      </c>
      <c r="D327" s="11"/>
      <c r="E327" t="s">
        <v>345</v>
      </c>
      <c r="F327" s="111" t="s">
        <v>108</v>
      </c>
    </row>
    <row r="328" spans="1:6" x14ac:dyDescent="0.3">
      <c r="A328" s="38">
        <v>46028</v>
      </c>
      <c r="B328" t="s">
        <v>169</v>
      </c>
      <c r="C328" s="11">
        <v>1000</v>
      </c>
      <c r="D328" s="11"/>
      <c r="E328" t="s">
        <v>345</v>
      </c>
      <c r="F328" s="111" t="s">
        <v>108</v>
      </c>
    </row>
    <row r="329" spans="1:6" x14ac:dyDescent="0.3">
      <c r="A329" s="38">
        <v>46028</v>
      </c>
      <c r="B329" t="s">
        <v>166</v>
      </c>
      <c r="C329" s="11"/>
      <c r="D329" s="11">
        <v>250000</v>
      </c>
      <c r="E329" t="s">
        <v>21</v>
      </c>
      <c r="F329" s="111" t="s">
        <v>108</v>
      </c>
    </row>
    <row r="330" spans="1:6" x14ac:dyDescent="0.3">
      <c r="A330" s="38">
        <v>46028</v>
      </c>
      <c r="B330" t="s">
        <v>192</v>
      </c>
      <c r="C330" s="11"/>
      <c r="D330" s="11"/>
      <c r="F330" s="111" t="s">
        <v>108</v>
      </c>
    </row>
    <row r="331" spans="1:6" x14ac:dyDescent="0.3">
      <c r="A331" s="38">
        <v>46029</v>
      </c>
      <c r="B331" t="s">
        <v>198</v>
      </c>
      <c r="C331" s="11">
        <v>218250</v>
      </c>
      <c r="D331" s="11"/>
      <c r="E331" t="s">
        <v>294</v>
      </c>
      <c r="F331" s="111" t="s">
        <v>108</v>
      </c>
    </row>
    <row r="332" spans="1:6" x14ac:dyDescent="0.3">
      <c r="A332" s="38">
        <v>46029</v>
      </c>
      <c r="B332" t="s">
        <v>55</v>
      </c>
      <c r="C332" s="11">
        <v>7400</v>
      </c>
      <c r="D332" s="11"/>
      <c r="E332" t="s">
        <v>425</v>
      </c>
      <c r="F332" s="111" t="s">
        <v>108</v>
      </c>
    </row>
    <row r="333" spans="1:6" x14ac:dyDescent="0.3">
      <c r="A333" s="38">
        <v>46029</v>
      </c>
      <c r="B333" t="s">
        <v>55</v>
      </c>
      <c r="C333" s="11">
        <v>6600</v>
      </c>
      <c r="D333" s="11"/>
      <c r="E333" t="s">
        <v>426</v>
      </c>
      <c r="F333" s="111" t="s">
        <v>108</v>
      </c>
    </row>
    <row r="334" spans="1:6" x14ac:dyDescent="0.3">
      <c r="A334" s="38">
        <v>46029</v>
      </c>
      <c r="B334" t="s">
        <v>233</v>
      </c>
      <c r="C334" s="11">
        <v>10000</v>
      </c>
      <c r="D334" s="11"/>
      <c r="E334" t="s">
        <v>427</v>
      </c>
      <c r="F334" s="111" t="s">
        <v>108</v>
      </c>
    </row>
    <row r="335" spans="1:6" x14ac:dyDescent="0.3">
      <c r="A335" s="38">
        <v>46029</v>
      </c>
      <c r="B335" t="s">
        <v>326</v>
      </c>
      <c r="C335" s="11"/>
      <c r="D335" s="11">
        <v>100000</v>
      </c>
      <c r="E335" t="s">
        <v>428</v>
      </c>
      <c r="F335" s="111" t="s">
        <v>108</v>
      </c>
    </row>
    <row r="336" spans="1:6" x14ac:dyDescent="0.3">
      <c r="A336" s="38">
        <v>46029</v>
      </c>
      <c r="B336" t="s">
        <v>326</v>
      </c>
      <c r="C336" s="11"/>
      <c r="D336" s="11">
        <v>43970</v>
      </c>
      <c r="E336" t="s">
        <v>429</v>
      </c>
      <c r="F336" s="111" t="s">
        <v>108</v>
      </c>
    </row>
    <row r="337" spans="1:6" x14ac:dyDescent="0.3">
      <c r="A337" s="38">
        <v>46029</v>
      </c>
      <c r="B337" t="s">
        <v>286</v>
      </c>
      <c r="C337" s="11"/>
      <c r="D337" s="11">
        <v>100000</v>
      </c>
      <c r="E337" t="s">
        <v>430</v>
      </c>
      <c r="F337" s="111" t="s">
        <v>108</v>
      </c>
    </row>
    <row r="338" spans="1:6" x14ac:dyDescent="0.3">
      <c r="A338" s="38">
        <v>46029</v>
      </c>
      <c r="B338" t="s">
        <v>229</v>
      </c>
      <c r="C338" s="11">
        <v>100514</v>
      </c>
      <c r="D338" s="11"/>
      <c r="E338" t="s">
        <v>431</v>
      </c>
      <c r="F338" s="111" t="s">
        <v>108</v>
      </c>
    </row>
    <row r="339" spans="1:6" x14ac:dyDescent="0.3">
      <c r="A339" s="38">
        <v>46029</v>
      </c>
      <c r="B339" t="s">
        <v>410</v>
      </c>
      <c r="C339" s="11">
        <v>100100</v>
      </c>
      <c r="D339" s="11"/>
      <c r="E339" t="s">
        <v>432</v>
      </c>
      <c r="F339" s="111" t="s">
        <v>108</v>
      </c>
    </row>
    <row r="340" spans="1:6" x14ac:dyDescent="0.3">
      <c r="A340" s="38">
        <v>46028</v>
      </c>
      <c r="B340" t="s">
        <v>233</v>
      </c>
      <c r="C340" s="11">
        <v>10000</v>
      </c>
      <c r="D340" s="11"/>
      <c r="E340" t="s">
        <v>248</v>
      </c>
      <c r="F340" s="111" t="s">
        <v>108</v>
      </c>
    </row>
    <row r="341" spans="1:6" x14ac:dyDescent="0.3">
      <c r="A341" s="38">
        <v>46030</v>
      </c>
      <c r="B341" t="s">
        <v>177</v>
      </c>
      <c r="C341" s="11"/>
      <c r="D341" s="11">
        <v>2500</v>
      </c>
      <c r="E341" t="s">
        <v>225</v>
      </c>
      <c r="F341" s="111" t="s">
        <v>108</v>
      </c>
    </row>
    <row r="342" spans="1:6" x14ac:dyDescent="0.3">
      <c r="A342" s="38">
        <v>46030</v>
      </c>
      <c r="B342" t="s">
        <v>55</v>
      </c>
      <c r="C342" s="11">
        <v>4380</v>
      </c>
      <c r="D342" s="11"/>
      <c r="E342" t="s">
        <v>433</v>
      </c>
      <c r="F342" s="111" t="s">
        <v>108</v>
      </c>
    </row>
    <row r="343" spans="1:6" x14ac:dyDescent="0.3">
      <c r="A343" s="38">
        <v>46030</v>
      </c>
      <c r="B343" t="s">
        <v>410</v>
      </c>
      <c r="C343" s="11">
        <v>55780</v>
      </c>
      <c r="D343" s="11"/>
      <c r="F343" s="111" t="s">
        <v>108</v>
      </c>
    </row>
    <row r="344" spans="1:6" x14ac:dyDescent="0.3">
      <c r="A344" s="38">
        <v>46030</v>
      </c>
      <c r="B344" t="s">
        <v>55</v>
      </c>
      <c r="C344" s="11">
        <v>250000</v>
      </c>
      <c r="D344" s="11"/>
      <c r="E344" t="s">
        <v>434</v>
      </c>
      <c r="F344" s="111" t="s">
        <v>108</v>
      </c>
    </row>
    <row r="345" spans="1:6" x14ac:dyDescent="0.3">
      <c r="A345" s="38">
        <v>46030</v>
      </c>
      <c r="B345" t="s">
        <v>192</v>
      </c>
      <c r="C345" s="11"/>
      <c r="D345" s="11">
        <v>250000</v>
      </c>
      <c r="E345" t="s">
        <v>434</v>
      </c>
      <c r="F345" s="111" t="s">
        <v>108</v>
      </c>
    </row>
    <row r="346" spans="1:6" x14ac:dyDescent="0.3">
      <c r="A346" s="38">
        <v>46030</v>
      </c>
      <c r="B346" t="s">
        <v>9</v>
      </c>
      <c r="C346" s="11"/>
      <c r="D346" s="11">
        <v>150000</v>
      </c>
      <c r="E346" t="s">
        <v>435</v>
      </c>
      <c r="F346" s="111" t="s">
        <v>108</v>
      </c>
    </row>
    <row r="347" spans="1:6" x14ac:dyDescent="0.3">
      <c r="A347" s="38">
        <v>46030</v>
      </c>
      <c r="B347" t="s">
        <v>229</v>
      </c>
      <c r="C347" s="11">
        <v>150200</v>
      </c>
      <c r="D347" s="11"/>
      <c r="E347" t="s">
        <v>436</v>
      </c>
      <c r="F347" s="111" t="s">
        <v>108</v>
      </c>
    </row>
    <row r="348" spans="1:6" x14ac:dyDescent="0.3">
      <c r="A348" s="38">
        <v>46030</v>
      </c>
      <c r="B348" t="s">
        <v>55</v>
      </c>
      <c r="C348" s="11">
        <v>2000</v>
      </c>
      <c r="D348" s="11"/>
      <c r="E348" t="s">
        <v>227</v>
      </c>
      <c r="F348" s="111" t="s">
        <v>108</v>
      </c>
    </row>
    <row r="349" spans="1:6" x14ac:dyDescent="0.3">
      <c r="A349" s="38">
        <v>46030</v>
      </c>
      <c r="B349" t="s">
        <v>437</v>
      </c>
      <c r="C349" s="11"/>
      <c r="D349" s="11">
        <v>200000</v>
      </c>
      <c r="E349" t="s">
        <v>438</v>
      </c>
      <c r="F349" s="111" t="s">
        <v>108</v>
      </c>
    </row>
    <row r="350" spans="1:6" x14ac:dyDescent="0.3">
      <c r="A350" s="38">
        <v>46030</v>
      </c>
      <c r="B350" t="s">
        <v>169</v>
      </c>
      <c r="C350" s="11">
        <v>200250</v>
      </c>
      <c r="D350" s="11"/>
      <c r="E350" t="s">
        <v>439</v>
      </c>
      <c r="F350" s="111" t="s">
        <v>108</v>
      </c>
    </row>
    <row r="351" spans="1:6" x14ac:dyDescent="0.3">
      <c r="A351" s="38">
        <v>46030</v>
      </c>
      <c r="B351" t="s">
        <v>166</v>
      </c>
      <c r="C351" s="11"/>
      <c r="D351" s="11">
        <v>80000</v>
      </c>
      <c r="E351" t="s">
        <v>440</v>
      </c>
      <c r="F351" s="111" t="s">
        <v>108</v>
      </c>
    </row>
    <row r="352" spans="1:6" x14ac:dyDescent="0.3">
      <c r="A352" s="38">
        <v>46030</v>
      </c>
      <c r="B352" t="s">
        <v>166</v>
      </c>
      <c r="C352" s="11"/>
      <c r="D352" s="11">
        <v>120000</v>
      </c>
      <c r="E352" t="s">
        <v>109</v>
      </c>
      <c r="F352" s="111" t="s">
        <v>108</v>
      </c>
    </row>
    <row r="353" spans="1:6" x14ac:dyDescent="0.3">
      <c r="A353" s="38">
        <v>46030</v>
      </c>
      <c r="B353" t="s">
        <v>166</v>
      </c>
      <c r="C353" s="11"/>
      <c r="D353" s="11">
        <v>28000</v>
      </c>
      <c r="E353" t="s">
        <v>440</v>
      </c>
      <c r="F353" s="111" t="s">
        <v>108</v>
      </c>
    </row>
    <row r="354" spans="1:6" x14ac:dyDescent="0.3">
      <c r="A354" s="38">
        <v>46030</v>
      </c>
      <c r="B354" t="s">
        <v>166</v>
      </c>
      <c r="C354" s="11"/>
      <c r="D354" s="11">
        <v>2000</v>
      </c>
      <c r="E354" t="s">
        <v>109</v>
      </c>
      <c r="F354" s="111" t="s">
        <v>108</v>
      </c>
    </row>
    <row r="355" spans="1:6" x14ac:dyDescent="0.3">
      <c r="A355" s="116">
        <v>46030</v>
      </c>
      <c r="B355" t="s">
        <v>192</v>
      </c>
      <c r="C355" s="11">
        <v>230000</v>
      </c>
      <c r="D355" s="11"/>
      <c r="E355" t="s">
        <v>441</v>
      </c>
      <c r="F355" s="111" t="s">
        <v>108</v>
      </c>
    </row>
    <row r="356" spans="1:6" x14ac:dyDescent="0.3">
      <c r="A356" s="116">
        <v>46030</v>
      </c>
      <c r="B356" t="s">
        <v>192</v>
      </c>
      <c r="C356" s="11"/>
      <c r="D356" s="11">
        <v>100000</v>
      </c>
      <c r="E356" t="s">
        <v>442</v>
      </c>
      <c r="F356" s="111" t="s">
        <v>108</v>
      </c>
    </row>
    <row r="357" spans="1:6" x14ac:dyDescent="0.3">
      <c r="A357" s="38">
        <v>46030</v>
      </c>
      <c r="B357" t="s">
        <v>52</v>
      </c>
      <c r="C357" s="96">
        <v>50000</v>
      </c>
      <c r="D357" s="96"/>
      <c r="E357" t="s">
        <v>443</v>
      </c>
      <c r="F357" s="111" t="s">
        <v>108</v>
      </c>
    </row>
    <row r="358" spans="1:6" x14ac:dyDescent="0.3">
      <c r="A358" s="38">
        <v>46031</v>
      </c>
      <c r="B358" t="s">
        <v>64</v>
      </c>
      <c r="C358" s="96">
        <v>32500</v>
      </c>
      <c r="D358" s="96"/>
      <c r="E358" t="s">
        <v>444</v>
      </c>
      <c r="F358" s="111" t="s">
        <v>108</v>
      </c>
    </row>
    <row r="359" spans="1:6" x14ac:dyDescent="0.3">
      <c r="A359" s="38">
        <v>46031</v>
      </c>
      <c r="B359" t="s">
        <v>64</v>
      </c>
      <c r="C359" s="96">
        <v>34375</v>
      </c>
      <c r="D359" s="96"/>
      <c r="E359" t="s">
        <v>131</v>
      </c>
      <c r="F359" s="111" t="s">
        <v>108</v>
      </c>
    </row>
    <row r="360" spans="1:6" x14ac:dyDescent="0.3">
      <c r="A360" s="38">
        <v>46031</v>
      </c>
      <c r="B360" t="s">
        <v>192</v>
      </c>
      <c r="C360" s="11"/>
      <c r="D360" s="11">
        <v>66875</v>
      </c>
      <c r="E360" t="s">
        <v>445</v>
      </c>
      <c r="F360" s="111" t="s">
        <v>108</v>
      </c>
    </row>
    <row r="361" spans="1:6" x14ac:dyDescent="0.3">
      <c r="A361" s="38">
        <v>46031</v>
      </c>
      <c r="B361" t="s">
        <v>222</v>
      </c>
      <c r="C361" s="11"/>
      <c r="D361" s="11">
        <v>15000</v>
      </c>
      <c r="E361" t="s">
        <v>202</v>
      </c>
      <c r="F361" s="111" t="s">
        <v>108</v>
      </c>
    </row>
    <row r="362" spans="1:6" x14ac:dyDescent="0.3">
      <c r="A362" s="38">
        <v>46031</v>
      </c>
      <c r="B362" t="s">
        <v>202</v>
      </c>
      <c r="C362" s="11">
        <v>15000</v>
      </c>
      <c r="D362" s="11"/>
      <c r="E362" t="s">
        <v>289</v>
      </c>
      <c r="F362" s="111" t="s">
        <v>108</v>
      </c>
    </row>
    <row r="363" spans="1:6" x14ac:dyDescent="0.3">
      <c r="A363" s="38">
        <v>46031</v>
      </c>
      <c r="B363" t="s">
        <v>55</v>
      </c>
      <c r="C363" s="11">
        <v>3500</v>
      </c>
      <c r="D363" s="11"/>
      <c r="E363" t="s">
        <v>268</v>
      </c>
      <c r="F363" s="111" t="s">
        <v>108</v>
      </c>
    </row>
    <row r="364" spans="1:6" x14ac:dyDescent="0.3">
      <c r="A364" s="38">
        <v>46031</v>
      </c>
      <c r="B364" t="s">
        <v>55</v>
      </c>
      <c r="C364" s="11">
        <v>1050</v>
      </c>
      <c r="D364" s="11"/>
      <c r="E364" t="s">
        <v>446</v>
      </c>
      <c r="F364" s="111" t="s">
        <v>108</v>
      </c>
    </row>
    <row r="365" spans="1:6" x14ac:dyDescent="0.3">
      <c r="A365" s="38">
        <v>46031</v>
      </c>
      <c r="B365" t="s">
        <v>55</v>
      </c>
      <c r="C365" s="11">
        <v>2300</v>
      </c>
      <c r="D365" s="11"/>
      <c r="E365" t="s">
        <v>447</v>
      </c>
      <c r="F365" s="111" t="s">
        <v>108</v>
      </c>
    </row>
    <row r="366" spans="1:6" x14ac:dyDescent="0.3">
      <c r="A366" s="38">
        <v>46031</v>
      </c>
      <c r="B366" t="s">
        <v>233</v>
      </c>
      <c r="C366" s="11">
        <v>2000</v>
      </c>
      <c r="D366" s="11"/>
      <c r="E366" t="s">
        <v>290</v>
      </c>
      <c r="F366" s="111" t="s">
        <v>108</v>
      </c>
    </row>
    <row r="367" spans="1:6" x14ac:dyDescent="0.3">
      <c r="A367" s="38">
        <v>46032</v>
      </c>
      <c r="B367" t="s">
        <v>177</v>
      </c>
      <c r="C367" s="96"/>
      <c r="D367" s="96">
        <v>5000</v>
      </c>
      <c r="E367" t="s">
        <v>448</v>
      </c>
      <c r="F367" s="111" t="s">
        <v>108</v>
      </c>
    </row>
    <row r="368" spans="1:6" x14ac:dyDescent="0.3">
      <c r="A368" s="116">
        <v>46032</v>
      </c>
      <c r="B368" t="s">
        <v>54</v>
      </c>
      <c r="C368" s="11">
        <v>5000</v>
      </c>
      <c r="D368" s="11"/>
      <c r="E368" t="s">
        <v>449</v>
      </c>
      <c r="F368" s="111" t="s">
        <v>108</v>
      </c>
    </row>
    <row r="369" spans="1:6" x14ac:dyDescent="0.3">
      <c r="A369" s="38">
        <v>46032</v>
      </c>
      <c r="B369" t="s">
        <v>9</v>
      </c>
      <c r="C369" s="11"/>
      <c r="D369" s="11">
        <v>230200</v>
      </c>
      <c r="E369" t="s">
        <v>450</v>
      </c>
      <c r="F369" s="111" t="s">
        <v>108</v>
      </c>
    </row>
    <row r="370" spans="1:6" x14ac:dyDescent="0.3">
      <c r="A370" s="116">
        <v>46032</v>
      </c>
      <c r="B370" t="s">
        <v>94</v>
      </c>
      <c r="C370" s="96">
        <v>202000</v>
      </c>
      <c r="D370" s="96"/>
      <c r="E370" t="s">
        <v>451</v>
      </c>
      <c r="F370" s="111" t="s">
        <v>108</v>
      </c>
    </row>
    <row r="371" spans="1:6" x14ac:dyDescent="0.3">
      <c r="A371" s="38">
        <v>46032</v>
      </c>
      <c r="B371" t="s">
        <v>192</v>
      </c>
      <c r="C371" s="11"/>
      <c r="D371" s="11">
        <v>100000</v>
      </c>
      <c r="E371" t="s">
        <v>250</v>
      </c>
      <c r="F371" s="111" t="s">
        <v>108</v>
      </c>
    </row>
    <row r="372" spans="1:6" x14ac:dyDescent="0.3">
      <c r="A372" s="116">
        <v>46032</v>
      </c>
      <c r="B372" t="s">
        <v>410</v>
      </c>
      <c r="C372" s="11">
        <v>70000</v>
      </c>
      <c r="D372" s="11"/>
      <c r="E372" t="s">
        <v>452</v>
      </c>
      <c r="F372" s="111" t="s">
        <v>108</v>
      </c>
    </row>
    <row r="373" spans="1:6" x14ac:dyDescent="0.3">
      <c r="A373" s="38">
        <v>46032</v>
      </c>
      <c r="B373" t="s">
        <v>54</v>
      </c>
      <c r="C373" s="11">
        <v>1273</v>
      </c>
      <c r="D373" s="11"/>
      <c r="E373" t="s">
        <v>419</v>
      </c>
      <c r="F373" s="111" t="s">
        <v>108</v>
      </c>
    </row>
    <row r="374" spans="1:6" x14ac:dyDescent="0.3">
      <c r="A374" s="116">
        <v>46032</v>
      </c>
      <c r="B374" t="s">
        <v>55</v>
      </c>
      <c r="C374" s="11">
        <v>15513</v>
      </c>
      <c r="D374" s="11"/>
      <c r="E374" t="s">
        <v>453</v>
      </c>
      <c r="F374" s="111" t="s">
        <v>108</v>
      </c>
    </row>
    <row r="375" spans="1:6" x14ac:dyDescent="0.3">
      <c r="A375" s="38">
        <v>46032</v>
      </c>
      <c r="B375" t="s">
        <v>113</v>
      </c>
      <c r="C375" s="11">
        <v>16270</v>
      </c>
      <c r="D375" s="11"/>
      <c r="E375" t="s">
        <v>294</v>
      </c>
      <c r="F375" s="111" t="s">
        <v>108</v>
      </c>
    </row>
    <row r="376" spans="1:6" x14ac:dyDescent="0.3">
      <c r="A376" s="116">
        <v>46032</v>
      </c>
      <c r="B376" t="s">
        <v>192</v>
      </c>
      <c r="C376" s="96"/>
      <c r="D376" s="96">
        <v>120000</v>
      </c>
      <c r="E376" t="s">
        <v>454</v>
      </c>
      <c r="F376" s="111" t="s">
        <v>108</v>
      </c>
    </row>
    <row r="377" spans="1:6" x14ac:dyDescent="0.3">
      <c r="A377" s="116">
        <v>46032</v>
      </c>
      <c r="B377" t="s">
        <v>192</v>
      </c>
      <c r="C377" s="96">
        <v>253000</v>
      </c>
      <c r="D377" s="96"/>
      <c r="E377" t="s">
        <v>495</v>
      </c>
      <c r="F377" s="111" t="s">
        <v>108</v>
      </c>
    </row>
    <row r="378" spans="1:6" x14ac:dyDescent="0.3">
      <c r="A378" s="116">
        <v>46032</v>
      </c>
      <c r="B378" t="s">
        <v>224</v>
      </c>
      <c r="C378" s="96"/>
      <c r="D378" s="96">
        <v>253000</v>
      </c>
      <c r="E378" t="s">
        <v>21</v>
      </c>
      <c r="F378" s="111" t="s">
        <v>108</v>
      </c>
    </row>
    <row r="379" spans="1:6" x14ac:dyDescent="0.3">
      <c r="A379" s="116">
        <v>46032</v>
      </c>
      <c r="B379" t="s">
        <v>192</v>
      </c>
      <c r="C379" s="96"/>
      <c r="D379" s="96">
        <v>118000</v>
      </c>
      <c r="E379" t="s">
        <v>116</v>
      </c>
      <c r="F379" s="111" t="s">
        <v>108</v>
      </c>
    </row>
    <row r="380" spans="1:6" x14ac:dyDescent="0.3">
      <c r="A380" s="116">
        <v>46032</v>
      </c>
      <c r="B380" t="s">
        <v>116</v>
      </c>
      <c r="C380" s="96">
        <v>118000</v>
      </c>
      <c r="D380" s="96"/>
      <c r="E380" t="s">
        <v>294</v>
      </c>
      <c r="F380" s="111" t="s">
        <v>108</v>
      </c>
    </row>
    <row r="381" spans="1:6" x14ac:dyDescent="0.3">
      <c r="A381" s="38">
        <v>46032</v>
      </c>
      <c r="B381" t="s">
        <v>229</v>
      </c>
      <c r="C381" s="11">
        <v>150000</v>
      </c>
      <c r="D381" s="11"/>
      <c r="E381" t="s">
        <v>455</v>
      </c>
      <c r="F381" s="111" t="s">
        <v>108</v>
      </c>
    </row>
    <row r="382" spans="1:6" x14ac:dyDescent="0.3">
      <c r="A382" s="116">
        <v>46032</v>
      </c>
      <c r="B382" t="s">
        <v>192</v>
      </c>
      <c r="C382" s="11"/>
      <c r="D382" s="11">
        <v>53000</v>
      </c>
      <c r="E382" t="s">
        <v>456</v>
      </c>
      <c r="F382" s="111" t="s">
        <v>108</v>
      </c>
    </row>
    <row r="383" spans="1:6" x14ac:dyDescent="0.3">
      <c r="A383" s="38">
        <v>46032</v>
      </c>
      <c r="B383" t="s">
        <v>233</v>
      </c>
      <c r="C383" s="11">
        <v>5000</v>
      </c>
      <c r="D383" s="11"/>
      <c r="E383" t="s">
        <v>290</v>
      </c>
      <c r="F383" s="111" t="s">
        <v>108</v>
      </c>
    </row>
    <row r="384" spans="1:6" x14ac:dyDescent="0.3">
      <c r="A384" s="116">
        <v>46032</v>
      </c>
      <c r="B384" t="s">
        <v>177</v>
      </c>
      <c r="C384" s="11">
        <v>16000</v>
      </c>
      <c r="D384" s="11"/>
      <c r="E384" t="s">
        <v>457</v>
      </c>
      <c r="F384" s="111" t="s">
        <v>108</v>
      </c>
    </row>
    <row r="385" spans="1:6" x14ac:dyDescent="0.3">
      <c r="A385" s="38">
        <v>46033</v>
      </c>
      <c r="B385" t="s">
        <v>113</v>
      </c>
      <c r="C385" s="11">
        <v>20000</v>
      </c>
      <c r="D385" s="11"/>
      <c r="E385" t="s">
        <v>304</v>
      </c>
      <c r="F385" s="111" t="s">
        <v>108</v>
      </c>
    </row>
    <row r="386" spans="1:6" x14ac:dyDescent="0.3">
      <c r="A386" s="116">
        <v>46033</v>
      </c>
      <c r="B386" t="s">
        <v>192</v>
      </c>
      <c r="C386" s="11"/>
      <c r="D386" s="11">
        <v>75000</v>
      </c>
      <c r="E386" t="s">
        <v>458</v>
      </c>
      <c r="F386" s="111" t="s">
        <v>108</v>
      </c>
    </row>
    <row r="387" spans="1:6" x14ac:dyDescent="0.3">
      <c r="A387" s="38">
        <v>46033</v>
      </c>
      <c r="B387" t="s">
        <v>410</v>
      </c>
      <c r="C387" s="11">
        <v>50000</v>
      </c>
      <c r="D387" s="11"/>
      <c r="E387" t="s">
        <v>459</v>
      </c>
      <c r="F387" s="111" t="s">
        <v>108</v>
      </c>
    </row>
    <row r="388" spans="1:6" x14ac:dyDescent="0.3">
      <c r="A388" s="116">
        <v>46033</v>
      </c>
      <c r="B388" t="s">
        <v>192</v>
      </c>
      <c r="C388" s="11"/>
      <c r="D388" s="11">
        <v>62000</v>
      </c>
      <c r="E388" t="s">
        <v>460</v>
      </c>
      <c r="F388" s="111" t="s">
        <v>108</v>
      </c>
    </row>
    <row r="389" spans="1:6" x14ac:dyDescent="0.3">
      <c r="A389" s="38">
        <v>46033</v>
      </c>
      <c r="B389" t="s">
        <v>233</v>
      </c>
      <c r="C389" s="11">
        <v>32000</v>
      </c>
      <c r="D389" s="11"/>
      <c r="E389" t="s">
        <v>403</v>
      </c>
      <c r="F389" s="111" t="s">
        <v>108</v>
      </c>
    </row>
    <row r="390" spans="1:6" x14ac:dyDescent="0.3">
      <c r="A390" s="116">
        <v>46033</v>
      </c>
      <c r="B390" t="s">
        <v>461</v>
      </c>
      <c r="C390" s="11">
        <v>38750</v>
      </c>
      <c r="D390" s="11"/>
      <c r="E390" t="s">
        <v>462</v>
      </c>
      <c r="F390" s="111" t="s">
        <v>108</v>
      </c>
    </row>
    <row r="391" spans="1:6" x14ac:dyDescent="0.3">
      <c r="A391" s="38">
        <v>46033</v>
      </c>
      <c r="B391" t="s">
        <v>177</v>
      </c>
      <c r="C391" s="11">
        <v>1400</v>
      </c>
      <c r="D391" s="11"/>
      <c r="E391" t="s">
        <v>218</v>
      </c>
      <c r="F391" s="111" t="s">
        <v>108</v>
      </c>
    </row>
    <row r="392" spans="1:6" x14ac:dyDescent="0.3">
      <c r="A392" s="116">
        <v>46033</v>
      </c>
      <c r="B392" t="s">
        <v>50</v>
      </c>
      <c r="C392" s="11">
        <v>500</v>
      </c>
      <c r="D392" s="11"/>
      <c r="E392" t="s">
        <v>463</v>
      </c>
      <c r="F392" s="111" t="s">
        <v>108</v>
      </c>
    </row>
    <row r="393" spans="1:6" x14ac:dyDescent="0.3">
      <c r="A393" s="38">
        <v>46034</v>
      </c>
      <c r="B393" t="s">
        <v>192</v>
      </c>
      <c r="C393" s="96"/>
      <c r="D393" s="96">
        <v>400000</v>
      </c>
      <c r="E393" t="s">
        <v>464</v>
      </c>
      <c r="F393" s="111" t="s">
        <v>108</v>
      </c>
    </row>
    <row r="394" spans="1:6" x14ac:dyDescent="0.3">
      <c r="A394" s="116">
        <v>46034</v>
      </c>
      <c r="B394" t="s">
        <v>198</v>
      </c>
      <c r="C394" s="11">
        <v>43500</v>
      </c>
      <c r="D394" s="11"/>
      <c r="E394" t="s">
        <v>465</v>
      </c>
      <c r="F394" s="111" t="s">
        <v>108</v>
      </c>
    </row>
    <row r="395" spans="1:6" x14ac:dyDescent="0.3">
      <c r="A395" s="38">
        <v>46034</v>
      </c>
      <c r="B395" t="s">
        <v>466</v>
      </c>
      <c r="C395" s="11">
        <v>351000</v>
      </c>
      <c r="D395" s="11"/>
      <c r="E395" t="s">
        <v>467</v>
      </c>
      <c r="F395" s="111" t="s">
        <v>108</v>
      </c>
    </row>
    <row r="396" spans="1:6" x14ac:dyDescent="0.3">
      <c r="A396" s="116">
        <v>46034</v>
      </c>
      <c r="B396" t="s">
        <v>229</v>
      </c>
      <c r="C396" s="11">
        <v>57000</v>
      </c>
      <c r="D396" s="11"/>
      <c r="E396" t="s">
        <v>468</v>
      </c>
      <c r="F396" s="111" t="s">
        <v>108</v>
      </c>
    </row>
    <row r="397" spans="1:6" x14ac:dyDescent="0.3">
      <c r="A397" s="38">
        <v>46034</v>
      </c>
      <c r="B397" t="s">
        <v>233</v>
      </c>
      <c r="C397" s="11">
        <v>18000</v>
      </c>
      <c r="D397" s="11"/>
      <c r="E397" t="s">
        <v>403</v>
      </c>
      <c r="F397" s="111" t="s">
        <v>108</v>
      </c>
    </row>
    <row r="398" spans="1:6" x14ac:dyDescent="0.3">
      <c r="A398" s="116">
        <v>46034</v>
      </c>
      <c r="B398" t="s">
        <v>222</v>
      </c>
      <c r="C398" s="11"/>
      <c r="D398" s="11">
        <v>5000</v>
      </c>
      <c r="E398" t="s">
        <v>469</v>
      </c>
      <c r="F398" s="111" t="s">
        <v>108</v>
      </c>
    </row>
    <row r="399" spans="1:6" x14ac:dyDescent="0.3">
      <c r="A399" s="38">
        <v>46034</v>
      </c>
      <c r="B399" t="s">
        <v>233</v>
      </c>
      <c r="C399" s="11">
        <v>20000</v>
      </c>
      <c r="D399" s="11"/>
      <c r="E399" t="s">
        <v>421</v>
      </c>
      <c r="F399" s="111" t="s">
        <v>108</v>
      </c>
    </row>
    <row r="400" spans="1:6" x14ac:dyDescent="0.3">
      <c r="A400" s="116">
        <v>46034</v>
      </c>
      <c r="B400" t="s">
        <v>233</v>
      </c>
      <c r="C400" s="11">
        <v>5000</v>
      </c>
      <c r="D400" s="11"/>
      <c r="E400" t="s">
        <v>421</v>
      </c>
      <c r="F400" s="111" t="s">
        <v>108</v>
      </c>
    </row>
    <row r="401" spans="1:15" x14ac:dyDescent="0.3">
      <c r="A401" s="38">
        <v>46034</v>
      </c>
      <c r="B401" t="s">
        <v>202</v>
      </c>
      <c r="C401" s="11">
        <v>40000</v>
      </c>
      <c r="D401" s="11"/>
      <c r="E401" t="s">
        <v>470</v>
      </c>
      <c r="F401" s="111" t="s">
        <v>108</v>
      </c>
    </row>
    <row r="402" spans="1:15" x14ac:dyDescent="0.3">
      <c r="A402" s="116">
        <v>46034</v>
      </c>
      <c r="B402" t="s">
        <v>192</v>
      </c>
      <c r="C402" s="11"/>
      <c r="D402" s="11">
        <v>50000</v>
      </c>
      <c r="E402" t="s">
        <v>471</v>
      </c>
      <c r="F402" s="111" t="s">
        <v>108</v>
      </c>
    </row>
    <row r="403" spans="1:15" x14ac:dyDescent="0.3">
      <c r="A403" s="38">
        <v>46034</v>
      </c>
      <c r="B403" t="s">
        <v>192</v>
      </c>
      <c r="C403" s="11"/>
      <c r="D403" s="11">
        <v>693000</v>
      </c>
      <c r="E403" t="s">
        <v>472</v>
      </c>
      <c r="F403" s="111" t="s">
        <v>108</v>
      </c>
    </row>
    <row r="404" spans="1:15" x14ac:dyDescent="0.3">
      <c r="A404" s="116">
        <v>46034</v>
      </c>
      <c r="B404" t="s">
        <v>55</v>
      </c>
      <c r="C404" s="11">
        <v>15513</v>
      </c>
      <c r="D404" s="11"/>
      <c r="E404" t="s">
        <v>453</v>
      </c>
      <c r="F404" s="111" t="s">
        <v>108</v>
      </c>
    </row>
    <row r="405" spans="1:15" x14ac:dyDescent="0.3">
      <c r="A405" s="38">
        <v>46034</v>
      </c>
      <c r="B405" t="s">
        <v>169</v>
      </c>
      <c r="C405" s="96">
        <v>202045</v>
      </c>
      <c r="D405" s="96"/>
      <c r="E405" t="s">
        <v>473</v>
      </c>
      <c r="F405" s="111" t="s">
        <v>108</v>
      </c>
    </row>
    <row r="406" spans="1:15" x14ac:dyDescent="0.3">
      <c r="A406" s="116">
        <v>46034</v>
      </c>
      <c r="B406" t="s">
        <v>229</v>
      </c>
      <c r="C406" s="11">
        <v>175000</v>
      </c>
      <c r="D406" s="11"/>
      <c r="E406" t="s">
        <v>474</v>
      </c>
      <c r="F406" s="111" t="s">
        <v>108</v>
      </c>
    </row>
    <row r="407" spans="1:15" x14ac:dyDescent="0.3">
      <c r="A407" s="38">
        <v>46034</v>
      </c>
      <c r="B407" t="s">
        <v>286</v>
      </c>
      <c r="C407" s="11"/>
      <c r="D407" s="11">
        <v>400000</v>
      </c>
      <c r="E407" t="s">
        <v>475</v>
      </c>
      <c r="F407" s="111" t="s">
        <v>108</v>
      </c>
    </row>
    <row r="408" spans="1:15" x14ac:dyDescent="0.3">
      <c r="A408" s="116">
        <v>46034</v>
      </c>
      <c r="B408" t="s">
        <v>219</v>
      </c>
      <c r="C408" s="11">
        <v>5000</v>
      </c>
      <c r="D408" s="11"/>
      <c r="E408" t="s">
        <v>476</v>
      </c>
      <c r="F408" s="111" t="s">
        <v>108</v>
      </c>
    </row>
    <row r="409" spans="1:15" x14ac:dyDescent="0.3">
      <c r="A409" s="38">
        <v>46034</v>
      </c>
      <c r="B409" t="s">
        <v>52</v>
      </c>
      <c r="C409" s="11">
        <v>501260</v>
      </c>
      <c r="D409" s="11"/>
      <c r="E409" t="s">
        <v>477</v>
      </c>
      <c r="F409" s="111" t="s">
        <v>108</v>
      </c>
    </row>
    <row r="410" spans="1:15" x14ac:dyDescent="0.3">
      <c r="A410" s="116">
        <v>46035</v>
      </c>
      <c r="B410" t="s">
        <v>52</v>
      </c>
      <c r="C410" s="11">
        <v>40000</v>
      </c>
      <c r="D410" s="11"/>
      <c r="E410" t="s">
        <v>484</v>
      </c>
      <c r="F410" s="111" t="s">
        <v>108</v>
      </c>
    </row>
    <row r="411" spans="1:15" x14ac:dyDescent="0.3">
      <c r="A411" s="38">
        <v>46035</v>
      </c>
      <c r="B411" t="s">
        <v>177</v>
      </c>
      <c r="C411" s="11">
        <v>2200</v>
      </c>
      <c r="D411" s="11"/>
      <c r="E411" t="s">
        <v>218</v>
      </c>
      <c r="F411" s="111" t="s">
        <v>108</v>
      </c>
    </row>
    <row r="412" spans="1:15" x14ac:dyDescent="0.3">
      <c r="A412" s="116">
        <v>46035</v>
      </c>
      <c r="B412" t="s">
        <v>26</v>
      </c>
      <c r="C412" s="11"/>
      <c r="D412" s="11">
        <v>100000</v>
      </c>
      <c r="F412" s="111" t="s">
        <v>108</v>
      </c>
    </row>
    <row r="413" spans="1:15" x14ac:dyDescent="0.3">
      <c r="A413" s="38">
        <v>46035</v>
      </c>
      <c r="B413" t="s">
        <v>233</v>
      </c>
      <c r="C413" s="11">
        <v>20000</v>
      </c>
      <c r="D413" s="11"/>
      <c r="E413" t="s">
        <v>485</v>
      </c>
      <c r="F413" s="111" t="s">
        <v>108</v>
      </c>
    </row>
    <row r="414" spans="1:15" x14ac:dyDescent="0.3">
      <c r="A414" s="116">
        <v>46035</v>
      </c>
      <c r="B414" t="s">
        <v>233</v>
      </c>
      <c r="C414" s="11">
        <v>1000</v>
      </c>
      <c r="D414" s="11"/>
      <c r="E414" t="s">
        <v>486</v>
      </c>
      <c r="F414" s="111" t="s">
        <v>108</v>
      </c>
    </row>
    <row r="415" spans="1:15" x14ac:dyDescent="0.3">
      <c r="A415" s="38">
        <v>46035</v>
      </c>
      <c r="B415" t="s">
        <v>222</v>
      </c>
      <c r="C415" s="11">
        <v>2300</v>
      </c>
      <c r="D415" s="11"/>
      <c r="F415" s="111" t="s">
        <v>108</v>
      </c>
      <c r="J415">
        <v>30000</v>
      </c>
      <c r="L415">
        <v>10000</v>
      </c>
      <c r="M415">
        <v>16300</v>
      </c>
      <c r="O415">
        <v>5100</v>
      </c>
    </row>
    <row r="416" spans="1:15" x14ac:dyDescent="0.3">
      <c r="A416" s="116">
        <v>46035</v>
      </c>
      <c r="B416" t="s">
        <v>177</v>
      </c>
      <c r="C416" s="11">
        <v>1000</v>
      </c>
      <c r="D416" s="11"/>
      <c r="E416" t="s">
        <v>263</v>
      </c>
      <c r="F416" s="111" t="s">
        <v>108</v>
      </c>
      <c r="J416">
        <v>119760</v>
      </c>
      <c r="L416">
        <v>3200</v>
      </c>
      <c r="M416">
        <v>12800</v>
      </c>
      <c r="O416">
        <v>12300</v>
      </c>
    </row>
    <row r="417" spans="1:15" x14ac:dyDescent="0.3">
      <c r="A417" s="38">
        <v>46035</v>
      </c>
      <c r="B417" t="s">
        <v>177</v>
      </c>
      <c r="C417" s="11">
        <v>300</v>
      </c>
      <c r="D417" s="11"/>
      <c r="E417" t="s">
        <v>313</v>
      </c>
      <c r="F417" s="111" t="s">
        <v>108</v>
      </c>
      <c r="J417">
        <v>35000</v>
      </c>
      <c r="L417">
        <v>22800</v>
      </c>
      <c r="M417">
        <v>22650</v>
      </c>
      <c r="O417">
        <v>10810</v>
      </c>
    </row>
    <row r="418" spans="1:15" x14ac:dyDescent="0.3">
      <c r="A418" s="116">
        <v>46035</v>
      </c>
      <c r="B418" t="s">
        <v>52</v>
      </c>
      <c r="C418" s="11">
        <v>22000</v>
      </c>
      <c r="D418" s="11"/>
      <c r="E418" t="s">
        <v>487</v>
      </c>
      <c r="F418" s="111" t="s">
        <v>108</v>
      </c>
      <c r="J418">
        <v>29600</v>
      </c>
      <c r="L418">
        <v>29600</v>
      </c>
      <c r="M418">
        <v>22800</v>
      </c>
      <c r="O418">
        <v>12000</v>
      </c>
    </row>
    <row r="419" spans="1:15" x14ac:dyDescent="0.3">
      <c r="A419" s="38">
        <v>46035</v>
      </c>
      <c r="B419" t="s">
        <v>52</v>
      </c>
      <c r="C419" s="11">
        <v>17000</v>
      </c>
      <c r="D419" s="11"/>
      <c r="E419" t="s">
        <v>488</v>
      </c>
      <c r="F419" s="111" t="s">
        <v>108</v>
      </c>
      <c r="J419">
        <v>46600</v>
      </c>
      <c r="L419">
        <v>46600</v>
      </c>
      <c r="M419">
        <v>15000</v>
      </c>
      <c r="O419">
        <v>11650</v>
      </c>
    </row>
    <row r="420" spans="1:15" x14ac:dyDescent="0.3">
      <c r="A420" s="116">
        <v>46035</v>
      </c>
      <c r="B420" t="s">
        <v>52</v>
      </c>
      <c r="C420" s="11">
        <f>830900-501260</f>
        <v>329640</v>
      </c>
      <c r="D420" s="11"/>
      <c r="E420" t="s">
        <v>477</v>
      </c>
      <c r="F420" s="111" t="s">
        <v>108</v>
      </c>
      <c r="J420">
        <v>22800</v>
      </c>
      <c r="L420">
        <v>20800</v>
      </c>
      <c r="M420">
        <v>18450</v>
      </c>
      <c r="O420">
        <v>16300</v>
      </c>
    </row>
    <row r="421" spans="1:15" x14ac:dyDescent="0.3">
      <c r="A421" s="38">
        <v>46035</v>
      </c>
      <c r="B421" t="s">
        <v>54</v>
      </c>
      <c r="C421" s="11">
        <v>5000</v>
      </c>
      <c r="D421" s="11"/>
      <c r="E421" t="s">
        <v>448</v>
      </c>
      <c r="F421" s="111" t="s">
        <v>108</v>
      </c>
      <c r="J421">
        <v>3200</v>
      </c>
      <c r="L421">
        <v>20000</v>
      </c>
      <c r="M421">
        <v>24600</v>
      </c>
      <c r="O421">
        <v>17300</v>
      </c>
    </row>
    <row r="422" spans="1:15" x14ac:dyDescent="0.3">
      <c r="A422" s="116">
        <v>46035</v>
      </c>
      <c r="B422" t="s">
        <v>192</v>
      </c>
      <c r="C422" s="11"/>
      <c r="D422" s="11">
        <v>300000</v>
      </c>
      <c r="E422" t="s">
        <v>489</v>
      </c>
      <c r="F422" s="111" t="s">
        <v>108</v>
      </c>
      <c r="J422">
        <v>11640</v>
      </c>
      <c r="L422">
        <v>80000</v>
      </c>
      <c r="M422">
        <v>15000</v>
      </c>
      <c r="O422">
        <v>17460</v>
      </c>
    </row>
    <row r="423" spans="1:15" x14ac:dyDescent="0.3">
      <c r="A423" s="38">
        <v>46035</v>
      </c>
      <c r="B423" t="s">
        <v>410</v>
      </c>
      <c r="C423" s="11">
        <v>100704</v>
      </c>
      <c r="D423" s="11"/>
      <c r="E423" t="s">
        <v>490</v>
      </c>
      <c r="F423" s="111" t="s">
        <v>108</v>
      </c>
      <c r="J423">
        <v>17500</v>
      </c>
      <c r="L423">
        <v>30000</v>
      </c>
      <c r="M423">
        <v>12000</v>
      </c>
      <c r="O423">
        <v>18450</v>
      </c>
    </row>
    <row r="424" spans="1:15" x14ac:dyDescent="0.3">
      <c r="A424" s="116">
        <v>46035</v>
      </c>
      <c r="B424" t="s">
        <v>192</v>
      </c>
      <c r="C424" s="11"/>
      <c r="D424" s="11">
        <v>50000</v>
      </c>
      <c r="E424" t="s">
        <v>491</v>
      </c>
      <c r="F424" s="111" t="s">
        <v>108</v>
      </c>
      <c r="J424">
        <v>20800</v>
      </c>
      <c r="L424">
        <v>15600</v>
      </c>
      <c r="M424">
        <v>18300</v>
      </c>
      <c r="O424">
        <v>12800</v>
      </c>
    </row>
    <row r="425" spans="1:15" x14ac:dyDescent="0.3">
      <c r="A425" s="38">
        <v>46035</v>
      </c>
      <c r="B425" t="s">
        <v>55</v>
      </c>
      <c r="C425" s="11">
        <v>15513</v>
      </c>
      <c r="D425" s="11"/>
      <c r="E425" t="s">
        <v>453</v>
      </c>
      <c r="F425" s="111" t="s">
        <v>108</v>
      </c>
      <c r="J425">
        <v>15600</v>
      </c>
      <c r="L425">
        <v>15000</v>
      </c>
      <c r="M425">
        <v>20000</v>
      </c>
      <c r="O425">
        <v>24600</v>
      </c>
    </row>
    <row r="426" spans="1:15" x14ac:dyDescent="0.3">
      <c r="A426" s="38">
        <v>46035</v>
      </c>
      <c r="B426" t="s">
        <v>326</v>
      </c>
      <c r="C426" s="96"/>
      <c r="D426" s="96">
        <v>190000</v>
      </c>
      <c r="E426" t="s">
        <v>492</v>
      </c>
      <c r="F426" s="111" t="s">
        <v>108</v>
      </c>
      <c r="J426">
        <v>11000</v>
      </c>
      <c r="L426">
        <v>14300</v>
      </c>
      <c r="M426">
        <v>20000</v>
      </c>
      <c r="O426">
        <v>22800</v>
      </c>
    </row>
    <row r="427" spans="1:15" x14ac:dyDescent="0.3">
      <c r="A427" s="38">
        <v>46035</v>
      </c>
      <c r="B427" t="s">
        <v>177</v>
      </c>
      <c r="C427" s="96">
        <v>4500</v>
      </c>
      <c r="D427" s="96"/>
      <c r="E427" t="s">
        <v>493</v>
      </c>
      <c r="F427" s="111" t="s">
        <v>108</v>
      </c>
      <c r="J427">
        <v>17000</v>
      </c>
      <c r="L427">
        <v>16500</v>
      </c>
      <c r="M427">
        <v>38400</v>
      </c>
      <c r="O427">
        <v>20000</v>
      </c>
    </row>
    <row r="428" spans="1:15" x14ac:dyDescent="0.3">
      <c r="A428" s="38">
        <v>46035</v>
      </c>
      <c r="B428" t="s">
        <v>222</v>
      </c>
      <c r="C428" s="96">
        <v>400</v>
      </c>
      <c r="D428" s="96"/>
      <c r="F428" s="111" t="s">
        <v>108</v>
      </c>
      <c r="J428">
        <v>10000</v>
      </c>
      <c r="L428">
        <v>17500</v>
      </c>
      <c r="M428">
        <v>12300</v>
      </c>
      <c r="O428">
        <v>18300</v>
      </c>
    </row>
    <row r="429" spans="1:15" x14ac:dyDescent="0.3">
      <c r="A429" s="38">
        <v>46035</v>
      </c>
      <c r="B429" t="s">
        <v>54</v>
      </c>
      <c r="C429" s="96">
        <v>350</v>
      </c>
      <c r="D429" s="96"/>
      <c r="E429" t="s">
        <v>494</v>
      </c>
      <c r="F429" s="111" t="s">
        <v>108</v>
      </c>
      <c r="J429">
        <v>80000</v>
      </c>
      <c r="L429">
        <v>17500</v>
      </c>
      <c r="M429">
        <v>17300</v>
      </c>
      <c r="O429">
        <v>15000</v>
      </c>
    </row>
    <row r="430" spans="1:15" x14ac:dyDescent="0.3">
      <c r="A430" s="38">
        <v>46036</v>
      </c>
      <c r="B430" t="s">
        <v>326</v>
      </c>
      <c r="C430" s="96"/>
      <c r="D430" s="96">
        <v>100000</v>
      </c>
      <c r="E430" t="s">
        <v>496</v>
      </c>
      <c r="F430" s="111" t="s">
        <v>108</v>
      </c>
      <c r="J430">
        <v>20000</v>
      </c>
      <c r="L430">
        <v>17500</v>
      </c>
      <c r="M430">
        <v>5100</v>
      </c>
      <c r="O430">
        <v>11000</v>
      </c>
    </row>
    <row r="431" spans="1:15" x14ac:dyDescent="0.3">
      <c r="A431" s="116">
        <v>46036</v>
      </c>
      <c r="B431" t="s">
        <v>326</v>
      </c>
      <c r="C431" s="11"/>
      <c r="D431" s="11">
        <v>160000</v>
      </c>
      <c r="E431" t="s">
        <v>406</v>
      </c>
      <c r="F431" s="111" t="s">
        <v>108</v>
      </c>
      <c r="L431">
        <v>3300</v>
      </c>
      <c r="M431">
        <v>8350</v>
      </c>
      <c r="O431">
        <v>35000</v>
      </c>
    </row>
    <row r="432" spans="1:15" x14ac:dyDescent="0.3">
      <c r="A432" s="38">
        <v>46036</v>
      </c>
      <c r="B432" t="s">
        <v>192</v>
      </c>
      <c r="C432" s="11">
        <v>160000</v>
      </c>
      <c r="D432" s="11"/>
      <c r="E432" t="s">
        <v>326</v>
      </c>
      <c r="F432" s="111" t="s">
        <v>108</v>
      </c>
      <c r="L432">
        <v>5830</v>
      </c>
      <c r="M432">
        <v>9850</v>
      </c>
      <c r="O432">
        <v>7000</v>
      </c>
    </row>
    <row r="433" spans="1:15" x14ac:dyDescent="0.3">
      <c r="A433" s="116">
        <v>46036</v>
      </c>
      <c r="B433" t="s">
        <v>9</v>
      </c>
      <c r="C433" s="96"/>
      <c r="D433" s="96">
        <v>200000</v>
      </c>
      <c r="E433" t="s">
        <v>497</v>
      </c>
      <c r="F433" s="111" t="s">
        <v>108</v>
      </c>
      <c r="L433">
        <v>7000</v>
      </c>
      <c r="M433">
        <v>20000</v>
      </c>
      <c r="O433">
        <v>5850</v>
      </c>
    </row>
    <row r="434" spans="1:15" x14ac:dyDescent="0.3">
      <c r="A434" s="38">
        <v>46036</v>
      </c>
      <c r="B434" t="s">
        <v>192</v>
      </c>
      <c r="C434" s="11"/>
      <c r="D434" s="11">
        <v>5100</v>
      </c>
      <c r="E434" t="s">
        <v>355</v>
      </c>
      <c r="F434" s="111" t="s">
        <v>108</v>
      </c>
      <c r="L434">
        <v>5332</v>
      </c>
      <c r="O434">
        <v>3300</v>
      </c>
    </row>
    <row r="435" spans="1:15" x14ac:dyDescent="0.3">
      <c r="A435" s="116">
        <v>46036</v>
      </c>
      <c r="B435" t="s">
        <v>55</v>
      </c>
      <c r="C435" s="11">
        <v>5100</v>
      </c>
      <c r="D435" s="11"/>
      <c r="E435" t="s">
        <v>498</v>
      </c>
      <c r="F435" s="111" t="s">
        <v>108</v>
      </c>
      <c r="L435">
        <v>35000</v>
      </c>
      <c r="O435">
        <v>17500</v>
      </c>
    </row>
    <row r="436" spans="1:15" x14ac:dyDescent="0.3">
      <c r="A436" s="38">
        <v>46036</v>
      </c>
      <c r="B436" t="s">
        <v>55</v>
      </c>
      <c r="C436" s="11">
        <v>3000</v>
      </c>
      <c r="D436" s="11"/>
      <c r="E436" t="s">
        <v>355</v>
      </c>
      <c r="F436" s="111" t="s">
        <v>108</v>
      </c>
      <c r="L436">
        <v>11000</v>
      </c>
      <c r="M436">
        <v>17000</v>
      </c>
      <c r="O436">
        <v>17500</v>
      </c>
    </row>
    <row r="437" spans="1:15" x14ac:dyDescent="0.3">
      <c r="A437" s="116">
        <v>46036</v>
      </c>
      <c r="B437" t="s">
        <v>229</v>
      </c>
      <c r="C437" s="11">
        <v>150062</v>
      </c>
      <c r="D437" s="11"/>
      <c r="E437" t="s">
        <v>499</v>
      </c>
      <c r="F437" s="111" t="s">
        <v>108</v>
      </c>
      <c r="L437">
        <v>17460</v>
      </c>
      <c r="M437">
        <v>22000</v>
      </c>
      <c r="O437">
        <v>17500</v>
      </c>
    </row>
    <row r="438" spans="1:15" x14ac:dyDescent="0.3">
      <c r="A438" s="38">
        <v>46036</v>
      </c>
      <c r="B438" t="s">
        <v>410</v>
      </c>
      <c r="C438" s="11">
        <v>31500</v>
      </c>
      <c r="D438" s="11"/>
      <c r="E438" t="s">
        <v>289</v>
      </c>
      <c r="F438" s="111" t="s">
        <v>108</v>
      </c>
      <c r="L438">
        <v>11640</v>
      </c>
      <c r="O438">
        <v>16500</v>
      </c>
    </row>
    <row r="439" spans="1:15" x14ac:dyDescent="0.3">
      <c r="A439" s="116">
        <v>46036</v>
      </c>
      <c r="B439" t="s">
        <v>55</v>
      </c>
      <c r="C439" s="11">
        <v>1300</v>
      </c>
      <c r="D439" s="11"/>
      <c r="E439" t="s">
        <v>500</v>
      </c>
      <c r="F439" s="111" t="s">
        <v>108</v>
      </c>
      <c r="L439">
        <v>10800</v>
      </c>
      <c r="O439">
        <v>14300</v>
      </c>
    </row>
    <row r="440" spans="1:15" x14ac:dyDescent="0.3">
      <c r="A440" s="38">
        <v>46036</v>
      </c>
      <c r="B440" t="s">
        <v>169</v>
      </c>
      <c r="C440" s="11">
        <v>70000</v>
      </c>
      <c r="D440" s="11"/>
      <c r="E440" t="s">
        <v>289</v>
      </c>
      <c r="F440" s="111" t="s">
        <v>108</v>
      </c>
      <c r="L440">
        <v>17000</v>
      </c>
      <c r="O440">
        <v>15000</v>
      </c>
    </row>
    <row r="441" spans="1:15" x14ac:dyDescent="0.3">
      <c r="A441" s="116">
        <v>46036</v>
      </c>
      <c r="B441" t="s">
        <v>169</v>
      </c>
      <c r="C441" s="11">
        <v>5000</v>
      </c>
      <c r="D441" s="11"/>
      <c r="E441" t="s">
        <v>289</v>
      </c>
      <c r="F441" s="111" t="s">
        <v>108</v>
      </c>
      <c r="O441">
        <v>22650</v>
      </c>
    </row>
    <row r="442" spans="1:15" x14ac:dyDescent="0.3">
      <c r="A442" s="38">
        <v>46036</v>
      </c>
      <c r="B442" t="s">
        <v>94</v>
      </c>
      <c r="C442" s="11">
        <v>200460</v>
      </c>
      <c r="D442" s="11"/>
      <c r="E442" t="s">
        <v>501</v>
      </c>
      <c r="F442" s="111" t="s">
        <v>108</v>
      </c>
      <c r="O442">
        <v>20000</v>
      </c>
    </row>
    <row r="443" spans="1:15" x14ac:dyDescent="0.3">
      <c r="A443" s="116">
        <v>46036</v>
      </c>
      <c r="B443" t="s">
        <v>55</v>
      </c>
      <c r="C443" s="96">
        <v>1800</v>
      </c>
      <c r="D443" s="96"/>
      <c r="F443" s="111" t="s">
        <v>108</v>
      </c>
      <c r="O443">
        <v>15600</v>
      </c>
    </row>
    <row r="444" spans="1:15" x14ac:dyDescent="0.3">
      <c r="A444" s="38">
        <v>46036</v>
      </c>
      <c r="B444" t="s">
        <v>55</v>
      </c>
      <c r="C444" s="11">
        <v>1000</v>
      </c>
      <c r="D444" s="11"/>
      <c r="F444" s="111" t="s">
        <v>108</v>
      </c>
      <c r="O444">
        <v>15000</v>
      </c>
    </row>
    <row r="445" spans="1:15" x14ac:dyDescent="0.3">
      <c r="A445" s="116">
        <v>46036</v>
      </c>
      <c r="B445" t="s">
        <v>55</v>
      </c>
      <c r="C445" s="11">
        <v>2530</v>
      </c>
      <c r="D445" s="11"/>
      <c r="F445" s="111" t="s">
        <v>108</v>
      </c>
      <c r="O445">
        <v>400</v>
      </c>
    </row>
    <row r="446" spans="1:15" x14ac:dyDescent="0.3">
      <c r="A446" s="38">
        <v>46036</v>
      </c>
      <c r="B446" t="s">
        <v>461</v>
      </c>
      <c r="C446" s="11">
        <v>38750</v>
      </c>
      <c r="D446" s="11"/>
      <c r="E446" t="s">
        <v>502</v>
      </c>
      <c r="F446" s="111" t="s">
        <v>108</v>
      </c>
      <c r="O446">
        <v>20000</v>
      </c>
    </row>
    <row r="447" spans="1:15" x14ac:dyDescent="0.3">
      <c r="A447" s="116">
        <v>46036</v>
      </c>
      <c r="B447" t="s">
        <v>55</v>
      </c>
      <c r="C447" s="11">
        <v>2900</v>
      </c>
      <c r="D447" s="11"/>
      <c r="E447" t="s">
        <v>503</v>
      </c>
      <c r="F447" s="111" t="s">
        <v>108</v>
      </c>
      <c r="O447">
        <v>30000</v>
      </c>
    </row>
    <row r="448" spans="1:15" x14ac:dyDescent="0.3">
      <c r="A448" s="38">
        <v>46036</v>
      </c>
      <c r="B448" t="s">
        <v>55</v>
      </c>
      <c r="C448" s="11">
        <v>4850</v>
      </c>
      <c r="D448" s="11"/>
      <c r="F448" s="111" t="s">
        <v>108</v>
      </c>
      <c r="O448">
        <v>8350</v>
      </c>
    </row>
    <row r="449" spans="1:16" x14ac:dyDescent="0.3">
      <c r="A449" s="116">
        <v>46036</v>
      </c>
      <c r="B449" t="s">
        <v>55</v>
      </c>
      <c r="C449" s="11">
        <v>1630</v>
      </c>
      <c r="D449" s="11"/>
      <c r="F449" s="111" t="s">
        <v>108</v>
      </c>
      <c r="O449">
        <v>9850</v>
      </c>
      <c r="P449">
        <v>17000</v>
      </c>
    </row>
    <row r="450" spans="1:16" x14ac:dyDescent="0.3">
      <c r="A450" s="38">
        <v>46036</v>
      </c>
      <c r="B450" t="s">
        <v>229</v>
      </c>
      <c r="C450" s="11">
        <v>48000</v>
      </c>
      <c r="D450" s="11"/>
      <c r="E450" t="s">
        <v>504</v>
      </c>
      <c r="F450" s="111" t="s">
        <v>108</v>
      </c>
      <c r="O450">
        <v>80000</v>
      </c>
    </row>
    <row r="451" spans="1:16" x14ac:dyDescent="0.3">
      <c r="A451" s="38">
        <v>46036</v>
      </c>
      <c r="B451" t="s">
        <v>192</v>
      </c>
      <c r="C451" s="96"/>
      <c r="D451" s="96">
        <v>126962</v>
      </c>
      <c r="E451" t="s">
        <v>505</v>
      </c>
      <c r="F451" s="111" t="s">
        <v>108</v>
      </c>
      <c r="O451">
        <v>20000</v>
      </c>
    </row>
    <row r="452" spans="1:16" x14ac:dyDescent="0.3">
      <c r="A452" s="116">
        <v>46036</v>
      </c>
      <c r="B452" t="s">
        <v>52</v>
      </c>
      <c r="C452" s="11">
        <v>46400</v>
      </c>
      <c r="D452" s="11"/>
      <c r="E452" t="s">
        <v>506</v>
      </c>
      <c r="F452" s="111" t="s">
        <v>108</v>
      </c>
      <c r="O452">
        <v>20800</v>
      </c>
    </row>
    <row r="453" spans="1:16" x14ac:dyDescent="0.3">
      <c r="A453" s="116">
        <v>46036</v>
      </c>
      <c r="B453" t="s">
        <v>54</v>
      </c>
      <c r="C453" s="11">
        <v>1000</v>
      </c>
      <c r="D453" s="11"/>
      <c r="E453" t="s">
        <v>507</v>
      </c>
      <c r="F453" s="111" t="s">
        <v>108</v>
      </c>
      <c r="O453">
        <v>46600</v>
      </c>
    </row>
    <row r="454" spans="1:16" x14ac:dyDescent="0.3">
      <c r="A454" s="116">
        <v>46036</v>
      </c>
      <c r="B454" t="s">
        <v>54</v>
      </c>
      <c r="C454" s="11">
        <v>600</v>
      </c>
      <c r="D454" s="11"/>
      <c r="E454" t="s">
        <v>502</v>
      </c>
      <c r="F454" s="111" t="s">
        <v>108</v>
      </c>
      <c r="L454" s="19">
        <v>48600</v>
      </c>
      <c r="N454" s="19">
        <v>27400</v>
      </c>
      <c r="O454">
        <v>29600</v>
      </c>
    </row>
    <row r="455" spans="1:16" x14ac:dyDescent="0.3">
      <c r="A455" s="116">
        <v>46037</v>
      </c>
      <c r="B455" t="s">
        <v>55</v>
      </c>
      <c r="C455" s="11">
        <v>1300</v>
      </c>
      <c r="D455" s="11"/>
      <c r="E455" t="s">
        <v>500</v>
      </c>
      <c r="F455" s="111" t="s">
        <v>108</v>
      </c>
      <c r="L455">
        <v>49200</v>
      </c>
      <c r="N455">
        <v>3400</v>
      </c>
      <c r="O455">
        <v>22800</v>
      </c>
    </row>
    <row r="456" spans="1:16" x14ac:dyDescent="0.3">
      <c r="A456" s="116">
        <v>46037</v>
      </c>
      <c r="B456" t="s">
        <v>55</v>
      </c>
      <c r="C456" s="11">
        <v>1000</v>
      </c>
      <c r="D456" s="11"/>
      <c r="E456" t="s">
        <v>508</v>
      </c>
      <c r="F456" s="111" t="s">
        <v>108</v>
      </c>
      <c r="L456">
        <v>52000</v>
      </c>
      <c r="N456" s="19">
        <v>6200</v>
      </c>
      <c r="O456">
        <v>3200</v>
      </c>
    </row>
    <row r="457" spans="1:16" x14ac:dyDescent="0.3">
      <c r="A457" s="116">
        <v>46037</v>
      </c>
      <c r="B457" t="s">
        <v>177</v>
      </c>
      <c r="C457" s="96">
        <v>1000</v>
      </c>
      <c r="D457" s="96"/>
      <c r="E457" t="s">
        <v>509</v>
      </c>
      <c r="F457" s="111" t="s">
        <v>108</v>
      </c>
      <c r="L457">
        <v>42800</v>
      </c>
      <c r="N457">
        <v>3400</v>
      </c>
      <c r="O457">
        <v>48400</v>
      </c>
    </row>
    <row r="458" spans="1:16" x14ac:dyDescent="0.3">
      <c r="A458" s="116">
        <v>46037</v>
      </c>
      <c r="B458" t="s">
        <v>55</v>
      </c>
      <c r="C458" s="11">
        <v>500</v>
      </c>
      <c r="D458" s="11"/>
      <c r="E458" t="s">
        <v>510</v>
      </c>
      <c r="F458" s="111" t="s">
        <v>108</v>
      </c>
      <c r="L458">
        <v>25200</v>
      </c>
      <c r="N458" s="19">
        <v>25200</v>
      </c>
      <c r="O458">
        <v>5330</v>
      </c>
    </row>
    <row r="459" spans="1:16" x14ac:dyDescent="0.3">
      <c r="A459" s="116">
        <v>46037</v>
      </c>
      <c r="B459" t="s">
        <v>55</v>
      </c>
      <c r="C459" s="11">
        <v>6450</v>
      </c>
      <c r="D459" s="11"/>
      <c r="E459" t="s">
        <v>511</v>
      </c>
      <c r="F459" s="111" t="s">
        <v>108</v>
      </c>
      <c r="L459">
        <v>37600</v>
      </c>
      <c r="N459" s="19">
        <v>19500</v>
      </c>
      <c r="O459">
        <v>17000</v>
      </c>
    </row>
    <row r="460" spans="1:16" x14ac:dyDescent="0.3">
      <c r="A460" s="116">
        <v>46037</v>
      </c>
      <c r="B460" t="s">
        <v>202</v>
      </c>
      <c r="C460" s="11">
        <v>50000</v>
      </c>
      <c r="D460" s="11"/>
      <c r="E460" t="s">
        <v>512</v>
      </c>
      <c r="F460" s="111" t="s">
        <v>108</v>
      </c>
      <c r="L460">
        <v>23000</v>
      </c>
      <c r="N460" s="19">
        <v>20300</v>
      </c>
    </row>
    <row r="461" spans="1:16" x14ac:dyDescent="0.3">
      <c r="A461" s="116">
        <v>46037</v>
      </c>
      <c r="B461" t="s">
        <v>192</v>
      </c>
      <c r="C461" s="11"/>
      <c r="D461" s="11">
        <v>160000</v>
      </c>
      <c r="E461" t="s">
        <v>326</v>
      </c>
      <c r="F461" s="111" t="s">
        <v>108</v>
      </c>
      <c r="L461">
        <v>6200</v>
      </c>
      <c r="N461" s="19">
        <v>21000</v>
      </c>
    </row>
    <row r="462" spans="1:16" x14ac:dyDescent="0.3">
      <c r="A462" s="116">
        <v>46037</v>
      </c>
      <c r="B462" t="s">
        <v>94</v>
      </c>
      <c r="C462" s="11">
        <v>95200</v>
      </c>
      <c r="D462" s="11"/>
      <c r="E462" t="s">
        <v>289</v>
      </c>
      <c r="F462" s="111" t="s">
        <v>108</v>
      </c>
      <c r="L462">
        <v>3400</v>
      </c>
      <c r="N462" s="19">
        <v>40000</v>
      </c>
    </row>
    <row r="463" spans="1:16" x14ac:dyDescent="0.3">
      <c r="A463" s="116">
        <v>46037</v>
      </c>
      <c r="B463" t="s">
        <v>326</v>
      </c>
      <c r="C463" s="11"/>
      <c r="D463" s="11">
        <v>129357</v>
      </c>
      <c r="E463" t="s">
        <v>513</v>
      </c>
      <c r="F463" s="111" t="s">
        <v>108</v>
      </c>
      <c r="L463">
        <v>19800</v>
      </c>
      <c r="N463" s="19">
        <v>3000</v>
      </c>
    </row>
    <row r="464" spans="1:16" x14ac:dyDescent="0.3">
      <c r="A464" s="116">
        <v>46037</v>
      </c>
      <c r="B464" t="s">
        <v>52</v>
      </c>
      <c r="C464" s="11">
        <v>165000</v>
      </c>
      <c r="D464" s="11"/>
      <c r="E464" t="s">
        <v>221</v>
      </c>
      <c r="F464" s="111" t="s">
        <v>108</v>
      </c>
      <c r="L464">
        <v>3400</v>
      </c>
      <c r="N464" s="19">
        <v>20600</v>
      </c>
    </row>
    <row r="465" spans="1:14" x14ac:dyDescent="0.3">
      <c r="A465" s="116">
        <v>46037</v>
      </c>
      <c r="B465" t="s">
        <v>410</v>
      </c>
      <c r="C465" s="11">
        <v>100000</v>
      </c>
      <c r="D465" s="11"/>
      <c r="E465" t="s">
        <v>514</v>
      </c>
      <c r="F465" s="111" t="s">
        <v>108</v>
      </c>
      <c r="L465">
        <v>31150</v>
      </c>
      <c r="N465" s="19">
        <v>12750</v>
      </c>
    </row>
    <row r="466" spans="1:14" x14ac:dyDescent="0.3">
      <c r="A466" s="116">
        <v>46037</v>
      </c>
      <c r="B466" t="s">
        <v>229</v>
      </c>
      <c r="C466" s="11">
        <v>140000</v>
      </c>
      <c r="D466" s="11"/>
      <c r="E466" t="s">
        <v>515</v>
      </c>
      <c r="F466" s="111" t="s">
        <v>108</v>
      </c>
      <c r="L466">
        <v>12750</v>
      </c>
      <c r="N466" s="19">
        <v>14400</v>
      </c>
    </row>
    <row r="467" spans="1:14" x14ac:dyDescent="0.3">
      <c r="A467" s="116">
        <v>46037</v>
      </c>
      <c r="B467" t="s">
        <v>437</v>
      </c>
      <c r="C467" s="11"/>
      <c r="D467" s="11">
        <v>285800</v>
      </c>
      <c r="F467" s="111" t="s">
        <v>108</v>
      </c>
      <c r="L467">
        <v>27400</v>
      </c>
      <c r="N467" s="19">
        <v>9000</v>
      </c>
    </row>
    <row r="468" spans="1:14" x14ac:dyDescent="0.3">
      <c r="A468" s="116">
        <v>46037</v>
      </c>
      <c r="B468" t="s">
        <v>55</v>
      </c>
      <c r="C468" s="11">
        <v>2750</v>
      </c>
      <c r="D468" s="11"/>
      <c r="E468" t="s">
        <v>320</v>
      </c>
      <c r="F468" s="111" t="s">
        <v>108</v>
      </c>
      <c r="L468">
        <v>15700</v>
      </c>
      <c r="N468" s="19">
        <v>17400</v>
      </c>
    </row>
    <row r="469" spans="1:14" x14ac:dyDescent="0.3">
      <c r="A469" s="135">
        <v>46037</v>
      </c>
      <c r="B469" s="136" t="s">
        <v>177</v>
      </c>
      <c r="C469" s="96">
        <v>6300</v>
      </c>
      <c r="D469" s="96"/>
      <c r="E469" s="136" t="s">
        <v>516</v>
      </c>
      <c r="F469" s="137" t="s">
        <v>108</v>
      </c>
      <c r="G469" s="136"/>
      <c r="L469">
        <v>12550</v>
      </c>
      <c r="N469" s="19">
        <v>19782</v>
      </c>
    </row>
    <row r="470" spans="1:14" x14ac:dyDescent="0.3">
      <c r="A470" s="135">
        <v>46037</v>
      </c>
      <c r="B470" s="136" t="s">
        <v>229</v>
      </c>
      <c r="C470" s="96">
        <v>30000</v>
      </c>
      <c r="D470" s="96"/>
      <c r="E470" s="136" t="s">
        <v>517</v>
      </c>
      <c r="F470" s="137" t="s">
        <v>108</v>
      </c>
      <c r="G470" s="136"/>
      <c r="L470">
        <v>14800</v>
      </c>
      <c r="N470" s="19">
        <v>23000</v>
      </c>
    </row>
    <row r="471" spans="1:14" x14ac:dyDescent="0.3">
      <c r="A471" s="135">
        <v>46037</v>
      </c>
      <c r="B471" s="136" t="s">
        <v>222</v>
      </c>
      <c r="C471" s="96">
        <v>710</v>
      </c>
      <c r="D471" s="96"/>
      <c r="E471" s="136"/>
      <c r="F471" s="137" t="s">
        <v>108</v>
      </c>
      <c r="G471" s="136"/>
      <c r="L471">
        <v>14350</v>
      </c>
      <c r="N471" s="19">
        <v>15700</v>
      </c>
    </row>
    <row r="472" spans="1:14" x14ac:dyDescent="0.3">
      <c r="A472" s="135">
        <v>46037</v>
      </c>
      <c r="B472" s="136" t="s">
        <v>177</v>
      </c>
      <c r="C472" s="96">
        <v>250</v>
      </c>
      <c r="D472" s="96"/>
      <c r="E472" s="136" t="s">
        <v>518</v>
      </c>
      <c r="F472" s="137" t="s">
        <v>108</v>
      </c>
      <c r="G472" s="136"/>
      <c r="L472">
        <v>40000</v>
      </c>
      <c r="N472" s="19">
        <v>14800</v>
      </c>
    </row>
    <row r="473" spans="1:14" x14ac:dyDescent="0.3">
      <c r="A473" s="135"/>
      <c r="B473" s="136"/>
      <c r="C473" s="96"/>
      <c r="D473" s="96"/>
      <c r="E473" s="136"/>
      <c r="F473" s="137"/>
      <c r="G473" s="136"/>
      <c r="L473">
        <v>17400</v>
      </c>
      <c r="N473" s="19">
        <v>12550</v>
      </c>
    </row>
    <row r="474" spans="1:14" x14ac:dyDescent="0.3">
      <c r="A474" s="38"/>
      <c r="C474" s="14">
        <f>SUBTOTAL(109,Table14[Debit])</f>
        <v>28444756</v>
      </c>
      <c r="D474" s="14">
        <f>SUBTOTAL(109,Table14[Credit])</f>
        <v>28468633</v>
      </c>
      <c r="F474" s="54">
        <f>(Table14[[#Totals],[Credit]]-Table14[[#Totals],[Debit]])</f>
        <v>23877</v>
      </c>
      <c r="L474">
        <v>19500</v>
      </c>
      <c r="N474" s="19">
        <v>31150</v>
      </c>
    </row>
    <row r="475" spans="1:14" x14ac:dyDescent="0.3">
      <c r="L475">
        <v>3000</v>
      </c>
      <c r="N475" s="19">
        <v>27500</v>
      </c>
    </row>
    <row r="476" spans="1:14" x14ac:dyDescent="0.3">
      <c r="L476">
        <v>1000</v>
      </c>
      <c r="N476" s="19">
        <v>20000</v>
      </c>
    </row>
    <row r="477" spans="1:14" x14ac:dyDescent="0.3">
      <c r="L477">
        <v>9000</v>
      </c>
      <c r="N477" s="19">
        <v>52000</v>
      </c>
    </row>
    <row r="478" spans="1:14" x14ac:dyDescent="0.3">
      <c r="L478">
        <v>21000</v>
      </c>
      <c r="N478" s="19">
        <v>49200</v>
      </c>
    </row>
    <row r="479" spans="1:14" x14ac:dyDescent="0.3">
      <c r="L479">
        <v>20300</v>
      </c>
      <c r="N479" s="19">
        <v>37600</v>
      </c>
    </row>
    <row r="480" spans="1: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5" zoomScale="107" zoomScaleNormal="210" workbookViewId="0">
      <selection activeCell="I19" sqref="I1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M10">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v>183750</v>
      </c>
      <c r="M11">
        <v>0</v>
      </c>
    </row>
    <row r="12" spans="1:14" x14ac:dyDescent="0.3">
      <c r="A12" s="1">
        <v>46024</v>
      </c>
      <c r="B12" t="s">
        <v>377</v>
      </c>
      <c r="F12" t="s">
        <v>176</v>
      </c>
      <c r="G12">
        <f>SUMIFS(Table14[Debit], Table14[Date], Table8[[#This Row],[Date]], Table14[Party], Table8[[#This Row],[Party]])</f>
        <v>80250</v>
      </c>
      <c r="H12">
        <f>Table8[[#This Row],[Price]]-Table8[[#This Row],[Paid]]</f>
        <v>-80250</v>
      </c>
      <c r="K12" s="26">
        <v>46013</v>
      </c>
      <c r="L12">
        <v>111250</v>
      </c>
      <c r="M12">
        <v>0</v>
      </c>
    </row>
    <row r="13" spans="1:14" x14ac:dyDescent="0.3">
      <c r="A13" s="1">
        <v>46025</v>
      </c>
      <c r="B13" t="s">
        <v>64</v>
      </c>
      <c r="E13">
        <v>187000</v>
      </c>
      <c r="F13" t="s">
        <v>176</v>
      </c>
      <c r="G13">
        <f>SUMIFS(Table14[Debit], Table14[Date], Table8[[#This Row],[Date]], Table14[Party], Table8[[#This Row],[Party]])</f>
        <v>80000</v>
      </c>
      <c r="H13">
        <f>Table8[[#This Row],[Price]]-Table8[[#This Row],[Paid]]</f>
        <v>107000</v>
      </c>
      <c r="K13" s="26">
        <v>46017</v>
      </c>
      <c r="L13">
        <v>84000</v>
      </c>
      <c r="M13">
        <v>34000</v>
      </c>
    </row>
    <row r="14" spans="1:14" x14ac:dyDescent="0.3">
      <c r="A14" s="1">
        <v>46028</v>
      </c>
      <c r="B14" t="s">
        <v>64</v>
      </c>
      <c r="E14">
        <v>218250</v>
      </c>
      <c r="F14" t="s">
        <v>176</v>
      </c>
      <c r="G14">
        <f>SUMIFS(Table14[Debit], Table14[Date], Table8[[#This Row],[Date]], Table14[Party], Table8[[#This Row],[Party]])</f>
        <v>107000</v>
      </c>
      <c r="H14">
        <f>Table8[[#This Row],[Price]]-Table8[[#This Row],[Paid]]</f>
        <v>111250</v>
      </c>
      <c r="K14" s="26">
        <v>46016</v>
      </c>
      <c r="L14">
        <v>162500</v>
      </c>
      <c r="M14">
        <v>0</v>
      </c>
    </row>
    <row r="15" spans="1:14" x14ac:dyDescent="0.3">
      <c r="A15" s="1">
        <v>46029</v>
      </c>
      <c r="B15" t="s">
        <v>409</v>
      </c>
      <c r="F15" t="s">
        <v>176</v>
      </c>
      <c r="G15">
        <f>SUMIFS(Table14[Debit], Table14[Date], Table8[[#This Row],[Date]], Table14[Party], Table8[[#This Row],[Party]])</f>
        <v>218250</v>
      </c>
      <c r="H15">
        <f>Table8[[#This Row],[Price]]-Table8[[#This Row],[Paid]]</f>
        <v>-218250</v>
      </c>
      <c r="K15" s="26">
        <v>46018</v>
      </c>
      <c r="L15">
        <v>111000</v>
      </c>
      <c r="M15">
        <v>27000</v>
      </c>
    </row>
    <row r="16" spans="1:14" x14ac:dyDescent="0.3">
      <c r="A16" s="1">
        <v>46028</v>
      </c>
      <c r="B16" t="s">
        <v>64</v>
      </c>
      <c r="E16">
        <v>13500</v>
      </c>
      <c r="F16" t="s">
        <v>64</v>
      </c>
      <c r="G16">
        <f>SUMIFS(Table14[Debit], Table14[Date], Table8[[#This Row],[Date]], Table14[Party], Table8[[#This Row],[Party]])</f>
        <v>13500</v>
      </c>
      <c r="H16">
        <f>Table8[[#This Row],[Price]]-Table8[[#This Row],[Paid]]</f>
        <v>0</v>
      </c>
      <c r="K16" s="26">
        <v>46020</v>
      </c>
      <c r="L16">
        <v>180250</v>
      </c>
      <c r="M16">
        <v>19250</v>
      </c>
    </row>
    <row r="17" spans="1:13" x14ac:dyDescent="0.3">
      <c r="A17" s="1">
        <v>46031</v>
      </c>
      <c r="B17" t="s">
        <v>64</v>
      </c>
      <c r="E17">
        <v>66875</v>
      </c>
      <c r="F17" t="s">
        <v>64</v>
      </c>
      <c r="G17">
        <f>SUMIFS(Table14[Debit], Table14[Date], Table8[[#This Row],[Date]], Table14[Party], Table8[[#This Row],[Party]])</f>
        <v>66875</v>
      </c>
      <c r="H17">
        <f>Table8[[#This Row],[Price]]-Table8[[#This Row],[Paid]]</f>
        <v>0</v>
      </c>
      <c r="K17" s="26">
        <v>46024</v>
      </c>
      <c r="M17">
        <v>-80250</v>
      </c>
    </row>
    <row r="18" spans="1:13" x14ac:dyDescent="0.3">
      <c r="A18" s="1">
        <v>46031</v>
      </c>
      <c r="B18" t="s">
        <v>130</v>
      </c>
      <c r="E18">
        <v>43500</v>
      </c>
      <c r="F18" t="s">
        <v>176</v>
      </c>
      <c r="G18">
        <f>SUMIFS(Table14[Debit], Table14[Date], Table8[[#This Row],[Date]], Table14[Party], Table8[[#This Row],[Party]])</f>
        <v>0</v>
      </c>
      <c r="H18">
        <f>Table8[[#This Row],[Price]]-Table8[[#This Row],[Paid]]</f>
        <v>43500</v>
      </c>
      <c r="K18" s="26">
        <v>46025</v>
      </c>
      <c r="L18">
        <v>187000</v>
      </c>
      <c r="M18">
        <v>107000</v>
      </c>
    </row>
    <row r="19" spans="1:13" x14ac:dyDescent="0.3">
      <c r="A19" s="1">
        <v>46034</v>
      </c>
      <c r="B19" t="s">
        <v>64</v>
      </c>
      <c r="F19" t="s">
        <v>176</v>
      </c>
      <c r="G19">
        <f>SUMIFS(Table14[Debit], Table14[Date], Table8[[#This Row],[Date]], Table14[Party], Table8[[#This Row],[Party]])</f>
        <v>43500</v>
      </c>
      <c r="H19">
        <f>Table8[[#This Row],[Price]]-Table8[[#This Row],[Paid]]</f>
        <v>-43500</v>
      </c>
      <c r="K19" s="26">
        <v>46028</v>
      </c>
      <c r="L19">
        <v>231750</v>
      </c>
      <c r="M19">
        <v>111250</v>
      </c>
    </row>
    <row r="20" spans="1:13" x14ac:dyDescent="0.3">
      <c r="G20">
        <f>SUMIFS(Table14[Debit], Table14[Date], Table8[[#This Row],[Date]], Table14[Party], Table8[[#This Row],[Party]])</f>
        <v>0</v>
      </c>
      <c r="H20">
        <f>Table8[[#This Row],[Price]]-Table8[[#This Row],[Paid]]</f>
        <v>0</v>
      </c>
      <c r="K20" s="26">
        <v>46029</v>
      </c>
      <c r="M20">
        <v>-218250</v>
      </c>
    </row>
    <row r="21" spans="1:13" x14ac:dyDescent="0.3">
      <c r="G21">
        <f>SUMIFS(Table14[Debit], Table14[Date], Table8[[#This Row],[Date]], Table14[Party], Table8[[#This Row],[Party]])</f>
        <v>0</v>
      </c>
      <c r="H21">
        <f>Table8[[#This Row],[Price]]-Table8[[#This Row],[Paid]]</f>
        <v>0</v>
      </c>
      <c r="K21" s="26">
        <v>46031</v>
      </c>
      <c r="L21">
        <v>110375</v>
      </c>
      <c r="M21">
        <v>43500</v>
      </c>
    </row>
    <row r="22" spans="1:13" x14ac:dyDescent="0.3">
      <c r="G22">
        <f>SUMIFS(Table14[Debit], Table14[Date], Table8[[#This Row],[Date]], Table14[Party], Table8[[#This Row],[Party]])</f>
        <v>0</v>
      </c>
      <c r="H22">
        <f>Table8[[#This Row],[Price]]-Table8[[#This Row],[Paid]]</f>
        <v>0</v>
      </c>
      <c r="K22" s="26">
        <v>46034</v>
      </c>
      <c r="M22">
        <v>-43500</v>
      </c>
    </row>
    <row r="23" spans="1:13" x14ac:dyDescent="0.3">
      <c r="G23">
        <f>SUMIFS(Table14[Debit], Table14[Date], Table8[[#This Row],[Date]], Table14[Party], Table8[[#This Row],[Party]])</f>
        <v>0</v>
      </c>
      <c r="H23">
        <f>Table8[[#This Row],[Price]]-Table8[[#This Row],[Paid]]</f>
        <v>0</v>
      </c>
      <c r="K23" s="4" t="s">
        <v>103</v>
      </c>
      <c r="M23">
        <v>0</v>
      </c>
    </row>
    <row r="24" spans="1:13" x14ac:dyDescent="0.3">
      <c r="E24">
        <f>SUBTOTAL(109,Table8[Price])</f>
        <v>1361875</v>
      </c>
      <c r="H24">
        <f>SUBTOTAL(109,Table8[Balance])</f>
        <v>0</v>
      </c>
      <c r="K24" s="4" t="s">
        <v>28</v>
      </c>
      <c r="L24">
        <v>1361875</v>
      </c>
      <c r="M24">
        <v>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188</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5" zoomScale="104" workbookViewId="0">
      <selection activeCell="D20" sqref="D2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46008</v>
      </c>
      <c r="B5" s="85" t="s">
        <v>117</v>
      </c>
      <c r="C5" s="82" t="s">
        <v>216</v>
      </c>
      <c r="D5" s="82"/>
      <c r="E5" s="82"/>
      <c r="F5" s="82">
        <f>Table2[[#This Row],[Quantity]]*200*Table2[[#This Row],[Boxes]]</f>
        <v>0</v>
      </c>
      <c r="G5" s="82">
        <f>SUMIFS(Table14[Debit], Table14[Date], Table2[[#This Row],[Date]], Table14[Party], Table2[[#This Row],[Party Name]])</f>
        <v>0</v>
      </c>
      <c r="H5" s="82">
        <v>0</v>
      </c>
      <c r="J5" s="4" t="s">
        <v>116</v>
      </c>
      <c r="K5">
        <v>0</v>
      </c>
      <c r="L5">
        <v>268000</v>
      </c>
      <c r="M5">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f>
        <v>0</v>
      </c>
      <c r="H6" s="82">
        <v>268000</v>
      </c>
      <c r="J6" s="4" t="s">
        <v>117</v>
      </c>
      <c r="K6">
        <v>0</v>
      </c>
      <c r="L6">
        <v>0</v>
      </c>
      <c r="M6">
        <v>0</v>
      </c>
    </row>
    <row r="7" spans="1:13" x14ac:dyDescent="0.3">
      <c r="A7" s="85">
        <v>46008</v>
      </c>
      <c r="B7" s="85" t="s">
        <v>165</v>
      </c>
      <c r="C7" s="82" t="s">
        <v>216</v>
      </c>
      <c r="F7" s="82">
        <f>Table2[[#This Row],[Quantity]]*200*Table2[[#This Row],[Boxes]]</f>
        <v>0</v>
      </c>
      <c r="G7" s="82">
        <f>SUMIFS(Table14[Debit], Table14[Date], Table2[[#This Row],[Date]], Table14[Party], Table2[[#This Row],[Party Name]])</f>
        <v>0</v>
      </c>
      <c r="H7" s="81">
        <v>0</v>
      </c>
      <c r="J7" s="4" t="s">
        <v>165</v>
      </c>
      <c r="K7">
        <v>0</v>
      </c>
      <c r="L7">
        <v>0</v>
      </c>
      <c r="M7">
        <v>0</v>
      </c>
    </row>
    <row r="8" spans="1:13" x14ac:dyDescent="0.3">
      <c r="A8" s="85">
        <v>46008</v>
      </c>
      <c r="B8" s="95" t="s">
        <v>194</v>
      </c>
      <c r="C8" s="82" t="s">
        <v>216</v>
      </c>
      <c r="F8" s="82">
        <f>Table2[[#This Row],[Quantity]]*200*Table2[[#This Row],[Boxes]]</f>
        <v>0</v>
      </c>
      <c r="G8" s="82">
        <f>SUMIFS(Table14[Debit], Table14[Date], Table2[[#This Row],[Date]], Table14[Party], Table2[[#This Row],[Party Name]])</f>
        <v>0</v>
      </c>
      <c r="H8" s="81">
        <v>0</v>
      </c>
      <c r="J8" s="4" t="s">
        <v>194</v>
      </c>
      <c r="K8">
        <v>351000</v>
      </c>
      <c r="L8">
        <v>351000</v>
      </c>
      <c r="M8">
        <v>0</v>
      </c>
    </row>
    <row r="9" spans="1:13" x14ac:dyDescent="0.3">
      <c r="A9" s="117">
        <v>46008</v>
      </c>
      <c r="B9" s="117" t="s">
        <v>198</v>
      </c>
      <c r="C9" s="88" t="s">
        <v>216</v>
      </c>
      <c r="F9" s="82">
        <f>Table2[[#This Row],[Quantity]]*200*Table2[[#This Row],[Boxes]]</f>
        <v>0</v>
      </c>
      <c r="G9" s="82">
        <f>SUMIFS(Table14[Debit], Table14[Date], Table2[[#This Row],[Date]], Table14[Party], Table2[[#This Row],[Party Name]])</f>
        <v>0</v>
      </c>
      <c r="H9" s="81">
        <f>Table2[[#This Row],[Price]]-Table2[[#This Row],[Paid]]</f>
        <v>0</v>
      </c>
      <c r="J9" s="4" t="s">
        <v>198</v>
      </c>
      <c r="K9">
        <v>0</v>
      </c>
      <c r="L9">
        <v>0</v>
      </c>
      <c r="M9">
        <v>0</v>
      </c>
    </row>
    <row r="10" spans="1:13" x14ac:dyDescent="0.3">
      <c r="A10" s="1">
        <v>46011</v>
      </c>
      <c r="B10" s="1" t="s">
        <v>194</v>
      </c>
      <c r="C10" t="s">
        <v>61</v>
      </c>
      <c r="D10">
        <v>45</v>
      </c>
      <c r="F10">
        <v>351000</v>
      </c>
      <c r="G10">
        <f>SUMIFS(Table14[Debit], Table14[Date], Table2[[#This Row],[Date]], Table14[Party], Table2[[#This Row],[Party Name]])</f>
        <v>0</v>
      </c>
      <c r="H10">
        <f>Table2[[#This Row],[Price]]-Table2[[#This Row],[Paid]]</f>
        <v>351000</v>
      </c>
      <c r="J10" s="4" t="s">
        <v>28</v>
      </c>
      <c r="K10">
        <v>351000</v>
      </c>
      <c r="L10">
        <v>619000</v>
      </c>
      <c r="M10">
        <v>0</v>
      </c>
    </row>
    <row r="11" spans="1:13" x14ac:dyDescent="0.3">
      <c r="A11" s="1">
        <v>46014</v>
      </c>
      <c r="B11" s="1" t="s">
        <v>116</v>
      </c>
      <c r="C11" t="s">
        <v>282</v>
      </c>
      <c r="F11">
        <f>Table2[[#This Row],[Quantity]]*200*Table2[[#This Row],[Boxes]]</f>
        <v>0</v>
      </c>
      <c r="G11">
        <f>SUMIFS(Table14[Debit], Table14[Date], Table2[[#This Row],[Date]], Table14[Party], Table2[[#This Row],[Party Name]])</f>
        <v>150000</v>
      </c>
      <c r="H11">
        <f>Table2[[#This Row],[Price]]-Table2[[#This Row],[Paid]]</f>
        <v>-150000</v>
      </c>
    </row>
    <row r="12" spans="1:13" x14ac:dyDescent="0.3">
      <c r="A12" s="1">
        <v>46032</v>
      </c>
      <c r="B12" s="1" t="s">
        <v>116</v>
      </c>
      <c r="C12" t="s">
        <v>294</v>
      </c>
      <c r="F12">
        <f>Table2[[#This Row],[Quantity]]*200*Table2[[#This Row],[Boxes]]</f>
        <v>0</v>
      </c>
      <c r="G12">
        <f>SUMIFS(Table14[Debit], Table14[Date], Table2[[#This Row],[Date]], Table14[Party], Table2[[#This Row],[Party Name]])</f>
        <v>118000</v>
      </c>
      <c r="H12">
        <f>Table2[[#This Row],[Price]]-Table2[[#This Row],[Paid]]</f>
        <v>-118000</v>
      </c>
    </row>
    <row r="13" spans="1:13" x14ac:dyDescent="0.3">
      <c r="A13" s="1">
        <v>46034</v>
      </c>
      <c r="B13" s="1" t="s">
        <v>194</v>
      </c>
      <c r="C13" t="s">
        <v>61</v>
      </c>
      <c r="F13">
        <f>Table2[[#This Row],[Quantity]]*200*Table2[[#This Row],[Boxes]]</f>
        <v>0</v>
      </c>
      <c r="G13">
        <f>SUMIFS(Table14[Debit], Table14[Date], Table2[[#This Row],[Date]], Table14[Party], Table2[[#This Row],[Party Name]])</f>
        <v>351000</v>
      </c>
      <c r="H13">
        <f>Table2[[#This Row],[Price]]-Table2[[#This Row],[Paid]]</f>
        <v>-351000</v>
      </c>
    </row>
    <row r="14" spans="1:13" x14ac:dyDescent="0.3">
      <c r="A14" s="1"/>
      <c r="F14">
        <f>SUBTOTAL(109,Table2[Price])</f>
        <v>351000</v>
      </c>
      <c r="G14">
        <f>SUBTOTAL(109,Table2[Paid])</f>
        <v>619000</v>
      </c>
      <c r="H14">
        <f>SUBTOTAL(109,Table2[Balance])</f>
        <v>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1540383</v>
      </c>
      <c r="C2" s="32">
        <f>GETPIVOTDATA("Sum of Tiyaar/gaz",$A$3)</f>
        <v>1580507.8824</v>
      </c>
      <c r="D2" s="31">
        <f>((B2*48)+((C2/1.0936)*10))/C2</f>
        <v>55.925519133062807</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11019</v>
      </c>
      <c r="D19" s="28">
        <f t="shared" si="1"/>
        <v>53.811685382427498</v>
      </c>
      <c r="E19" s="11">
        <f t="shared" si="2"/>
        <v>11213.774399999998</v>
      </c>
      <c r="F19" s="11">
        <f t="shared" si="0"/>
        <v>11019</v>
      </c>
      <c r="G19" s="78">
        <f t="shared" ref="G19:G38" si="6">100- (F19/E19 *100)</f>
        <v>1.7369209781855233</v>
      </c>
      <c r="H19" s="28">
        <f t="shared" si="3"/>
        <v>10075.896122896855</v>
      </c>
      <c r="I19" s="28">
        <f t="shared" si="5"/>
        <v>53.811685382427498</v>
      </c>
    </row>
    <row r="20" spans="1:9" x14ac:dyDescent="0.3">
      <c r="A20" s="16">
        <v>1948</v>
      </c>
      <c r="B20" s="14">
        <v>20882</v>
      </c>
      <c r="C20" s="14">
        <v>22189</v>
      </c>
      <c r="D20" s="28">
        <f t="shared" si="1"/>
        <v>54.316764308801133</v>
      </c>
      <c r="E20" s="11">
        <f>B20 * 1.0936</f>
        <v>22836.555199999999</v>
      </c>
      <c r="F20" s="11">
        <f t="shared" si="0"/>
        <v>22189</v>
      </c>
      <c r="G20" s="78">
        <f t="shared" si="6"/>
        <v>2.8356080605362024</v>
      </c>
      <c r="H20" s="28">
        <f t="shared" si="3"/>
        <v>20289.86832479883</v>
      </c>
      <c r="I20" s="28">
        <f t="shared" si="5"/>
        <v>54.316764308801133</v>
      </c>
    </row>
    <row r="21" spans="1:9" x14ac:dyDescent="0.3">
      <c r="A21" s="16">
        <v>1947</v>
      </c>
      <c r="B21" s="14">
        <v>11427</v>
      </c>
      <c r="C21" s="14">
        <v>12044</v>
      </c>
      <c r="D21" s="28">
        <f t="shared" si="1"/>
        <v>54.685127466055341</v>
      </c>
      <c r="E21" s="11">
        <f t="shared" si="2"/>
        <v>12496.5672</v>
      </c>
      <c r="F21" s="11">
        <f t="shared" si="0"/>
        <v>12044</v>
      </c>
      <c r="G21" s="78">
        <f t="shared" si="6"/>
        <v>3.6215321596478134</v>
      </c>
      <c r="H21" s="28">
        <f t="shared" si="3"/>
        <v>11013.167520117046</v>
      </c>
      <c r="I21" s="28">
        <f t="shared" si="5"/>
        <v>54.685127466055341</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8">
        <f t="shared" si="6"/>
        <v>0.27372001379688982</v>
      </c>
      <c r="H32" s="28">
        <f t="shared" si="3"/>
        <v>45555.961960497443</v>
      </c>
      <c r="I32" s="28">
        <f t="shared" si="5"/>
        <v>53.156315126555086</v>
      </c>
    </row>
    <row r="33" spans="1:9" x14ac:dyDescent="0.3">
      <c r="A33" s="16">
        <v>1989</v>
      </c>
      <c r="B33" s="14">
        <v>44261</v>
      </c>
      <c r="C33" s="14">
        <v>46709</v>
      </c>
      <c r="D33" s="28">
        <f t="shared" ref="D33:D37" si="7">I33</f>
        <v>54.628450398968994</v>
      </c>
      <c r="E33" s="11">
        <f t="shared" ref="E33:E37" si="8">B33 * 1.0936</f>
        <v>48403.829599999997</v>
      </c>
      <c r="F33" s="11">
        <f t="shared" ref="F33:F37" si="9">C33</f>
        <v>46709</v>
      </c>
      <c r="G33" s="78">
        <f t="shared" ref="G33:G37" si="10">100- (F33/E33 *100)</f>
        <v>3.5014370020011683</v>
      </c>
      <c r="H33" s="28">
        <f t="shared" ref="H33:H37" si="11">F33/1.0936</f>
        <v>42711.228968544259</v>
      </c>
      <c r="I33" s="28">
        <f t="shared" ref="I33:I37" si="12">((B33*48)+(H33*10))/C33</f>
        <v>54.628450398968994</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378</v>
      </c>
      <c r="B35" s="14">
        <v>17616</v>
      </c>
      <c r="C35" s="14">
        <v>18976</v>
      </c>
      <c r="D35" s="28">
        <f t="shared" si="7"/>
        <v>53.703976285140833</v>
      </c>
      <c r="E35" s="11">
        <f t="shared" si="8"/>
        <v>19264.857599999999</v>
      </c>
      <c r="F35" s="11">
        <f t="shared" si="9"/>
        <v>18976</v>
      </c>
      <c r="G35" s="78">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8">
        <f t="shared" si="10"/>
        <v>2.663447916265028</v>
      </c>
      <c r="H36" s="28">
        <f t="shared" si="11"/>
        <v>12243.964886613023</v>
      </c>
      <c r="I36" s="28">
        <f t="shared" si="12"/>
        <v>54.23686698029352</v>
      </c>
    </row>
    <row r="37" spans="1:9" x14ac:dyDescent="0.3">
      <c r="A37" s="16">
        <v>2005</v>
      </c>
      <c r="B37" s="14">
        <v>11805</v>
      </c>
      <c r="C37" s="14">
        <v>12520</v>
      </c>
      <c r="D37" s="28">
        <f t="shared" si="7"/>
        <v>54.402897134884107</v>
      </c>
      <c r="E37" s="11">
        <f t="shared" si="8"/>
        <v>12909.947999999999</v>
      </c>
      <c r="F37" s="11">
        <f t="shared" si="9"/>
        <v>12520</v>
      </c>
      <c r="G37" s="78">
        <f t="shared" si="10"/>
        <v>3.0205233979253734</v>
      </c>
      <c r="H37" s="28">
        <f t="shared" si="11"/>
        <v>11448.427212874909</v>
      </c>
      <c r="I37" s="28">
        <f t="shared" si="12"/>
        <v>54.402897134884107</v>
      </c>
    </row>
    <row r="38" spans="1:9" x14ac:dyDescent="0.3">
      <c r="A38" s="16">
        <v>2006</v>
      </c>
      <c r="B38" s="14">
        <v>24208</v>
      </c>
      <c r="C38" s="14">
        <v>15658</v>
      </c>
      <c r="D38" s="28">
        <f t="shared" si="1"/>
        <v>83.354355157138556</v>
      </c>
      <c r="E38" s="11">
        <f t="shared" si="2"/>
        <v>26473.868799999997</v>
      </c>
      <c r="F38" s="11">
        <f t="shared" si="0"/>
        <v>15658</v>
      </c>
      <c r="G38" s="78">
        <f t="shared" si="6"/>
        <v>40.854885554165762</v>
      </c>
      <c r="H38" s="28">
        <f t="shared" si="3"/>
        <v>14317.84930504755</v>
      </c>
      <c r="I38" s="28">
        <f t="shared" si="5"/>
        <v>83.354355157138556</v>
      </c>
    </row>
    <row r="39" spans="1:9" x14ac:dyDescent="0.3">
      <c r="A39" s="16">
        <v>2003</v>
      </c>
      <c r="B39" s="14">
        <v>12005</v>
      </c>
      <c r="C39" s="14">
        <v>13297</v>
      </c>
      <c r="D39" s="28">
        <f t="shared" ref="D39:D44" si="13">I39</f>
        <v>52.480202039951706</v>
      </c>
      <c r="E39" s="11">
        <f t="shared" ref="E39:E44" si="14">B39 * 1.0936</f>
        <v>13128.668</v>
      </c>
      <c r="F39" s="11">
        <f t="shared" ref="F39:F44" si="15">C39</f>
        <v>13297</v>
      </c>
      <c r="G39" s="78">
        <f t="shared" ref="G39:G44" si="16">100- (F39/E39 *100)</f>
        <v>-1.2821711996982401</v>
      </c>
      <c r="H39" s="28">
        <f t="shared" ref="H39:H44" si="17">F39/1.0936</f>
        <v>12158.924652523776</v>
      </c>
      <c r="I39" s="28">
        <f t="shared" ref="I39:I44" si="18">((B39*48)+(H39*10))/C39</f>
        <v>52.480202039951706</v>
      </c>
    </row>
    <row r="40" spans="1:9" x14ac:dyDescent="0.3">
      <c r="A40" s="16">
        <v>2008</v>
      </c>
      <c r="B40" s="14">
        <v>48429</v>
      </c>
      <c r="C40" s="14">
        <v>52270</v>
      </c>
      <c r="D40" s="28">
        <f t="shared" si="13"/>
        <v>53.61688716331232</v>
      </c>
      <c r="E40" s="11">
        <f t="shared" si="14"/>
        <v>52961.954399999995</v>
      </c>
      <c r="F40" s="11">
        <f t="shared" si="15"/>
        <v>52270</v>
      </c>
      <c r="G40" s="78">
        <f t="shared" si="16"/>
        <v>1.3065122083183383</v>
      </c>
      <c r="H40" s="28">
        <f t="shared" si="17"/>
        <v>47796.269202633506</v>
      </c>
      <c r="I40" s="28">
        <f t="shared" si="18"/>
        <v>53.61688716331232</v>
      </c>
    </row>
    <row r="41" spans="1:9" x14ac:dyDescent="0.3">
      <c r="A41" s="16">
        <v>2009</v>
      </c>
      <c r="B41" s="14">
        <v>12335</v>
      </c>
      <c r="C41" s="14">
        <v>13230</v>
      </c>
      <c r="D41" s="28">
        <f t="shared" si="13"/>
        <v>53.896945659512284</v>
      </c>
      <c r="E41" s="11">
        <f t="shared" si="14"/>
        <v>13489.555999999999</v>
      </c>
      <c r="F41" s="11">
        <f t="shared" si="15"/>
        <v>13230</v>
      </c>
      <c r="G41" s="78">
        <f t="shared" si="16"/>
        <v>1.9241255976104696</v>
      </c>
      <c r="H41" s="28">
        <f t="shared" si="17"/>
        <v>12097.659107534748</v>
      </c>
      <c r="I41" s="28">
        <f t="shared" si="18"/>
        <v>53.896945659512284</v>
      </c>
    </row>
    <row r="42" spans="1:9" x14ac:dyDescent="0.3">
      <c r="A42" s="16">
        <v>2007</v>
      </c>
      <c r="B42" s="14">
        <v>51307</v>
      </c>
      <c r="C42" s="14">
        <v>38022</v>
      </c>
      <c r="D42" s="28">
        <f t="shared" si="13"/>
        <v>73.915454099130301</v>
      </c>
      <c r="E42" s="11">
        <f t="shared" si="14"/>
        <v>56109.335199999994</v>
      </c>
      <c r="F42" s="11">
        <f t="shared" si="15"/>
        <v>38022</v>
      </c>
      <c r="G42" s="78">
        <f t="shared" si="16"/>
        <v>32.235875074135606</v>
      </c>
      <c r="H42" s="28">
        <f t="shared" si="17"/>
        <v>34767.739575713247</v>
      </c>
      <c r="I42" s="28">
        <f t="shared" si="18"/>
        <v>73.915454099130301</v>
      </c>
    </row>
    <row r="43" spans="1:9" x14ac:dyDescent="0.3">
      <c r="A43" s="16">
        <v>1976</v>
      </c>
      <c r="B43" s="14">
        <v>22604</v>
      </c>
      <c r="C43" s="14">
        <v>24276</v>
      </c>
      <c r="D43" s="28">
        <f t="shared" si="13"/>
        <v>53.83812997637628</v>
      </c>
      <c r="E43" s="11">
        <f t="shared" si="14"/>
        <v>24719.734399999998</v>
      </c>
      <c r="F43" s="11">
        <f t="shared" si="15"/>
        <v>24276</v>
      </c>
      <c r="G43" s="78">
        <f t="shared" si="16"/>
        <v>1.7950613579407957</v>
      </c>
      <c r="H43" s="28">
        <f t="shared" si="17"/>
        <v>22198.244330651061</v>
      </c>
      <c r="I43" s="28">
        <f t="shared" si="18"/>
        <v>53.83812997637628</v>
      </c>
    </row>
    <row r="44" spans="1:9" x14ac:dyDescent="0.3">
      <c r="A44" s="16">
        <v>1998</v>
      </c>
      <c r="B44" s="14">
        <v>51009</v>
      </c>
      <c r="C44" s="14">
        <v>54996</v>
      </c>
      <c r="D44" s="28">
        <f t="shared" si="13"/>
        <v>53.664294478449264</v>
      </c>
      <c r="E44" s="11">
        <f t="shared" si="14"/>
        <v>55783.442399999993</v>
      </c>
      <c r="F44" s="11">
        <f t="shared" si="15"/>
        <v>54996</v>
      </c>
      <c r="G44" s="78">
        <f t="shared" si="16"/>
        <v>1.4116059642816055</v>
      </c>
      <c r="H44" s="28">
        <f t="shared" si="17"/>
        <v>50288.953913679594</v>
      </c>
      <c r="I44" s="28">
        <f t="shared" si="18"/>
        <v>53.664294478449264</v>
      </c>
    </row>
    <row r="45" spans="1:9" x14ac:dyDescent="0.3">
      <c r="A45" s="16">
        <v>1991</v>
      </c>
      <c r="B45" s="14">
        <v>25470</v>
      </c>
      <c r="C45" s="14">
        <v>27674</v>
      </c>
      <c r="D45" s="28">
        <f t="shared" ref="D45:D58" si="19">I45</f>
        <v>53.321317234164162</v>
      </c>
      <c r="E45" s="11">
        <f t="shared" ref="E45:E58" si="20">B45 * 1.0936</f>
        <v>27853.991999999998</v>
      </c>
      <c r="F45" s="11">
        <f t="shared" ref="F45:F58" si="21">C45</f>
        <v>27674</v>
      </c>
      <c r="G45" s="78">
        <f t="shared" ref="G45:G58" si="22">100- (F45/E45 *100)</f>
        <v>0.64619821819435685</v>
      </c>
      <c r="H45" s="28">
        <f t="shared" ref="H45:H58" si="23">F45/1.0936</f>
        <v>25305.413313825899</v>
      </c>
      <c r="I45" s="28">
        <f t="shared" ref="I45:I58" si="24">((B45*48)+(H45*10))/C45</f>
        <v>53.321317234164162</v>
      </c>
    </row>
    <row r="46" spans="1:9" x14ac:dyDescent="0.3">
      <c r="A46" s="16">
        <v>1999</v>
      </c>
      <c r="B46" s="14">
        <v>25064</v>
      </c>
      <c r="C46" s="14">
        <v>26532</v>
      </c>
      <c r="D46" s="28">
        <f t="shared" si="19"/>
        <v>54.488299342550398</v>
      </c>
      <c r="E46" s="11">
        <f t="shared" si="20"/>
        <v>27409.990399999999</v>
      </c>
      <c r="F46" s="11">
        <f t="shared" si="21"/>
        <v>26532</v>
      </c>
      <c r="G46" s="78">
        <f t="shared" si="22"/>
        <v>3.2031766052716364</v>
      </c>
      <c r="H46" s="28">
        <f t="shared" si="23"/>
        <v>24261.155815654722</v>
      </c>
      <c r="I46" s="28">
        <f t="shared" si="24"/>
        <v>54.488299342550398</v>
      </c>
    </row>
    <row r="47" spans="1:9" x14ac:dyDescent="0.3">
      <c r="A47" s="16">
        <v>2002</v>
      </c>
      <c r="B47" s="14">
        <v>12052</v>
      </c>
      <c r="C47" s="14">
        <v>12842</v>
      </c>
      <c r="D47" s="28">
        <f t="shared" si="19"/>
        <v>54.191300103776619</v>
      </c>
      <c r="E47" s="11">
        <f t="shared" si="20"/>
        <v>13180.0672</v>
      </c>
      <c r="F47" s="11">
        <f t="shared" si="21"/>
        <v>12842</v>
      </c>
      <c r="G47" s="78">
        <f t="shared" si="22"/>
        <v>2.5649884395126605</v>
      </c>
      <c r="H47" s="28">
        <f t="shared" si="23"/>
        <v>11742.867593269935</v>
      </c>
      <c r="I47" s="28">
        <f t="shared" si="24"/>
        <v>54.191300103776619</v>
      </c>
    </row>
    <row r="48" spans="1:9" x14ac:dyDescent="0.3">
      <c r="A48" s="16">
        <v>1969</v>
      </c>
      <c r="B48" s="14">
        <v>7371</v>
      </c>
      <c r="C48" s="14">
        <v>7883</v>
      </c>
      <c r="D48" s="28">
        <f t="shared" si="19"/>
        <v>54.026516368086632</v>
      </c>
      <c r="E48" s="11">
        <f t="shared" si="20"/>
        <v>8060.9255999999996</v>
      </c>
      <c r="F48" s="11">
        <f t="shared" si="21"/>
        <v>7883</v>
      </c>
      <c r="G48" s="78">
        <f t="shared" si="22"/>
        <v>2.2072601687329723</v>
      </c>
      <c r="H48" s="28">
        <f t="shared" si="23"/>
        <v>7208.3028529626927</v>
      </c>
      <c r="I48" s="28">
        <f t="shared" si="24"/>
        <v>54.026516368086632</v>
      </c>
    </row>
    <row r="49" spans="1:9" x14ac:dyDescent="0.3">
      <c r="A49" s="16">
        <v>1994</v>
      </c>
      <c r="B49" s="14">
        <v>45911</v>
      </c>
      <c r="C49" s="14">
        <v>48740</v>
      </c>
      <c r="D49" s="28">
        <f t="shared" si="19"/>
        <v>54.35806277220334</v>
      </c>
      <c r="E49" s="11">
        <f t="shared" si="20"/>
        <v>50208.269599999992</v>
      </c>
      <c r="F49" s="11">
        <f t="shared" si="21"/>
        <v>48740</v>
      </c>
      <c r="G49" s="78">
        <f t="shared" si="22"/>
        <v>2.924358102156134</v>
      </c>
      <c r="H49" s="28">
        <f t="shared" si="23"/>
        <v>44568.397951719096</v>
      </c>
      <c r="I49" s="28">
        <f t="shared" si="24"/>
        <v>54.35806277220334</v>
      </c>
    </row>
    <row r="50" spans="1:9" x14ac:dyDescent="0.3">
      <c r="A50" s="16">
        <v>2011</v>
      </c>
      <c r="B50" s="14">
        <v>30098</v>
      </c>
      <c r="C50" s="14">
        <v>31138</v>
      </c>
      <c r="D50" s="28">
        <f t="shared" si="19"/>
        <v>55.540925374420489</v>
      </c>
      <c r="E50" s="11">
        <f t="shared" si="20"/>
        <v>32915.1728</v>
      </c>
      <c r="F50" s="11">
        <f t="shared" si="21"/>
        <v>31138</v>
      </c>
      <c r="G50" s="78">
        <f t="shared" si="22"/>
        <v>5.3992510104640843</v>
      </c>
      <c r="H50" s="28">
        <f t="shared" si="23"/>
        <v>28472.933430870522</v>
      </c>
      <c r="I50" s="28">
        <f t="shared" si="24"/>
        <v>55.540925374420489</v>
      </c>
    </row>
    <row r="51" spans="1:9" x14ac:dyDescent="0.3">
      <c r="A51" s="16">
        <v>2010</v>
      </c>
      <c r="B51" s="14">
        <v>32275</v>
      </c>
      <c r="C51" s="14">
        <v>29266</v>
      </c>
      <c r="D51" s="28">
        <f t="shared" si="19"/>
        <v>62.079257778874705</v>
      </c>
      <c r="E51" s="11">
        <f t="shared" si="20"/>
        <v>35295.939999999995</v>
      </c>
      <c r="F51" s="11">
        <f t="shared" si="21"/>
        <v>29266</v>
      </c>
      <c r="G51" s="78">
        <f t="shared" si="22"/>
        <v>17.083947898823482</v>
      </c>
      <c r="H51" s="28">
        <f t="shared" si="23"/>
        <v>26761.155815654722</v>
      </c>
      <c r="I51" s="28">
        <f t="shared" si="24"/>
        <v>62.079257778874705</v>
      </c>
    </row>
    <row r="52" spans="1:9" x14ac:dyDescent="0.3">
      <c r="A52" s="16">
        <v>2022</v>
      </c>
      <c r="B52" s="14">
        <v>44988</v>
      </c>
      <c r="C52" s="14">
        <v>47157</v>
      </c>
      <c r="D52" s="28">
        <f t="shared" si="19"/>
        <v>54.936337160965167</v>
      </c>
      <c r="E52" s="11">
        <f t="shared" si="20"/>
        <v>49198.876799999998</v>
      </c>
      <c r="F52" s="11">
        <f t="shared" si="21"/>
        <v>47157</v>
      </c>
      <c r="G52" s="78">
        <f t="shared" si="22"/>
        <v>4.1502508447509854</v>
      </c>
      <c r="H52" s="28">
        <f t="shared" si="23"/>
        <v>43120.885149963426</v>
      </c>
      <c r="I52" s="28">
        <f t="shared" si="24"/>
        <v>54.936337160965167</v>
      </c>
    </row>
    <row r="53" spans="1:9" x14ac:dyDescent="0.3">
      <c r="A53" s="16">
        <v>2027</v>
      </c>
      <c r="B53" s="14">
        <v>11450</v>
      </c>
      <c r="C53" s="14">
        <v>12354</v>
      </c>
      <c r="D53" s="28">
        <f t="shared" si="19"/>
        <v>53.631726539648049</v>
      </c>
      <c r="E53" s="11">
        <f t="shared" si="20"/>
        <v>12521.72</v>
      </c>
      <c r="F53" s="11">
        <f t="shared" si="21"/>
        <v>12354</v>
      </c>
      <c r="G53" s="78">
        <f t="shared" si="22"/>
        <v>1.3394326019109144</v>
      </c>
      <c r="H53" s="28">
        <f t="shared" si="23"/>
        <v>11296.634967081201</v>
      </c>
      <c r="I53" s="28">
        <f t="shared" si="24"/>
        <v>53.631726539648049</v>
      </c>
    </row>
    <row r="54" spans="1:9" x14ac:dyDescent="0.3">
      <c r="A54" s="16">
        <v>2028</v>
      </c>
      <c r="B54" s="14">
        <v>6629</v>
      </c>
      <c r="C54" s="14">
        <v>6879</v>
      </c>
      <c r="D54" s="28">
        <f t="shared" si="19"/>
        <v>55.399671593613206</v>
      </c>
      <c r="E54" s="11">
        <f t="shared" si="20"/>
        <v>7249.4743999999992</v>
      </c>
      <c r="F54" s="11">
        <f t="shared" si="21"/>
        <v>6879</v>
      </c>
      <c r="G54" s="78">
        <f t="shared" si="22"/>
        <v>5.1103622077760491</v>
      </c>
      <c r="H54" s="28">
        <f t="shared" si="23"/>
        <v>6290.2340892465254</v>
      </c>
      <c r="I54" s="28">
        <f t="shared" si="24"/>
        <v>55.399671593613206</v>
      </c>
    </row>
    <row r="55" spans="1:9" x14ac:dyDescent="0.3">
      <c r="A55" s="16">
        <v>2029</v>
      </c>
      <c r="B55" s="14">
        <v>12001</v>
      </c>
      <c r="C55" s="14">
        <v>12891</v>
      </c>
      <c r="D55" s="28">
        <f t="shared" si="19"/>
        <v>53.830171234281792</v>
      </c>
      <c r="E55" s="11">
        <f t="shared" si="20"/>
        <v>13124.293599999999</v>
      </c>
      <c r="F55" s="11">
        <f t="shared" si="21"/>
        <v>12891</v>
      </c>
      <c r="G55" s="78">
        <f t="shared" si="22"/>
        <v>1.7775707181680218</v>
      </c>
      <c r="H55" s="28">
        <f t="shared" si="23"/>
        <v>11787.673738112657</v>
      </c>
      <c r="I55" s="28">
        <f t="shared" si="24"/>
        <v>53.830171234281792</v>
      </c>
    </row>
    <row r="56" spans="1:9" x14ac:dyDescent="0.3">
      <c r="A56" s="16">
        <v>2017</v>
      </c>
      <c r="B56" s="14">
        <v>28441</v>
      </c>
      <c r="C56" s="14">
        <v>30546</v>
      </c>
      <c r="D56" s="28">
        <f t="shared" si="19"/>
        <v>53.836313117357726</v>
      </c>
      <c r="E56" s="11">
        <f t="shared" si="20"/>
        <v>31103.077599999997</v>
      </c>
      <c r="F56" s="11">
        <f t="shared" si="21"/>
        <v>30546</v>
      </c>
      <c r="G56" s="78">
        <f t="shared" si="22"/>
        <v>1.7910690612815756</v>
      </c>
      <c r="H56" s="28">
        <f t="shared" si="23"/>
        <v>27931.602048280911</v>
      </c>
      <c r="I56" s="28">
        <f t="shared" si="24"/>
        <v>53.836313117357726</v>
      </c>
    </row>
    <row r="57" spans="1:9" x14ac:dyDescent="0.3">
      <c r="A57" s="16" t="s">
        <v>481</v>
      </c>
      <c r="B57" s="14">
        <v>51307</v>
      </c>
      <c r="C57" s="14">
        <v>55125</v>
      </c>
      <c r="D57" s="28">
        <f t="shared" si="19"/>
        <v>53.819594185589374</v>
      </c>
      <c r="E57" s="11">
        <f t="shared" si="20"/>
        <v>56109.335199999994</v>
      </c>
      <c r="F57" s="11">
        <f t="shared" si="21"/>
        <v>55125</v>
      </c>
      <c r="G57" s="78">
        <f t="shared" si="22"/>
        <v>1.7543162764117</v>
      </c>
      <c r="H57" s="28">
        <f t="shared" si="23"/>
        <v>50406.91294806145</v>
      </c>
      <c r="I57" s="28">
        <f t="shared" si="24"/>
        <v>53.819594185589374</v>
      </c>
    </row>
    <row r="58" spans="1:9" x14ac:dyDescent="0.3">
      <c r="A58" s="16">
        <v>2018</v>
      </c>
      <c r="B58" s="14">
        <v>48184</v>
      </c>
      <c r="C58" s="14">
        <v>29452</v>
      </c>
      <c r="D58" s="28">
        <f t="shared" si="19"/>
        <v>87.672971711202365</v>
      </c>
      <c r="E58" s="11">
        <f t="shared" si="20"/>
        <v>52694.022399999994</v>
      </c>
      <c r="F58" s="11">
        <f t="shared" si="21"/>
        <v>29452</v>
      </c>
      <c r="G58" s="78">
        <f t="shared" si="22"/>
        <v>44.107512278280723</v>
      </c>
      <c r="H58" s="28">
        <f t="shared" si="23"/>
        <v>26931.236283833212</v>
      </c>
      <c r="I58" s="28">
        <f t="shared" si="24"/>
        <v>87.672971711202365</v>
      </c>
    </row>
    <row r="59" spans="1:9" x14ac:dyDescent="0.3">
      <c r="A59" s="16">
        <v>2030</v>
      </c>
      <c r="B59" s="14">
        <v>24735</v>
      </c>
      <c r="C59" s="14">
        <v>26408</v>
      </c>
      <c r="D59" s="28">
        <f t="shared" ref="D59:D73" si="25">I59</f>
        <v>54.103214494421792</v>
      </c>
      <c r="E59" s="11">
        <f t="shared" ref="E59:E73" si="26">B59 * 1.0936</f>
        <v>27050.195999999996</v>
      </c>
      <c r="F59" s="11">
        <f t="shared" ref="F59:F73" si="27">C59</f>
        <v>26408</v>
      </c>
      <c r="G59" s="78">
        <f t="shared" ref="G59:G73" si="28">100- (F59/E59 *100)</f>
        <v>2.3740900065936614</v>
      </c>
      <c r="H59" s="28">
        <f t="shared" ref="H59:H73" si="29">F59/1.0936</f>
        <v>24147.768836869058</v>
      </c>
      <c r="I59" s="28">
        <f t="shared" ref="I59:I73" si="30">((B59*48)+(H59*10))/C59</f>
        <v>54.103214494421792</v>
      </c>
    </row>
    <row r="60" spans="1:9" x14ac:dyDescent="0.3">
      <c r="A60" s="16">
        <v>2037</v>
      </c>
      <c r="B60" s="14">
        <v>14961</v>
      </c>
      <c r="C60" s="14">
        <v>14290</v>
      </c>
      <c r="D60" s="28">
        <f t="shared" si="25"/>
        <v>59.397995027241642</v>
      </c>
      <c r="E60" s="11">
        <f t="shared" si="26"/>
        <v>16361.349599999998</v>
      </c>
      <c r="F60" s="11">
        <f t="shared" si="27"/>
        <v>14290</v>
      </c>
      <c r="G60" s="78">
        <f t="shared" si="28"/>
        <v>12.6600167506964</v>
      </c>
      <c r="H60" s="28">
        <f t="shared" si="29"/>
        <v>13066.934893928312</v>
      </c>
      <c r="I60" s="28">
        <f t="shared" si="30"/>
        <v>59.397995027241642</v>
      </c>
    </row>
    <row r="61" spans="1:9" x14ac:dyDescent="0.3">
      <c r="A61" s="16" t="s">
        <v>28</v>
      </c>
      <c r="B61" s="30">
        <v>80202</v>
      </c>
      <c r="C61" s="30">
        <v>1580507.8824</v>
      </c>
      <c r="D61" s="28">
        <f t="shared" si="25"/>
        <v>11.579844694811742</v>
      </c>
      <c r="E61" s="11">
        <f t="shared" si="26"/>
        <v>87708.907199999987</v>
      </c>
      <c r="F61" s="11">
        <f t="shared" si="27"/>
        <v>1580507.8824</v>
      </c>
      <c r="G61" s="78">
        <f t="shared" si="28"/>
        <v>-1701.9924462130343</v>
      </c>
      <c r="H61" s="28">
        <f t="shared" si="29"/>
        <v>1445233.9817117779</v>
      </c>
      <c r="I61" s="28">
        <f t="shared" si="30"/>
        <v>11.579844694811742</v>
      </c>
    </row>
    <row r="62" spans="1:9" x14ac:dyDescent="0.3">
      <c r="D62" s="28" t="e">
        <f t="shared" si="25"/>
        <v>#DIV/0!</v>
      </c>
      <c r="E62" s="11">
        <f t="shared" si="26"/>
        <v>0</v>
      </c>
      <c r="F62" s="11">
        <f t="shared" si="27"/>
        <v>0</v>
      </c>
      <c r="G62" s="78" t="e">
        <f t="shared" si="28"/>
        <v>#DIV/0!</v>
      </c>
      <c r="H62" s="28">
        <f t="shared" si="29"/>
        <v>0</v>
      </c>
      <c r="I62" s="28" t="e">
        <f t="shared" si="30"/>
        <v>#DIV/0!</v>
      </c>
    </row>
    <row r="63" spans="1:9" x14ac:dyDescent="0.3">
      <c r="D63" s="28" t="e">
        <f t="shared" si="25"/>
        <v>#DIV/0!</v>
      </c>
      <c r="E63" s="11">
        <f t="shared" si="26"/>
        <v>0</v>
      </c>
      <c r="F63" s="11">
        <f t="shared" si="27"/>
        <v>0</v>
      </c>
      <c r="G63" s="78" t="e">
        <f t="shared" si="28"/>
        <v>#DIV/0!</v>
      </c>
      <c r="H63" s="28">
        <f t="shared" si="29"/>
        <v>0</v>
      </c>
      <c r="I63" s="28" t="e">
        <f t="shared" si="30"/>
        <v>#DIV/0!</v>
      </c>
    </row>
    <row r="64" spans="1: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7500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8960</v>
      </c>
    </row>
    <row r="23" spans="2:10" x14ac:dyDescent="0.3">
      <c r="B23" s="1">
        <v>46028</v>
      </c>
      <c r="C23" t="s">
        <v>113</v>
      </c>
      <c r="D23">
        <f>SUMIFS(Table14[Debit], Table14[Date], Table5[[#This Row],[Date]], Table14[Party], "Rashan")</f>
        <v>0</v>
      </c>
      <c r="H23" s="1">
        <v>46028</v>
      </c>
      <c r="J23">
        <f>SUMIFS(Table14[Debit], Table14[Date], Table15[[#This Row],[Date]], Table14[Party], "Parts")</f>
        <v>2900</v>
      </c>
    </row>
    <row r="24" spans="2:10" x14ac:dyDescent="0.3">
      <c r="B24" s="1">
        <v>46029</v>
      </c>
      <c r="C24" t="s">
        <v>113</v>
      </c>
      <c r="D24">
        <f>SUMIFS(Table14[Debit], Table14[Date], Table5[[#This Row],[Date]], Table14[Party], "Rashan")</f>
        <v>0</v>
      </c>
      <c r="H24" s="1">
        <v>46029</v>
      </c>
      <c r="J24">
        <f>SUMIFS(Table14[Debit], Table14[Date], Table15[[#This Row],[Date]], Table14[Party], "Parts")</f>
        <v>14000</v>
      </c>
    </row>
    <row r="25" spans="2:10" x14ac:dyDescent="0.3">
      <c r="B25" s="1">
        <v>46030</v>
      </c>
      <c r="C25" t="s">
        <v>113</v>
      </c>
      <c r="D25">
        <f>SUMIFS(Table14[Debit], Table14[Date], Table5[[#This Row],[Date]], Table14[Party], "Rashan")</f>
        <v>0</v>
      </c>
      <c r="H25" s="1">
        <v>46030</v>
      </c>
      <c r="J25">
        <f>SUMIFS(Table14[Debit], Table14[Date], Table15[[#This Row],[Date]], Table14[Party], "Parts")</f>
        <v>256380</v>
      </c>
    </row>
    <row r="26" spans="2:10" x14ac:dyDescent="0.3">
      <c r="B26" s="1">
        <v>46031</v>
      </c>
      <c r="C26" t="s">
        <v>113</v>
      </c>
      <c r="D26">
        <f>SUMIFS(Table14[Debit], Table14[Date], Table5[[#This Row],[Date]], Table14[Party], "Rashan")</f>
        <v>0</v>
      </c>
      <c r="H26" s="1">
        <v>46031</v>
      </c>
      <c r="J26">
        <f>SUMIFS(Table14[Debit], Table14[Date], Table15[[#This Row],[Date]], Table14[Party], "Parts")</f>
        <v>6850</v>
      </c>
    </row>
    <row r="27" spans="2:10" x14ac:dyDescent="0.3">
      <c r="B27" s="1">
        <v>46032</v>
      </c>
      <c r="C27" t="s">
        <v>113</v>
      </c>
      <c r="D27">
        <f>SUMIFS(Table14[Debit], Table14[Date], Table5[[#This Row],[Date]], Table14[Party], "Rashan")</f>
        <v>16270</v>
      </c>
      <c r="H27" s="1">
        <v>46032</v>
      </c>
      <c r="J27">
        <f>SUMIFS(Table14[Debit], Table14[Date], Table15[[#This Row],[Date]], Table14[Party], "Parts")</f>
        <v>15513</v>
      </c>
    </row>
    <row r="28" spans="2:10" x14ac:dyDescent="0.3">
      <c r="B28" s="1">
        <v>46033</v>
      </c>
      <c r="C28" t="s">
        <v>113</v>
      </c>
      <c r="D28">
        <f>SUMIFS(Table14[Debit], Table14[Date], Table5[[#This Row],[Date]], Table14[Party], "Rashan")</f>
        <v>20000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15513</v>
      </c>
    </row>
    <row r="30" spans="2:10" x14ac:dyDescent="0.3">
      <c r="B30" s="1">
        <v>46035</v>
      </c>
      <c r="C30" t="s">
        <v>113</v>
      </c>
      <c r="D30">
        <f>SUMIFS(Table14[Debit], Table14[Date], Table5[[#This Row],[Date]], Table14[Party], "Rashan")</f>
        <v>0</v>
      </c>
      <c r="H30" s="1">
        <v>46035</v>
      </c>
      <c r="J30">
        <f>SUMIFS(Table14[Debit], Table14[Date], Table15[[#This Row],[Date]], Table14[Party], "Parts")</f>
        <v>15513</v>
      </c>
    </row>
    <row r="31" spans="2:10" x14ac:dyDescent="0.3">
      <c r="B31" s="1">
        <v>46036</v>
      </c>
      <c r="C31" t="s">
        <v>113</v>
      </c>
      <c r="D31">
        <f>SUMIFS(Table14[Debit], Table14[Date], Table5[[#This Row],[Date]], Table14[Party], "Rashan")</f>
        <v>0</v>
      </c>
      <c r="H31" s="1">
        <v>46036</v>
      </c>
      <c r="J31">
        <f>SUMIFS(Table14[Debit], Table14[Date], Table15[[#This Row],[Date]], Table14[Party], "Parts")</f>
        <v>24110</v>
      </c>
    </row>
    <row r="32" spans="2:10" x14ac:dyDescent="0.3">
      <c r="B32" s="1">
        <v>46037</v>
      </c>
      <c r="C32" t="s">
        <v>113</v>
      </c>
      <c r="D32">
        <f>SUMIFS(Table14[Debit], Table14[Date], Table5[[#This Row],[Date]], Table14[Party], "Rashan")</f>
        <v>0</v>
      </c>
      <c r="H32" s="1">
        <v>46037</v>
      </c>
      <c r="J32">
        <f>SUMIFS(Table14[Debit], Table14[Date], Table15[[#This Row],[Date]], Table14[Party], "Parts")</f>
        <v>12000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449234</v>
      </c>
    </row>
    <row r="38" spans="2:10" x14ac:dyDescent="0.3">
      <c r="B38" s="1"/>
      <c r="D38">
        <f>SUM(Table5[Amount])</f>
        <v>111730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M20" sqref="M20"/>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9641546.3803950325</v>
      </c>
    </row>
    <row r="3" spans="1:3" ht="21" x14ac:dyDescent="0.4">
      <c r="A3" s="102" t="str">
        <f>Billing!Q6</f>
        <v>Ejaz Sahab</v>
      </c>
      <c r="B3" s="105">
        <f>Billing!AD6</f>
        <v>5195319</v>
      </c>
      <c r="C3" s="103">
        <f>Billing!AE6</f>
        <v>0.12948061525821686</v>
      </c>
    </row>
    <row r="4" spans="1:3" ht="21" x14ac:dyDescent="0.4">
      <c r="A4" s="102" t="str">
        <f>Billing!Q7</f>
        <v>Arshad</v>
      </c>
      <c r="B4" s="105">
        <f>Billing!AD7</f>
        <v>7735501</v>
      </c>
      <c r="C4" s="104">
        <f>Billing!AE7</f>
        <v>160684.07681053504</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484875.83760058554</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10021.073152889963</v>
      </c>
    </row>
    <row r="13" spans="1:3" ht="21" x14ac:dyDescent="0.4">
      <c r="A13" s="102" t="str">
        <f>Billing!Q16</f>
        <v>Badshah Fabrics</v>
      </c>
      <c r="B13" s="105">
        <f>Billing!AD16</f>
        <v>6545761</v>
      </c>
      <c r="C13" s="103">
        <f>Billing!AE16</f>
        <v>91938.341623995453</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-0.38039502501487732</v>
      </c>
    </row>
    <row r="21" spans="1:3" ht="21" x14ac:dyDescent="0.4">
      <c r="A21" s="102" t="str">
        <f>Billing!Q24</f>
        <v>Salman Zaffar</v>
      </c>
      <c r="B21" s="105">
        <f>Billing!AD24</f>
        <v>1496025</v>
      </c>
      <c r="C21" s="103">
        <f>Billing!AE24</f>
        <v>152448.84784198995</v>
      </c>
    </row>
    <row r="22" spans="1:3" ht="21" x14ac:dyDescent="0.4">
      <c r="A22" s="102" t="str">
        <f>Billing!Q25</f>
        <v>Shahid Qasayi</v>
      </c>
      <c r="B22" s="105">
        <f>Billing!AD25</f>
        <v>2461895</v>
      </c>
      <c r="C22" s="103">
        <f>Billing!AE25</f>
        <v>271318.24067300605</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Gauhar Kashif</v>
      </c>
      <c r="B28" s="105">
        <f>Billing!AD31</f>
        <v>485800</v>
      </c>
      <c r="C28" s="103">
        <f>Billing!AE31</f>
        <v>18269.129480614502</v>
      </c>
    </row>
  </sheetData>
  <conditionalFormatting sqref="C2:C28">
    <cfRule type="cellIs" dxfId="12" priority="1" operator="lessThan">
      <formula>10</formula>
    </cfRule>
  </conditionalFormatting>
  <conditionalFormatting sqref="C2:C29">
    <cfRule type="cellIs" dxfId="11"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2026-01-15T21:34:59Z</dcterms:modified>
  <cp:category/>
  <cp:contentStatus/>
</cp:coreProperties>
</file>