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69" documentId="8_{882B14A6-A67C-4C60-A7D4-43427E6D1DAC}" xr6:coauthVersionLast="47" xr6:coauthVersionMax="47" xr10:uidLastSave="{3E5FA14C-B24C-46F5-A36F-B31564E2DC18}"/>
  <bookViews>
    <workbookView xWindow="-108" yWindow="-108" windowWidth="23256" windowHeight="12456" tabRatio="597" firstSheet="4" activeTab="4"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6" l="1"/>
  <c r="I22" i="6"/>
  <c r="G26" i="6"/>
  <c r="I26" i="6"/>
  <c r="G28" i="6"/>
  <c r="G29" i="6"/>
  <c r="G30" i="6"/>
  <c r="I28" i="6"/>
  <c r="I29" i="6"/>
  <c r="I30" i="6"/>
  <c r="C72" i="17" l="1"/>
  <c r="H27" i="6"/>
  <c r="I27" i="6" s="1"/>
  <c r="G27" i="6"/>
  <c r="G25" i="6"/>
  <c r="H23" i="6"/>
  <c r="I23" i="6" s="1"/>
  <c r="H24" i="6"/>
  <c r="I24" i="6" s="1"/>
  <c r="H25" i="6"/>
  <c r="I25" i="6" s="1"/>
  <c r="H21" i="6"/>
  <c r="I21" i="6" s="1"/>
  <c r="G21" i="6"/>
  <c r="G23" i="6"/>
  <c r="G24" i="6"/>
  <c r="I65" i="1"/>
  <c r="J65" i="1" s="1" a="1"/>
  <c r="J65" i="1" s="1"/>
  <c r="I66" i="1"/>
  <c r="J66" i="1" a="1"/>
  <c r="J66" i="1" s="1"/>
  <c r="I67" i="1"/>
  <c r="J67" i="1" a="1"/>
  <c r="J67" i="1" s="1"/>
  <c r="I68" i="1"/>
  <c r="J68" i="1" s="1" a="1"/>
  <c r="J68" i="1" s="1"/>
  <c r="I69" i="1"/>
  <c r="J69" i="1" a="1"/>
  <c r="J69" i="1" s="1"/>
  <c r="C61"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a="1"/>
  <c r="J61" i="1" s="1"/>
  <c r="I62" i="1"/>
  <c r="J62" i="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0" i="1" a="1"/>
  <c r="J70" i="1" s="1"/>
  <c r="N112" i="9"/>
  <c r="P112" i="9" s="1"/>
  <c r="N111" i="9"/>
  <c r="P111" i="9" s="1"/>
  <c r="N113" i="9"/>
  <c r="P113" i="9" s="1"/>
  <c r="I70" i="1" a="1"/>
  <c r="I70"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96"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66" i="1" s="1"/>
  <c r="H81" i="2"/>
  <c r="I81" i="2" s="1"/>
  <c r="D81" i="2" s="1"/>
  <c r="G15" i="2"/>
  <c r="G10" i="2"/>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H65" i="1" s="1"/>
  <c r="G74" i="2"/>
  <c r="G5" i="2"/>
  <c r="H68" i="1" s="1"/>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31" i="6"/>
  <c r="C12" i="10"/>
  <c r="N6" i="17"/>
  <c r="N7" i="17" s="1"/>
  <c r="I37" i="12"/>
  <c r="D38" i="14"/>
  <c r="C10" i="8" s="1"/>
  <c r="G14" i="15"/>
  <c r="D38" i="18"/>
  <c r="C11" i="8" s="1"/>
  <c r="H31" i="6"/>
  <c r="E38" i="18"/>
  <c r="J37" i="14"/>
  <c r="C12" i="8" s="1"/>
  <c r="C43" i="12"/>
  <c r="H10" i="7"/>
  <c r="I31" i="6"/>
  <c r="D96" i="17"/>
  <c r="D2" i="2"/>
  <c r="H67" i="1" l="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96"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<sst xmlns="http://schemas.openxmlformats.org/spreadsheetml/2006/main" count="990" uniqueCount="286">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</sst>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Font="1" applyBorder="1" applyAlignment="1">
      <alignment horizontal="center"/>
    </xf>
  </cellXfs>
  <cellStyles count="2">
    <cellStyle name="Comma" xfId="1" builtinId="3"/>
    <cellStyle name="Normal" xfId="0" builtinId="0"/>
  </cellStyles>
  <dxfs count="133">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814398</xdr:colOff>
      <xdr:row>7</xdr:row>
      <xdr:rowOff>43181</xdr:rowOff>
    </xdr:from>
    <xdr:to>
      <xdr:col>13</xdr:col>
      <xdr:colOff>709485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512687</xdr:colOff>
      <xdr:row>12</xdr:row>
      <xdr:rowOff>138748</xdr:rowOff>
    </xdr:from>
    <xdr:to>
      <xdr:col>14</xdr:col>
      <xdr:colOff>845227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8855832</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7615742" createdVersion="8" refreshedVersion="8" minRefreshableVersion="3" recordCount="68" xr:uid="{46CBB50D-3613-4E5B-8212-DD0313DCD05A}">
  <cacheSource type="worksheet">
    <worksheetSource name="Table1"/>
  </cacheSource>
  <cacheFields count="14">
    <cacheField name="Date" numFmtId="14">
      <sharedItems containsSemiMixedTypes="0" containsNonDate="0" containsDate="1" containsString="0" minDate="2025-11-18T00:00:00" maxDate="2025-12-23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265"/>
    </cacheField>
    <cacheField name="Quality" numFmtId="0">
      <sharedItems/>
    </cacheField>
    <cacheField name="Shipment Number" numFmtId="164">
      <sharedItems containsString="0" containsBlank="1" containsNumber="1" containsInteger="1" minValue="1558" maxValue="17000" count="329">
        <m/>
        <n v="1971"/>
        <n v="1951"/>
        <n v="1934"/>
        <n v="1924"/>
        <n v="1835"/>
        <n v="1628"/>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58"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4876" maxValue="54197"/>
    </cacheField>
    <cacheField name="Tiyaar/gaz" numFmtId="164">
      <sharedItems containsString="0" containsBlank="1" containsNumber="1" containsInteger="1" minValue="7846" maxValue="49746"/>
    </cacheField>
    <cacheField name="shortage %" numFmtId="165">
      <sharedItems containsMixedTypes="1" containsNumber="1" minValue="2.6934957751331297" maxValue="51.212960267319232"/>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194443"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0"/>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68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541666" createdVersion="8" refreshedVersion="8" minRefreshableVersion="3" recordCount="19" xr:uid="{3E5C2981-ACF5-44A9-8567-B1D65DB3A8D2}">
  <cacheSource type="worksheet">
    <worksheetSource name="Table3"/>
  </cacheSource>
  <cacheFields count="9">
    <cacheField name="Date" numFmtId="14">
      <sharedItems containsSemiMixedTypes="0" containsNonDate="0" containsDate="1" containsString="0" minDate="2025-05-02T00:00:00" maxDate="2025-12-20T00:00:00" count="137">
        <d v="2025-12-17T00:00:00"/>
        <d v="2025-12-18T00:00:00"/>
        <d v="2025-12-19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0">
        <s v="Closing Balance CF"/>
        <s v="TKL 364"/>
        <n v="9662"/>
        <s v="LES 9718"/>
        <s v="APL"/>
        <m/>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3"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773151"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19T00:00:00" count="53">
        <d v="2025-12-17T00:00:00"/>
        <d v="2025-12-18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837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00462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6296.63496708121"/>
    </cacheField>
    <cacheField name="Rate" numFmtId="0">
      <sharedItems containsString="0" containsBlank="1" containsNumber="1" minValue="10" maxValue="12"/>
    </cacheField>
    <cacheField name="Total" numFmtId="164">
      <sharedItems containsSemiMixedTypes="0" containsString="0" containsNumber="1" minValue="0" maxValue="598783.8332114119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236113" createdVersion="8" refreshedVersion="8" minRefreshableVersion="3" recordCount="65" xr:uid="{B5BDFB73-D93A-4A7A-8149-666BC190B09B}">
  <cacheSource type="worksheet">
    <worksheetSource name="Table14"/>
  </cacheSource>
  <cacheFields count="7">
    <cacheField name="Date" numFmtId="14">
      <sharedItems containsSemiMixedTypes="0" containsNonDate="0" containsDate="1" containsString="0" minDate="2025-12-17T00:00:00" maxDate="2025-12-23T00:00:00"/>
    </cacheField>
    <cacheField name="Party" numFmtId="0">
      <sharedItems containsBlank="1" count="76">
        <s v="Closing CF"/>
        <s v="Dasti"/>
        <s v="Loom Ac"/>
        <s v="Salary"/>
        <s v="omer"/>
        <s v="Malik Zaheer"/>
        <s v="Arb Dasti"/>
        <s v="Madina Dyes"/>
        <s v="hafiz qureshi"/>
        <s v="Parts"/>
        <s v="irfan Punjabi"/>
        <s v="Amjad wood"/>
        <s v="Rafaqat"/>
        <s v="Kaleem ullah"/>
        <s v="Advance salary"/>
        <s v="Misc"/>
        <s v="Transport"/>
        <s v="Azam"/>
        <s v="Electricity"/>
        <s v="Arshad"/>
        <s v="Rana babar"/>
        <s v="shahid Qasayi"/>
        <m/>
        <s v="Closing October CF" u="1"/>
        <s v="Aurangzeb" u="1"/>
        <s v="BSC" u="1"/>
        <s v="Rashan" u="1"/>
        <s v="Finish" u="1"/>
        <s v="ejaz sahab" u="1"/>
        <s v="Badshah Fabrics" u="1"/>
        <s v="Amjad Sohail" u="1"/>
        <s v="Haseeb Shamsi" u="1"/>
        <s v="Ashraf Zia" u="1"/>
        <s v="General Dyes" u="1"/>
        <s v="Faizan" u="1"/>
        <s v="Sajad Kh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2047865"/>
    </cacheField>
    <cacheField name="Credit" numFmtId="164">
      <sharedItems containsString="0" containsBlank="1" containsNumber="1" containsInteger="1" minValue="-610916" maxValue="1870206"/>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51.212960267319232"/>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39.67518540828641"/>
    <n v="15006.400877834676"/>
    <n v="150064.00877834676"/>
    <m/>
  </r>
  <r>
    <d v="2025-12-20T00:00:00"/>
    <x v="2"/>
    <n v="1261"/>
    <s v="Chamki"/>
    <x v="2"/>
    <n v="54197"/>
    <n v="10108"/>
    <n v="51.212960267319232"/>
    <n v="9242.8675932699352"/>
    <n v="92428.675932699349"/>
    <m/>
  </r>
  <r>
    <d v="2025-12-20T00:00:00"/>
    <x v="11"/>
    <n v="1262"/>
    <s v="Chamki"/>
    <x v="4"/>
    <n v="24876"/>
    <n v="7846"/>
    <n v="39.67518540828641"/>
    <n v="7174.4696415508415"/>
    <n v="71744.696415508413"/>
    <m/>
  </r>
  <r>
    <d v="2025-12-20T00:00:00"/>
    <x v="11"/>
    <n v="1263"/>
    <s v="crinkle"/>
    <x v="5"/>
    <n v="50010"/>
    <n v="25414"/>
    <s v="NF"/>
    <n v="23238.844184345282"/>
    <n v="232388.44184345281"/>
    <m/>
  </r>
  <r>
    <d v="2025-12-22T00:00:00"/>
    <x v="0"/>
    <n v="1264"/>
    <s v="crinkle"/>
    <x v="6"/>
    <n v="48198"/>
    <n v="10049"/>
    <s v="NF"/>
    <n v="9188.9173372348214"/>
    <n v="91889.173372348218"/>
    <m/>
  </r>
  <r>
    <d v="2025-12-22T00:00:00"/>
    <x v="11"/>
    <n v="1265"/>
    <s v="crinkle"/>
    <x v="5"/>
    <n v="50010"/>
    <n v="25349"/>
    <s v="NF"/>
    <n v="23179.407461594736"/>
    <n v="231794.0746159473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224000"/>
  </r>
  <r>
    <d v="2025-12-17T00:00:00"/>
    <x v="4"/>
    <s v="Closing CF"/>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m/>
    <m/>
    <m/>
    <m/>
    <x v="4"/>
    <n v="0"/>
    <n v="0"/>
    <m/>
  </r>
  <r>
    <x v="2"/>
    <m/>
    <m/>
    <m/>
    <m/>
    <x v="4"/>
    <n v="0"/>
    <n v="0"/>
    <m/>
  </r>
  <r>
    <x v="2"/>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188.9173372348214"/>
    <n v="10"/>
    <n v="0"/>
  </r>
  <r>
    <x v="1"/>
    <n v="0"/>
    <n v="10"/>
    <n v="0"/>
  </r>
  <r>
    <x v="2"/>
    <n v="35683.979517190935"/>
    <n v="10"/>
    <n v="356839.79517190938"/>
  </r>
  <r>
    <x v="3"/>
    <n v="0"/>
    <n v="10.5"/>
    <n v="0"/>
  </r>
  <r>
    <x v="4"/>
    <n v="0"/>
    <n v="10"/>
    <n v="0"/>
  </r>
  <r>
    <x v="5"/>
    <n v="0"/>
    <n v="10"/>
    <n v="0"/>
  </r>
  <r>
    <x v="6"/>
    <n v="0"/>
    <n v="10"/>
    <n v="0"/>
  </r>
  <r>
    <x v="7"/>
    <n v="45488.295537673745"/>
    <n v="10"/>
    <n v="454882.95537673746"/>
  </r>
  <r>
    <x v="8"/>
    <n v="0"/>
    <n v="10"/>
    <n v="0"/>
  </r>
  <r>
    <x v="9"/>
    <n v="0"/>
    <n v="12"/>
    <n v="0"/>
  </r>
  <r>
    <x v="10"/>
    <n v="0"/>
    <m/>
    <n v="0"/>
  </r>
  <r>
    <x v="11"/>
    <n v="106296.63496708121"/>
    <m/>
    <n v="598783.83321141195"/>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d v="2025-12-17T00:00:00"/>
    <x v="0"/>
    <m/>
    <n v="1870206"/>
    <m/>
    <s v="Bank"/>
    <m/>
  </r>
  <r>
    <d v="2025-12-17T00:00:00"/>
    <x v="0"/>
    <m/>
    <n v="-610916"/>
    <m/>
    <s v="Cash"/>
    <m/>
  </r>
  <r>
    <d v="2025-12-18T00:00:00"/>
    <x v="1"/>
    <n v="500"/>
    <m/>
    <s v="chai"/>
    <s v="Bank"/>
    <m/>
  </r>
  <r>
    <d v="2025-12-18T00:00:00"/>
    <x v="1"/>
    <n v="3600"/>
    <m/>
    <s v="mazdoor"/>
    <s v="Bank"/>
    <m/>
  </r>
  <r>
    <d v="2025-12-18T00:00:00"/>
    <x v="2"/>
    <n v="5000"/>
    <m/>
    <s v="Baba Hamid Sarning"/>
    <s v="Bank"/>
    <m/>
  </r>
  <r>
    <d v="2025-12-18T00:00:00"/>
    <x v="3"/>
    <m/>
    <m/>
    <s v="Ashfaq Sahab theka"/>
    <s v="Bank"/>
    <m/>
  </r>
  <r>
    <d v="2025-12-18T00:00:00"/>
    <x v="4"/>
    <n v="580"/>
    <m/>
    <s v="package"/>
    <s v="Bank"/>
    <m/>
  </r>
  <r>
    <d v="2025-12-18T00:00:00"/>
    <x v="5"/>
    <n v="53250"/>
    <m/>
    <s v="TKL 364"/>
    <s v="Bank"/>
    <m/>
  </r>
  <r>
    <d v="2025-12-18T00:00:00"/>
    <x v="6"/>
    <n v="1264709"/>
    <m/>
    <s v="last month balance"/>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1"/>
    <n v="3600"/>
    <m/>
    <s v="mazdoor"/>
    <s v="Bank"/>
    <m/>
  </r>
  <r>
    <d v="2025-12-19T00:00:00"/>
    <x v="9"/>
    <n v="2100"/>
    <m/>
    <s v="silai machine"/>
    <s v="Bank"/>
    <m/>
  </r>
  <r>
    <d v="2025-12-19T00:00:00"/>
    <x v="4"/>
    <n v="140"/>
    <m/>
    <s v="chai"/>
    <s v="Bank"/>
    <m/>
  </r>
  <r>
    <d v="2025-12-19T00:00:00"/>
    <x v="4"/>
    <n v="1230"/>
    <m/>
    <m/>
    <s v="Bank"/>
    <m/>
  </r>
  <r>
    <d v="2025-12-18T00:00:00"/>
    <x v="4"/>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3"/>
    <m/>
    <m/>
    <s v="haseen khan"/>
    <s v="Bank"/>
    <m/>
  </r>
  <r>
    <d v="2025-12-19T00:00:00"/>
    <x v="6"/>
    <m/>
    <n v="22000"/>
    <s v="haseen khan"/>
    <s v="Bank"/>
    <m/>
  </r>
  <r>
    <d v="2025-12-20T00:00:00"/>
    <x v="14"/>
    <n v="2000"/>
    <m/>
    <s v="anayat"/>
    <s v="Bank"/>
    <m/>
  </r>
  <r>
    <d v="2025-12-20T00:00:00"/>
    <x v="17"/>
    <m/>
    <n v="48000"/>
    <s v="jazzcash"/>
    <s v="Bank"/>
    <m/>
  </r>
  <r>
    <d v="2025-12-20T00:00:00"/>
    <x v="16"/>
    <n v="6530"/>
    <m/>
    <s v="workshop"/>
    <s v="Bank"/>
    <m/>
  </r>
  <r>
    <d v="2025-12-20T00:00:00"/>
    <x v="9"/>
    <n v="1100"/>
    <m/>
    <s v="db box"/>
    <s v="Bank"/>
    <m/>
  </r>
  <r>
    <d v="2025-12-20T00:00:00"/>
    <x v="3"/>
    <n v="20000"/>
    <m/>
    <s v="khubaib"/>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3"/>
    <n v="20000"/>
    <m/>
    <s v="munawar bajwa"/>
    <s v="Bank"/>
    <m/>
  </r>
  <r>
    <d v="2025-12-22T00:00:00"/>
    <x v="1"/>
    <n v="13000"/>
    <m/>
    <s v="mazdoor"/>
    <s v="Bank"/>
    <m/>
  </r>
  <r>
    <d v="2025-12-22T00:00:00"/>
    <x v="4"/>
    <n v="4060"/>
    <m/>
    <m/>
    <s v="Bank"/>
    <m/>
  </r>
  <r>
    <d v="2025-12-22T00:00:00"/>
    <x v="20"/>
    <n v="10000"/>
    <m/>
    <m/>
    <s v="Bank"/>
    <m/>
  </r>
  <r>
    <d v="2025-12-20T00:00:00"/>
    <x v="16"/>
    <n v="5306"/>
    <m/>
    <m/>
    <s v="Bank"/>
    <m/>
  </r>
  <r>
    <d v="2025-12-20T00:00:00"/>
    <x v="4"/>
    <n v="1200"/>
    <m/>
    <s v="package"/>
    <s v="Bank"/>
    <m/>
  </r>
  <r>
    <d v="2025-12-20T00:00:00"/>
    <x v="4"/>
    <n v="1280"/>
    <m/>
    <m/>
    <s v="Bank"/>
    <m/>
  </r>
  <r>
    <d v="2025-12-20T00:00:00"/>
    <x v="21"/>
    <m/>
    <n v="85000"/>
    <m/>
    <s v="Bank"/>
    <m/>
  </r>
  <r>
    <d v="2025-12-20T00:00:00"/>
    <x v="6"/>
    <n v="85000"/>
    <m/>
    <s v="shahid qasayi"/>
    <s v="Bank"/>
    <m/>
  </r>
  <r>
    <d v="2025-12-22T00:00:00"/>
    <x v="2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38">
        <item m="1" x="121"/>
        <item m="1" x="122"/>
        <item m="1" x="123"/>
        <item m="1" x="124"/>
        <item m="1" x="125"/>
        <item m="1" x="126"/>
        <item m="1" x="127"/>
        <item m="1" x="136"/>
        <item m="1" x="117"/>
        <item m="1" x="128"/>
        <item m="1" x="129"/>
        <item m="1" x="130"/>
        <item m="1" x="131"/>
        <item m="1" x="132"/>
        <item m="1" x="133"/>
        <item m="1" x="134"/>
        <item m="1" x="88"/>
        <item m="1" x="89"/>
        <item m="1" x="135"/>
        <item m="1" x="90"/>
        <item m="1" x="87"/>
        <item m="1" x="91"/>
        <item m="1" x="93"/>
        <item m="1" x="94"/>
        <item m="1" x="95"/>
        <item m="1" x="97"/>
        <item m="1" x="98"/>
        <item m="1" x="99"/>
        <item m="1" x="92"/>
        <item m="1" x="96"/>
        <item m="1" x="100"/>
        <item m="1" x="101"/>
        <item m="1" x="102"/>
        <item m="1" x="103"/>
        <item m="1" x="86"/>
        <item m="1" x="104"/>
        <item m="1" x="118"/>
        <item m="1" x="119"/>
        <item m="1" x="120"/>
        <item m="1" x="105"/>
        <item m="1" x="106"/>
        <item m="1" x="107"/>
        <item m="1" x="108"/>
        <item m="1" x="109"/>
        <item m="1" x="110"/>
        <item m="1" x="111"/>
        <item m="1" x="112"/>
        <item m="1" x="113"/>
        <item m="1" x="114"/>
        <item m="1" x="115"/>
        <item m="1" x="116"/>
        <item m="1" x="57"/>
        <item m="1" x="58"/>
        <item m="1" x="59"/>
        <item m="1" x="60"/>
        <item m="1" x="61"/>
        <item m="1" x="62"/>
        <item m="1" x="63"/>
        <item m="1" x="64"/>
        <item m="1" x="66"/>
        <item m="1" x="67"/>
        <item m="1" x="68"/>
        <item m="1" x="65"/>
        <item m="1" x="69"/>
        <item m="1" x="70"/>
        <item m="1" x="71"/>
        <item m="1" x="72"/>
        <item m="1" x="73"/>
        <item m="1" x="74"/>
        <item m="1" x="75"/>
        <item m="1" x="76"/>
        <item m="1" x="77"/>
        <item m="1" x="78"/>
        <item m="1" x="79"/>
        <item m="1" x="80"/>
        <item m="1" x="81"/>
        <item m="1" x="82"/>
        <item m="1" x="83"/>
        <item m="1" x="84"/>
        <item m="1" x="85"/>
        <item m="1"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4"/>
        <item m="1" x="7"/>
        <item m="1" x="5"/>
        <item m="1" x="6"/>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0"/>
        <item x="1"/>
        <item x="2"/>
        <item t="default"/>
      </items>
    </pivotField>
    <pivotField axis="axisPage" showAll="0">
      <items count="13">
        <item x="1"/>
        <item x="0"/>
        <item m="1" x="9"/>
        <item m="1" x="11"/>
        <item x="2"/>
        <item x="3"/>
        <item x="4"/>
        <item m="1" x="10"/>
        <item x="5"/>
        <item x="6"/>
        <item x="7"/>
        <item x="8"/>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5"/>
        <item x="1"/>
        <item x="2"/>
        <item m="1" x="6"/>
        <item x="3"/>
        <item x="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134"/>
    </i>
    <i r="1">
      <x v="20"/>
    </i>
    <i r="1">
      <x v="56"/>
    </i>
    <i>
      <x v="135"/>
    </i>
    <i r="1">
      <x v="55"/>
    </i>
    <i r="1">
      <x v="56"/>
    </i>
    <i>
      <x v="136"/>
    </i>
    <i r="1">
      <x v="54"/>
    </i>
    <i r="1">
      <x v="58"/>
    </i>
    <i r="1">
      <x v="5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9">
      <pivotArea dataOnly="0" labelOnly="1" outline="0" fieldPosition="0">
        <references count="1">
          <reference field="1" count="1">
            <x v="1"/>
          </reference>
        </references>
      </pivotArea>
    </format>
    <format dxfId="8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77">
        <item x="14"/>
        <item x="19"/>
        <item m="1" x="25"/>
        <item m="1" x="62"/>
        <item m="1" x="66"/>
        <item m="1" x="27"/>
        <item x="5"/>
        <item x="15"/>
        <item x="9"/>
        <item m="1" x="26"/>
        <item x="3"/>
        <item m="1" x="74"/>
        <item m="1" x="61"/>
        <item x="16"/>
        <item m="1" x="58"/>
        <item m="1" x="72"/>
        <item x="1"/>
        <item m="1" x="45"/>
        <item x="4"/>
        <item m="1" x="28"/>
        <item x="22"/>
        <item m="1" x="35"/>
        <item m="1" x="75"/>
        <item m="1" x="57"/>
        <item x="8"/>
        <item m="1" x="73"/>
        <item m="1" x="65"/>
        <item m="1" x="39"/>
        <item m="1" x="67"/>
        <item m="1" x="68"/>
        <item m="1" x="69"/>
        <item m="1" x="70"/>
        <item m="1" x="42"/>
        <item m="1" x="71"/>
        <item m="1" x="44"/>
        <item x="12"/>
        <item m="1" x="51"/>
        <item x="17"/>
        <item m="1" x="60"/>
        <item m="1" x="54"/>
        <item m="1" x="29"/>
        <item x="13"/>
        <item m="1" x="38"/>
        <item m="1" x="63"/>
        <item x="6"/>
        <item m="1" x="64"/>
        <item m="1" x="48"/>
        <item m="1" x="34"/>
        <item x="7"/>
        <item m="1" x="49"/>
        <item m="1" x="50"/>
        <item m="1" x="52"/>
        <item m="1" x="53"/>
        <item m="1" x="55"/>
        <item m="1" x="30"/>
        <item m="1" x="31"/>
        <item m="1" x="56"/>
        <item m="1" x="59"/>
        <item m="1" x="24"/>
        <item m="1" x="33"/>
        <item m="1" x="23"/>
        <item x="18"/>
        <item m="1" x="32"/>
        <item m="1" x="36"/>
        <item m="1" x="47"/>
        <item x="2"/>
        <item m="1" x="40"/>
        <item m="1" x="41"/>
        <item x="21"/>
        <item m="1" x="37"/>
        <item x="10"/>
        <item m="1" x="43"/>
        <item x="11"/>
        <item m="1" x="46"/>
        <item x="0"/>
        <item x="20"/>
        <item t="default"/>
      </items>
    </pivotField>
    <pivotField dataField="1" showAll="0"/>
    <pivotField dataField="1" showAll="0"/>
    <pivotField showAll="0"/>
    <pivotField showAll="0"/>
    <pivotField showAll="0"/>
  </pivotFields>
  <rowFields count="1">
    <field x="1"/>
  </rowFields>
  <rowItems count="24">
    <i>
      <x/>
    </i>
    <i>
      <x v="1"/>
    </i>
    <i>
      <x v="6"/>
    </i>
    <i>
      <x v="7"/>
    </i>
    <i>
      <x v="8"/>
    </i>
    <i>
      <x v="10"/>
    </i>
    <i>
      <x v="13"/>
    </i>
    <i>
      <x v="16"/>
    </i>
    <i>
      <x v="18"/>
    </i>
    <i>
      <x v="20"/>
    </i>
    <i>
      <x v="24"/>
    </i>
    <i>
      <x v="35"/>
    </i>
    <i>
      <x v="37"/>
    </i>
    <i>
      <x v="41"/>
    </i>
    <i>
      <x v="44"/>
    </i>
    <i>
      <x v="48"/>
    </i>
    <i>
      <x v="61"/>
    </i>
    <i>
      <x v="65"/>
    </i>
    <i>
      <x v="68"/>
    </i>
    <i>
      <x v="70"/>
    </i>
    <i>
      <x v="72"/>
    </i>
    <i>
      <x v="74"/>
    </i>
    <i>
      <x v="75"/>
    </i>
    <i t="grand">
      <x/>
    </i>
  </rowItems>
  <colFields count="1">
    <field x="-2"/>
  </colFields>
  <colItems count="2">
    <i>
      <x/>
    </i>
    <i i="1">
      <x v="1"/>
    </i>
  </colItems>
  <dataFields count="2">
    <dataField name="Sum of Credit" fld="3" baseField="0" baseItem="0"/>
    <dataField name="Sum of Debit" fld="2" baseField="0" baseItem="0"/>
  </dataFields>
  <formats count="1">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54">
        <item m="1" x="48"/>
        <item m="1" x="49"/>
        <item m="1" x="50"/>
        <item m="1" x="51"/>
        <item m="1" x="52"/>
        <item m="1" x="47"/>
        <item m="1" x="35"/>
        <item m="1" x="36"/>
        <item m="1" x="40"/>
        <item m="1" x="41"/>
        <item m="1" x="37"/>
        <item m="1" x="42"/>
        <item m="1" x="43"/>
        <item m="1" x="44"/>
        <item m="1" x="45"/>
        <item m="1" x="46"/>
        <item m="1" x="34"/>
        <item m="1" x="38"/>
        <item m="1" x="39"/>
        <item m="1" x="27"/>
        <item m="1" x="28"/>
        <item m="1" x="29"/>
        <item m="1" x="30"/>
        <item m="1" x="31"/>
        <item m="1" x="32"/>
        <item m="1" x="33"/>
        <item m="1" x="3"/>
        <item m="1" x="19"/>
        <item m="1" x="20"/>
        <item m="1" x="21"/>
        <item m="1" x="22"/>
        <item m="1" x="23"/>
        <item m="1" x="24"/>
        <item m="1" x="25"/>
        <item m="1" x="26"/>
        <item m="1" x="4"/>
        <item m="1" x="5"/>
        <item m="1" x="6"/>
        <item m="1" x="7"/>
        <item m="1" x="8"/>
        <item m="1" x="9"/>
        <item m="1" x="10"/>
        <item m="1" x="12"/>
        <item m="1" x="13"/>
        <item m="1" x="11"/>
        <item m="1" x="14"/>
        <item m="1" x="15"/>
        <item m="1" x="16"/>
        <item m="1" x="17"/>
        <item m="1" x="18"/>
        <item x="0"/>
        <item x="1"/>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4">
    <i>
      <x v="50"/>
    </i>
    <i>
      <x v="51"/>
    </i>
    <i>
      <x v="5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0">
        <item m="1" x="312"/>
        <item m="1" x="313"/>
        <item m="1" x="311"/>
        <item m="1" x="310"/>
        <item m="1" x="314"/>
        <item m="1" x="316"/>
        <item m="1" x="315"/>
        <item m="1" x="317"/>
        <item m="1" x="318"/>
        <item m="1" x="319"/>
        <item m="1" x="320"/>
        <item m="1" x="321"/>
        <item m="1" x="322"/>
        <item m="1" x="323"/>
        <item m="1" x="248"/>
        <item m="1" x="270"/>
        <item m="1" x="324"/>
        <item m="1" x="325"/>
        <item m="1" x="326"/>
        <item m="1" x="278"/>
        <item m="1" x="277"/>
        <item m="1" x="327"/>
        <item m="1" x="328"/>
        <item m="1" x="287"/>
        <item m="1" x="279"/>
        <item m="1" x="280"/>
        <item m="1" x="281"/>
        <item m="1" x="282"/>
        <item m="1" x="283"/>
        <item m="1" x="284"/>
        <item m="1" x="285"/>
        <item m="1" x="286"/>
        <item m="1" x="288"/>
        <item m="1" x="308"/>
        <item m="1" x="289"/>
        <item m="1" x="309"/>
        <item m="1" x="290"/>
        <item m="1" x="291"/>
        <item m="1" x="292"/>
        <item m="1" x="293"/>
        <item m="1" x="294"/>
        <item m="1" x="225"/>
        <item m="1" x="295"/>
        <item m="1" x="296"/>
        <item m="1" x="297"/>
        <item m="1" x="298"/>
        <item m="1" x="299"/>
        <item m="1" x="300"/>
        <item m="1" x="301"/>
        <item m="1" x="302"/>
        <item m="1" x="303"/>
        <item m="1" x="304"/>
        <item m="1" x="305"/>
        <item m="1" x="306"/>
        <item m="1" x="307"/>
        <item x="0"/>
        <item m="1" x="224"/>
        <item m="1" x="226"/>
        <item m="1" x="227"/>
        <item m="1" x="228"/>
        <item m="1" x="229"/>
        <item m="1" x="230"/>
        <item m="1" x="231"/>
        <item m="1" x="232"/>
        <item m="1" x="233"/>
        <item m="1" x="234"/>
        <item m="1" x="235"/>
        <item m="1" x="236"/>
        <item m="1" x="237"/>
        <item m="1" x="238"/>
        <item x="6"/>
        <item m="1" x="239"/>
        <item m="1" x="240"/>
        <item m="1" x="241"/>
        <item m="1" x="242"/>
        <item m="1" x="243"/>
        <item m="1" x="244"/>
        <item m="1" x="245"/>
        <item m="1" x="246"/>
        <item m="1" x="247"/>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1"/>
        <item m="1" x="272"/>
        <item m="1" x="273"/>
        <item m="1" x="274"/>
        <item m="1" x="275"/>
        <item m="1" x="276"/>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23"/>
        <item m="1" x="204"/>
        <item m="1" x="205"/>
        <item m="1" x="206"/>
        <item m="1" x="207"/>
        <item m="1" x="208"/>
        <item m="1" x="209"/>
        <item m="1" x="210"/>
        <item m="1" x="211"/>
        <item m="1" x="212"/>
        <item m="1" x="213"/>
        <item m="1" x="214"/>
        <item m="1" x="215"/>
        <item m="1" x="216"/>
        <item m="1" x="217"/>
        <item m="1" x="218"/>
        <item m="1" x="219"/>
        <item m="1" x="220"/>
        <item m="1" x="221"/>
        <item m="1" x="222"/>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6"/>
        <item m="1" x="141"/>
        <item m="1" x="7"/>
        <item m="1" x="8"/>
        <item m="1" x="9"/>
        <item m="1" x="10"/>
        <item m="1" x="11"/>
        <item m="1" x="12"/>
        <item m="1" x="13"/>
        <item m="1" x="14"/>
        <item m="1" x="15"/>
        <item m="1" x="17"/>
        <item m="1" x="18"/>
        <item m="1" x="19"/>
        <item m="1" x="20"/>
        <item m="1" x="21"/>
        <item m="1" x="22"/>
        <item m="1" x="23"/>
        <item m="1" x="24"/>
        <item m="1" x="25"/>
        <item m="1" x="26"/>
        <item m="1" x="27"/>
        <item m="1" x="28"/>
        <item m="1" x="29"/>
        <item m="1" x="30"/>
        <item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x="4"/>
        <item m="1" x="83"/>
        <item m="1" x="84"/>
        <item x="1"/>
        <item m="1" x="85"/>
        <item x="2"/>
        <item x="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
    <i>
      <x v="55"/>
    </i>
    <i>
      <x v="70"/>
    </i>
    <i>
      <x v="269"/>
    </i>
    <i>
      <x v="322"/>
    </i>
    <i>
      <x v="325"/>
    </i>
    <i>
      <x v="327"/>
    </i>
    <i>
      <x v="32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8">
      <pivotArea type="all" dataOnly="0" outline="0" fieldPosition="0"/>
    </format>
    <format dxfId="37">
      <pivotArea outline="0" collapsedLevelsAreSubtotals="1" fieldPosition="0"/>
    </format>
    <format dxfId="36">
      <pivotArea field="4" type="button" dataOnly="0" labelOnly="1" outline="0" axis="axisRow" fieldPosition="0"/>
    </format>
    <format dxfId="35">
      <pivotArea dataOnly="0" labelOnly="1" fieldPosition="0">
        <references count="1">
          <reference field="4" count="0"/>
        </references>
      </pivotArea>
    </format>
    <format dxfId="34">
      <pivotArea dataOnly="0" labelOnly="1" grandRow="1" outline="0" fieldPosition="0"/>
    </format>
    <format dxfId="33">
      <pivotArea dataOnly="0" labelOnly="1" outline="0" fieldPosition="0">
        <references count="1">
          <reference field="4294967294" count="2">
            <x v="0"/>
            <x v="1"/>
          </reference>
        </references>
      </pivotArea>
    </format>
    <format dxfId="32">
      <pivotArea grandRow="1" outline="0" collapsedLevelsAreSubtotals="1" fieldPosition="0"/>
    </format>
    <format dxfId="31">
      <pivotArea field="4" type="button" dataOnly="0" labelOnly="1" outline="0" axis="axisRow" fieldPosition="0"/>
    </format>
    <format dxfId="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9">
        <i x="6" s="1"/>
        <i x="5" s="1"/>
        <i x="4" s="1"/>
        <i x="3" s="1"/>
        <i x="2" s="1"/>
        <i x="1" s="1"/>
        <i x="283" s="1" nd="1"/>
        <i x="312" s="1" nd="1"/>
        <i x="313" s="1" nd="1"/>
        <i x="321" s="1" nd="1"/>
        <i x="311" s="1" nd="1"/>
        <i x="310" s="1" nd="1"/>
        <i x="314" s="1" nd="1"/>
        <i x="325" s="1" nd="1"/>
        <i x="317" s="1" nd="1"/>
        <i x="318" s="1" nd="1"/>
        <i x="315" s="1" nd="1"/>
        <i x="316" s="1" nd="1"/>
        <i x="326" s="1" nd="1"/>
        <i x="319" s="1" nd="1"/>
        <i x="320" s="1" nd="1"/>
        <i x="323" s="1" nd="1"/>
        <i x="324" s="1" nd="1"/>
        <i x="322" s="1" nd="1"/>
        <i x="278" s="1" nd="1"/>
        <i x="328" s="1" nd="1"/>
        <i x="277" s="1" nd="1"/>
        <i x="327" s="1" nd="1"/>
        <i x="280" s="1" nd="1"/>
        <i x="241" s="1" nd="1"/>
        <i x="279" s="1" nd="1"/>
        <i x="281" s="1" nd="1"/>
        <i x="287" s="1" nd="1"/>
        <i x="282" s="1" nd="1"/>
        <i x="284" s="1" nd="1"/>
        <i x="300" s="1" nd="1"/>
        <i x="224" s="1" nd="1"/>
        <i x="288" s="1" nd="1"/>
        <i x="229" s="1" nd="1"/>
        <i x="294" s="1" nd="1"/>
        <i x="289" s="1" nd="1"/>
        <i x="292" s="1" nd="1"/>
        <i x="297" s="1" nd="1"/>
        <i x="308" s="1" nd="1"/>
        <i x="290" s="1" nd="1"/>
        <i x="302" s="1" nd="1"/>
        <i x="305" s="1" nd="1"/>
        <i x="296" s="1" nd="1"/>
        <i x="285" s="1" nd="1"/>
        <i x="293" s="1" nd="1"/>
        <i x="286" s="1" nd="1"/>
        <i x="291" s="1" nd="1"/>
        <i x="225" s="1" nd="1"/>
        <i x="295" s="1" nd="1"/>
        <i x="301" s="1" nd="1"/>
        <i x="298" s="1" nd="1"/>
        <i x="303" s="1" nd="1"/>
        <i x="299" s="1" nd="1"/>
        <i x="265" s="1" nd="1"/>
        <i x="304" s="1" nd="1"/>
        <i x="306" s="1" nd="1"/>
        <i x="227" s="1" nd="1"/>
        <i x="234" s="1" nd="1"/>
        <i x="307" s="1" nd="1"/>
        <i x="231" s="1" nd="1"/>
        <i x="232" s="1" nd="1"/>
        <i x="226" s="1" nd="1"/>
        <i x="230" s="1" nd="1"/>
        <i x="117" s="1" nd="1"/>
        <i x="228" s="1" nd="1"/>
        <i x="237" s="1" nd="1"/>
        <i x="233" s="1" nd="1"/>
        <i x="235" s="1" nd="1"/>
        <i x="238" s="1" nd="1"/>
        <i x="245" s="1" nd="1"/>
        <i x="236" s="1" nd="1"/>
        <i x="244" s="1" nd="1"/>
        <i x="249" s="1" nd="1"/>
        <i x="243" s="1" nd="1"/>
        <i x="246" s="1" nd="1"/>
        <i x="256" s="1" nd="1"/>
        <i x="242" s="1" nd="1"/>
        <i x="239" s="1" nd="1"/>
        <i x="240" s="1" nd="1"/>
        <i x="255" s="1" nd="1"/>
        <i x="113" s="1" nd="1"/>
        <i x="248" s="1" nd="1"/>
        <i x="259" s="1" nd="1"/>
        <i x="254" s="1" nd="1"/>
        <i x="247" s="1" nd="1"/>
        <i x="271" s="1" nd="1"/>
        <i x="252" s="1" nd="1"/>
        <i x="262" s="1" nd="1"/>
        <i x="260" s="1" nd="1"/>
        <i x="250" s="1" nd="1"/>
        <i x="258" s="1" nd="1"/>
        <i x="257" s="1" nd="1"/>
        <i x="253" s="1" nd="1"/>
        <i x="263" s="1" nd="1"/>
        <i x="261" s="1" nd="1"/>
        <i x="264" s="1" nd="1"/>
        <i x="251" s="1" nd="1"/>
        <i x="193" s="1" nd="1"/>
        <i x="266" s="1" nd="1"/>
        <i x="267" s="1" nd="1"/>
        <i x="151" s="1" nd="1"/>
        <i x="153" s="1" nd="1"/>
        <i x="274" s="1" nd="1"/>
        <i x="147" s="1" nd="1"/>
        <i x="194" s="1" nd="1"/>
        <i x="268" s="1" nd="1"/>
        <i x="269" s="1" nd="1"/>
        <i x="150" s="1" nd="1"/>
        <i x="276" s="1" nd="1"/>
        <i x="149" s="1" nd="1"/>
        <i x="164" s="1" nd="1"/>
        <i x="275" s="1" nd="1"/>
        <i x="270" s="1" nd="1"/>
        <i x="168" s="1" nd="1"/>
        <i x="273" s="1" nd="1"/>
        <i x="272" s="1" nd="1"/>
        <i x="189" s="1" nd="1"/>
        <i x="142" s="1" nd="1"/>
        <i x="154" s="1" nd="1"/>
        <i x="190" s="1" nd="1"/>
        <i x="188" s="1" nd="1"/>
        <i x="146" s="1" nd="1"/>
        <i x="148" s="1" nd="1"/>
        <i x="152" s="1" nd="1"/>
        <i x="143" s="1" nd="1"/>
        <i x="178" s="1" nd="1"/>
        <i x="183" s="1" nd="1"/>
        <i x="144" s="1" nd="1"/>
        <i x="145" s="1" nd="1"/>
        <i x="155" s="1" nd="1"/>
        <i x="158" s="1" nd="1"/>
        <i x="165" s="1" nd="1"/>
        <i x="157" s="1" nd="1"/>
        <i x="160" s="1" nd="1"/>
        <i x="159" s="1" nd="1"/>
        <i x="202" s="1" nd="1"/>
        <i x="156" s="1" nd="1"/>
        <i x="181" s="1" nd="1"/>
        <i x="197" s="1" nd="1"/>
        <i x="161" s="1" nd="1"/>
        <i x="186" s="1" nd="1"/>
        <i x="199" s="1" nd="1"/>
        <i x="170" s="1" nd="1"/>
        <i x="211" s="1" nd="1"/>
        <i x="169" s="1" nd="1"/>
        <i x="166" s="1" nd="1"/>
        <i x="162" s="1" nd="1"/>
        <i x="163" s="1" nd="1"/>
        <i x="182" s="1" nd="1"/>
        <i x="171" s="1" nd="1"/>
        <i x="94" s="1" nd="1"/>
        <i x="172" s="1" nd="1"/>
        <i x="167" s="1" nd="1"/>
        <i x="174" s="1" nd="1"/>
        <i x="175" s="1" nd="1"/>
        <i x="204" s="1" nd="1"/>
        <i x="173" s="1" nd="1"/>
        <i x="191" s="1" nd="1"/>
        <i x="179" s="1" nd="1"/>
        <i x="176" s="1" nd="1"/>
        <i x="180" s="1" nd="1"/>
        <i x="177" s="1" nd="1"/>
        <i x="184" s="1" nd="1"/>
        <i x="203" s="1" nd="1"/>
        <i x="198" s="1" nd="1"/>
        <i x="217" s="1" nd="1"/>
        <i x="185" s="1" nd="1"/>
        <i x="87" s="1" nd="1"/>
        <i x="196" s="1" nd="1"/>
        <i x="187" s="1" nd="1"/>
        <i x="212" s="1" nd="1"/>
        <i x="195" s="1" nd="1"/>
        <i x="210" s="1" nd="1"/>
        <i x="95" s="1" nd="1"/>
        <i x="201" s="1" nd="1"/>
        <i x="200" s="1" nd="1"/>
        <i x="216" s="1" nd="1"/>
        <i x="213" s="1" nd="1"/>
        <i x="106" s="1" nd="1"/>
        <i x="221" s="1" nd="1"/>
        <i x="205" s="1" nd="1"/>
        <i x="214" s="1" nd="1"/>
        <i x="219" s="1" nd="1"/>
        <i x="97" s="1" nd="1"/>
        <i x="123" s="1" nd="1"/>
        <i x="223" s="1" nd="1"/>
        <i x="220" s="1" nd="1"/>
        <i x="88" s="1" nd="1"/>
        <i x="108" s="1" nd="1"/>
        <i x="215" s="1" nd="1"/>
        <i x="90" s="1" nd="1"/>
        <i x="206" s="1" nd="1"/>
        <i x="209" s="1" nd="1"/>
        <i x="105" s="1" nd="1"/>
        <i x="218" s="1" nd="1"/>
        <i x="207" s="1" nd="1"/>
        <i x="208" s="1" nd="1"/>
        <i x="92" s="1" nd="1"/>
        <i x="110" s="1" nd="1"/>
        <i x="111" s="1" nd="1"/>
        <i x="124" s="1" nd="1"/>
        <i x="222" s="1" nd="1"/>
        <i x="86" s="1" nd="1"/>
        <i x="109" s="1" nd="1"/>
        <i x="102" s="1" nd="1"/>
        <i x="89" s="1" nd="1"/>
        <i x="93" s="1" nd="1"/>
        <i x="99" s="1" nd="1"/>
        <i x="91" s="1" nd="1"/>
        <i x="115" s="1" nd="1"/>
        <i x="119" s="1" nd="1"/>
        <i x="120" s="1" nd="1"/>
        <i x="112" s="1" nd="1"/>
        <i x="96" s="1" nd="1"/>
        <i x="98" s="1" nd="1"/>
        <i x="100" s="1" nd="1"/>
        <i x="103" s="1" nd="1"/>
        <i x="116" s="1" nd="1"/>
        <i x="101" s="1" nd="1"/>
        <i x="122" s="1" nd="1"/>
        <i x="52" s="1" nd="1"/>
        <i x="31" s="1" nd="1"/>
        <i x="137" s="1" nd="1"/>
        <i x="104" s="1" nd="1"/>
        <i x="125" s="1" nd="1"/>
        <i x="121" s="1" nd="1"/>
        <i x="107" s="1" nd="1"/>
        <i x="129" s="1" nd="1"/>
        <i x="64" s="1" nd="1"/>
        <i x="26" s="1" nd="1"/>
        <i x="114" s="1" nd="1"/>
        <i x="138" s="1" nd="1"/>
        <i x="118" s="1" nd="1"/>
        <i x="141" s="1" nd="1"/>
        <i x="128" s="1" nd="1"/>
        <i x="133" s="1" nd="1"/>
        <i x="8" s="1" nd="1"/>
        <i x="130" s="1" nd="1"/>
        <i x="132" s="1" nd="1"/>
        <i x="48" s="1" nd="1"/>
        <i x="16" s="1" nd="1"/>
        <i x="127" s="1" nd="1"/>
        <i x="13" s="1" nd="1"/>
        <i x="126" s="1" nd="1"/>
        <i x="25" s="1" nd="1"/>
        <i x="9" s="1" nd="1"/>
        <i x="7" s="1" nd="1"/>
        <i x="131" s="1" nd="1"/>
        <i x="23" s="1" nd="1"/>
        <i x="17" s="1" nd="1"/>
        <i x="28" s="1" nd="1"/>
        <i x="45" s="1" nd="1"/>
        <i x="22" s="1" nd="1"/>
        <i x="33" s="1" nd="1"/>
        <i x="27" s="1" nd="1"/>
        <i x="24" s="1" nd="1"/>
        <i x="139" s="1" nd="1"/>
        <i x="82" s="1" nd="1"/>
        <i x="35" s="1" nd="1"/>
        <i x="36" s="1" nd="1"/>
        <i x="135" s="1" nd="1"/>
        <i x="134" s="1" nd="1"/>
        <i x="10" s="1" nd="1"/>
        <i x="12" s="1" nd="1"/>
        <i x="43" s="1" nd="1"/>
        <i x="19" s="1" nd="1"/>
        <i x="140" s="1" nd="1"/>
        <i x="78" s="1" nd="1"/>
        <i x="69" s="1" nd="1"/>
        <i x="57" s="1" nd="1"/>
        <i x="30" s="1" nd="1"/>
        <i x="15" s="1" nd="1"/>
        <i x="46" s="1" nd="1"/>
        <i x="66" s="1" nd="1"/>
        <i x="58" s="1" nd="1"/>
        <i x="54" s="1" nd="1"/>
        <i x="21" s="1" nd="1"/>
        <i x="41" s="1" nd="1"/>
        <i x="40" s="1" nd="1"/>
        <i x="56" s="1" nd="1"/>
        <i x="42" s="1" nd="1"/>
        <i x="136" s="1" nd="1"/>
        <i x="18" s="1" nd="1"/>
        <i x="14" s="1" nd="1"/>
        <i x="44" s="1" nd="1"/>
        <i x="11" s="1" nd="1"/>
        <i x="49" s="1" nd="1"/>
        <i x="50" s="1" nd="1"/>
        <i x="55" s="1" nd="1"/>
        <i x="34" s="1" nd="1"/>
        <i x="29" s="1" nd="1"/>
        <i x="63" s="1" nd="1"/>
        <i x="62" s="1" nd="1"/>
        <i x="67" s="1" nd="1"/>
        <i x="20" s="1" nd="1"/>
        <i x="65" s="1" nd="1"/>
        <i x="51" s="1" nd="1"/>
        <i x="32" s="1" nd="1"/>
        <i x="37" s="1" nd="1"/>
        <i x="38" s="1" nd="1"/>
        <i x="47" s="1" nd="1"/>
        <i x="39" s="1" nd="1"/>
        <i x="59" s="1" nd="1"/>
        <i x="70" s="1" nd="1"/>
        <i x="60" s="1" nd="1"/>
        <i x="76" s="1" nd="1"/>
        <i x="73" s="1" nd="1"/>
        <i x="71" s="1" nd="1"/>
        <i x="83" s="1" nd="1"/>
        <i x="77" s="1" nd="1"/>
        <i x="84" s="1" nd="1"/>
        <i x="53" s="1" nd="1"/>
        <i x="79" s="1" nd="1"/>
        <i x="80" s="1" nd="1"/>
        <i x="61" s="1" nd="1"/>
        <i x="74" s="1" nd="1"/>
        <i x="81" s="1" nd="1"/>
        <i x="72" s="1" nd="1"/>
        <i x="75" s="1" nd="1"/>
        <i x="85" s="1" nd="1"/>
        <i x="68" s="1" nd="1"/>
        <i x="192" s="1" nd="1"/>
        <i x="30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0" totalsRowCount="1" headerRowDxfId="109" dataDxfId="108" headerRowCellStyle="Comma" dataCellStyle="Comma">
  <autoFilter ref="A1:K69" xr:uid="{11DACEC6-751B-4B1D-817F-5C5BCD38EF6D}"/>
  <tableColumns count="11">
    <tableColumn id="1" xr3:uid="{2FCE3FA8-A48C-4685-8919-AE44C6C71FD9}" name="Date" dataDxfId="107" dataCellStyle="Comma"/>
    <tableColumn id="2" xr3:uid="{5780FD5F-0890-44E6-B59C-8E37A559FE36}" name="Party Name" dataDxfId="106" dataCellStyle="Comma"/>
    <tableColumn id="3" xr3:uid="{5B3ECD85-9174-40AC-BFBD-49CAC97A83D3}" name="Bill Number" dataDxfId="105" dataCellStyle="Comma"/>
    <tableColumn id="4" xr3:uid="{11B50761-04B6-4262-AD4D-7182450037D1}" name="Quality" dataDxfId="104" dataCellStyle="Comma"/>
    <tableColumn id="5" xr3:uid="{2C556969-B713-4967-BD24-466AACCBE5F5}" name="Shipment Number" dataDxfId="103" totalsRowDxfId="102" dataCellStyle="Comma"/>
    <tableColumn id="6" xr3:uid="{F4E1FD2B-9017-4DEB-B772-BF447ECE56F7}" name="Kora/metre" dataDxfId="101" totalsRowDxfId="100" dataCellStyle="Comma"/>
    <tableColumn id="7" xr3:uid="{52ACC1DA-7A76-4A90-B809-3A1AE728E7EA}" name="Tiyaar/gaz" dataDxfId="99" totalsRowDxfId="98" dataCellStyle="Comma"/>
    <tableColumn id="8" xr3:uid="{31A0FF5E-56F0-44D1-9865-73256B964660}" name="shortage %" dataDxfId="97" totalsRowDxfId="96" dataCellStyle="Comma">
      <calculatedColumnFormula>_xlfn.XLOOKUP(Table1[[#This Row],[Shipment Number]], 'pivot '!A:A,'pivot '!G:G, "NF")</calculatedColumnFormula>
    </tableColumn>
    <tableColumn id="9" xr3:uid="{F99075E0-AC8E-094D-BB85-272AD2C6C568}" name="tiyar/meters" totalsRowFunction="custom" dataDxfId="95" totalsRowDxfId="94"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3" totalsRowDxfId="92"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1" totalsRowDxfId="9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31" totalsRowCount="1" headerRowDxfId="87" headerRowBorderDxfId="86" tableBorderDxfId="85">
  <autoFilter ref="A1:I30" xr:uid="{F8E8C957-ABE7-4E4F-8D4E-7D44E26B334F}"/>
  <tableColumns count="9">
    <tableColumn id="1" xr3:uid="{C2E817D6-AB98-4DDD-8890-736B27F261CD}" name="Date" dataDxfId="84" totalsRowDxfId="7"/>
    <tableColumn id="2" xr3:uid="{CFB51890-CCDC-463C-81C9-3F8BD7469CB9}" name="Party Name"/>
    <tableColumn id="3" xr3:uid="{A113D971-1C9D-4733-99C4-BD0CC4333209}" name="Vehicle Number"/>
    <tableColumn id="4" xr3:uid="{49780304-3DD1-4AE9-98EE-2BC7EB8F3B57}" name="Weight" dataDxfId="83" totalsRowDxfId="6" dataCellStyle="Comma"/>
    <tableColumn id="5" xr3:uid="{FCAF1BC6-1D8C-42AD-8BBC-F924BF2DC7FE}" name="Rate" dataDxfId="82" totalsRowDxfId="5" dataCellStyle="Comma"/>
    <tableColumn id="6" xr3:uid="{8C70A624-4134-410C-9C45-9FDEB51D51BF}" name="Rent" dataDxfId="81" totalsRowDxfId="4" dataCellStyle="Comma"/>
    <tableColumn id="7" xr3:uid="{EBCE10AE-9634-4982-9C95-37ABC8A7078C}" name="Total" totalsRowFunction="sum" dataDxfId="80" totalsRowDxfId="3" dataCellStyle="Comma">
      <calculatedColumnFormula>D2*E2</calculatedColumnFormula>
    </tableColumn>
    <tableColumn id="9" xr3:uid="{D4788559-C94A-44D9-B9AE-E72B214355AC}" name="Paid" totalsRowFunction="sum" dataDxfId="79" totalsRowDxfId="2" dataCellStyle="Comma"/>
    <tableColumn id="8" xr3:uid="{E26F5BF0-1875-4FC6-994D-49F202ED562B}" name="balance" totalsRowFunction="sum" dataDxfId="78" totalsRowDxfId="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96" totalsRowCount="1">
  <autoFilter ref="A1:G95" xr:uid="{CB032221-B416-47A8-9A76-693DE76CFD04}"/>
  <tableColumns count="7">
    <tableColumn id="1" xr3:uid="{554B1EED-65B6-4E9A-B646-82727FAC40DE}" name="Date" dataDxfId="21" totalsRowDxfId="16"/>
    <tableColumn id="2" xr3:uid="{32259059-42CF-4947-83DE-115AA430BE2B}" name="Party"/>
    <tableColumn id="3" xr3:uid="{A1320223-D55D-483C-91C3-AB19B95CC9D8}" name="Debit" totalsRowFunction="sum" dataDxfId="20" totalsRowDxfId="15" dataCellStyle="Comma"/>
    <tableColumn id="4" xr3:uid="{E9745767-9FF0-4B1C-9052-FF335D1D7588}" name="Credit" totalsRowFunction="sum" dataDxfId="19" totalsRowDxfId="14" dataCellStyle="Comma"/>
    <tableColumn id="5" xr3:uid="{5C88A48E-2467-4E6D-B626-2442B7FD0BE4}" name="Description"/>
    <tableColumn id="6" xr3:uid="{63CA4666-144E-4BE6-8B7C-7CB992BD3041}" name="Mode" totalsRowFunction="custom" dataDxfId="18" totalsRowDxfId="1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6" tableBorderDxfId="75" totalsRowBorderDxfId="74">
  <autoFilter ref="J3:K6" xr:uid="{DCE01694-23ED-48BF-8B92-4186B9ED10A8}"/>
  <tableColumns count="2">
    <tableColumn id="1" xr3:uid="{C8484DAF-2989-4C2F-9AEC-A6917E1C57F6}" name="Type" dataDxfId="73"/>
    <tableColumn id="2" xr3:uid="{B07B7A2A-4D4E-4654-BED6-FE2F0A7BEC34}" name="Amount" dataDxfId="7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1" headerRowBorderDxfId="70" tableBorderDxfId="69" totalsRowBorderDxfId="68">
  <autoFilter ref="M3:O6" xr:uid="{D166BDD1-ACD7-45D7-8AE9-7350373F8CEB}"/>
  <tableColumns count="3">
    <tableColumn id="1" xr3:uid="{64F0205E-DEA7-4571-BA86-E4374A5FEE28}" name="Type" totalsRowLabel="Total" dataDxfId="67" totalsRowDxfId="66"/>
    <tableColumn id="2" xr3:uid="{15FA05F9-789C-4459-9BE0-5C1EC84D3365}" name="amount" totalsRowFunction="custom" dataDxfId="65" totalsRowDxfId="64">
      <totalsRowFormula>SUM(N5:N6)</totalsRowFormula>
    </tableColumn>
    <tableColumn id="3" xr3:uid="{3681D409-90C6-44D0-BDE2-4B5943A516F0}" name="Actual" totalsRowFunction="custom" totalsRowDxfId="6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58" headerRowBorderDxfId="57">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3" headerRowBorderDxfId="52">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51" totalsRowDxfId="17"/>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43"/>
    <tableColumn id="2" xr3:uid="{053BFC14-4828-417C-9F9F-95B6E232A945}" name="Amount" totalsRowFunction="custom" dataDxfId="42" totalsRowDxfId="4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0"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9" totalsRowDxfId="2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7" totalsRowDxfId="2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5">
      <calculatedColumnFormula>Billing!Q5</calculatedColumnFormula>
    </tableColumn>
    <tableColumn id="2" xr3:uid="{7093A59E-B58F-487D-888A-9AA8156B5F9A}" name="Amount Paid" dataDxfId="2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3"/>
    <tableColumn id="2" xr3:uid="{F72CFEEB-BA11-4A49-BD19-88592EB6A27C}" name="Credit" dataDxfId="2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9188.9173372348214</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35683.979517190935</v>
      </c>
      <c r="D4">
        <v>10</v>
      </c>
      <c r="E4" s="14">
        <f>(SUMIFS(ledger!G:G, ledger!B:B, B4, ledger!E:E, "&lt;&gt;*RD*",ledger!D:D, "Silky") / 1.0936)*12 + (SUMIFS(ledger!G:G, ledger!B:B, B4, ledger!E:E, "&lt;&gt;*RD*",ledger!D:D, "Chamki") / 1.0936)*10</f>
        <v>356839.79517190938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2544988</v>
      </c>
      <c r="S5" s="22" cm="1">
        <f t="array" ref="S5">_xlfn.BYROW(B49, _xlfn.LAMBDA(_xlpm.party, SUMIFS(ledger!G:G, ledger!B:B, _xlpm.party, ledger!E:E, "&lt;&gt;*RD*") / 1.0936 ))+_xlfn.IFNA(D84,0)</f>
        <v>2327165.3255303586</v>
      </c>
      <c r="T5" s="22" cm="1">
        <f t="array" ref="T5">(_xlfn.BYROW(B49,_xlfn.LAMBDA(_xlpm.party,SUMIFS(ledger!G:G,ledger!B:B,_xlpm.party,ledger!E:E,"&lt;&gt;*RD*",ledger!D:D,"Chamki")+SUMIFS(ledger!G:G, ledger!B:B, _xlpm.party, ledger!E:E, "&lt;&gt;*RD*", ledger!D:D, "Crinkle")))/1.0936)+_xlfn.IFNA(E84,0)</f>
        <v>2044696.4155084128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20446964.155084129</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24030704.096561819</v>
      </c>
      <c r="AD5" s="22">
        <f>(SUMIF(Table14[Party],Q5,Table14[Credit]))+_xlfn.IFNA(O84,0)</f>
        <v>19750734</v>
      </c>
      <c r="AE5" s="33">
        <f>AC5-AD5</f>
        <v>4279970.0965618193</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696172</v>
      </c>
      <c r="S7" s="22" cm="1">
        <f t="array" ref="S7">_xlfn.BYROW(B51, _xlfn.LAMBDA(_xlpm.party, SUMIFS(ledger!G:G, ledger!B:B, _xlpm.party, ledger!E:E, "&lt;&gt;*RD*") / 1.0936 ))+_xlfn.IFNA(D86,0)</f>
        <v>636587.41770299932</v>
      </c>
      <c r="T7" s="22" cm="1">
        <f t="array" ref="T7">(_xlfn.BYROW(B51,_xlfn.LAMBDA(_xlpm.party,SUMIFS(ledger!G:G,ledger!B:B,_xlpm.party,ledger!E:E,"&lt;&gt;*RD*",ledger!D:D,"Chamki")+SUMIFS(ledger!G:G, ledger!B:B, _xlpm.party, ledger!E:E, "&lt;&gt;*RD*", ledger!D:D, "Crinkle")))/1.0936)+_xlfn.IFNA(E86,0)</f>
        <v>558474.76225310902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5584747.6225310899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6585417.8858814929</v>
      </c>
      <c r="AD7" s="22">
        <f>(SUMIF(Table14[Party],Q7,Table14[Credit]))+_xlfn.IFNA(O86,0)</f>
        <v>6202935</v>
      </c>
      <c r="AE7" s="33">
        <f t="shared" si="2"/>
        <v>382482.88588149287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45488.295537673745</v>
      </c>
      <c r="D9">
        <v>10</v>
      </c>
      <c r="E9" s="14">
        <f>(SUMIFS(ledger!G:G, ledger!B:B, B9, ledger!E:E, "&lt;&gt;*RD*",ledger!D:D, "Silky") / 1.0936)*12 + (SUMIFS(ledger!G:G, ledger!B:B, B9, ledger!E:E, "&lt;&gt;*RD*",ledger!D:D, "Chamki") / 1.0936)*10</f>
        <v>454882.95537673746</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411353</v>
      </c>
      <c r="S12" s="22" cm="1">
        <f t="array" ref="S12">_xlfn.BYROW(B56, _xlfn.LAMBDA(_xlpm.party, SUMIFS(ledger!G:G, ledger!B:B, _xlpm.party, ledger!E:E, "&lt;&gt;*RD*") / 1.0936 ))+_xlfn.IFNA(D91,0)</f>
        <v>376145.75713240681</v>
      </c>
      <c r="T12" s="22" cm="1">
        <f t="array" ref="T12">(_xlfn.BYROW(B56,_xlfn.LAMBDA(_xlpm.party,SUMIFS(ledger!G:G,ledger!B:B,_xlpm.party,ledger!E:E,"&lt;&gt;*RD*",ledger!D:D,"Chamki")+SUMIFS(ledger!G:G, ledger!B:B, _xlpm.party, ledger!E:E, "&lt;&gt;*RD*", ledger!D:D, "Crinkle")))/1.0936)+_xlfn.IFNA(E91,0)</f>
        <v>350957.3884418435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3509573.8844184349</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3837022.6773957573</v>
      </c>
      <c r="AD12" s="22">
        <f>(SUMIF(Table14[Party],Q12,Table14[Credit]))+_xlfn.IFNA(O91,0)</f>
        <v>3370620</v>
      </c>
      <c r="AE12" s="33">
        <f t="shared" si="2"/>
        <v>466402.67739575729</v>
      </c>
      <c r="AF12" s="21">
        <v>10</v>
      </c>
      <c r="AG12" s="21">
        <v>13</v>
      </c>
    </row>
    <row r="13" spans="2:33" x14ac:dyDescent="0.3">
      <c r="B13" t="str">
        <f t="shared" si="0"/>
        <v>Badshah Fabrics</v>
      </c>
      <c r="C13" s="18">
        <f>SUMIFS(ledger!G:G, ledger!B:B, B13, ledger!E:E, "&lt;&gt;*RD*") / 1.0936</f>
        <v>106296.63496708121</v>
      </c>
      <c r="E13" s="14">
        <f>(SUMIFS(ledger!G:G, ledger!B:B, B13, ledger!E:E, "&lt;&gt;*RD*",ledger!D:D, "Silky") / 1.0936)*12 + (SUMIFS(ledger!G:G, ledger!B:B, B13, ledger!E:E, "&lt;&gt;*RD*",ledger!D:D, "Chamki") / 1.0936)*10</f>
        <v>598783.83321141195</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633654</v>
      </c>
      <c r="S16" s="22" cm="1">
        <f t="array" ref="S16">_xlfn.BYROW(B60, _xlfn.LAMBDA(_xlpm.party, SUMIFS(ledger!G:G, ledger!B:B, _xlpm.party, ledger!E:E, "&lt;&gt;*RD*") / 1.0936 ))+_xlfn.IFNA(D95,0)</f>
        <v>579420.26335040235</v>
      </c>
      <c r="T16" s="22" cm="1">
        <f t="array" ref="T16">(_xlfn.BYROW(B60,_xlfn.LAMBDA(_xlpm.party,SUMIFS(ledger!G:G,ledger!B:B,_xlpm.party,ledger!E:E,"&lt;&gt;*RD*",ledger!D:D,"Chamki")+SUMIFS(ledger!G:G, ledger!B:B, _xlpm.party, ledger!E:E, "&lt;&gt;*RD*", ledger!D:D, "Crinkle")))/1.0936)+_xlfn.IFNA(E95,0)</f>
        <v>462206.47403072426</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4622064.7403072426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6082689.2831016835</v>
      </c>
      <c r="AD16" s="22">
        <f>(SUMIF(Table14[Party],Q16,Table14[Credit]))+_xlfn.IFNA(O95,0)</f>
        <v>5465761</v>
      </c>
      <c r="AE16" s="33">
        <f t="shared" si="2"/>
        <v>616928.28310168348</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1966578.2735918071</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1966578.2735918071</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10049</v>
      </c>
      <c r="D49" s="22" cm="1">
        <f t="array" ref="D49:D74">_xlfn.BYROW(_xlfn.ANCHORARRAY(B49), _xlfn.LAMBDA(_xlpm.party, SUMIFS(ledger!G:G, ledger!B:B, _xlpm.party, ledger!E:E, "&lt;&gt;*RD*") / 1.0936 ))</f>
        <v>9188.9173372348214</v>
      </c>
      <c r="E49" s="63" cm="1">
        <f t="array" ref="E49:E74">(_xlfn.BYROW(_xlfn.ANCHORARRAY(B49),_xlfn.LAMBDA(_xlpm.party,SUMIFS(ledger!G:G,ledger!B:B,_xlpm.party,ledger!E:E,"&lt;&gt;*RD*",ledger!D:D,"Chamki")+SUMIFS(ledger!G:G, ledger!B:B, _xlpm.party, ledger!E:E, "&lt;&gt;*RD*", ledger!D:D, "Crinkle")))/1.0936)</f>
        <v>9188.9173372348214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91889.173372348218</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91889.173372348218</v>
      </c>
      <c r="O49" s="22">
        <f>(SUMIF(Table14[Party],B49,Table14[Credit]))</f>
        <v>0</v>
      </c>
      <c r="P49" s="37">
        <f>N49-O49</f>
        <v>91889.173372348218</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39024</v>
      </c>
      <c r="D51" s="22">
        <v>35683.979517190935</v>
      </c>
      <c r="E51" s="63">
        <v>35683.979517190935</v>
      </c>
      <c r="F51" s="63">
        <v>0</v>
      </c>
      <c r="G51" s="22" cm="1">
        <f t="array" ref="G51">(_xlfn.BYROW(B51,_xlfn.LAMBDA(_xlpm.party,
(SUMIFS(ledger!J:J,ledger!B:B,_xlpm.party,ledger!E:E,"&lt;&gt;*RD*",ledger!D:D,"Chamki",ledger!C:C,"&lt;&gt;November Closing CF")+
SUMIFS(ledger!J:J,ledger!B:B,_xlpm.party,ledger!E:E,"&lt;&gt;*RD*",ledger!D:D,"Crinkle",ledger!C:C,"&lt;&gt;November Closing CF")
))))</f>
        <v>356839.79517190933</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356839.79517190933</v>
      </c>
      <c r="O51" s="22">
        <f>(SUMIF(Table14[Party],B51,Table14[Credit]))</f>
        <v>200000</v>
      </c>
      <c r="P51" s="37">
        <f>N51-O51</f>
        <v>156839.79517190933</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49746</v>
      </c>
      <c r="D56" s="22">
        <v>45488.295537673745</v>
      </c>
      <c r="E56" s="63">
        <v>45488.295537673745</v>
      </c>
      <c r="F56" s="63">
        <v>0</v>
      </c>
      <c r="G56" s="22" cm="1">
        <f t="array" ref="G56">(_xlfn.BYROW(B56,_xlfn.LAMBDA(_xlpm.party,
(SUMIFS(ledger!J:J,ledger!B:B,_xlpm.party,ledger!E:E,"&lt;&gt;*RD*",ledger!D:D,"Chamki",ledger!C:C,"&lt;&gt;November Closing CF")+
SUMIFS(ledger!J:J,ledger!B:B,_xlpm.party,ledger!E:E,"&lt;&gt;*RD*",ledger!D:D,"Crinkle",ledger!C:C,"&lt;&gt;November Closing CF")
))))</f>
        <v>454882.95537673746</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454882.95537673746</v>
      </c>
      <c r="O56" s="22">
        <f>(SUMIF(Table14[Party],B56,Table14[Credit]))</f>
        <v>48000</v>
      </c>
      <c r="P56" s="37">
        <f t="shared" ref="P56:P78" si="6">N56-O56</f>
        <v>406882.95537673746</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9188.9173372348214</v>
      </c>
      <c r="W58" s="18">
        <v>0</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116246</v>
      </c>
      <c r="D60" s="22">
        <v>106296.63496708121</v>
      </c>
      <c r="E60" s="63">
        <v>106296.63496708121</v>
      </c>
      <c r="F60" s="63">
        <v>0</v>
      </c>
      <c r="G60" s="22" cm="1">
        <f t="array" ref="G60">(_xlfn.BYROW(B60,_xlfn.LAMBDA(_xlpm.party,
(SUMIFS(ledger!J:J,ledger!B:B,_xlpm.party,ledger!E:E,"&lt;&gt;*RD*",ledger!D:D,"Chamki",ledger!C:C,"&lt;&gt;November Closing CF")+
SUMIFS(ledger!J:J,ledger!B:B,_xlpm.party,ledger!E:E,"&lt;&gt;*RD*",ledger!D:D,"Crinkle",ledger!C:C,"&lt;&gt;November Closing CF")
))))</f>
        <v>1062966.349670812</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1062966.349670812</v>
      </c>
      <c r="O60" s="22">
        <f>SUMIF(Table14[Party], B60, Table14[Credit])</f>
        <v>540000</v>
      </c>
      <c r="P60" s="37">
        <f t="shared" si="6"/>
        <v>522966.34967081202</v>
      </c>
      <c r="Q60" s="21">
        <v>10</v>
      </c>
      <c r="R60" s="21">
        <v>12</v>
      </c>
      <c r="U60" s="4" t="s">
        <v>9</v>
      </c>
      <c r="V60" s="5">
        <v>35683.979517190935</v>
      </c>
      <c r="W60" s="18">
        <v>356839.79517190938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45488.295537673745</v>
      </c>
      <c r="W65" s="18">
        <v>454882.95537673746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106296.63496708121</v>
      </c>
      <c r="W69" s="18">
        <v>598783.83321141195</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196657.82735918072</v>
      </c>
      <c r="W75" s="14">
        <v>1410506.5837600587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6" t="s">
        <v>214</v>
      </c>
      <c r="L83" s="116" t="s">
        <v>215</v>
      </c>
      <c r="M83" s="116"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2" priority="1" operator="lessThan">
      <formula>20000</formula>
    </cfRule>
    <cfRule type="cellIs" dxfId="1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1707350</v>
      </c>
      <c r="D4" t="s">
        <v>190</v>
      </c>
    </row>
    <row r="5" spans="1:4" x14ac:dyDescent="0.3">
      <c r="B5" t="s">
        <v>48</v>
      </c>
      <c r="C5" s="11">
        <f>SUM(Table8[Price])+Dyes!P56</f>
        <v>539910</v>
      </c>
    </row>
    <row r="6" spans="1:4" x14ac:dyDescent="0.3">
      <c r="B6" t="s">
        <v>49</v>
      </c>
      <c r="C6" s="11">
        <f>SUM(Table2[Price])+Finish!K30</f>
        <v>457600</v>
      </c>
      <c r="D6" t="s">
        <v>189</v>
      </c>
    </row>
    <row r="7" spans="1:4" x14ac:dyDescent="0.3">
      <c r="B7" t="s">
        <v>50</v>
      </c>
      <c r="C7" s="11">
        <f>SUMIFS(Table14[Debit], Table14[Party],Table12[[#This Row],[Type]])</f>
        <v>2810</v>
      </c>
    </row>
    <row r="8" spans="1:4" x14ac:dyDescent="0.3">
      <c r="B8" t="s">
        <v>51</v>
      </c>
      <c r="C8" s="11">
        <f>Electricity!E3</f>
        <v>0</v>
      </c>
    </row>
    <row r="9" spans="1:4" x14ac:dyDescent="0.3">
      <c r="B9" t="s">
        <v>52</v>
      </c>
      <c r="C9" s="11">
        <f>SUMIFS(Table14[Debit], Table14[Party],Table12[[#This Row],[Type]])+SUMIFS(Table14[Debit], Table14[Party],"Advance Salary")</f>
        <v>29000</v>
      </c>
    </row>
    <row r="10" spans="1:4" x14ac:dyDescent="0.3">
      <c r="B10" t="s">
        <v>53</v>
      </c>
      <c r="C10" s="11">
        <f>Table5[[#Totals],[Amount]]</f>
        <v>0</v>
      </c>
    </row>
    <row r="11" spans="1:4" x14ac:dyDescent="0.3">
      <c r="B11" t="s">
        <v>54</v>
      </c>
      <c r="C11" s="11">
        <f>Table13[[#Totals],[Debit]]</f>
        <v>33142</v>
      </c>
    </row>
    <row r="12" spans="1:4" x14ac:dyDescent="0.3">
      <c r="B12" t="s">
        <v>55</v>
      </c>
      <c r="C12" s="11">
        <f>Table15[[#Totals],[Amount]]</f>
        <v>16575</v>
      </c>
    </row>
    <row r="13" spans="1:4" x14ac:dyDescent="0.3">
      <c r="C13" s="11"/>
    </row>
    <row r="14" spans="1:4" x14ac:dyDescent="0.3">
      <c r="C14" s="14">
        <f>SUM(Table12[Amount])</f>
        <v>2786387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1966578.2735918071</v>
      </c>
    </row>
    <row r="4" spans="1:3" x14ac:dyDescent="0.3">
      <c r="B4" s="11" t="s">
        <v>44</v>
      </c>
      <c r="C4" s="11">
        <f>Table12[[#Totals],[Amount]]</f>
        <v>2786387</v>
      </c>
    </row>
    <row r="5" spans="1:3" x14ac:dyDescent="0.3">
      <c r="A5" s="6"/>
      <c r="B5" s="15" t="s">
        <v>68</v>
      </c>
      <c r="C5" s="15">
        <f>C3-C4</f>
        <v>-819808.72640819289</v>
      </c>
    </row>
    <row r="10" spans="1:3" ht="15" thickBot="1" x14ac:dyDescent="0.35">
      <c r="B10" t="s">
        <v>66</v>
      </c>
      <c r="C10" s="14" t="s">
        <v>67</v>
      </c>
    </row>
    <row r="11" spans="1:3" x14ac:dyDescent="0.3">
      <c r="B11" s="56" t="s">
        <v>0</v>
      </c>
      <c r="C11" s="57">
        <f>C3</f>
        <v>1966578.2735918071</v>
      </c>
    </row>
    <row r="12" spans="1:3" x14ac:dyDescent="0.3">
      <c r="B12" s="58" t="s">
        <v>69</v>
      </c>
      <c r="C12" s="59">
        <f>SUM(Table14[Credit])</f>
        <v>13812558</v>
      </c>
    </row>
    <row r="13" spans="1:3" ht="15" thickBot="1" x14ac:dyDescent="0.35">
      <c r="B13" s="74" t="s">
        <v>93</v>
      </c>
      <c r="C13" s="73">
        <f>(C11-C12)</f>
        <v>-11845979.726408193</v>
      </c>
    </row>
    <row r="14" spans="1:3" ht="15" thickBot="1" x14ac:dyDescent="0.35">
      <c r="B14" s="58"/>
      <c r="C14" s="59"/>
    </row>
    <row r="15" spans="1:3" x14ac:dyDescent="0.3">
      <c r="B15" s="56" t="s">
        <v>44</v>
      </c>
      <c r="C15" s="57">
        <f>C4</f>
        <v>2786387</v>
      </c>
    </row>
    <row r="16" spans="1:3" x14ac:dyDescent="0.3">
      <c r="B16" s="58" t="s">
        <v>70</v>
      </c>
      <c r="C16" s="59">
        <f>SUM(Table14[Debit])</f>
        <v>13760413</v>
      </c>
    </row>
    <row r="17" spans="2:6" ht="15" thickBot="1" x14ac:dyDescent="0.35">
      <c r="B17" s="74" t="s">
        <v>71</v>
      </c>
      <c r="C17" s="73">
        <f>C15-C16</f>
        <v>-10974026</v>
      </c>
    </row>
    <row r="18" spans="2:6" ht="15" thickBot="1" x14ac:dyDescent="0.35">
      <c r="B18" s="58"/>
      <c r="C18" s="59"/>
    </row>
    <row r="19" spans="2:6" ht="15" thickBot="1" x14ac:dyDescent="0.35">
      <c r="B19" s="75" t="s">
        <v>72</v>
      </c>
      <c r="C19" s="76">
        <f>Table18[[#Totals],[amount]]</f>
        <v>52145</v>
      </c>
    </row>
    <row r="20" spans="2:6" ht="15" thickBot="1" x14ac:dyDescent="0.35">
      <c r="B20" s="71"/>
      <c r="C20" s="72"/>
    </row>
    <row r="21" spans="2:6" ht="15" thickBot="1" x14ac:dyDescent="0.35">
      <c r="B21" s="60" t="s">
        <v>73</v>
      </c>
      <c r="C21" s="61">
        <f>(C13-C17)+C19</f>
        <v>-819808.72640819289</v>
      </c>
      <c r="E21" s="79" t="s">
        <v>74</v>
      </c>
      <c r="F21" s="80">
        <f>C5*0.05</f>
        <v>-40990.436320409644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abSelected="1"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0</v>
      </c>
      <c r="E12">
        <f>SUMIFS(Table14[Credit], Table14[Date], Table13[[#This Row],[Date]], Table14[Party], "Transport")</f>
        <v>0</v>
      </c>
    </row>
    <row r="13" spans="2:6" x14ac:dyDescent="0.3">
      <c r="B13" s="1">
        <v>46016</v>
      </c>
      <c r="D13">
        <f>SUMIFS(Table14[Debit], Table14[Date], Table13[[#This Row],[Date]], Table14[Party], "Transport")</f>
        <v>0</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33142</v>
      </c>
      <c r="E38">
        <f>SUBTOTAL(109,Table13[Credit])</f>
        <v>0</v>
      </c>
      <c r="F38">
        <f>Table13[[#Totals],[Debit]]-Table13[[#Totals],[Credit]]</f>
        <v>33142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F88" sqref="F8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211</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211</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211</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211</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211</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195</v>
      </c>
      <c r="C50" s="108" t="s">
        <v>211</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206</v>
      </c>
      <c r="C52" s="108" t="s">
        <v>211</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3">
        <v>46009</v>
      </c>
      <c r="B60" s="124" t="s">
        <v>152</v>
      </c>
      <c r="C60" s="120">
        <v>1256</v>
      </c>
      <c r="D60" s="120" t="s">
        <v>85</v>
      </c>
      <c r="E60" s="11">
        <v>1971</v>
      </c>
      <c r="F60" s="11">
        <v>50697</v>
      </c>
      <c r="G60" s="11">
        <v>49746</v>
      </c>
      <c r="H60" s="121">
        <f>_xlfn.XLOOKUP(Table1[[#This Row],[Shipment Number]], 'pivot '!A:A,'pivot '!G:G, "NF")</f>
        <v>10.274186761201378</v>
      </c>
      <c r="I60" s="122">
        <f>Table1[[#This Row],[Tiyaar/gaz]]/1.0936</f>
        <v>45488.295537673745</v>
      </c>
      <c r="J60" s="122"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0"/>
      <c r="M60"/>
      <c r="P60"/>
      <c r="Q60"/>
      <c r="R60"/>
      <c r="S60"/>
      <c r="T60"/>
      <c r="U60"/>
    </row>
    <row r="61" spans="1:25" x14ac:dyDescent="0.3">
      <c r="A61" s="123">
        <v>46009</v>
      </c>
      <c r="B61" s="120" t="s">
        <v>9</v>
      </c>
      <c r="C61" s="120">
        <v>1257</v>
      </c>
      <c r="D61" s="120" t="s">
        <v>85</v>
      </c>
      <c r="E61" s="11">
        <v>1951</v>
      </c>
      <c r="F61" s="11">
        <v>54197</v>
      </c>
      <c r="G61" s="11">
        <v>28916</v>
      </c>
      <c r="H61" s="121">
        <f>_xlfn.XLOOKUP(Table1[[#This Row],[Shipment Number]], 'pivot '!A:A,'pivot '!G:G, "NF")</f>
        <v>34.158755065426263</v>
      </c>
      <c r="I61" s="122">
        <f>Table1[[#This Row],[Tiyaar/gaz]]/1.0936</f>
        <v>26441.111923920998</v>
      </c>
      <c r="J61" s="122"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0"/>
      <c r="M61"/>
      <c r="P61"/>
      <c r="Q61"/>
      <c r="R61"/>
      <c r="S61"/>
    </row>
    <row r="62" spans="1:25" x14ac:dyDescent="0.3">
      <c r="A62" s="123">
        <v>46009</v>
      </c>
      <c r="B62" s="120" t="s">
        <v>166</v>
      </c>
      <c r="C62" s="120">
        <v>1258</v>
      </c>
      <c r="D62" s="120" t="s">
        <v>85</v>
      </c>
      <c r="E62" s="11">
        <v>1934</v>
      </c>
      <c r="F62" s="11">
        <v>38741</v>
      </c>
      <c r="G62" s="11">
        <v>12375</v>
      </c>
      <c r="H62" s="121">
        <f>_xlfn.XLOOKUP(Table1[[#This Row],[Shipment Number]], 'pivot '!A:A,'pivot '!G:G, "NF")</f>
        <v>2.6934957751331297</v>
      </c>
      <c r="I62" s="122">
        <f>Table1[[#This Row],[Tiyaar/gaz]]/1.0936</f>
        <v>11315.837600585224</v>
      </c>
      <c r="J62" s="122"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0"/>
      <c r="M62"/>
      <c r="P62"/>
      <c r="Q62"/>
      <c r="R62"/>
      <c r="S62"/>
    </row>
    <row r="63" spans="1:25" x14ac:dyDescent="0.3">
      <c r="A63" s="123">
        <v>46010</v>
      </c>
      <c r="B63" s="125" t="s">
        <v>166</v>
      </c>
      <c r="C63" s="120">
        <v>1259</v>
      </c>
      <c r="D63" s="120" t="s">
        <v>85</v>
      </c>
      <c r="E63" s="11">
        <v>1934</v>
      </c>
      <c r="F63" s="11">
        <v>38741</v>
      </c>
      <c r="G63" s="11">
        <v>28851</v>
      </c>
      <c r="H63" s="121">
        <f>_xlfn.XLOOKUP(Table1[[#This Row],[Shipment Number]], 'pivot '!A:A,'pivot '!G:G, "NF")</f>
        <v>2.6934957751331297</v>
      </c>
      <c r="I63" s="122">
        <f>Table1[[#This Row],[Tiyaar/gaz]]/1.0936</f>
        <v>26381.675201170448</v>
      </c>
      <c r="J63" s="122"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20"/>
      <c r="S63"/>
    </row>
    <row r="64" spans="1:25" x14ac:dyDescent="0.3">
      <c r="A64" s="123">
        <v>46010</v>
      </c>
      <c r="B64" s="125" t="s">
        <v>166</v>
      </c>
      <c r="C64" s="120">
        <v>1260</v>
      </c>
      <c r="D64" s="120" t="s">
        <v>85</v>
      </c>
      <c r="E64" s="11">
        <v>1924</v>
      </c>
      <c r="F64" s="11">
        <v>24876</v>
      </c>
      <c r="G64" s="11">
        <v>16411</v>
      </c>
      <c r="H64" s="121">
        <f>_xlfn.XLOOKUP(Table1[[#This Row],[Shipment Number]], 'pivot '!A:A,'pivot '!G:G, "NF")</f>
        <v>10.834255831381583</v>
      </c>
      <c r="I64" s="122">
        <f>Table1[[#This Row],[Tiyaar/gaz]]/1.0936</f>
        <v>15006.400877834676</v>
      </c>
      <c r="J64" s="122"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20"/>
      <c r="S64"/>
    </row>
    <row r="65" spans="1:19" x14ac:dyDescent="0.3">
      <c r="A65" s="123">
        <v>46011</v>
      </c>
      <c r="B65" s="125" t="s">
        <v>9</v>
      </c>
      <c r="C65" s="120">
        <v>1261</v>
      </c>
      <c r="D65" s="120" t="s">
        <v>85</v>
      </c>
      <c r="E65" s="11">
        <v>1951</v>
      </c>
      <c r="F65" s="11">
        <v>54197</v>
      </c>
      <c r="G65" s="11">
        <v>10108</v>
      </c>
      <c r="H65" s="121">
        <f>_xlfn.XLOOKUP(Table1[[#This Row],[Shipment Number]], 'pivot '!A:A,'pivot '!G:G, "NF")</f>
        <v>34.158755065426263</v>
      </c>
      <c r="I65" s="122">
        <f>Table1[[#This Row],[Tiyaar/gaz]]/1.0936</f>
        <v>9242.8675932699352</v>
      </c>
      <c r="J65" s="122"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20"/>
      <c r="S65"/>
    </row>
    <row r="66" spans="1:19" x14ac:dyDescent="0.3">
      <c r="A66" s="123">
        <v>46011</v>
      </c>
      <c r="B66" s="125" t="s">
        <v>166</v>
      </c>
      <c r="C66" s="120">
        <v>1262</v>
      </c>
      <c r="D66" s="120" t="s">
        <v>85</v>
      </c>
      <c r="E66" s="11">
        <v>1924</v>
      </c>
      <c r="F66" s="11">
        <v>24876</v>
      </c>
      <c r="G66" s="11">
        <v>7846</v>
      </c>
      <c r="H66" s="121">
        <f>_xlfn.XLOOKUP(Table1[[#This Row],[Shipment Number]], 'pivot '!A:A,'pivot '!G:G, "NF")</f>
        <v>10.834255831381583</v>
      </c>
      <c r="I66" s="122">
        <f>Table1[[#This Row],[Tiyaar/gaz]]/1.0936</f>
        <v>7174.4696415508415</v>
      </c>
      <c r="J66" s="122"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20"/>
      <c r="S66"/>
    </row>
    <row r="67" spans="1:19" x14ac:dyDescent="0.3">
      <c r="A67" s="123">
        <v>46011</v>
      </c>
      <c r="B67" s="125" t="s">
        <v>166</v>
      </c>
      <c r="C67" s="120">
        <v>1263</v>
      </c>
      <c r="D67" s="120" t="s">
        <v>258</v>
      </c>
      <c r="E67" s="11">
        <v>1835</v>
      </c>
      <c r="F67" s="11">
        <v>50010</v>
      </c>
      <c r="G67" s="11">
        <v>25414</v>
      </c>
      <c r="H67" s="121">
        <f>_xlfn.XLOOKUP(Table1[[#This Row],[Shipment Number]], 'pivot '!A:A,'pivot '!G:G, "NF")</f>
        <v>7.1820602960607403</v>
      </c>
      <c r="I67" s="122">
        <f>Table1[[#This Row],[Tiyaar/gaz]]/1.0936</f>
        <v>23238.844184345282</v>
      </c>
      <c r="J67" s="122"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20"/>
      <c r="S67"/>
    </row>
    <row r="68" spans="1:19" x14ac:dyDescent="0.3">
      <c r="A68" s="123">
        <v>46013</v>
      </c>
      <c r="B68" s="125" t="s">
        <v>21</v>
      </c>
      <c r="C68" s="120">
        <v>1264</v>
      </c>
      <c r="D68" s="120" t="s">
        <v>258</v>
      </c>
      <c r="E68" s="11">
        <v>1628</v>
      </c>
      <c r="F68" s="11">
        <v>48198</v>
      </c>
      <c r="G68" s="11">
        <v>10049</v>
      </c>
      <c r="H68" s="121">
        <f>_xlfn.XLOOKUP(Table1[[#This Row],[Shipment Number]], 'pivot '!A:A,'pivot '!G:G, "NF")</f>
        <v>80.935065070677581</v>
      </c>
      <c r="I68" s="122">
        <f>Table1[[#This Row],[Tiyaar/gaz]]/1.0936</f>
        <v>9188.9173372348214</v>
      </c>
      <c r="J68" s="122"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20"/>
      <c r="S68"/>
    </row>
    <row r="69" spans="1:19" x14ac:dyDescent="0.3">
      <c r="A69" s="123">
        <v>46013</v>
      </c>
      <c r="B69" s="125" t="s">
        <v>166</v>
      </c>
      <c r="C69" s="120">
        <v>1265</v>
      </c>
      <c r="D69" s="120" t="s">
        <v>258</v>
      </c>
      <c r="E69" s="11">
        <v>1835</v>
      </c>
      <c r="F69" s="11">
        <v>50010</v>
      </c>
      <c r="G69" s="11">
        <v>25349</v>
      </c>
      <c r="H69" s="121">
        <f>_xlfn.XLOOKUP(Table1[[#This Row],[Shipment Number]], 'pivot '!A:A,'pivot '!G:G, "NF")</f>
        <v>7.1820602960607403</v>
      </c>
      <c r="I69" s="122">
        <f>Table1[[#This Row],[Tiyaar/gaz]]/1.0936</f>
        <v>23179.407461594736</v>
      </c>
      <c r="J69" s="122"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20"/>
      <c r="S69"/>
    </row>
    <row r="70" spans="1:19" x14ac:dyDescent="0.3">
      <c r="A70"/>
      <c r="B70"/>
      <c r="C70"/>
      <c r="D70"/>
      <c r="E70" s="14"/>
      <c r="F70" s="14"/>
      <c r="G70" s="14"/>
      <c r="H70" s="43"/>
      <c r="I70" s="94" cm="1">
        <f t="array" aca="1" ref="I70" ca="1">SUMPRODUCT( SUBTOTAL(109, OFFSET(Table1[tiyar/meters], ROW(Table1[tiyar/meters])-MIN(ROW(Table1[tiyar/meters])), 0, 1)), --(Table1[Bill Number]&lt;&gt;"November Closing CF") )</f>
        <v>196657.82735918072</v>
      </c>
      <c r="J70" s="43" cm="1">
        <f t="array" aca="1" ref="J70" ca="1">SUMPRODUCT( SUBTOTAL(109, OFFSET(Table1[billing], ROW(Table1[billing])-MIN(ROW(Table1[billing])), 0, 1)), --(Table1[Bill Number]&lt;&gt;"November Closing CF") )</f>
        <v>1966578.2735918073</v>
      </c>
      <c r="K70" s="14">
        <f>SUMIFS(Table1[billing], Table1[Bill Number], "&lt;&gt;November Closing CF")</f>
        <v>1966578.2735918073</v>
      </c>
      <c r="S70"/>
    </row>
    <row r="71" spans="1:19" x14ac:dyDescent="0.3">
      <c r="S71"/>
    </row>
    <row r="72" spans="1: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69">
    <cfRule type="cellIs" dxfId="1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31"/>
  <sheetViews>
    <sheetView topLeftCell="A15" zoomScale="145" zoomScaleNormal="90" workbookViewId="0">
      <selection activeCell="F30" sqref="F3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1135250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t="s">
        <v>28</v>
      </c>
      <c r="M19" s="14">
        <v>800</v>
      </c>
      <c r="N19" s="14">
        <v>616180</v>
      </c>
      <c r="O19" s="14">
        <v>658284</v>
      </c>
      <c r="P19" s="14">
        <v>3279324</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row>
    <row r="22" spans="1:16" x14ac:dyDescent="0.3">
      <c r="A22" s="1">
        <v>46011</v>
      </c>
      <c r="B22" t="s">
        <v>169</v>
      </c>
      <c r="C22">
        <v>9662</v>
      </c>
      <c r="D22" s="11">
        <v>100</v>
      </c>
      <c r="E22" s="11">
        <v>775</v>
      </c>
      <c r="F22" s="11"/>
      <c r="G22" s="11">
        <f>D22*E22</f>
        <v>77500</v>
      </c>
      <c r="H22" s="11"/>
      <c r="I22" s="11">
        <f>(D22*E22)-Table3[[#This Row],[Paid]]</f>
        <v>77500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row>
    <row r="26" spans="1:16" x14ac:dyDescent="0.3">
      <c r="A26" s="1">
        <v>46012</v>
      </c>
      <c r="B26" t="s">
        <v>169</v>
      </c>
      <c r="C26">
        <v>9662</v>
      </c>
      <c r="D26" s="11">
        <v>144</v>
      </c>
      <c r="E26" s="11">
        <v>580</v>
      </c>
      <c r="F26" s="11"/>
      <c r="G26" s="11">
        <f>D26*E26</f>
        <v>83520</v>
      </c>
      <c r="H26" s="11"/>
      <c r="I26" s="11">
        <f>(D26*E26)-Table3[[#This Row],[Paid]]</f>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row>
    <row r="28" spans="1:16" x14ac:dyDescent="0.3">
      <c r="A28" s="1">
        <v>46014</v>
      </c>
      <c r="B28" t="s">
        <v>169</v>
      </c>
      <c r="C28">
        <v>9662</v>
      </c>
      <c r="D28" s="11">
        <v>110</v>
      </c>
      <c r="E28" s="11">
        <v>775</v>
      </c>
      <c r="F28" s="11"/>
      <c r="G28" s="11">
        <f t="shared" ref="G28:G30" si="4">D28*E28</f>
        <v>85250</v>
      </c>
      <c r="H28" s="11"/>
      <c r="I28" s="11">
        <f>(D28*E28)-Table3[[#This Row],[Paid]]</f>
        <v>85250</v>
      </c>
    </row>
    <row r="29" spans="1:16" x14ac:dyDescent="0.3">
      <c r="A29" s="1">
        <v>46014</v>
      </c>
      <c r="B29" t="s">
        <v>169</v>
      </c>
      <c r="C29">
        <v>9662</v>
      </c>
      <c r="D29" s="11">
        <v>25</v>
      </c>
      <c r="E29" s="11">
        <v>580</v>
      </c>
      <c r="F29" s="11"/>
      <c r="G29" s="11">
        <f t="shared" si="4"/>
        <v>14500</v>
      </c>
      <c r="H29" s="11"/>
      <c r="I29" s="11">
        <f>(D29*E29)-Table3[[#This Row],[Paid]]</f>
        <v>14500</v>
      </c>
      <c r="K29" s="14"/>
    </row>
    <row r="30" spans="1:16" x14ac:dyDescent="0.3">
      <c r="A30" s="1">
        <v>46014</v>
      </c>
      <c r="B30" t="s">
        <v>169</v>
      </c>
      <c r="C30">
        <v>9662</v>
      </c>
      <c r="D30" s="11">
        <v>120</v>
      </c>
      <c r="E30" s="11">
        <v>775</v>
      </c>
      <c r="F30" s="11"/>
      <c r="G30" s="11">
        <f t="shared" si="4"/>
        <v>93000</v>
      </c>
      <c r="H30" s="11"/>
      <c r="I30" s="11">
        <f>(D30*E30)-Table3[[#This Row],[Paid]]</f>
        <v>93000</v>
      </c>
    </row>
    <row r="31" spans="1:16" x14ac:dyDescent="0.3">
      <c r="A31" s="1"/>
      <c r="D31" s="14"/>
      <c r="E31" s="14"/>
      <c r="F31" s="14"/>
      <c r="G31" s="14">
        <f>SUBTOTAL(109,Table3[Total])</f>
        <v>1135250</v>
      </c>
      <c r="H31" s="14">
        <f>SUBTOTAL(109,Table3[Paid])</f>
        <v>818784</v>
      </c>
      <c r="I31" s="14">
        <f>SUBTOTAL(109,Table3[balance])</f>
        <v>3637894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82" zoomScale="160" workbookViewId="0">
      <selection activeCell="E93" sqref="E9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8855832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26">
        <v>46014</v>
      </c>
      <c r="B4" s="81" t="s">
        <v>222</v>
      </c>
      <c r="C4" s="11"/>
      <c r="D4" s="87">
        <v>323372</v>
      </c>
      <c r="E4" s="81" t="s">
        <v>262</v>
      </c>
      <c r="F4" s="88" t="s">
        <v>108</v>
      </c>
      <c r="J4" s="45" t="s">
        <v>70</v>
      </c>
      <c r="K4" s="46">
        <f>Table14[[#Totals],[Debit]]</f>
        <v>13760413</v>
      </c>
      <c r="M4" s="45" t="s">
        <v>107</v>
      </c>
      <c r="N4" s="51">
        <f>SUMIFS(Table14[Withdrawal],Table14[Party],"Cash",Table14[Mode],"Transfer")</f>
        <v>0</v>
      </c>
    </row>
    <row r="5" spans="1:16" x14ac:dyDescent="0.3">
      <c r="A5" s="117">
        <v>46009</v>
      </c>
      <c r="B5" t="s">
        <v>177</v>
      </c>
      <c r="C5" s="11">
        <v>500</v>
      </c>
      <c r="D5" s="11"/>
      <c r="E5" t="s">
        <v>217</v>
      </c>
      <c r="F5" s="111" t="s">
        <v>108</v>
      </c>
      <c r="J5" s="45" t="s">
        <v>69</v>
      </c>
      <c r="K5" s="46">
        <f>Table14[[#Totals],[Credit]]</f>
        <v>13812558</v>
      </c>
      <c r="M5" s="45" t="s">
        <v>108</v>
      </c>
      <c r="N5" s="46">
        <f>(SUMIFS(Table14[Credit],Table14[Mode],"Bank")-SUMIFS(Table14[Debit],Table14[Mode],"Bank")-SUMIFS(Table14[Withdrawal],Table14[Mode],"Transfer"))</f>
        <v>663061</v>
      </c>
      <c r="O5">
        <v>360000</v>
      </c>
    </row>
    <row r="6" spans="1:16" x14ac:dyDescent="0.3">
      <c r="A6" s="38">
        <v>46009</v>
      </c>
      <c r="B6" t="s">
        <v>177</v>
      </c>
      <c r="C6" s="96">
        <v>3600</v>
      </c>
      <c r="D6" s="96"/>
      <c r="E6" t="s">
        <v>218</v>
      </c>
      <c r="F6" s="111" t="s">
        <v>108</v>
      </c>
      <c r="J6" s="52" t="s">
        <v>43</v>
      </c>
      <c r="K6" s="53">
        <f>(K5-K4)</f>
        <v>52145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52145</v>
      </c>
      <c r="O7" s="90">
        <f>SUM(O5,O6)</f>
        <v>410000</v>
      </c>
      <c r="P7" s="14">
        <f>Table18[[#Totals],[amount]]-Table18[[#Totals],[Actual]]</f>
        <v>-357855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38">
        <v>46010</v>
      </c>
      <c r="B29" t="s">
        <v>192</v>
      </c>
      <c r="C29" s="96"/>
      <c r="D29" s="96">
        <v>100000</v>
      </c>
      <c r="F29" s="111" t="s">
        <v>108</v>
      </c>
    </row>
    <row r="30" spans="1:6" x14ac:dyDescent="0.3">
      <c r="A30" s="38">
        <v>46010</v>
      </c>
      <c r="B30" t="s">
        <v>55</v>
      </c>
      <c r="C30" s="96">
        <v>1400</v>
      </c>
      <c r="D30" s="96"/>
      <c r="E30" t="s">
        <v>231</v>
      </c>
      <c r="F30" s="111" t="s">
        <v>108</v>
      </c>
    </row>
    <row r="31" spans="1:6" x14ac:dyDescent="0.3">
      <c r="A31" s="38">
        <v>46010</v>
      </c>
      <c r="B31" t="s">
        <v>55</v>
      </c>
      <c r="C31" s="11">
        <v>8575</v>
      </c>
      <c r="D31" s="11"/>
      <c r="E31" t="s">
        <v>232</v>
      </c>
      <c r="F31" s="111" t="s">
        <v>108</v>
      </c>
    </row>
    <row r="32" spans="1:6" x14ac:dyDescent="0.3">
      <c r="A32" s="38">
        <v>46010</v>
      </c>
      <c r="B32" t="s">
        <v>233</v>
      </c>
      <c r="C32" s="11">
        <v>20000</v>
      </c>
      <c r="D32" s="11"/>
      <c r="E32" t="s">
        <v>234</v>
      </c>
      <c r="F32" s="111" t="s">
        <v>108</v>
      </c>
    </row>
    <row r="33" spans="1:6" x14ac:dyDescent="0.3">
      <c r="A33" s="38">
        <v>46010</v>
      </c>
      <c r="B33" t="s">
        <v>50</v>
      </c>
      <c r="C33" s="11">
        <v>1470</v>
      </c>
      <c r="D33" s="11"/>
      <c r="E33" t="s">
        <v>235</v>
      </c>
      <c r="F33" s="111" t="s">
        <v>108</v>
      </c>
    </row>
    <row r="34" spans="1:6" x14ac:dyDescent="0.3">
      <c r="A34" s="38">
        <v>46010</v>
      </c>
      <c r="B34" t="s">
        <v>50</v>
      </c>
      <c r="C34" s="11">
        <v>1040</v>
      </c>
      <c r="D34" s="11"/>
      <c r="E34" t="s">
        <v>235</v>
      </c>
      <c r="F34" s="111" t="s">
        <v>108</v>
      </c>
    </row>
    <row r="35" spans="1:6" x14ac:dyDescent="0.3">
      <c r="A35" s="38">
        <v>46010</v>
      </c>
      <c r="B35" t="s">
        <v>54</v>
      </c>
      <c r="C35" s="11">
        <v>3000</v>
      </c>
      <c r="D35" s="11"/>
      <c r="E35" t="s">
        <v>236</v>
      </c>
      <c r="F35" s="111" t="s">
        <v>108</v>
      </c>
    </row>
    <row r="36" spans="1:6" x14ac:dyDescent="0.3">
      <c r="A36" s="38">
        <v>46010</v>
      </c>
      <c r="B36" t="s">
        <v>54</v>
      </c>
      <c r="C36" s="11">
        <v>13000</v>
      </c>
      <c r="D36" s="11"/>
      <c r="E36" t="s">
        <v>236</v>
      </c>
      <c r="F36" s="111" t="s">
        <v>108</v>
      </c>
    </row>
    <row r="37" spans="1:6" x14ac:dyDescent="0.3">
      <c r="A37" s="38">
        <v>46010</v>
      </c>
      <c r="B37" t="s">
        <v>192</v>
      </c>
      <c r="C37" s="11"/>
      <c r="D37" s="11">
        <v>13000</v>
      </c>
      <c r="E37" t="s">
        <v>236</v>
      </c>
      <c r="F37" s="111" t="s">
        <v>108</v>
      </c>
    </row>
    <row r="38" spans="1:6" x14ac:dyDescent="0.3">
      <c r="A38" s="38">
        <v>46010</v>
      </c>
      <c r="B38" t="s">
        <v>233</v>
      </c>
      <c r="C38" s="11">
        <v>7000</v>
      </c>
      <c r="D38" s="11"/>
      <c r="E38" t="s">
        <v>237</v>
      </c>
      <c r="F38" s="111" t="s">
        <v>108</v>
      </c>
    </row>
    <row r="39" spans="1:6" x14ac:dyDescent="0.3">
      <c r="A39" s="38">
        <v>46010</v>
      </c>
      <c r="B39" t="s">
        <v>192</v>
      </c>
      <c r="C39" s="11"/>
      <c r="D39" s="11">
        <v>7000</v>
      </c>
      <c r="E39" t="s">
        <v>238</v>
      </c>
      <c r="F39" s="111" t="s">
        <v>108</v>
      </c>
    </row>
    <row r="40" spans="1:6" x14ac:dyDescent="0.3">
      <c r="A40" s="38">
        <v>46010</v>
      </c>
      <c r="B40" t="s">
        <v>52</v>
      </c>
      <c r="C40" s="11"/>
      <c r="D40" s="11"/>
      <c r="E40" t="s">
        <v>239</v>
      </c>
      <c r="F40" s="111" t="s">
        <v>108</v>
      </c>
    </row>
    <row r="41" spans="1:6" x14ac:dyDescent="0.3">
      <c r="A41" s="38">
        <v>46010</v>
      </c>
      <c r="B41" t="s">
        <v>192</v>
      </c>
      <c r="C41" s="11"/>
      <c r="D41" s="11">
        <v>22000</v>
      </c>
      <c r="E41" t="s">
        <v>239</v>
      </c>
      <c r="F41" s="111" t="s">
        <v>108</v>
      </c>
    </row>
    <row r="42" spans="1:6" x14ac:dyDescent="0.3">
      <c r="A42" s="38">
        <v>46011</v>
      </c>
      <c r="B42" t="s">
        <v>233</v>
      </c>
      <c r="C42" s="11">
        <v>2000</v>
      </c>
      <c r="D42" s="11"/>
      <c r="E42" t="s">
        <v>244</v>
      </c>
      <c r="F42" s="111" t="s">
        <v>108</v>
      </c>
    </row>
    <row r="43" spans="1:6" x14ac:dyDescent="0.3">
      <c r="A43" s="38">
        <v>46011</v>
      </c>
      <c r="B43" t="s">
        <v>152</v>
      </c>
      <c r="C43" s="11"/>
      <c r="D43" s="11">
        <v>48000</v>
      </c>
      <c r="E43" t="s">
        <v>245</v>
      </c>
      <c r="F43" s="111" t="s">
        <v>108</v>
      </c>
    </row>
    <row r="44" spans="1:6" x14ac:dyDescent="0.3">
      <c r="A44" s="38">
        <v>46011</v>
      </c>
      <c r="B44" t="s">
        <v>54</v>
      </c>
      <c r="C44" s="11">
        <v>6530</v>
      </c>
      <c r="D44" s="11"/>
      <c r="E44" t="s">
        <v>246</v>
      </c>
      <c r="F44" s="111" t="s">
        <v>108</v>
      </c>
    </row>
    <row r="45" spans="1:6" x14ac:dyDescent="0.3">
      <c r="A45" s="38">
        <v>46011</v>
      </c>
      <c r="B45" t="s">
        <v>55</v>
      </c>
      <c r="C45" s="11">
        <v>1100</v>
      </c>
      <c r="D45" s="11"/>
      <c r="E45" t="s">
        <v>247</v>
      </c>
      <c r="F45" s="111" t="s">
        <v>108</v>
      </c>
    </row>
    <row r="46" spans="1:6" x14ac:dyDescent="0.3">
      <c r="A46" s="38">
        <v>46011</v>
      </c>
      <c r="B46" t="s">
        <v>52</v>
      </c>
      <c r="C46" s="11"/>
      <c r="D46" s="11"/>
      <c r="E46" t="s">
        <v>248</v>
      </c>
      <c r="F46" s="111" t="s">
        <v>108</v>
      </c>
    </row>
    <row r="47" spans="1:6" x14ac:dyDescent="0.3">
      <c r="A47" s="117">
        <v>46011</v>
      </c>
      <c r="B47" t="s">
        <v>177</v>
      </c>
      <c r="C47" s="11">
        <v>2000</v>
      </c>
      <c r="D47" s="11"/>
      <c r="E47" t="s">
        <v>259</v>
      </c>
      <c r="F47" s="111" t="s">
        <v>108</v>
      </c>
    </row>
    <row r="48" spans="1:6" x14ac:dyDescent="0.3">
      <c r="A48" s="38">
        <v>46012</v>
      </c>
      <c r="B48" t="s">
        <v>192</v>
      </c>
      <c r="C48" s="11"/>
      <c r="D48" s="11">
        <v>700000</v>
      </c>
      <c r="E48" t="s">
        <v>249</v>
      </c>
      <c r="F48" s="111" t="s">
        <v>108</v>
      </c>
    </row>
    <row r="49" spans="1:6" x14ac:dyDescent="0.3">
      <c r="A49" s="38">
        <v>46012</v>
      </c>
      <c r="B49" t="s">
        <v>229</v>
      </c>
      <c r="C49" s="11">
        <v>50000</v>
      </c>
      <c r="D49" s="11"/>
      <c r="F49" s="111" t="s">
        <v>108</v>
      </c>
    </row>
    <row r="50" spans="1:6" x14ac:dyDescent="0.3">
      <c r="A50" s="38">
        <v>46013</v>
      </c>
      <c r="B50" t="s">
        <v>192</v>
      </c>
      <c r="C50" s="11"/>
      <c r="D50" s="11">
        <v>200000</v>
      </c>
      <c r="E50" t="s">
        <v>250</v>
      </c>
      <c r="F50" s="111" t="s">
        <v>108</v>
      </c>
    </row>
    <row r="51" spans="1:6" x14ac:dyDescent="0.3">
      <c r="A51" s="38">
        <v>46013</v>
      </c>
      <c r="B51" t="s">
        <v>192</v>
      </c>
      <c r="C51" s="11"/>
      <c r="D51" s="11">
        <v>500000</v>
      </c>
      <c r="E51" t="s">
        <v>251</v>
      </c>
      <c r="F51" s="111" t="s">
        <v>108</v>
      </c>
    </row>
    <row r="52" spans="1:6" x14ac:dyDescent="0.3">
      <c r="A52" s="38">
        <v>46013</v>
      </c>
      <c r="B52" t="s">
        <v>192</v>
      </c>
      <c r="C52" s="11"/>
      <c r="D52" s="11">
        <v>635000</v>
      </c>
      <c r="F52" s="111" t="s">
        <v>108</v>
      </c>
    </row>
    <row r="53" spans="1:6" x14ac:dyDescent="0.3">
      <c r="A53" s="38">
        <v>46013</v>
      </c>
      <c r="B53" t="s">
        <v>192</v>
      </c>
      <c r="C53" s="11"/>
      <c r="D53" s="11">
        <v>20000</v>
      </c>
      <c r="E53" t="s">
        <v>248</v>
      </c>
      <c r="F53" s="111" t="s">
        <v>108</v>
      </c>
    </row>
    <row r="54" spans="1:6" x14ac:dyDescent="0.3">
      <c r="A54" s="38">
        <v>46013</v>
      </c>
      <c r="B54" t="s">
        <v>229</v>
      </c>
      <c r="C54" s="11"/>
      <c r="D54" s="11">
        <v>50000</v>
      </c>
      <c r="E54" t="s">
        <v>252</v>
      </c>
      <c r="F54" s="111" t="s">
        <v>108</v>
      </c>
    </row>
    <row r="55" spans="1:6" x14ac:dyDescent="0.3">
      <c r="A55" s="38">
        <v>46013</v>
      </c>
      <c r="B55" t="s">
        <v>51</v>
      </c>
      <c r="C55" s="96">
        <v>2047865</v>
      </c>
      <c r="D55" s="96"/>
      <c r="E55" t="s">
        <v>249</v>
      </c>
      <c r="F55" s="111" t="s">
        <v>108</v>
      </c>
    </row>
    <row r="56" spans="1:6" x14ac:dyDescent="0.3">
      <c r="A56" s="38">
        <v>46013</v>
      </c>
      <c r="B56" t="s">
        <v>9</v>
      </c>
      <c r="C56" s="11"/>
      <c r="D56" s="11">
        <v>200000</v>
      </c>
      <c r="E56" t="s">
        <v>253</v>
      </c>
      <c r="F56" s="111" t="s">
        <v>108</v>
      </c>
    </row>
    <row r="57" spans="1:6" x14ac:dyDescent="0.3">
      <c r="A57" s="38">
        <v>46013</v>
      </c>
      <c r="B57" t="s">
        <v>198</v>
      </c>
      <c r="C57" s="11">
        <v>111250</v>
      </c>
      <c r="D57" s="11"/>
      <c r="E57" t="s">
        <v>64</v>
      </c>
      <c r="F57" s="111" t="s">
        <v>108</v>
      </c>
    </row>
    <row r="58" spans="1:6" x14ac:dyDescent="0.3">
      <c r="A58" s="38">
        <v>46013</v>
      </c>
      <c r="B58" t="s">
        <v>192</v>
      </c>
      <c r="C58" s="11"/>
      <c r="D58" s="11">
        <v>48000</v>
      </c>
      <c r="E58" t="s">
        <v>254</v>
      </c>
      <c r="F58" s="111" t="s">
        <v>108</v>
      </c>
    </row>
    <row r="59" spans="1:6" x14ac:dyDescent="0.3">
      <c r="A59" s="38">
        <v>46013</v>
      </c>
      <c r="B59" t="s">
        <v>52</v>
      </c>
      <c r="C59" s="11"/>
      <c r="D59" s="11"/>
      <c r="E59" t="s">
        <v>255</v>
      </c>
      <c r="F59" s="111" t="s">
        <v>108</v>
      </c>
    </row>
    <row r="60" spans="1:6" x14ac:dyDescent="0.3">
      <c r="A60" s="38">
        <v>46013</v>
      </c>
      <c r="B60" t="s">
        <v>177</v>
      </c>
      <c r="C60" s="11">
        <v>13000</v>
      </c>
      <c r="D60" s="11"/>
      <c r="E60" t="s">
        <v>218</v>
      </c>
      <c r="F60" s="111" t="s">
        <v>108</v>
      </c>
    </row>
    <row r="61" spans="1:6" x14ac:dyDescent="0.3">
      <c r="A61" s="38">
        <v>46013</v>
      </c>
      <c r="B61" t="s">
        <v>222</v>
      </c>
      <c r="C61" s="11">
        <f>2000+1300+760</f>
        <v>4060</v>
      </c>
      <c r="D61" s="11"/>
      <c r="F61" s="111" t="s">
        <v>108</v>
      </c>
    </row>
    <row r="62" spans="1:6" x14ac:dyDescent="0.3">
      <c r="A62" s="38">
        <v>46013</v>
      </c>
      <c r="B62" t="s">
        <v>256</v>
      </c>
      <c r="C62" s="96">
        <v>10000</v>
      </c>
      <c r="D62" s="96"/>
      <c r="F62" s="111" t="s">
        <v>108</v>
      </c>
    </row>
    <row r="63" spans="1:6" x14ac:dyDescent="0.3">
      <c r="A63" s="38">
        <v>46011</v>
      </c>
      <c r="B63" t="s">
        <v>54</v>
      </c>
      <c r="C63" s="96">
        <v>5306</v>
      </c>
      <c r="D63" s="96"/>
      <c r="F63" s="111" t="s">
        <v>108</v>
      </c>
    </row>
    <row r="64" spans="1:6" x14ac:dyDescent="0.3">
      <c r="A64" s="38">
        <v>46011</v>
      </c>
      <c r="B64" t="s">
        <v>222</v>
      </c>
      <c r="C64" s="11">
        <v>1200</v>
      </c>
      <c r="D64" s="11"/>
      <c r="E64" t="s">
        <v>223</v>
      </c>
      <c r="F64" s="111" t="s">
        <v>108</v>
      </c>
    </row>
    <row r="65" spans="1:6" x14ac:dyDescent="0.3">
      <c r="A65" s="38">
        <v>46011</v>
      </c>
      <c r="B65" t="s">
        <v>222</v>
      </c>
      <c r="C65" s="11">
        <v>1280</v>
      </c>
      <c r="D65" s="11"/>
      <c r="F65" s="111" t="s">
        <v>108</v>
      </c>
    </row>
    <row r="66" spans="1:6" x14ac:dyDescent="0.3">
      <c r="A66" s="38">
        <v>46011</v>
      </c>
      <c r="B66" t="s">
        <v>199</v>
      </c>
      <c r="C66" s="11"/>
      <c r="D66" s="11">
        <v>85000</v>
      </c>
      <c r="F66" s="111" t="s">
        <v>108</v>
      </c>
    </row>
    <row r="67" spans="1:6" x14ac:dyDescent="0.3">
      <c r="A67" s="38">
        <v>46011</v>
      </c>
      <c r="B67" t="s">
        <v>192</v>
      </c>
      <c r="C67" s="11">
        <v>85000</v>
      </c>
      <c r="D67" s="11"/>
      <c r="E67" t="s">
        <v>257</v>
      </c>
      <c r="F67" s="111" t="s">
        <v>108</v>
      </c>
    </row>
    <row r="68" spans="1:6" x14ac:dyDescent="0.3">
      <c r="A68" s="126">
        <v>46012</v>
      </c>
      <c r="B68" t="s">
        <v>277</v>
      </c>
      <c r="C68" s="11"/>
      <c r="D68" s="11">
        <v>600000</v>
      </c>
      <c r="E68" t="s">
        <v>278</v>
      </c>
      <c r="F68" s="111" t="s">
        <v>108</v>
      </c>
    </row>
    <row r="69" spans="1:6" x14ac:dyDescent="0.3">
      <c r="A69" s="126">
        <v>46012</v>
      </c>
      <c r="B69" t="s">
        <v>192</v>
      </c>
      <c r="C69" s="11">
        <v>600000</v>
      </c>
      <c r="D69" s="11"/>
      <c r="E69" t="s">
        <v>279</v>
      </c>
      <c r="F69" s="111" t="s">
        <v>108</v>
      </c>
    </row>
    <row r="70" spans="1:6" x14ac:dyDescent="0.3">
      <c r="A70" s="38">
        <v>46013</v>
      </c>
      <c r="B70" t="s">
        <v>169</v>
      </c>
      <c r="C70" s="11">
        <v>100500</v>
      </c>
      <c r="D70" s="11"/>
      <c r="F70" s="111" t="s">
        <v>108</v>
      </c>
    </row>
    <row r="71" spans="1:6" x14ac:dyDescent="0.3">
      <c r="A71" s="117">
        <v>46013</v>
      </c>
      <c r="B71" t="s">
        <v>50</v>
      </c>
      <c r="C71" s="11">
        <v>300</v>
      </c>
      <c r="D71" s="11"/>
      <c r="E71" t="s">
        <v>260</v>
      </c>
      <c r="F71" s="111" t="s">
        <v>108</v>
      </c>
    </row>
    <row r="72" spans="1:6" x14ac:dyDescent="0.3">
      <c r="A72" s="38">
        <v>46011</v>
      </c>
      <c r="B72" t="s">
        <v>177</v>
      </c>
      <c r="C72" s="96">
        <f>2000+200</f>
        <v>2200</v>
      </c>
      <c r="D72" s="96"/>
      <c r="E72" t="s">
        <v>261</v>
      </c>
      <c r="F72" s="111" t="s">
        <v>108</v>
      </c>
    </row>
    <row r="73" spans="1:6" x14ac:dyDescent="0.3">
      <c r="A73" s="126">
        <v>46014</v>
      </c>
      <c r="B73" t="s">
        <v>177</v>
      </c>
      <c r="C73" s="11">
        <v>770</v>
      </c>
      <c r="D73" s="11"/>
      <c r="E73" t="s">
        <v>263</v>
      </c>
      <c r="F73" s="111" t="s">
        <v>108</v>
      </c>
    </row>
    <row r="74" spans="1:6" x14ac:dyDescent="0.3">
      <c r="A74" s="126">
        <v>46014</v>
      </c>
      <c r="B74" t="s">
        <v>177</v>
      </c>
      <c r="C74" s="11">
        <v>631454</v>
      </c>
      <c r="D74" s="11"/>
      <c r="E74" t="s">
        <v>262</v>
      </c>
      <c r="F74" s="111" t="s">
        <v>108</v>
      </c>
    </row>
    <row r="75" spans="1:6" x14ac:dyDescent="0.3">
      <c r="A75" s="126">
        <v>46014</v>
      </c>
      <c r="B75" t="s">
        <v>192</v>
      </c>
      <c r="C75" s="11"/>
      <c r="D75" s="11">
        <v>150000</v>
      </c>
      <c r="E75" t="s">
        <v>252</v>
      </c>
      <c r="F75" s="111" t="s">
        <v>108</v>
      </c>
    </row>
    <row r="76" spans="1:6" x14ac:dyDescent="0.3">
      <c r="A76" s="126">
        <v>46014</v>
      </c>
      <c r="B76" t="s">
        <v>229</v>
      </c>
      <c r="C76" s="11">
        <v>150000</v>
      </c>
      <c r="D76" s="11"/>
      <c r="E76" t="s">
        <v>264</v>
      </c>
      <c r="F76" s="111" t="s">
        <v>108</v>
      </c>
    </row>
    <row r="77" spans="1:6" x14ac:dyDescent="0.3">
      <c r="A77" s="126">
        <v>46014</v>
      </c>
      <c r="B77" t="s">
        <v>192</v>
      </c>
      <c r="C77" s="11"/>
      <c r="D77" s="11">
        <v>100000</v>
      </c>
      <c r="E77" t="s">
        <v>265</v>
      </c>
      <c r="F77" s="111" t="s">
        <v>108</v>
      </c>
    </row>
    <row r="78" spans="1:6" x14ac:dyDescent="0.3">
      <c r="A78" s="126">
        <v>46014</v>
      </c>
      <c r="B78" t="s">
        <v>52</v>
      </c>
      <c r="C78" s="11"/>
      <c r="D78" s="11"/>
      <c r="E78" t="s">
        <v>266</v>
      </c>
      <c r="F78" s="111" t="s">
        <v>108</v>
      </c>
    </row>
    <row r="79" spans="1:6" x14ac:dyDescent="0.3">
      <c r="A79" s="126">
        <v>46014</v>
      </c>
      <c r="B79" t="s">
        <v>52</v>
      </c>
      <c r="C79" s="11"/>
      <c r="D79" s="11"/>
      <c r="E79" t="s">
        <v>267</v>
      </c>
      <c r="F79" s="111" t="s">
        <v>108</v>
      </c>
    </row>
    <row r="80" spans="1:6" x14ac:dyDescent="0.3">
      <c r="A80" s="126">
        <v>46014</v>
      </c>
      <c r="B80" t="s">
        <v>55</v>
      </c>
      <c r="C80" s="11">
        <v>3400</v>
      </c>
      <c r="D80" s="11"/>
      <c r="E80" t="s">
        <v>268</v>
      </c>
      <c r="F80" s="111" t="s">
        <v>108</v>
      </c>
    </row>
    <row r="81" spans="1:7" x14ac:dyDescent="0.3">
      <c r="A81" s="126">
        <v>46014</v>
      </c>
      <c r="B81" s="128" t="s">
        <v>54</v>
      </c>
      <c r="C81" s="96">
        <v>5306</v>
      </c>
      <c r="D81" s="96"/>
      <c r="E81" s="128" t="s">
        <v>236</v>
      </c>
      <c r="F81" s="129" t="s">
        <v>108</v>
      </c>
      <c r="G81" s="128"/>
    </row>
    <row r="82" spans="1:7" x14ac:dyDescent="0.3">
      <c r="A82" s="127">
        <v>46011</v>
      </c>
      <c r="B82" s="128" t="s">
        <v>166</v>
      </c>
      <c r="C82" s="96"/>
      <c r="D82" s="96">
        <v>150000</v>
      </c>
      <c r="E82" s="128" t="s">
        <v>273</v>
      </c>
      <c r="F82" s="129" t="s">
        <v>108</v>
      </c>
      <c r="G82" s="128"/>
    </row>
    <row r="83" spans="1:7" x14ac:dyDescent="0.3">
      <c r="A83" s="127">
        <v>46011</v>
      </c>
      <c r="B83" s="128" t="s">
        <v>192</v>
      </c>
      <c r="C83" s="96">
        <v>150000</v>
      </c>
      <c r="D83" s="96"/>
      <c r="E83" s="128" t="s">
        <v>274</v>
      </c>
      <c r="F83" s="130" t="s">
        <v>108</v>
      </c>
      <c r="G83" s="128"/>
    </row>
    <row r="84" spans="1:7" x14ac:dyDescent="0.3">
      <c r="A84" s="126">
        <v>46011</v>
      </c>
      <c r="B84" s="128" t="s">
        <v>166</v>
      </c>
      <c r="C84" s="96"/>
      <c r="D84" s="96">
        <v>100000</v>
      </c>
      <c r="E84" s="128" t="s">
        <v>275</v>
      </c>
      <c r="F84" s="130" t="s">
        <v>108</v>
      </c>
      <c r="G84" s="128"/>
    </row>
    <row r="85" spans="1:7" x14ac:dyDescent="0.3">
      <c r="A85" s="126">
        <v>46011</v>
      </c>
      <c r="B85" s="128" t="s">
        <v>192</v>
      </c>
      <c r="C85" s="96">
        <v>100000</v>
      </c>
      <c r="D85" s="96"/>
      <c r="E85" s="128" t="s">
        <v>276</v>
      </c>
      <c r="F85" s="130" t="s">
        <v>108</v>
      </c>
      <c r="G85" s="128"/>
    </row>
    <row r="86" spans="1:7" x14ac:dyDescent="0.3">
      <c r="A86" s="126">
        <v>46013</v>
      </c>
      <c r="B86" t="s">
        <v>166</v>
      </c>
      <c r="C86" s="11"/>
      <c r="D86" s="11">
        <v>140000</v>
      </c>
      <c r="E86" t="s">
        <v>269</v>
      </c>
      <c r="F86" s="111" t="s">
        <v>108</v>
      </c>
    </row>
    <row r="87" spans="1:7" x14ac:dyDescent="0.3">
      <c r="A87" s="126">
        <v>46013</v>
      </c>
      <c r="B87" t="s">
        <v>192</v>
      </c>
      <c r="C87" s="11">
        <v>140000</v>
      </c>
      <c r="D87" s="11"/>
      <c r="E87" t="s">
        <v>270</v>
      </c>
      <c r="F87" s="111" t="s">
        <v>108</v>
      </c>
    </row>
    <row r="88" spans="1:7" x14ac:dyDescent="0.3">
      <c r="A88" s="127">
        <v>46014</v>
      </c>
      <c r="B88" s="128" t="s">
        <v>166</v>
      </c>
      <c r="C88" s="96"/>
      <c r="D88" s="96">
        <v>150000</v>
      </c>
      <c r="E88" s="128" t="s">
        <v>271</v>
      </c>
      <c r="F88" s="129" t="s">
        <v>108</v>
      </c>
      <c r="G88" s="128"/>
    </row>
    <row r="89" spans="1:7" x14ac:dyDescent="0.3">
      <c r="A89" s="127">
        <v>46014</v>
      </c>
      <c r="B89" s="128" t="s">
        <v>192</v>
      </c>
      <c r="C89" s="96">
        <v>150000</v>
      </c>
      <c r="D89" s="96"/>
      <c r="E89" s="128" t="s">
        <v>272</v>
      </c>
      <c r="F89" s="129" t="s">
        <v>108</v>
      </c>
      <c r="G89" s="128"/>
    </row>
    <row r="90" spans="1:7" x14ac:dyDescent="0.3">
      <c r="A90" s="126">
        <v>46014</v>
      </c>
      <c r="B90" t="s">
        <v>199</v>
      </c>
      <c r="C90" s="11"/>
      <c r="D90" s="11">
        <v>104770</v>
      </c>
      <c r="E90" t="s">
        <v>280</v>
      </c>
      <c r="F90" s="111" t="s">
        <v>108</v>
      </c>
      <c r="G90" s="128"/>
    </row>
    <row r="91" spans="1:7" x14ac:dyDescent="0.3">
      <c r="A91" s="126">
        <v>46014</v>
      </c>
      <c r="B91" t="s">
        <v>192</v>
      </c>
      <c r="C91" s="11">
        <v>104770</v>
      </c>
      <c r="D91" s="11"/>
      <c r="E91" t="s">
        <v>281</v>
      </c>
      <c r="F91" s="111" t="s">
        <v>108</v>
      </c>
      <c r="G91" s="128"/>
    </row>
    <row r="92" spans="1:7" x14ac:dyDescent="0.3">
      <c r="A92" s="127">
        <v>46014</v>
      </c>
      <c r="B92" s="128" t="s">
        <v>116</v>
      </c>
      <c r="C92" s="96">
        <v>150000</v>
      </c>
      <c r="D92" s="96"/>
      <c r="E92" s="128" t="s">
        <v>282</v>
      </c>
      <c r="F92" s="129" t="s">
        <v>108</v>
      </c>
      <c r="G92" s="128"/>
    </row>
    <row r="93" spans="1:7" x14ac:dyDescent="0.3">
      <c r="A93" s="127">
        <v>46014</v>
      </c>
      <c r="B93" s="128" t="s">
        <v>192</v>
      </c>
      <c r="C93" s="96"/>
      <c r="D93" s="96">
        <v>150000</v>
      </c>
      <c r="E93" s="128" t="s">
        <v>116</v>
      </c>
      <c r="F93" s="129" t="s">
        <v>108</v>
      </c>
      <c r="G93" s="128"/>
    </row>
    <row r="94" spans="1:7" x14ac:dyDescent="0.3">
      <c r="A94" s="127">
        <v>46014</v>
      </c>
      <c r="B94" s="128" t="s">
        <v>192</v>
      </c>
      <c r="C94" s="96"/>
      <c r="D94" s="96">
        <v>80000</v>
      </c>
      <c r="E94" s="128" t="s">
        <v>283</v>
      </c>
      <c r="F94" s="129" t="s">
        <v>108</v>
      </c>
      <c r="G94" s="128"/>
    </row>
    <row r="95" spans="1:7" x14ac:dyDescent="0.3">
      <c r="A95" s="127">
        <v>46014</v>
      </c>
      <c r="B95" s="128" t="s">
        <v>192</v>
      </c>
      <c r="C95" s="96"/>
      <c r="D95" s="96">
        <v>52000</v>
      </c>
      <c r="E95" s="128" t="s">
        <v>284</v>
      </c>
      <c r="F95" s="129" t="s">
        <v>108</v>
      </c>
      <c r="G95" s="128"/>
    </row>
    <row r="96" spans="1:7" x14ac:dyDescent="0.3">
      <c r="A96" s="38"/>
      <c r="C96" s="14">
        <f>SUBTOTAL(109,Table14[Debit])</f>
        <v>13760413</v>
      </c>
      <c r="D96" s="14">
        <f>SUBTOTAL(109,Table14[Credit])</f>
        <v>13812558</v>
      </c>
      <c r="F96" s="54">
        <f>(Table14[[#Totals],[Credit]]-Table14[[#Totals],[Debit]])</f>
        <v>52145</v>
      </c>
    </row>
    <row r="163" spans="10:12" x14ac:dyDescent="0.3">
      <c r="J163" s="3" t="s">
        <v>6</v>
      </c>
      <c r="K163" t="s">
        <v>118</v>
      </c>
      <c r="L163" t="s">
        <v>119</v>
      </c>
    </row>
    <row r="164" spans="10:12" x14ac:dyDescent="0.3">
      <c r="J164" s="4" t="s">
        <v>233</v>
      </c>
      <c r="K164" s="14"/>
      <c r="L164" s="14">
        <v>29000</v>
      </c>
    </row>
    <row r="165" spans="10:12" x14ac:dyDescent="0.3">
      <c r="J165" s="4" t="s">
        <v>9</v>
      </c>
      <c r="K165" s="14">
        <v>200000</v>
      </c>
      <c r="L165" s="14"/>
    </row>
    <row r="166" spans="10:12" x14ac:dyDescent="0.3">
      <c r="J166" s="4" t="s">
        <v>94</v>
      </c>
      <c r="K166" s="14"/>
      <c r="L166" s="14">
        <v>253259</v>
      </c>
    </row>
    <row r="167" spans="10:12" x14ac:dyDescent="0.3">
      <c r="J167" s="4" t="s">
        <v>50</v>
      </c>
      <c r="K167" s="14"/>
      <c r="L167" s="14">
        <v>2510</v>
      </c>
    </row>
    <row r="168" spans="10:12" x14ac:dyDescent="0.3">
      <c r="J168" s="4" t="s">
        <v>55</v>
      </c>
      <c r="K168" s="14"/>
      <c r="L168" s="14">
        <v>13175</v>
      </c>
    </row>
    <row r="169" spans="10:12" x14ac:dyDescent="0.3">
      <c r="J169" s="4" t="s">
        <v>52</v>
      </c>
      <c r="K169" s="14"/>
      <c r="L169" s="14">
        <v>40000</v>
      </c>
    </row>
    <row r="170" spans="10:12" x14ac:dyDescent="0.3">
      <c r="J170" s="4" t="s">
        <v>54</v>
      </c>
      <c r="K170" s="14"/>
      <c r="L170" s="14">
        <v>27836</v>
      </c>
    </row>
    <row r="171" spans="10:12" x14ac:dyDescent="0.3">
      <c r="J171" s="4" t="s">
        <v>177</v>
      </c>
      <c r="K171" s="14"/>
      <c r="L171" s="14">
        <v>20700</v>
      </c>
    </row>
    <row r="172" spans="10:12" x14ac:dyDescent="0.3">
      <c r="J172" s="4" t="s">
        <v>222</v>
      </c>
      <c r="K172" s="14"/>
      <c r="L172" s="14">
        <v>9590</v>
      </c>
    </row>
    <row r="173" spans="10:12" x14ac:dyDescent="0.3">
      <c r="J173" s="4" t="s">
        <v>103</v>
      </c>
      <c r="K173" s="14"/>
      <c r="L173" s="14"/>
    </row>
    <row r="174" spans="10:12" x14ac:dyDescent="0.3">
      <c r="J174" s="4" t="s">
        <v>224</v>
      </c>
      <c r="K174" s="14">
        <v>36500</v>
      </c>
      <c r="L174" s="14"/>
    </row>
    <row r="175" spans="10:12" x14ac:dyDescent="0.3">
      <c r="J175" s="4" t="s">
        <v>149</v>
      </c>
      <c r="K175" s="14"/>
      <c r="L175" s="14">
        <v>50000</v>
      </c>
    </row>
    <row r="176" spans="10:12" x14ac:dyDescent="0.3">
      <c r="J176" s="4" t="s">
        <v>152</v>
      </c>
      <c r="K176" s="14">
        <v>48000</v>
      </c>
      <c r="L176" s="14"/>
    </row>
    <row r="177" spans="10:12" x14ac:dyDescent="0.3">
      <c r="J177" s="4" t="s">
        <v>169</v>
      </c>
      <c r="K177" s="14"/>
      <c r="L177" s="14">
        <v>115000</v>
      </c>
    </row>
    <row r="178" spans="10:12" x14ac:dyDescent="0.3">
      <c r="J178" s="4" t="s">
        <v>192</v>
      </c>
      <c r="K178" s="14">
        <v>3048000</v>
      </c>
      <c r="L178" s="14">
        <v>1376209</v>
      </c>
    </row>
    <row r="179" spans="10:12" x14ac:dyDescent="0.3">
      <c r="J179" s="4" t="s">
        <v>198</v>
      </c>
      <c r="K179" s="14"/>
      <c r="L179" s="14">
        <v>295000</v>
      </c>
    </row>
    <row r="180" spans="10:12" x14ac:dyDescent="0.3">
      <c r="J180" s="4" t="s">
        <v>51</v>
      </c>
      <c r="K180" s="14"/>
      <c r="L180" s="14">
        <v>2047865</v>
      </c>
    </row>
    <row r="181" spans="10:12" x14ac:dyDescent="0.3">
      <c r="J181" s="4" t="s">
        <v>219</v>
      </c>
      <c r="K181" s="14"/>
      <c r="L181" s="14">
        <v>5000</v>
      </c>
    </row>
    <row r="182" spans="10:12" x14ac:dyDescent="0.3">
      <c r="J182" s="4" t="s">
        <v>199</v>
      </c>
      <c r="K182" s="14">
        <v>85000</v>
      </c>
      <c r="L182" s="14"/>
    </row>
    <row r="183" spans="10:12" x14ac:dyDescent="0.3">
      <c r="J183" s="4" t="s">
        <v>229</v>
      </c>
      <c r="K183" s="14">
        <v>50000</v>
      </c>
      <c r="L183" s="14">
        <v>250025</v>
      </c>
    </row>
    <row r="184" spans="10:12" x14ac:dyDescent="0.3">
      <c r="J184" s="4" t="s">
        <v>202</v>
      </c>
      <c r="K184" s="14"/>
      <c r="L184" s="14">
        <v>40000</v>
      </c>
    </row>
    <row r="185" spans="10:12" x14ac:dyDescent="0.3">
      <c r="J185" s="4" t="s">
        <v>216</v>
      </c>
      <c r="K185" s="14">
        <v>1259290</v>
      </c>
      <c r="L185" s="14"/>
    </row>
    <row r="186" spans="10:12" x14ac:dyDescent="0.3">
      <c r="J186" s="4" t="s">
        <v>256</v>
      </c>
      <c r="K186" s="14"/>
      <c r="L186" s="14">
        <v>10000</v>
      </c>
    </row>
    <row r="187" spans="10:12" x14ac:dyDescent="0.3">
      <c r="J187" s="4" t="s">
        <v>28</v>
      </c>
      <c r="K187" s="14">
        <v>4726790</v>
      </c>
      <c r="L187" s="14">
        <v>4585169</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8" sqref="A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295000</v>
      </c>
      <c r="H10">
        <f>SUBTOTAL(109,Table8[Balance])</f>
        <v>0</v>
      </c>
      <c r="K10" s="26">
        <v>46008</v>
      </c>
      <c r="M10">
        <v>0</v>
      </c>
    </row>
    <row r="11" spans="1:14" x14ac:dyDescent="0.3">
      <c r="K11" s="26">
        <v>46009</v>
      </c>
      <c r="L11">
        <v>183750</v>
      </c>
      <c r="M11">
        <v>0</v>
      </c>
    </row>
    <row r="12" spans="1:14" x14ac:dyDescent="0.3">
      <c r="K12" s="4" t="s">
        <v>103</v>
      </c>
      <c r="M12">
        <v>0</v>
      </c>
    </row>
    <row r="13" spans="1:14" x14ac:dyDescent="0.3">
      <c r="K13" s="4" t="s">
        <v>28</v>
      </c>
      <c r="L13">
        <v>183750</v>
      </c>
      <c r="M13">
        <v>0</v>
      </c>
    </row>
    <row r="14" spans="1:14" x14ac:dyDescent="0.3">
      <c r="A14" t="s">
        <v>57</v>
      </c>
      <c r="B14" t="s">
        <v>156</v>
      </c>
      <c r="C14" t="s">
        <v>157</v>
      </c>
      <c r="D14" t="s">
        <v>4</v>
      </c>
      <c r="E14" t="s">
        <v>158</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0</v>
      </c>
      <c r="M6">
        <v>268000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0</v>
      </c>
      <c r="L7">
        <v>0</v>
      </c>
      <c r="M7">
        <v>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8">
        <v>46008</v>
      </c>
      <c r="B9" s="118"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224000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0</v>
      </c>
      <c r="L11">
        <v>0</v>
      </c>
      <c r="M11">
        <v>492000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266719</v>
      </c>
      <c r="C2" s="32">
        <f>GETPIVOTDATA("Sum of Tiyaar/gaz",$A$3)</f>
        <v>215065</v>
      </c>
      <c r="D2" s="31">
        <f>((B2*48)+((C2/1.0936)*10))/C2</f>
        <v>68.672681624587014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10049</v>
      </c>
      <c r="D5" s="28">
        <f t="shared" ref="D5:D38" si="1">I5</f>
        <v>239.36642187007149</v>
      </c>
      <c r="E5" s="11">
        <f t="shared" ref="E5:E38" si="2">B5 * 1.0936</f>
        <v>52709.332799999996</v>
      </c>
      <c r="F5" s="11">
        <f t="shared" si="0"/>
        <v>10049</v>
      </c>
      <c r="G5" s="78">
        <f>100- (F5/E5 *100)</f>
        <v>80.935065070677581</v>
      </c>
      <c r="H5" s="28">
        <f t="shared" ref="H5:H38" si="3">F5/1.0936</f>
        <v>9188.9173372348214</v>
      </c>
      <c r="I5" s="28">
        <f>((B5*48)+(H5*10))/C5</f>
        <v>239.36642187007149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1924</v>
      </c>
      <c r="B7" s="14">
        <v>24876</v>
      </c>
      <c r="C7" s="14">
        <v>24257</v>
      </c>
      <c r="D7" s="28">
        <f t="shared" si="1"/>
        <v>58.368994731164413</v>
      </c>
      <c r="E7" s="11">
        <f t="shared" si="2"/>
        <v>27204.393599999999</v>
      </c>
      <c r="F7" s="11">
        <f t="shared" si="0"/>
        <v>24257</v>
      </c>
      <c r="G7" s="78">
        <f t="shared" si="4"/>
        <v>10.834255831381583</v>
      </c>
      <c r="H7" s="28">
        <f t="shared" si="3"/>
        <v>22180.870519385517</v>
      </c>
      <c r="I7" s="28">
        <f>((B7*48)+(H7*10))/C7</f>
        <v>58.368994731164413</v>
      </c>
      <c r="J7" s="28"/>
      <c r="K7" s="28"/>
      <c r="L7" s="28"/>
    </row>
    <row r="8" spans="1:12" x14ac:dyDescent="0.3">
      <c r="A8" s="16">
        <v>1971</v>
      </c>
      <c r="B8" s="14">
        <v>50697</v>
      </c>
      <c r="C8" s="14">
        <v>49746</v>
      </c>
      <c r="D8" s="28">
        <f t="shared" si="1"/>
        <v>58.061732709700024</v>
      </c>
      <c r="E8" s="11">
        <f t="shared" si="2"/>
        <v>55442.239199999996</v>
      </c>
      <c r="F8" s="11">
        <f t="shared" si="0"/>
        <v>49746</v>
      </c>
      <c r="G8" s="78">
        <f t="shared" si="4"/>
        <v>10.274186761201378</v>
      </c>
      <c r="H8" s="28">
        <f t="shared" si="3"/>
        <v>45488.295537673745</v>
      </c>
      <c r="I8" s="28">
        <f t="shared" ref="I8:I38" si="5">((B8*48)+(H8*10))/C8</f>
        <v>58.061732709700024</v>
      </c>
      <c r="J8" s="28"/>
      <c r="K8" s="28"/>
      <c r="L8" s="28"/>
    </row>
    <row r="9" spans="1:12" x14ac:dyDescent="0.3">
      <c r="A9" s="16">
        <v>1951</v>
      </c>
      <c r="B9" s="14">
        <v>54197</v>
      </c>
      <c r="C9" s="14">
        <v>39024</v>
      </c>
      <c r="D9" s="28">
        <f t="shared" si="1"/>
        <v>75.807087822158408</v>
      </c>
      <c r="E9" s="11">
        <f t="shared" si="2"/>
        <v>59269.839199999995</v>
      </c>
      <c r="F9" s="11">
        <f t="shared" si="0"/>
        <v>39024</v>
      </c>
      <c r="G9" s="78">
        <f t="shared" si="4"/>
        <v>34.158755065426263</v>
      </c>
      <c r="H9" s="28">
        <f t="shared" si="3"/>
        <v>35683.979517190935</v>
      </c>
      <c r="I9" s="28">
        <f t="shared" si="5"/>
        <v>75.807087822158408</v>
      </c>
      <c r="J9" s="28"/>
      <c r="K9" s="28"/>
      <c r="L9" s="28"/>
    </row>
    <row r="10" spans="1:12" x14ac:dyDescent="0.3">
      <c r="A10" s="16">
        <v>1835</v>
      </c>
      <c r="B10" s="14">
        <v>50010</v>
      </c>
      <c r="C10" s="14">
        <v>50763</v>
      </c>
      <c r="D10" s="28">
        <f t="shared" si="1"/>
        <v>56.432096536047915</v>
      </c>
      <c r="E10" s="11">
        <f t="shared" si="2"/>
        <v>54690.935999999994</v>
      </c>
      <c r="F10" s="11">
        <f t="shared" si="0"/>
        <v>50763</v>
      </c>
      <c r="G10" s="78">
        <f t="shared" si="4"/>
        <v>7.1820602960607403</v>
      </c>
      <c r="H10" s="28">
        <f t="shared" si="3"/>
        <v>46418.251645940021</v>
      </c>
      <c r="I10" s="28">
        <f t="shared" si="5"/>
        <v>56.432096536047915</v>
      </c>
      <c r="J10" s="28"/>
      <c r="K10" s="28"/>
      <c r="L10" s="28"/>
    </row>
    <row r="11" spans="1:12" x14ac:dyDescent="0.3">
      <c r="A11" s="16" t="s">
        <v>28</v>
      </c>
      <c r="B11" s="30">
        <v>54197</v>
      </c>
      <c r="C11" s="30">
        <v>215065</v>
      </c>
      <c r="D11" s="28"/>
      <c r="E11" s="11">
        <f t="shared" si="2"/>
        <v>59269.839199999995</v>
      </c>
      <c r="F11" s="11">
        <f t="shared" si="0"/>
        <v>215065</v>
      </c>
      <c r="G11" s="78">
        <f t="shared" si="4"/>
        <v>-262.85740420905347</v>
      </c>
      <c r="H11" s="28">
        <f t="shared" si="3"/>
        <v>196657.82735918069</v>
      </c>
      <c r="I11" s="28">
        <f t="shared" si="5"/>
        <v>21.240249569161914</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16575</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4279970.0965618193</v>
      </c>
    </row>
    <row r="3" spans="1:3" ht="21" x14ac:dyDescent="0.4">
      <c r="A3" s="102" t="str">
        <f>Billing!Q6</f>
        <v>Ejaz Sahab</v>
      </c>
      <c r="B3" s="105">
        <f>Billing!AD6</f>
        <v>3963904</v>
      </c>
      <c r="C3" s="103">
        <f>Billing!AE6</f>
        <v>208925.1880029263</v>
      </c>
    </row>
    <row r="4" spans="1:3" ht="21" x14ac:dyDescent="0.4">
      <c r="A4" s="102" t="str">
        <f>Billing!Q7</f>
        <v>Arshad</v>
      </c>
      <c r="B4" s="105">
        <f>Billing!AD7</f>
        <v>6202935</v>
      </c>
      <c r="C4" s="104">
        <f>Billing!AE7</f>
        <v>382482.88588149287</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3370620</v>
      </c>
      <c r="C9" s="103">
        <f>Billing!AE12</f>
        <v>466402.67739575729</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5465761</v>
      </c>
      <c r="C13" s="103">
        <f>Billing!AE16</f>
        <v>616928.28310168348</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1658095</v>
      </c>
      <c r="C22" s="103">
        <f>Billing!AE25</f>
        <v>6.6825164593756199</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9" priority="1" operator="lessThan">
      <formula>10</formula>
    </cfRule>
  </conditionalFormatting>
  <conditionalFormatting sqref="C2:C29">
    <cfRule type="cellIs" dxfId="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9"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2025-12-23T19:49:33Z</dcterms:modified>
  <cp:category/>
  <cp:contentStatus/>
</cp:coreProperties>
</file>