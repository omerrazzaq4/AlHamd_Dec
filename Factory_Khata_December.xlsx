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208" documentId="8_{882B14A6-A67C-4C60-A7D4-43427E6D1DAC}" xr6:coauthVersionLast="47" xr6:coauthVersionMax="47" xr10:uidLastSave="{8CE52AC1-B608-4ED3-B56B-FCB7D12FB22B}"/>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9" i="6" l="1"/>
  <c r="I59" i="6" s="1"/>
  <c r="G59" i="6"/>
  <c r="H56" i="6"/>
  <c r="I56" i="6" s="1"/>
  <c r="H57" i="6"/>
  <c r="I57" i="6" s="1"/>
  <c r="H58" i="6"/>
  <c r="I58" i="6" s="1"/>
  <c r="H55" i="6"/>
  <c r="I55" i="6" s="1"/>
  <c r="G58" i="6"/>
  <c r="G57" i="6"/>
  <c r="G56" i="6"/>
  <c r="G55" i="6"/>
  <c r="G54" i="6"/>
  <c r="I54" i="6"/>
  <c r="G53" i="6"/>
  <c r="I53" i="6"/>
  <c r="I112" i="1"/>
  <c r="J112" i="1" a="1"/>
  <c r="J112" i="1" s="1"/>
  <c r="I113" i="1"/>
  <c r="J113" i="1" a="1"/>
  <c r="J113" i="1" s="1"/>
  <c r="J111" i="1" a="1"/>
  <c r="J111" i="1" s="1"/>
  <c r="J110" i="1" a="1"/>
  <c r="J110" i="1" s="1"/>
  <c r="I111" i="1"/>
  <c r="I103" i="1"/>
  <c r="J103" i="1" a="1"/>
  <c r="J103" i="1" s="1"/>
  <c r="I104" i="1"/>
  <c r="J104" i="1" a="1"/>
  <c r="J104" i="1" s="1"/>
  <c r="I105" i="1"/>
  <c r="J105" i="1" a="1"/>
  <c r="J105" i="1" s="1"/>
  <c r="I106" i="1"/>
  <c r="J106" i="1" s="1" a="1"/>
  <c r="J106" i="1" s="1"/>
  <c r="I107" i="1"/>
  <c r="J107" i="1" s="1" a="1"/>
  <c r="J107" i="1" s="1"/>
  <c r="I108" i="1"/>
  <c r="J108" i="1" s="1" a="1"/>
  <c r="J108" i="1" s="1"/>
  <c r="I109" i="1"/>
  <c r="J109" i="1" s="1" a="1"/>
  <c r="J109" i="1" s="1"/>
  <c r="I110" i="1"/>
  <c r="F110" i="1"/>
  <c r="C190" i="17"/>
  <c r="O112" i="9"/>
  <c r="B21" i="21"/>
  <c r="D3" i="17"/>
  <c r="D2" i="17"/>
  <c r="B4" i="21"/>
  <c r="H50" i="6"/>
  <c r="I50" i="6" s="1"/>
  <c r="H49" i="6"/>
  <c r="I49" i="6" s="1"/>
  <c r="G51" i="6"/>
  <c r="G52" i="6"/>
  <c r="I51" i="6"/>
  <c r="I52" i="6"/>
  <c r="G48" i="6"/>
  <c r="G49" i="6"/>
  <c r="G50" i="6"/>
  <c r="I48"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AB34" i="9" a="1"/>
  <c r="AB34" i="9" s="1"/>
  <c r="C114" i="9"/>
  <c r="D114" i="9"/>
  <c r="E114" i="9"/>
  <c r="T35" i="9" a="1"/>
  <c r="T35" i="9" s="1"/>
  <c r="F114" i="9"/>
  <c r="G114" i="9"/>
  <c r="N114" i="9" s="1"/>
  <c r="H114" i="9"/>
  <c r="I114" i="9"/>
  <c r="X35" i="9" a="1"/>
  <c r="X35" i="9" s="1"/>
  <c r="J114" i="9"/>
  <c r="Y35" i="9" a="1"/>
  <c r="Y35" i="9" s="1"/>
  <c r="K114" i="9"/>
  <c r="Z35" i="9" s="1" a="1"/>
  <c r="Z35" i="9" s="1"/>
  <c r="L114" i="9"/>
  <c r="AA35" i="9" a="1"/>
  <c r="AA35" i="9" s="1"/>
  <c r="M114" i="9"/>
  <c r="AB35" i="9" a="1"/>
  <c r="AB35" i="9" s="1"/>
  <c r="C115" i="9"/>
  <c r="D115" i="9"/>
  <c r="E115" i="9"/>
  <c r="F115" i="9"/>
  <c r="G115" i="9"/>
  <c r="V36" i="9" s="1" a="1"/>
  <c r="V36" i="9" s="1"/>
  <c r="H115" i="9"/>
  <c r="W36" i="9" s="1" a="1"/>
  <c r="W36" i="9" s="1"/>
  <c r="I115" i="9"/>
  <c r="N115" i="9" s="1"/>
  <c r="X36" i="9" a="1"/>
  <c r="X36" i="9" s="1"/>
  <c r="J115" i="9"/>
  <c r="Y36" i="9" s="1" a="1"/>
  <c r="Y36" i="9" s="1"/>
  <c r="K115" i="9"/>
  <c r="Z36" i="9" s="1" a="1"/>
  <c r="Z36" i="9" s="1"/>
  <c r="L115" i="9"/>
  <c r="AA36" i="9" s="1"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N113" i="9"/>
  <c r="P35" i="7"/>
  <c r="P36" i="7"/>
  <c r="P37" i="7"/>
  <c r="P38" i="7"/>
  <c r="P39" i="7"/>
  <c r="P40" i="7"/>
  <c r="P41" i="7"/>
  <c r="P42" i="7"/>
  <c r="P43" i="7"/>
  <c r="P44" i="7"/>
  <c r="P45" i="7"/>
  <c r="P46" i="7"/>
  <c r="P47" i="7"/>
  <c r="P56" i="7"/>
  <c r="C5" i="8"/>
  <c r="P48" i="7"/>
  <c r="P49" i="7"/>
  <c r="P50" i="7"/>
  <c r="P51" i="7"/>
  <c r="P52" i="7"/>
  <c r="P53" i="7"/>
  <c r="P54" i="7"/>
  <c r="P55" i="7"/>
  <c r="P34" i="7"/>
  <c r="K27" i="15"/>
  <c r="K26" i="15"/>
  <c r="K25" i="15"/>
  <c r="K30" i="15"/>
  <c r="B49" i="9" a="1"/>
  <c r="I66" i="9" s="1" a="1"/>
  <c r="I66" i="9" s="1"/>
  <c r="E12"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38" i="7"/>
  <c r="E37"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S35" i="9" a="1"/>
  <c r="S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41"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E46" i="2"/>
  <c r="F46" i="2"/>
  <c r="H46" i="2"/>
  <c r="I46" i="2"/>
  <c r="D46" i="2"/>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H36" i="2"/>
  <c r="I36" i="2"/>
  <c r="D36" i="2"/>
  <c r="F22" i="2"/>
  <c r="H22" i="2" s="1"/>
  <c r="I22" i="2" s="1"/>
  <c r="D22" i="2" s="1"/>
  <c r="E22" i="2"/>
  <c r="F7" i="2"/>
  <c r="H7" i="2" s="1"/>
  <c r="I7" i="2" s="1"/>
  <c r="D7" i="2" s="1"/>
  <c r="E7" i="2"/>
  <c r="E37" i="2"/>
  <c r="F37" i="2"/>
  <c r="H37" i="2"/>
  <c r="I37" i="2"/>
  <c r="D37" i="2"/>
  <c r="G37" i="2"/>
  <c r="E39" i="2"/>
  <c r="G39" i="2"/>
  <c r="F39" i="2"/>
  <c r="H39" i="2"/>
  <c r="I39" i="2"/>
  <c r="D39" i="2"/>
  <c r="E40" i="2"/>
  <c r="F40" i="2"/>
  <c r="H40" i="2"/>
  <c r="I40" i="2"/>
  <c r="D40" i="2"/>
  <c r="E41" i="2"/>
  <c r="F41" i="2"/>
  <c r="H41" i="2"/>
  <c r="I41" i="2"/>
  <c r="D41" i="2"/>
  <c r="E42" i="2"/>
  <c r="F42" i="2"/>
  <c r="G42" i="2"/>
  <c r="E43" i="2"/>
  <c r="F43" i="2"/>
  <c r="H43" i="2"/>
  <c r="I43" i="2"/>
  <c r="D43" i="2"/>
  <c r="E44" i="2"/>
  <c r="F44" i="2"/>
  <c r="G44" i="2"/>
  <c r="F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45" i="2"/>
  <c r="G38" i="2"/>
  <c r="G71" i="2"/>
  <c r="H45" i="2"/>
  <c r="I45" i="2"/>
  <c r="D45"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40" i="2"/>
  <c r="G61" i="2"/>
  <c r="H75" i="2"/>
  <c r="I75" i="2"/>
  <c r="D75" i="2"/>
  <c r="G86" i="2"/>
  <c r="G79" i="2"/>
  <c r="H44" i="2"/>
  <c r="I44" i="2"/>
  <c r="D44" i="2"/>
  <c r="G80" i="2"/>
  <c r="H90" i="2"/>
  <c r="I90" i="2"/>
  <c r="D90" i="2"/>
  <c r="G85" i="2"/>
  <c r="G59" i="2"/>
  <c r="G74" i="2"/>
  <c r="G92" i="2"/>
  <c r="G88" i="2"/>
  <c r="G83" i="2"/>
  <c r="G36" i="2"/>
  <c r="G47" i="2"/>
  <c r="H65" i="2"/>
  <c r="I65" i="2"/>
  <c r="D65" i="2"/>
  <c r="H88" i="2"/>
  <c r="I88" i="2"/>
  <c r="D88" i="2"/>
  <c r="G48" i="2"/>
  <c r="G62" i="2"/>
  <c r="G52" i="2"/>
  <c r="H78" i="2"/>
  <c r="I78" i="2"/>
  <c r="D78" i="2"/>
  <c r="H86" i="2"/>
  <c r="I86" i="2"/>
  <c r="D86" i="2"/>
  <c r="H48" i="2"/>
  <c r="I48" i="2"/>
  <c r="D48" i="2"/>
  <c r="G54" i="2"/>
  <c r="H42" i="2"/>
  <c r="I42" i="2"/>
  <c r="D42" i="2"/>
  <c r="G43" i="2"/>
  <c r="G41" i="2"/>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a="1"/>
  <c r="W32" i="9" s="1"/>
  <c r="D111" i="9"/>
  <c r="S32" i="9" a="1"/>
  <c r="S32" i="9" s="1"/>
  <c r="I111" i="9"/>
  <c r="X32" i="9" s="1" a="1"/>
  <c r="X32" i="9" s="1"/>
  <c r="E111" i="9"/>
  <c r="T32" i="9" a="1"/>
  <c r="T32" i="9" s="1"/>
  <c r="J111" i="9"/>
  <c r="Y32" i="9" a="1"/>
  <c r="Y32" i="9" s="1"/>
  <c r="K76" i="9" a="1"/>
  <c r="K76" i="9" s="1"/>
  <c r="H76" i="9" a="1"/>
  <c r="H76" i="9" s="1"/>
  <c r="G111" i="9"/>
  <c r="M76" i="9" a="1"/>
  <c r="M76" i="9" s="1"/>
  <c r="M111" i="9"/>
  <c r="AB32" i="9" a="1"/>
  <c r="AB32" i="9" s="1"/>
  <c r="K111" i="9"/>
  <c r="Z32" i="9" s="1" a="1"/>
  <c r="Z32" i="9" s="1"/>
  <c r="F111" i="9"/>
  <c r="U32" i="9" s="1" a="1"/>
  <c r="U32" i="9" s="1"/>
  <c r="J76" i="9" a="1"/>
  <c r="J76" i="9" s="1"/>
  <c r="L111" i="9"/>
  <c r="AA32" i="9" s="1" a="1"/>
  <c r="AA32" i="9" s="1"/>
  <c r="O76" i="9"/>
  <c r="I76" i="9" a="1"/>
  <c r="I76" i="9" s="1"/>
  <c r="W35" i="9" a="1"/>
  <c r="W35" i="9" s="1"/>
  <c r="V32" i="9" a="1"/>
  <c r="V32" i="9" s="1"/>
  <c r="N111" i="9"/>
  <c r="B10" i="21"/>
  <c r="B14" i="21"/>
  <c r="C2" i="2"/>
  <c r="G60" i="6" l="1"/>
  <c r="K6" i="6"/>
  <c r="C4" i="8" s="1"/>
  <c r="G35" i="2"/>
  <c r="G31" i="2"/>
  <c r="H110" i="1" s="1"/>
  <c r="G13" i="2"/>
  <c r="H69" i="1" s="1"/>
  <c r="H34" i="2"/>
  <c r="I34" i="2" s="1"/>
  <c r="D34" i="2" s="1"/>
  <c r="G33" i="2"/>
  <c r="H112" i="1" s="1"/>
  <c r="G32" i="2"/>
  <c r="H111" i="1" s="1"/>
  <c r="G27" i="2"/>
  <c r="F88" i="9"/>
  <c r="U9" i="9" s="1" a="1"/>
  <c r="U9" i="9" s="1"/>
  <c r="M75" i="9" a="1"/>
  <c r="M75" i="9" s="1"/>
  <c r="A10" i="20"/>
  <c r="A17" i="20"/>
  <c r="C94" i="9"/>
  <c r="J93" i="1" a="1"/>
  <c r="J93" i="1" s="1"/>
  <c r="I114" i="1" a="1"/>
  <c r="I114"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L95" i="9"/>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K63" i="9" a="1"/>
  <c r="K63" i="9" s="1"/>
  <c r="L102" i="9"/>
  <c r="AA23" i="9" s="1" a="1"/>
  <c r="AA23" i="9" s="1"/>
  <c r="J102" i="9"/>
  <c r="Y23" i="9" s="1" a="1"/>
  <c r="Y23" i="9" s="1"/>
  <c r="U23" i="9" a="1"/>
  <c r="U23" i="9" s="1"/>
  <c r="J59" i="9" a="1"/>
  <c r="J59" i="9" s="1"/>
  <c r="G61" i="9" a="1"/>
  <c r="G61" i="9" s="1"/>
  <c r="I109" i="9"/>
  <c r="X30" i="9" s="1" a="1"/>
  <c r="X30" i="9" s="1"/>
  <c r="G96" i="9"/>
  <c r="V17" i="9" s="1" a="1"/>
  <c r="V17" i="9" s="1"/>
  <c r="D89" i="9"/>
  <c r="S10" i="9" s="1" a="1"/>
  <c r="S10" i="9" s="1"/>
  <c r="I52" i="9" a="1"/>
  <c r="I52" i="9" s="1"/>
  <c r="J95" i="9"/>
  <c r="Y16" i="9" s="1" a="1"/>
  <c r="Y16" i="9" s="1"/>
  <c r="D108" i="9"/>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D98" i="9"/>
  <c r="S19" i="9" s="1" a="1"/>
  <c r="S19" i="9" s="1"/>
  <c r="F95" i="9"/>
  <c r="S29" i="9" a="1"/>
  <c r="S29"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W10" i="9" a="1"/>
  <c r="W10" i="9" s="1"/>
  <c r="AA16" i="9" a="1"/>
  <c r="AA16" i="9" s="1"/>
  <c r="K56" i="9" a="1"/>
  <c r="K56" i="9" s="1"/>
  <c r="B13" i="9"/>
  <c r="G103" i="9"/>
  <c r="G89" i="9"/>
  <c r="V10" i="9" s="1" a="1"/>
  <c r="V10" i="9" s="1"/>
  <c r="E85" i="9"/>
  <c r="T6" i="9" s="1" a="1"/>
  <c r="T6" i="9" s="1"/>
  <c r="B11" i="9"/>
  <c r="F94" i="9"/>
  <c r="U15" i="9" s="1" a="1"/>
  <c r="U15" i="9" s="1"/>
  <c r="D101" i="9"/>
  <c r="S22" i="9" s="1" a="1"/>
  <c r="S22" i="9" s="1"/>
  <c r="I94" i="9"/>
  <c r="X15" i="9" s="1" a="1"/>
  <c r="X15" i="9" s="1"/>
  <c r="Z15" i="9" a="1"/>
  <c r="Z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AA22" i="9" a="1"/>
  <c r="AA22" i="9" s="1"/>
  <c r="U16" i="9" a="1"/>
  <c r="U16"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R15" i="9" a="1"/>
  <c r="R15" i="9" s="1"/>
  <c r="H65" i="9" a="1"/>
  <c r="H65" i="9" s="1"/>
  <c r="A28" i="20"/>
  <c r="A13" i="20"/>
  <c r="A16" i="20"/>
  <c r="O98" i="9"/>
  <c r="AD19" i="9" s="1"/>
  <c r="B16" i="20" s="1"/>
  <c r="K69" i="9" a="1"/>
  <c r="K69" i="9" s="1"/>
  <c r="A22" i="20"/>
  <c r="A3" i="20"/>
  <c r="G55" i="9" a="1"/>
  <c r="G55" i="9" s="1"/>
  <c r="N78" i="9"/>
  <c r="P78" i="9" s="1"/>
  <c r="G60" i="9" a="1"/>
  <c r="G60" i="9" s="1"/>
  <c r="AC32" i="9"/>
  <c r="K114" i="1"/>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X7" i="9" a="1"/>
  <c r="X7" i="9" s="1"/>
  <c r="O65" i="9"/>
  <c r="B15" i="9"/>
  <c r="H74" i="9" a="1"/>
  <c r="H74" i="9" s="1"/>
  <c r="K99" i="9"/>
  <c r="Z20" i="9" s="1" a="1"/>
  <c r="Z20" i="9" s="1"/>
  <c r="F101" i="9"/>
  <c r="U22" i="9" s="1" a="1"/>
  <c r="U22" i="9" s="1"/>
  <c r="F103" i="9"/>
  <c r="U24" i="9" s="1" a="1"/>
  <c r="U24" i="9" s="1"/>
  <c r="U27" i="9" a="1"/>
  <c r="U27" i="9" s="1"/>
  <c r="B9" i="9"/>
  <c r="D93" i="9"/>
  <c r="S14" i="9" s="1" a="1"/>
  <c r="S14" i="9" s="1"/>
  <c r="A8" i="20"/>
  <c r="Q5" i="9"/>
  <c r="AD31" i="9"/>
  <c r="B28" i="20" s="1"/>
  <c r="AC35" i="9"/>
  <c r="AC34" i="9"/>
  <c r="A20" i="20"/>
  <c r="AC36" i="9"/>
  <c r="J93" i="9"/>
  <c r="Y14" i="9" s="1" a="1"/>
  <c r="Y14" i="9" s="1"/>
  <c r="M90" i="9"/>
  <c r="AB11" i="9" s="1" a="1"/>
  <c r="AB11" i="9" s="1"/>
  <c r="E102" i="9"/>
  <c r="T23" i="9" s="1" a="1"/>
  <c r="T23" i="9" s="1"/>
  <c r="L94" i="9"/>
  <c r="AA15" i="9" s="1" a="1"/>
  <c r="AA15" i="9" s="1"/>
  <c r="R8" i="9" a="1"/>
  <c r="R8" i="9" s="1"/>
  <c r="T9" i="9" a="1"/>
  <c r="T9" i="9" s="1"/>
  <c r="J67" i="9" a="1"/>
  <c r="J67" i="9" s="1"/>
  <c r="T31" i="9" a="1"/>
  <c r="T31" i="9" s="1"/>
  <c r="M96" i="9"/>
  <c r="AB17" i="9" s="1" a="1"/>
  <c r="AB17" i="9" s="1"/>
  <c r="H85" i="9"/>
  <c r="X29" i="9" a="1"/>
  <c r="X29" i="9" s="1"/>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H86" i="1" s="1"/>
  <c r="G22" i="2"/>
  <c r="H91" i="1" s="1"/>
  <c r="G12" i="2"/>
  <c r="G6" i="2"/>
  <c r="G17" i="2"/>
  <c r="G29" i="2"/>
  <c r="G11" i="2"/>
  <c r="H74" i="1" s="1"/>
  <c r="G15" i="2"/>
  <c r="H79" i="1" s="1"/>
  <c r="G8" i="2"/>
  <c r="G9" i="2"/>
  <c r="G30" i="2"/>
  <c r="H108" i="1" s="1"/>
  <c r="G19" i="2"/>
  <c r="G25" i="2"/>
  <c r="G24" i="2"/>
  <c r="H20" i="2"/>
  <c r="I20" i="2" s="1"/>
  <c r="D20" i="2" s="1"/>
  <c r="G26" i="2"/>
  <c r="H97" i="1" s="1"/>
  <c r="H19" i="2"/>
  <c r="I19" i="2" s="1"/>
  <c r="D19" i="2" s="1"/>
  <c r="G16" i="2"/>
  <c r="H81" i="1" s="1"/>
  <c r="G18" i="2"/>
  <c r="G23" i="2"/>
  <c r="G14" i="2"/>
  <c r="H75" i="1" s="1"/>
  <c r="H30" i="2"/>
  <c r="I30" i="2" s="1"/>
  <c r="D30" i="2" s="1"/>
  <c r="G10" i="2"/>
  <c r="H77" i="1" s="1"/>
  <c r="H15" i="2"/>
  <c r="I15" i="2" s="1"/>
  <c r="D15" i="2" s="1"/>
  <c r="G21" i="2"/>
  <c r="H99" i="1"/>
  <c r="H94" i="1"/>
  <c r="G7" i="2"/>
  <c r="H62" i="1" s="1"/>
  <c r="H18" i="2"/>
  <c r="I18" i="2" s="1"/>
  <c r="D18" i="2" s="1"/>
  <c r="G28" i="2"/>
  <c r="H17" i="2"/>
  <c r="I17" i="2" s="1"/>
  <c r="D17" i="2" s="1"/>
  <c r="H16" i="2"/>
  <c r="I16" i="2" s="1"/>
  <c r="D16" i="2" s="1"/>
  <c r="H9" i="2"/>
  <c r="I9" i="2" s="1"/>
  <c r="D9" i="2" s="1"/>
  <c r="H12" i="2"/>
  <c r="I12" i="2" s="1"/>
  <c r="D12" i="2" s="1"/>
  <c r="O85" i="9"/>
  <c r="AD6" i="9" s="1"/>
  <c r="B3" i="20" s="1"/>
  <c r="B3" i="21"/>
  <c r="N5" i="17"/>
  <c r="O96" i="9"/>
  <c r="N6" i="17"/>
  <c r="B15" i="21"/>
  <c r="O90" i="9"/>
  <c r="AD11" i="9" s="1"/>
  <c r="B8" i="20" s="1"/>
  <c r="B5" i="21"/>
  <c r="B22" i="21"/>
  <c r="O104" i="9"/>
  <c r="AD25" i="9" s="1"/>
  <c r="AD17" i="9"/>
  <c r="B14" i="20"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AD34" i="9"/>
  <c r="C218" i="17"/>
  <c r="K4" i="17" s="1"/>
  <c r="C16" i="10"/>
  <c r="G14" i="15"/>
  <c r="E38" i="18"/>
  <c r="J37" i="14"/>
  <c r="C12" i="8" s="1"/>
  <c r="D38" i="14"/>
  <c r="C10" i="8" s="1"/>
  <c r="C43" i="12"/>
  <c r="H60" i="6"/>
  <c r="I37" i="12"/>
  <c r="D38" i="18"/>
  <c r="C11" i="8" s="1"/>
  <c r="I60" i="6"/>
  <c r="H12" i="7"/>
  <c r="M74" i="9" a="1"/>
  <c r="M74" i="9" s="1"/>
  <c r="G51" i="9" a="1"/>
  <c r="G51" i="9" s="1"/>
  <c r="G68" i="9" a="1"/>
  <c r="G68" i="9" s="1"/>
  <c r="V24" i="9" a="1"/>
  <c r="V24" i="9" s="1"/>
  <c r="H51" i="9" a="1"/>
  <c r="H51" i="9" s="1"/>
  <c r="J114" i="1" a="1"/>
  <c r="J114" i="1" s="1"/>
  <c r="G56" i="9" a="1"/>
  <c r="G56" i="9" s="1"/>
  <c r="H50" i="9" a="1"/>
  <c r="H50" i="9" s="1"/>
  <c r="G59" i="9" a="1"/>
  <c r="G59" i="9" s="1"/>
  <c r="AC33" i="9"/>
  <c r="G69" i="9" a="1"/>
  <c r="G69" i="9" s="1"/>
  <c r="N79" i="9"/>
  <c r="D2" i="2"/>
  <c r="H101" i="1" l="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E34" i="9"/>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218" i="17"/>
  <c r="F218" i="17" s="1"/>
  <c r="P114" i="9"/>
  <c r="P111" i="9"/>
  <c r="AD15" i="9"/>
  <c r="B12" i="20" s="1"/>
  <c r="AD27" i="9"/>
  <c r="B24" i="20" s="1"/>
  <c r="AD14" i="9"/>
  <c r="AE33" i="9"/>
  <c r="AD29" i="9"/>
  <c r="P102"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21"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E16" i="19" l="1"/>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<sst xmlns="http://schemas.openxmlformats.org/spreadsheetml/2006/main" count="1468" uniqueCount="353">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</sst>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cellXfs>
  <cellStyles count="2">
    <cellStyle name="Comma" xfId="1" builtinId="3"/>
    <cellStyle name="Normal" xfId="0" builtinId="0"/>
  </cellStyles>
  <dxfs count="13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7791062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430555" createdVersion="8" refreshedVersion="8" minRefreshableVersion="3" recordCount="112" xr:uid="{46CBB50D-3613-4E5B-8212-DD0313DCD05A}">
  <cacheSource type="worksheet">
    <worksheetSource name="Table1"/>
  </cacheSource>
  <cacheFields count="14">
    <cacheField name="Date" numFmtId="0">
      <sharedItems containsSemiMixedTypes="0" containsNonDate="0" containsDate="1" containsString="0" minDate="2025-11-18T00:00:00" maxDate="2025-12-31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08"/>
    </cacheField>
    <cacheField name="Quality" numFmtId="0">
      <sharedItems/>
    </cacheField>
    <cacheField name="Shipment Number" numFmtId="164">
      <sharedItems containsBlank="1" containsMixedTypes="1" containsNumber="1" containsInteger="1" minValue="1558" maxValue="17000" count="350">
        <m/>
        <n v="1971"/>
        <n v="1951"/>
        <n v="1934"/>
        <n v="1924"/>
        <n v="1835"/>
        <n v="1628"/>
        <n v="1958"/>
        <n v="1987"/>
        <n v="1974"/>
        <n v="1972"/>
        <n v="1982"/>
        <n v="1986"/>
        <n v="1981"/>
        <n v="1954"/>
        <n v="1948"/>
        <n v="1947"/>
        <n v="1985"/>
        <n v="1983"/>
        <n v="1984"/>
        <s v="1997+1988"/>
        <n v="1993"/>
        <n v="1775"/>
        <n v="1941"/>
        <n v="2000"/>
        <n v="1995"/>
        <n v="1992"/>
        <n v="1718"/>
        <n v="1990"/>
        <n v="1989"/>
        <n v="200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709.74639999999999" maxValue="52476"/>
    </cacheField>
    <cacheField name="shortage %" numFmtId="165">
      <sharedItems containsMixedTypes="1" containsNumber="1" minValue="0.1052719730907512" maxValue="87.268730311889087"/>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8935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009263" createdVersion="8" refreshedVersion="8" minRefreshableVersion="3" recordCount="51" xr:uid="{3E5C2981-ACF5-44A9-8567-B1D65DB3A8D2}">
  <cacheSource type="worksheet">
    <worksheetSource name="Table3"/>
  </cacheSource>
  <cacheFields count="9">
    <cacheField name="Date" numFmtId="14">
      <sharedItems containsNonDate="0" containsDate="1" containsString="0" containsBlank="1" minDate="2025-05-02T00:00:00" maxDate="2025-12-30T00:00:00" count="148">
        <d v="2025-12-17T00:00:00"/>
        <d v="2025-12-18T00:00:00"/>
        <d v="2025-12-19T00:00:00"/>
        <d v="2025-12-20T00:00:00"/>
        <d v="2025-12-22T00:00:00"/>
        <d v="2025-12-21T00:00:00"/>
        <d v="2025-12-23T00:00:00"/>
        <d v="2025-12-24T00:00:00"/>
        <d v="2025-12-25T00:00:00"/>
        <m/>
        <d v="2025-12-26T00:00:00"/>
        <d v="2025-12-27T00:00:00"/>
        <d v="2025-12-29T00:00:00"/>
        <d v="2025-12-28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4">
        <s v="Closing Balance CF"/>
        <s v="TKL 364"/>
        <n v="9662"/>
        <s v="LES 9718"/>
        <s v="APL"/>
        <m/>
        <n v="2223"/>
        <s v="LEI 2223"/>
        <s v="-"/>
        <s v="LEJ 9662"/>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2"/>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7400"/>
    </cacheField>
    <cacheField name="Paid" numFmtId="164">
      <sharedItems containsString="0" containsBlank="1" containsNumber="1" containsInteger="1" minValue="0" maxValue="201000"/>
    </cacheField>
    <cacheField name="balance" numFmtId="164">
      <sharedItems containsSemiMixedTypes="0" containsString="0" containsNumber="1" containsInteger="1" minValue="-201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125001" createdVersion="8" refreshedVersion="8" minRefreshableVersion="3" recordCount="10" xr:uid="{AC867DCC-CE64-4D1A-827D-F1F3EE10EE4E}">
  <cacheSource type="worksheet">
    <worksheetSource name="Table8"/>
  </cacheSource>
  <cacheFields count="9">
    <cacheField name="Date" numFmtId="0">
      <sharedItems containsSemiMixedTypes="0" containsNonDate="0" containsDate="1" containsString="0" minDate="2025-05-16T00:00:00" maxDate="2025-12-30T00:00:00" count="57">
        <d v="2025-12-17T00:00:00"/>
        <d v="2025-12-18T00:00:00"/>
        <d v="2025-12-22T00:00:00"/>
        <d v="2025-12-26T00:00:00"/>
        <d v="2025-12-25T00:00:00"/>
        <d v="2025-12-27T00:00:00"/>
        <d v="2025-12-29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2407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00789.02926115584"/>
    </cacheField>
    <cacheField name="Rate" numFmtId="0">
      <sharedItems containsString="0" containsBlank="1" containsNumber="1" minValue="10" maxValue="12"/>
    </cacheField>
    <cacheField name="Total" numFmtId="164">
      <sharedItems containsSemiMixedTypes="0" containsString="0" containsNumber="1" minValue="0" maxValue="1579608.632040965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472225" createdVersion="8" refreshedVersion="8" minRefreshableVersion="3" recordCount="216" xr:uid="{B5BDFB73-D93A-4A7A-8149-666BC190B09B}">
  <cacheSource type="worksheet">
    <worksheetSource name="Table14"/>
  </cacheSource>
  <cacheFields count="7">
    <cacheField name="Date" numFmtId="14">
      <sharedItems containsNonDate="0" containsDate="1" containsString="0" containsBlank="1" minDate="2025-12-17T00:00:00" maxDate="2025-12-3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temp"/>
        <s v="shehzad kamoki"/>
        <s v="sufi nawaz sahab"/>
        <m/>
        <s v="Closing October CF" u="1"/>
        <s v="Aurangzeb" u="1"/>
        <s v="BSC" u="1"/>
        <s v="Finish" u="1"/>
        <s v="Amjad Sohail" u="1"/>
        <s v="Haseeb Shamsi" u="1"/>
        <s v="Ashraf Zia" u="1"/>
        <s v="General Dyes" u="1"/>
        <s v="Faizan" u="1"/>
        <s v="abid ghafoor" u="1"/>
        <s v="Zia-ullah karachi" u="1"/>
        <s v="Ishaq" u="1"/>
        <s v="Unicolour" u="1"/>
        <s v="ibraheem behraam" u="1"/>
        <s v="Shafi Dyes" u="1"/>
        <s v="Ubaidullah" u="1"/>
        <s v="Hameed corporation" u="1"/>
        <s v="Raaz fabrics"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79106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4.7627979595792169"/>
    <n v="14825.347476225312"/>
    <n v="148253.47476225311"/>
    <m/>
  </r>
  <r>
    <d v="2025-12-30T00:00:00"/>
    <x v="10"/>
    <n v="1303"/>
    <s v="Chamki"/>
    <x v="26"/>
    <n v="27665"/>
    <n v="13642"/>
    <n v="4.7627979595792169"/>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29.755226469774399"/>
    <n v="32088.514996342357"/>
    <n v="320885.14996342355"/>
    <m/>
  </r>
  <r>
    <d v="2025-12-30T00:00:00"/>
    <x v="0"/>
    <n v="1307"/>
    <s v="Chamki"/>
    <x v="29"/>
    <n v="61388"/>
    <n v="8547"/>
    <n v="87.268730311889087"/>
    <n v="7815.471836137528"/>
    <n v="78154.718361375286"/>
    <m/>
  </r>
  <r>
    <d v="2025-12-30T00:00:00"/>
    <x v="3"/>
    <n v="1308"/>
    <s v="Chamki"/>
    <x v="30"/>
    <n v="8245"/>
    <n v="8850"/>
    <n v="1.8491400210186981"/>
    <n v="8092.5384052670088"/>
    <n v="84971.653255303594"/>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1"/>
    <x v="3"/>
    <x v="9"/>
    <n v="128"/>
    <n v="580"/>
    <m/>
    <n v="74240"/>
    <m/>
    <n v="74240"/>
  </r>
  <r>
    <x v="12"/>
    <x v="3"/>
    <x v="5"/>
    <m/>
    <m/>
    <m/>
    <n v="0"/>
    <n v="100000"/>
    <n v="-100000"/>
  </r>
  <r>
    <x v="13"/>
    <x v="6"/>
    <x v="5"/>
    <m/>
    <m/>
    <m/>
    <n v="0"/>
    <n v="0"/>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00789.02926115584"/>
    <n v="10"/>
    <n v="1579608.6320409658"/>
  </r>
  <r>
    <x v="1"/>
    <n v="34084.674469641555"/>
    <n v="10"/>
    <n v="409016.09363569866"/>
  </r>
  <r>
    <x v="2"/>
    <n v="66135.698610095104"/>
    <n v="10"/>
    <n v="687011.70446232636"/>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77208.302852962704"/>
    <m/>
    <n v="772083.02852962702"/>
  </r>
  <r>
    <x v="11"/>
    <n v="108264.44769568399"/>
    <m/>
    <n v="618461.9604974397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d v="2025-12-17T00:00:00"/>
    <x v="0"/>
    <m/>
    <n v="77910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29"/>
    <m/>
    <n v="68900"/>
    <s v="Pending"/>
    <s v="Bank"/>
    <m/>
  </r>
  <r>
    <d v="2025-12-30T00:00:00"/>
    <x v="6"/>
    <m/>
    <n v="194000"/>
    <m/>
    <s v="Bank"/>
    <m/>
  </r>
  <r>
    <d v="2025-12-30T00:00:00"/>
    <x v="21"/>
    <m/>
    <n v="100000"/>
    <s v="TID:310854"/>
    <s v="Bank"/>
    <m/>
  </r>
  <r>
    <d v="2025-12-30T00:00:00"/>
    <x v="21"/>
    <m/>
    <n v="100000"/>
    <s v="cash"/>
    <s v="Bank"/>
    <m/>
  </r>
  <r>
    <d v="2025-12-30T00:00:00"/>
    <x v="30"/>
    <m/>
    <n v="84970"/>
    <m/>
    <s v="Bank"/>
    <m/>
  </r>
  <r>
    <d v="2025-12-30T00:00:00"/>
    <x v="1"/>
    <n v="1183"/>
    <m/>
    <m/>
    <s v="Bank"/>
    <m/>
  </r>
  <r>
    <d v="2025-12-30T00:00:00"/>
    <x v="10"/>
    <n v="200401"/>
    <m/>
    <s v="TID:618716"/>
    <s v="Bank"/>
    <m/>
  </r>
  <r>
    <d v="2025-12-30T00:00:00"/>
    <x v="31"/>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29"/>
    <n v="14000"/>
    <m/>
    <s v="Salary//unresolved sabir"/>
    <s v="Bank"/>
    <m/>
  </r>
  <r>
    <d v="2025-12-30T00:00:00"/>
    <x v="9"/>
    <n v="5250"/>
    <m/>
    <m/>
    <s v="Bank"/>
    <m/>
  </r>
  <r>
    <d v="2025-12-30T00:00:00"/>
    <x v="9"/>
    <n v="3500"/>
    <m/>
    <s v="bulbs x10"/>
    <s v="Bank"/>
    <m/>
  </r>
  <r>
    <d v="2025-12-30T00:00:00"/>
    <x v="1"/>
    <n v="100000"/>
    <m/>
    <s v="100k transfer"/>
    <s v="Bank"/>
    <m/>
  </r>
  <r>
    <d v="2025-12-30T00:00:00"/>
    <x v="32"/>
    <m/>
    <m/>
    <m/>
    <m/>
    <m/>
  </r>
  <r>
    <m/>
    <x v="32"/>
    <m/>
    <m/>
    <m/>
    <m/>
    <m/>
  </r>
  <r>
    <m/>
    <x v="32"/>
    <m/>
    <m/>
    <m/>
    <m/>
    <m/>
  </r>
  <r>
    <m/>
    <x v="32"/>
    <m/>
    <m/>
    <m/>
    <m/>
    <m/>
  </r>
  <r>
    <m/>
    <x v="32"/>
    <m/>
    <m/>
    <m/>
    <m/>
    <m/>
  </r>
  <r>
    <m/>
    <x v="32"/>
    <m/>
    <m/>
    <m/>
    <m/>
    <m/>
  </r>
  <r>
    <m/>
    <x v="3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8" firstHeaderRow="0" firstDataRow="1" firstDataCol="1" rowPageCount="1" colPageCount="1"/>
  <pivotFields count="9">
    <pivotField axis="axisRow" numFmtId="14" showAll="0">
      <items count="149">
        <item m="1" x="132"/>
        <item m="1" x="133"/>
        <item m="1" x="134"/>
        <item m="1" x="135"/>
        <item m="1" x="136"/>
        <item m="1" x="137"/>
        <item m="1" x="138"/>
        <item m="1" x="147"/>
        <item m="1" x="128"/>
        <item m="1" x="139"/>
        <item m="1" x="140"/>
        <item m="1" x="141"/>
        <item m="1" x="142"/>
        <item m="1" x="143"/>
        <item m="1" x="144"/>
        <item m="1" x="145"/>
        <item m="1" x="99"/>
        <item m="1" x="100"/>
        <item m="1" x="146"/>
        <item m="1" x="101"/>
        <item m="1" x="98"/>
        <item m="1" x="102"/>
        <item m="1" x="104"/>
        <item m="1" x="105"/>
        <item m="1" x="106"/>
        <item m="1" x="108"/>
        <item m="1" x="109"/>
        <item m="1" x="110"/>
        <item m="1" x="103"/>
        <item m="1" x="107"/>
        <item m="1" x="111"/>
        <item m="1" x="112"/>
        <item m="1" x="113"/>
        <item m="1" x="114"/>
        <item m="1" x="97"/>
        <item m="1" x="115"/>
        <item m="1" x="129"/>
        <item m="1" x="130"/>
        <item m="1" x="131"/>
        <item m="1" x="116"/>
        <item m="1" x="117"/>
        <item m="1" x="118"/>
        <item m="1" x="119"/>
        <item m="1" x="120"/>
        <item m="1" x="121"/>
        <item m="1" x="122"/>
        <item m="1" x="123"/>
        <item m="1" x="124"/>
        <item m="1" x="125"/>
        <item m="1" x="126"/>
        <item m="1" x="127"/>
        <item m="1" x="68"/>
        <item m="1" x="69"/>
        <item m="1" x="70"/>
        <item m="1" x="71"/>
        <item m="1" x="72"/>
        <item m="1" x="73"/>
        <item m="1" x="74"/>
        <item m="1" x="75"/>
        <item m="1" x="77"/>
        <item m="1" x="78"/>
        <item m="1" x="79"/>
        <item m="1" x="76"/>
        <item m="1" x="80"/>
        <item m="1" x="81"/>
        <item m="1" x="82"/>
        <item m="1" x="83"/>
        <item m="1" x="84"/>
        <item m="1" x="85"/>
        <item m="1" x="86"/>
        <item m="1" x="87"/>
        <item m="1" x="88"/>
        <item m="1" x="89"/>
        <item m="1" x="90"/>
        <item m="1" x="91"/>
        <item m="1" x="92"/>
        <item m="1" x="93"/>
        <item m="1" x="94"/>
        <item m="1" x="95"/>
        <item m="1" x="96"/>
        <item m="1" x="14"/>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15"/>
        <item m="1" x="18"/>
        <item m="1" x="16"/>
        <item m="1" x="17"/>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x="0"/>
        <item x="1"/>
        <item x="2"/>
        <item x="3"/>
        <item x="4"/>
        <item x="5"/>
        <item x="6"/>
        <item x="7"/>
        <item x="9"/>
        <item x="8"/>
        <item x="10"/>
        <item x="11"/>
        <item x="12"/>
        <item x="13"/>
        <item t="default"/>
      </items>
    </pivotField>
    <pivotField axis="axisPage" showAll="0">
      <items count="13">
        <item x="1"/>
        <item x="0"/>
        <item x="9"/>
        <item m="1" x="11"/>
        <item x="2"/>
        <item x="3"/>
        <item x="4"/>
        <item m="1" x="10"/>
        <item x="5"/>
        <item x="6"/>
        <item x="7"/>
        <item x="8"/>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5"/>
        <item x="1"/>
        <item x="2"/>
        <item m="1" x="10"/>
        <item x="3"/>
        <item x="4"/>
        <item x="6"/>
        <item x="7"/>
        <item x="8"/>
        <item x="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7" firstHeaderRow="0" firstDataRow="1" firstDataCol="1"/>
  <pivotFields count="7">
    <pivotField numFmtId="14" showAll="0"/>
    <pivotField axis="axisRow" showAll="0">
      <items count="79">
        <item x="15"/>
        <item x="19"/>
        <item m="1" x="35"/>
        <item m="1" x="64"/>
        <item m="1" x="68"/>
        <item m="1" x="36"/>
        <item x="5"/>
        <item x="16"/>
        <item x="9"/>
        <item x="26"/>
        <item x="4"/>
        <item m="1" x="76"/>
        <item x="30"/>
        <item x="17"/>
        <item x="24"/>
        <item m="1" x="74"/>
        <item x="2"/>
        <item x="29"/>
        <item x="1"/>
        <item x="28"/>
        <item x="32"/>
        <item x="22"/>
        <item m="1" x="77"/>
        <item x="31"/>
        <item x="8"/>
        <item m="1" x="75"/>
        <item m="1" x="67"/>
        <item m="1" x="45"/>
        <item m="1" x="69"/>
        <item m="1" x="70"/>
        <item m="1" x="71"/>
        <item m="1" x="72"/>
        <item m="1" x="48"/>
        <item m="1" x="73"/>
        <item m="1" x="50"/>
        <item x="12"/>
        <item m="1" x="56"/>
        <item x="14"/>
        <item m="1" x="63"/>
        <item m="1" x="59"/>
        <item x="23"/>
        <item x="13"/>
        <item m="1" x="44"/>
        <item m="1" x="65"/>
        <item x="6"/>
        <item m="1" x="66"/>
        <item m="1" x="53"/>
        <item m="1" x="41"/>
        <item x="7"/>
        <item m="1" x="54"/>
        <item m="1" x="55"/>
        <item m="1" x="57"/>
        <item m="1" x="58"/>
        <item m="1" x="60"/>
        <item m="1" x="37"/>
        <item m="1" x="38"/>
        <item m="1" x="61"/>
        <item m="1" x="62"/>
        <item m="1" x="34"/>
        <item m="1" x="40"/>
        <item m="1" x="33"/>
        <item x="18"/>
        <item m="1" x="39"/>
        <item m="1" x="42"/>
        <item m="1" x="52"/>
        <item x="3"/>
        <item m="1" x="46"/>
        <item m="1" x="47"/>
        <item x="21"/>
        <item m="1" x="43"/>
        <item x="10"/>
        <item m="1" x="49"/>
        <item x="11"/>
        <item m="1" x="51"/>
        <item x="0"/>
        <item x="20"/>
        <item x="25"/>
        <item x="27"/>
        <item t="default"/>
      </items>
    </pivotField>
    <pivotField dataField="1" showAll="0"/>
    <pivotField dataField="1" showAll="0"/>
    <pivotField showAll="0"/>
    <pivotField showAll="0"/>
    <pivotField showAll="0"/>
  </pivotFields>
  <rowFields count="1">
    <field x="1"/>
  </rowFields>
  <rowItems count="34">
    <i>
      <x/>
    </i>
    <i>
      <x v="1"/>
    </i>
    <i>
      <x v="6"/>
    </i>
    <i>
      <x v="7"/>
    </i>
    <i>
      <x v="8"/>
    </i>
    <i>
      <x v="9"/>
    </i>
    <i>
      <x v="10"/>
    </i>
    <i>
      <x v="12"/>
    </i>
    <i>
      <x v="13"/>
    </i>
    <i>
      <x v="14"/>
    </i>
    <i>
      <x v="16"/>
    </i>
    <i>
      <x v="17"/>
    </i>
    <i>
      <x v="18"/>
    </i>
    <i>
      <x v="19"/>
    </i>
    <i>
      <x v="20"/>
    </i>
    <i>
      <x v="21"/>
    </i>
    <i>
      <x v="23"/>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58">
        <item m="1" x="52"/>
        <item m="1" x="53"/>
        <item m="1" x="54"/>
        <item m="1" x="55"/>
        <item m="1" x="56"/>
        <item m="1" x="51"/>
        <item m="1" x="39"/>
        <item m="1" x="40"/>
        <item m="1" x="44"/>
        <item m="1" x="45"/>
        <item m="1" x="41"/>
        <item m="1" x="46"/>
        <item m="1" x="47"/>
        <item m="1" x="48"/>
        <item m="1" x="49"/>
        <item m="1" x="50"/>
        <item m="1" x="38"/>
        <item m="1" x="42"/>
        <item m="1" x="43"/>
        <item m="1" x="31"/>
        <item m="1" x="32"/>
        <item m="1" x="33"/>
        <item m="1" x="34"/>
        <item m="1" x="35"/>
        <item m="1" x="36"/>
        <item m="1" x="37"/>
        <item m="1" x="7"/>
        <item m="1" x="23"/>
        <item m="1" x="24"/>
        <item m="1" x="25"/>
        <item m="1" x="26"/>
        <item m="1" x="27"/>
        <item m="1" x="28"/>
        <item m="1" x="29"/>
        <item m="1" x="30"/>
        <item m="1" x="8"/>
        <item m="1" x="9"/>
        <item m="1" x="10"/>
        <item m="1" x="11"/>
        <item m="1" x="12"/>
        <item m="1" x="13"/>
        <item m="1" x="14"/>
        <item m="1" x="16"/>
        <item m="1" x="17"/>
        <item m="1" x="15"/>
        <item m="1" x="18"/>
        <item m="1" x="19"/>
        <item m="1" x="20"/>
        <item m="1" x="21"/>
        <item m="1" x="22"/>
        <item x="0"/>
        <item x="1"/>
        <item x="2"/>
        <item x="3"/>
        <item x="4"/>
        <item x="5"/>
        <item x="6"/>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8">
    <i>
      <x v="50"/>
    </i>
    <i>
      <x v="51"/>
    </i>
    <i>
      <x v="52"/>
    </i>
    <i>
      <x v="53"/>
    </i>
    <i>
      <x v="54"/>
    </i>
    <i>
      <x v="55"/>
    </i>
    <i>
      <x v="5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5"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51">
        <item m="1" x="333"/>
        <item m="1" x="334"/>
        <item m="1" x="332"/>
        <item m="1" x="331"/>
        <item m="1" x="335"/>
        <item m="1" x="337"/>
        <item m="1" x="336"/>
        <item m="1" x="338"/>
        <item m="1" x="339"/>
        <item m="1" x="340"/>
        <item m="1" x="341"/>
        <item m="1" x="342"/>
        <item m="1" x="343"/>
        <item m="1" x="344"/>
        <item m="1" x="269"/>
        <item m="1" x="291"/>
        <item m="1" x="345"/>
        <item m="1" x="346"/>
        <item m="1" x="347"/>
        <item m="1" x="299"/>
        <item m="1" x="298"/>
        <item m="1" x="348"/>
        <item m="1" x="349"/>
        <item m="1" x="308"/>
        <item m="1" x="300"/>
        <item m="1" x="301"/>
        <item m="1" x="302"/>
        <item m="1" x="303"/>
        <item m="1" x="304"/>
        <item m="1" x="305"/>
        <item m="1" x="306"/>
        <item m="1" x="307"/>
        <item m="1" x="309"/>
        <item m="1" x="329"/>
        <item m="1" x="310"/>
        <item m="1" x="330"/>
        <item m="1" x="311"/>
        <item m="1" x="312"/>
        <item m="1" x="313"/>
        <item m="1" x="314"/>
        <item m="1" x="315"/>
        <item m="1" x="246"/>
        <item m="1" x="316"/>
        <item m="1" x="317"/>
        <item m="1" x="318"/>
        <item m="1" x="319"/>
        <item m="1" x="320"/>
        <item m="1" x="321"/>
        <item m="1" x="322"/>
        <item m="1" x="323"/>
        <item m="1" x="324"/>
        <item m="1" x="325"/>
        <item m="1" x="326"/>
        <item m="1" x="327"/>
        <item m="1" x="328"/>
        <item x="0"/>
        <item m="1" x="245"/>
        <item m="1" x="247"/>
        <item m="1" x="248"/>
        <item m="1" x="249"/>
        <item m="1" x="250"/>
        <item m="1" x="251"/>
        <item m="1" x="252"/>
        <item m="1" x="253"/>
        <item m="1" x="254"/>
        <item m="1" x="255"/>
        <item m="1" x="256"/>
        <item m="1" x="257"/>
        <item m="1" x="258"/>
        <item m="1" x="259"/>
        <item x="6"/>
        <item m="1" x="260"/>
        <item m="1" x="261"/>
        <item m="1" x="262"/>
        <item m="1" x="263"/>
        <item m="1" x="264"/>
        <item m="1" x="265"/>
        <item m="1" x="266"/>
        <item m="1" x="267"/>
        <item m="1" x="268"/>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2"/>
        <item m="1" x="293"/>
        <item m="1" x="294"/>
        <item m="1" x="295"/>
        <item m="1" x="296"/>
        <item m="1" x="297"/>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x="24"/>
        <item m="1" x="214"/>
        <item m="1" x="215"/>
        <item m="1" x="216"/>
        <item m="1" x="217"/>
        <item m="1" x="218"/>
        <item m="1" x="219"/>
        <item m="1" x="220"/>
        <item m="1" x="221"/>
        <item m="1" x="222"/>
        <item m="1" x="223"/>
        <item m="1" x="224"/>
        <item m="1" x="244"/>
        <item m="1" x="225"/>
        <item m="1" x="226"/>
        <item m="1" x="227"/>
        <item m="1" x="228"/>
        <item m="1" x="229"/>
        <item m="1" x="230"/>
        <item m="1" x="231"/>
        <item m="1" x="232"/>
        <item m="1" x="233"/>
        <item m="1" x="234"/>
        <item m="1" x="235"/>
        <item m="1" x="236"/>
        <item m="1" x="237"/>
        <item m="1" x="238"/>
        <item m="1" x="239"/>
        <item m="1" x="240"/>
        <item m="1" x="241"/>
        <item m="1" x="242"/>
        <item m="1" x="243"/>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40"/>
        <item m="1" x="163"/>
        <item m="1" x="31"/>
        <item m="1" x="32"/>
        <item m="1" x="33"/>
        <item m="1" x="34"/>
        <item m="1" x="35"/>
        <item m="1" x="36"/>
        <item m="1" x="37"/>
        <item m="1" x="38"/>
        <item m="1" x="39"/>
        <item m="1" x="41"/>
        <item m="1" x="42"/>
        <item m="1" x="43"/>
        <item m="1" x="44"/>
        <item m="1" x="45"/>
        <item m="1" x="46"/>
        <item m="1" x="47"/>
        <item m="1" x="48"/>
        <item m="1" x="49"/>
        <item m="1" x="50"/>
        <item m="1" x="51"/>
        <item m="1" x="52"/>
        <item m="1" x="53"/>
        <item m="1" x="54"/>
        <item x="3"/>
        <item m="1" x="55"/>
        <item m="1" x="56"/>
        <item m="1" x="57"/>
        <item m="1" x="58"/>
        <item m="1" x="59"/>
        <item m="1" x="60"/>
        <item m="1" x="61"/>
        <item m="1" x="62"/>
        <item m="1" x="63"/>
        <item m="1" x="64"/>
        <item m="1" x="65"/>
        <item m="1" x="66"/>
        <item m="1" x="67"/>
        <item m="1" x="68"/>
        <item m="1" x="69"/>
        <item m="1" x="70"/>
        <item m="1" x="71"/>
        <item m="1" x="72"/>
        <item m="1" x="73"/>
        <item m="1" x="74"/>
        <item m="1" x="75"/>
        <item m="1" x="76"/>
        <item x="7"/>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x="4"/>
        <item m="1" x="106"/>
        <item m="1" x="107"/>
        <item x="1"/>
        <item x="10"/>
        <item x="2"/>
        <item x="5"/>
        <item x="8"/>
        <item x="9"/>
        <item x="11"/>
        <item x="12"/>
        <item x="13"/>
        <item x="14"/>
        <item x="15"/>
        <item x="16"/>
        <item x="17"/>
        <item x="18"/>
        <item x="19"/>
        <item x="21"/>
        <item x="20"/>
        <item x="22"/>
        <item x="23"/>
        <item x="25"/>
        <item x="26"/>
        <item x="27"/>
        <item x="28"/>
        <item x="29"/>
        <item x="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2">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50">
        <i x="6" s="1"/>
        <i x="27" s="1"/>
        <i x="22" s="1"/>
        <i x="5" s="1"/>
        <i x="4" s="1"/>
        <i x="3" s="1"/>
        <i x="23" s="1"/>
        <i x="16" s="1"/>
        <i x="15" s="1"/>
        <i x="2" s="1"/>
        <i x="14" s="1"/>
        <i x="7" s="1"/>
        <i x="1" s="1"/>
        <i x="10" s="1"/>
        <i x="9" s="1"/>
        <i x="13" s="1"/>
        <i x="11" s="1"/>
        <i x="18" s="1"/>
        <i x="19" s="1"/>
        <i x="17" s="1"/>
        <i x="12" s="1"/>
        <i x="8" s="1"/>
        <i x="29" s="1"/>
        <i x="28" s="1"/>
        <i x="26" s="1"/>
        <i x="21" s="1"/>
        <i x="25" s="1"/>
        <i x="24" s="1"/>
        <i x="30" s="1"/>
        <i x="20" s="1"/>
        <i x="304" s="1" nd="1"/>
        <i x="333" s="1" nd="1"/>
        <i x="334" s="1" nd="1"/>
        <i x="342" s="1" nd="1"/>
        <i x="332" s="1" nd="1"/>
        <i x="331" s="1" nd="1"/>
        <i x="335" s="1" nd="1"/>
        <i x="346" s="1" nd="1"/>
        <i x="338" s="1" nd="1"/>
        <i x="339" s="1" nd="1"/>
        <i x="336" s="1" nd="1"/>
        <i x="337" s="1" nd="1"/>
        <i x="347" s="1" nd="1"/>
        <i x="340" s="1" nd="1"/>
        <i x="341" s="1" nd="1"/>
        <i x="344" s="1" nd="1"/>
        <i x="345" s="1" nd="1"/>
        <i x="343" s="1" nd="1"/>
        <i x="299" s="1" nd="1"/>
        <i x="349" s="1" nd="1"/>
        <i x="298" s="1" nd="1"/>
        <i x="348" s="1" nd="1"/>
        <i x="301" s="1" nd="1"/>
        <i x="262" s="1" nd="1"/>
        <i x="300" s="1" nd="1"/>
        <i x="302" s="1" nd="1"/>
        <i x="308" s="1" nd="1"/>
        <i x="303" s="1" nd="1"/>
        <i x="305" s="1" nd="1"/>
        <i x="321" s="1" nd="1"/>
        <i x="245" s="1" nd="1"/>
        <i x="309" s="1" nd="1"/>
        <i x="250" s="1" nd="1"/>
        <i x="315" s="1" nd="1"/>
        <i x="310" s="1" nd="1"/>
        <i x="313" s="1" nd="1"/>
        <i x="318" s="1" nd="1"/>
        <i x="329" s="1" nd="1"/>
        <i x="311" s="1" nd="1"/>
        <i x="323" s="1" nd="1"/>
        <i x="326" s="1" nd="1"/>
        <i x="317" s="1" nd="1"/>
        <i x="306" s="1" nd="1"/>
        <i x="314" s="1" nd="1"/>
        <i x="307" s="1" nd="1"/>
        <i x="312" s="1" nd="1"/>
        <i x="246" s="1" nd="1"/>
        <i x="316" s="1" nd="1"/>
        <i x="322" s="1" nd="1"/>
        <i x="319" s="1" nd="1"/>
        <i x="324" s="1" nd="1"/>
        <i x="320" s="1" nd="1"/>
        <i x="286" s="1" nd="1"/>
        <i x="325" s="1" nd="1"/>
        <i x="327" s="1" nd="1"/>
        <i x="248" s="1" nd="1"/>
        <i x="255" s="1" nd="1"/>
        <i x="328" s="1" nd="1"/>
        <i x="252" s="1" nd="1"/>
        <i x="253" s="1" nd="1"/>
        <i x="247" s="1" nd="1"/>
        <i x="251" s="1" nd="1"/>
        <i x="139" s="1" nd="1"/>
        <i x="249" s="1" nd="1"/>
        <i x="258" s="1" nd="1"/>
        <i x="254" s="1" nd="1"/>
        <i x="256" s="1" nd="1"/>
        <i x="259" s="1" nd="1"/>
        <i x="266" s="1" nd="1"/>
        <i x="257" s="1" nd="1"/>
        <i x="265" s="1" nd="1"/>
        <i x="270" s="1" nd="1"/>
        <i x="264" s="1" nd="1"/>
        <i x="267" s="1" nd="1"/>
        <i x="277" s="1" nd="1"/>
        <i x="263" s="1" nd="1"/>
        <i x="260" s="1" nd="1"/>
        <i x="261" s="1" nd="1"/>
        <i x="276" s="1" nd="1"/>
        <i x="135" s="1" nd="1"/>
        <i x="269" s="1" nd="1"/>
        <i x="280" s="1" nd="1"/>
        <i x="275" s="1" nd="1"/>
        <i x="268" s="1" nd="1"/>
        <i x="292" s="1" nd="1"/>
        <i x="273" s="1" nd="1"/>
        <i x="283" s="1" nd="1"/>
        <i x="281" s="1" nd="1"/>
        <i x="271" s="1" nd="1"/>
        <i x="279" s="1" nd="1"/>
        <i x="278" s="1" nd="1"/>
        <i x="274" s="1" nd="1"/>
        <i x="284" s="1" nd="1"/>
        <i x="282" s="1" nd="1"/>
        <i x="285" s="1" nd="1"/>
        <i x="272" s="1" nd="1"/>
        <i x="214" s="1" nd="1"/>
        <i x="287" s="1" nd="1"/>
        <i x="288" s="1" nd="1"/>
        <i x="173" s="1" nd="1"/>
        <i x="175" s="1" nd="1"/>
        <i x="295" s="1" nd="1"/>
        <i x="169" s="1" nd="1"/>
        <i x="215" s="1" nd="1"/>
        <i x="289" s="1" nd="1"/>
        <i x="290" s="1" nd="1"/>
        <i x="172" s="1" nd="1"/>
        <i x="297" s="1" nd="1"/>
        <i x="171" s="1" nd="1"/>
        <i x="186" s="1" nd="1"/>
        <i x="296" s="1" nd="1"/>
        <i x="291" s="1" nd="1"/>
        <i x="190" s="1" nd="1"/>
        <i x="294" s="1" nd="1"/>
        <i x="293" s="1" nd="1"/>
        <i x="211" s="1" nd="1"/>
        <i x="164" s="1" nd="1"/>
        <i x="176" s="1" nd="1"/>
        <i x="212" s="1" nd="1"/>
        <i x="210" s="1" nd="1"/>
        <i x="168" s="1" nd="1"/>
        <i x="170" s="1" nd="1"/>
        <i x="174" s="1" nd="1"/>
        <i x="165" s="1" nd="1"/>
        <i x="200" s="1" nd="1"/>
        <i x="205" s="1" nd="1"/>
        <i x="166" s="1" nd="1"/>
        <i x="167" s="1" nd="1"/>
        <i x="177" s="1" nd="1"/>
        <i x="180" s="1" nd="1"/>
        <i x="187" s="1" nd="1"/>
        <i x="179" s="1" nd="1"/>
        <i x="182" s="1" nd="1"/>
        <i x="181" s="1" nd="1"/>
        <i x="223" s="1" nd="1"/>
        <i x="178" s="1" nd="1"/>
        <i x="203" s="1" nd="1"/>
        <i x="218" s="1" nd="1"/>
        <i x="183" s="1" nd="1"/>
        <i x="208" s="1" nd="1"/>
        <i x="220" s="1" nd="1"/>
        <i x="192" s="1" nd="1"/>
        <i x="232" s="1" nd="1"/>
        <i x="191" s="1" nd="1"/>
        <i x="188" s="1" nd="1"/>
        <i x="184" s="1" nd="1"/>
        <i x="185" s="1" nd="1"/>
        <i x="204" s="1" nd="1"/>
        <i x="193" s="1" nd="1"/>
        <i x="116" s="1" nd="1"/>
        <i x="194" s="1" nd="1"/>
        <i x="189" s="1" nd="1"/>
        <i x="196" s="1" nd="1"/>
        <i x="197" s="1" nd="1"/>
        <i x="225" s="1" nd="1"/>
        <i x="195" s="1" nd="1"/>
        <i x="213" s="1" nd="1"/>
        <i x="201" s="1" nd="1"/>
        <i x="198" s="1" nd="1"/>
        <i x="202" s="1" nd="1"/>
        <i x="199" s="1" nd="1"/>
        <i x="206" s="1" nd="1"/>
        <i x="224" s="1" nd="1"/>
        <i x="219" s="1" nd="1"/>
        <i x="238" s="1" nd="1"/>
        <i x="207" s="1" nd="1"/>
        <i x="109" s="1" nd="1"/>
        <i x="217" s="1" nd="1"/>
        <i x="209" s="1" nd="1"/>
        <i x="233" s="1" nd="1"/>
        <i x="216" s="1" nd="1"/>
        <i x="231" s="1" nd="1"/>
        <i x="117" s="1" nd="1"/>
        <i x="222" s="1" nd="1"/>
        <i x="221" s="1" nd="1"/>
        <i x="237" s="1" nd="1"/>
        <i x="234" s="1" nd="1"/>
        <i x="128" s="1" nd="1"/>
        <i x="242" s="1" nd="1"/>
        <i x="226" s="1" nd="1"/>
        <i x="235" s="1" nd="1"/>
        <i x="240" s="1" nd="1"/>
        <i x="119" s="1" nd="1"/>
        <i x="145" s="1" nd="1"/>
        <i x="244" s="1" nd="1"/>
        <i x="241" s="1" nd="1"/>
        <i x="110" s="1" nd="1"/>
        <i x="130" s="1" nd="1"/>
        <i x="236" s="1" nd="1"/>
        <i x="112" s="1" nd="1"/>
        <i x="227" s="1" nd="1"/>
        <i x="230" s="1" nd="1"/>
        <i x="127" s="1" nd="1"/>
        <i x="239" s="1" nd="1"/>
        <i x="228" s="1" nd="1"/>
        <i x="229" s="1" nd="1"/>
        <i x="114" s="1" nd="1"/>
        <i x="132" s="1" nd="1"/>
        <i x="133" s="1" nd="1"/>
        <i x="146" s="1" nd="1"/>
        <i x="243" s="1" nd="1"/>
        <i x="108" s="1" nd="1"/>
        <i x="131" s="1" nd="1"/>
        <i x="124" s="1" nd="1"/>
        <i x="111" s="1" nd="1"/>
        <i x="115" s="1" nd="1"/>
        <i x="121" s="1" nd="1"/>
        <i x="113" s="1" nd="1"/>
        <i x="137" s="1" nd="1"/>
        <i x="141" s="1" nd="1"/>
        <i x="142" s="1" nd="1"/>
        <i x="134" s="1" nd="1"/>
        <i x="118" s="1" nd="1"/>
        <i x="120" s="1" nd="1"/>
        <i x="122" s="1" nd="1"/>
        <i x="125" s="1" nd="1"/>
        <i x="138" s="1" nd="1"/>
        <i x="123" s="1" nd="1"/>
        <i x="144" s="1" nd="1"/>
        <i x="76" s="1" nd="1"/>
        <i x="55" s="1" nd="1"/>
        <i x="159" s="1" nd="1"/>
        <i x="126" s="1" nd="1"/>
        <i x="147" s="1" nd="1"/>
        <i x="143" s="1" nd="1"/>
        <i x="129" s="1" nd="1"/>
        <i x="151" s="1" nd="1"/>
        <i x="87" s="1" nd="1"/>
        <i x="50" s="1" nd="1"/>
        <i x="136" s="1" nd="1"/>
        <i x="160" s="1" nd="1"/>
        <i x="140" s="1" nd="1"/>
        <i x="163" s="1" nd="1"/>
        <i x="150" s="1" nd="1"/>
        <i x="155" s="1" nd="1"/>
        <i x="32" s="1" nd="1"/>
        <i x="152" s="1" nd="1"/>
        <i x="154" s="1" nd="1"/>
        <i x="72" s="1" nd="1"/>
        <i x="40" s="1" nd="1"/>
        <i x="149" s="1" nd="1"/>
        <i x="37" s="1" nd="1"/>
        <i x="148" s="1" nd="1"/>
        <i x="49" s="1" nd="1"/>
        <i x="33" s="1" nd="1"/>
        <i x="31" s="1" nd="1"/>
        <i x="153" s="1" nd="1"/>
        <i x="47" s="1" nd="1"/>
        <i x="41" s="1" nd="1"/>
        <i x="52" s="1" nd="1"/>
        <i x="69" s="1" nd="1"/>
        <i x="46" s="1" nd="1"/>
        <i x="57" s="1" nd="1"/>
        <i x="51" s="1" nd="1"/>
        <i x="48" s="1" nd="1"/>
        <i x="161" s="1" nd="1"/>
        <i x="105" s="1" nd="1"/>
        <i x="59" s="1" nd="1"/>
        <i x="60" s="1" nd="1"/>
        <i x="157" s="1" nd="1"/>
        <i x="156" s="1" nd="1"/>
        <i x="34" s="1" nd="1"/>
        <i x="36" s="1" nd="1"/>
        <i x="67" s="1" nd="1"/>
        <i x="43" s="1" nd="1"/>
        <i x="162" s="1" nd="1"/>
        <i x="101" s="1" nd="1"/>
        <i x="92" s="1" nd="1"/>
        <i x="80" s="1" nd="1"/>
        <i x="54" s="1" nd="1"/>
        <i x="39" s="1" nd="1"/>
        <i x="70" s="1" nd="1"/>
        <i x="89" s="1" nd="1"/>
        <i x="81" s="1" nd="1"/>
        <i x="77" s="1" nd="1"/>
        <i x="45" s="1" nd="1"/>
        <i x="65" s="1" nd="1"/>
        <i x="64" s="1" nd="1"/>
        <i x="79" s="1" nd="1"/>
        <i x="66" s="1" nd="1"/>
        <i x="158" s="1" nd="1"/>
        <i x="42" s="1" nd="1"/>
        <i x="38" s="1" nd="1"/>
        <i x="68" s="1" nd="1"/>
        <i x="35" s="1" nd="1"/>
        <i x="73" s="1" nd="1"/>
        <i x="74" s="1" nd="1"/>
        <i x="78" s="1" nd="1"/>
        <i x="58" s="1" nd="1"/>
        <i x="53" s="1" nd="1"/>
        <i x="86" s="1" nd="1"/>
        <i x="85" s="1" nd="1"/>
        <i x="90" s="1" nd="1"/>
        <i x="44" s="1" nd="1"/>
        <i x="88" s="1" nd="1"/>
        <i x="75" s="1" nd="1"/>
        <i x="56" s="1" nd="1"/>
        <i x="61" s="1" nd="1"/>
        <i x="62" s="1" nd="1"/>
        <i x="71" s="1" nd="1"/>
        <i x="63" s="1" nd="1"/>
        <i x="82" s="1" nd="1"/>
        <i x="93" s="1" nd="1"/>
        <i x="83" s="1" nd="1"/>
        <i x="99" s="1" nd="1"/>
        <i x="96" s="1" nd="1"/>
        <i x="94" s="1" nd="1"/>
        <i x="106" s="1" nd="1"/>
        <i x="100" s="1" nd="1"/>
        <i x="107" s="1" nd="1"/>
        <i x="102" s="1" nd="1"/>
        <i x="103" s="1" nd="1"/>
        <i x="84" s="1" nd="1"/>
        <i x="97" s="1" nd="1"/>
        <i x="104" s="1" nd="1"/>
        <i x="95" s="1" nd="1"/>
        <i x="98" s="1" nd="1"/>
        <i x="91" s="1" nd="1"/>
        <i x="3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dataDxfId="118">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4" totalsRowCount="1" headerRowDxfId="108" dataDxfId="107" headerRowCellStyle="Comma" dataCellStyle="Comma">
  <autoFilter ref="A1:K113"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86" headerRowBorderDxfId="85" tableBorderDxfId="84">
  <autoFilter ref="A1:I59"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18" totalsRowCount="1">
  <autoFilter ref="A1:G217"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2" totalsRowCount="1" headerRowDxfId="46" headerRowBorderDxfId="45">
  <autoFilter ref="A1:I1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1" headerRowBorderDxfId="40">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200789.02926115584</v>
      </c>
      <c r="D2">
        <v>10</v>
      </c>
      <c r="E2" s="14">
        <f>(SUMIFS(ledger!G:G, ledger!B:B, B2, ledger!E:E, "&lt;&gt;*RD*",ledger!D:D, "Silky") / 1.0936)*12 + (SUMIFS(ledger!G:G, ledger!B:B, B2, ledger!E:E, "&lt;&gt;*RD*",ledger!D:D, "Chamki") / 1.0936)*10</f>
        <v>1579608.6320409658</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2754521.8824</v>
      </c>
      <c r="S5" s="22" cm="1">
        <f t="array" ref="S5">_xlfn.BYROW(B49, _xlfn.LAMBDA(_xlpm.party, SUMIFS(ledger!G:G, ledger!B:B, _xlpm.party, ledger!E:E, "&lt;&gt;*RD*") / 1.0936 ))+_xlfn.IFNA(D84,0)</f>
        <v>2518765.43745428</v>
      </c>
      <c r="T5" s="22" cm="1">
        <f t="array" ref="T5">(_xlfn.BYROW(B49,_xlfn.LAMBDA(_xlpm.party,SUMIFS(ledger!G:G,ledger!B:B,_xlpm.party,ledger!E:E,"&lt;&gt;*RD*",ledger!D:D,"Chamki")+SUMIFS(ledger!G:G, ledger!B:B, _xlpm.party, ledger!E:E, "&lt;&gt;*RD*", ledger!D:D, "Crinkle")))/1.0936)+_xlfn.IFNA(E84,0)</f>
        <v>2236296.5274323337</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22362965.274323341</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25946705.21580103</v>
      </c>
      <c r="AD5" s="22">
        <f>(SUMIF(Table14[Party],Q5,Table14[Credit]))+_xlfn.IFNA(O84,0)</f>
        <v>19750734</v>
      </c>
      <c r="AE5" s="33">
        <f>AC5-AD5</f>
        <v>6195971.2158010304</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4171992</v>
      </c>
      <c r="AE6" s="33">
        <f t="shared" ref="AE6:AE31" si="2">AC6-AD6</f>
        <v>443937.95610826649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6552935</v>
      </c>
      <c r="AE7" s="33">
        <f t="shared" si="2"/>
        <v>375482.15435259789</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10869060</v>
      </c>
      <c r="AE9" s="33">
        <f t="shared" si="2"/>
        <v>609704.2384784203</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1100000</v>
      </c>
      <c r="AE11" s="33">
        <f t="shared" si="2"/>
        <v>526380.76079005143</v>
      </c>
      <c r="AF11" s="21">
        <v>10</v>
      </c>
      <c r="AG11" s="21">
        <v>13</v>
      </c>
    </row>
    <row r="12" spans="2:33" x14ac:dyDescent="0.3">
      <c r="B12" t="str">
        <f t="shared" si="0"/>
        <v>Hafiz Qureshi</v>
      </c>
      <c r="C12" s="18">
        <f>SUMIFS(ledger!G:G, ledger!B:B, B12, ledger!E:E, "&lt;&gt;*RD*") / 1.0936</f>
        <v>77208.302852962704</v>
      </c>
      <c r="E12" s="14">
        <f>(SUMIFS(ledger!G:G, ledger!B:B, B12, ledger!E:E, "&lt;&gt;*RD*",ledger!D:D, "Silky") / 1.0936)*12 + (SUMIFS(ledger!G:G, ledger!B:B, B12, ledger!E:E, "&lt;&gt;*RD*",ledger!D:D, "Chamki") / 1.0936)*10</f>
        <v>772083.02852962702</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287250</v>
      </c>
      <c r="S15" s="22" cm="1">
        <f t="array" ref="S15">_xlfn.BYROW(B59, _xlfn.LAMBDA(_xlpm.party, SUMIFS(ledger!G:G, ledger!B:B, _xlpm.party, ledger!E:E, "&lt;&gt;*RD*") / 1.0936 ))+_xlfn.IFNA(D94,0)</f>
        <v>262664.59400146309</v>
      </c>
      <c r="T15" s="22" cm="1">
        <f t="array" ref="T15">(_xlfn.BYROW(B59,_xlfn.LAMBDA(_xlpm.party,SUMIFS(ledger!G:G,ledger!B:B,_xlpm.party,ledger!E:E,"&lt;&gt;*RD*",ledger!D:D,"Chamki")+SUMIFS(ledger!G:G, ledger!B:B, _xlpm.party, ledger!E:E, "&lt;&gt;*RD*", ledger!D:D, "Crinkle")))/1.0936)+_xlfn.IFNA(E94,0)</f>
        <v>262664.59400146309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2626645.940014631</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2626645.940014631</v>
      </c>
      <c r="AD15" s="22">
        <f>(SUMIF(Table14[Party],Q15,Table14[Credit]))+_xlfn.IFNA(O94,0)</f>
        <v>2111380</v>
      </c>
      <c r="AE15" s="33">
        <f t="shared" si="2"/>
        <v>515265.94001463102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5815761</v>
      </c>
      <c r="AE16" s="33">
        <f t="shared" si="2"/>
        <v>286606.4103877116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7678658.3979517203</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7678658.3979517203</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93232</v>
      </c>
      <c r="S24" s="22" cm="1">
        <f t="array" ref="S24">_xlfn.BYROW(B68, _xlfn.LAMBDA(_xlpm.party, SUMIFS(ledger!G:G, ledger!B:B, _xlpm.party, ledger!E:E, "&lt;&gt;*RD*") / 1.0936 ))+_xlfn.IFNA(D103,0)</f>
        <v>85252.377468910039</v>
      </c>
      <c r="T24" s="22" cm="1">
        <f t="array" ref="T24">(_xlfn.BYROW(B68,_xlfn.LAMBDA(_xlpm.party,SUMIFS(ledger!G:G,ledger!B:B,_xlpm.party,ledger!E:E,"&lt;&gt;*RD*",ledger!D:D,"Chamki")+SUMIFS(ledger!G:G, ledger!B:B, _xlpm.party, ledger!E:E, "&lt;&gt;*RD*", ledger!D:D, "Crinkle")))/1.0936)+_xlfn.IFNA(E103,0)</f>
        <v>40372.165325530361</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403721.65325530362</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973693.30651060725</v>
      </c>
      <c r="AD24" s="22">
        <f>(SUMIF(Table14[Party],Q24,Table14[Credit]))+_xlfn.IFNA(O103,0)</f>
        <v>813525</v>
      </c>
      <c r="AE24" s="33">
        <f t="shared" si="2"/>
        <v>160168.30651060725</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2008095</v>
      </c>
      <c r="AE25" s="33">
        <f t="shared" si="2"/>
        <v>459767.10680321883</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219582.8824</v>
      </c>
      <c r="D49" s="22" cm="1">
        <f t="array" ref="D49:D74">_xlfn.BYROW(_xlfn.ANCHORARRAY(B49), _xlfn.LAMBDA(_xlpm.party, SUMIFS(ledger!G:G, ledger!B:B, _xlpm.party, ledger!E:E, "&lt;&gt;*RD*") / 1.0936 ))</f>
        <v>200789.02926115584</v>
      </c>
      <c r="E49" s="63" cm="1">
        <f t="array" ref="E49:E74">(_xlfn.BYROW(_xlfn.ANCHORARRAY(B49),_xlfn.LAMBDA(_xlpm.party,SUMIFS(ledger!G:G,ledger!B:B,_xlpm.party,ledger!E:E,"&lt;&gt;*RD*",ledger!D:D,"Chamki")+SUMIFS(ledger!G:G, ledger!B:B, _xlpm.party, ledger!E:E, "&lt;&gt;*RD*", ledger!D:D, "Crinkle")))/1.0936)</f>
        <v>200789.02926115584</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2007890.2926115585</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2007890.2926115585</v>
      </c>
      <c r="O49" s="22">
        <f>(SUMIF(Table14[Party],B49,Table14[Credit]))</f>
        <v>0</v>
      </c>
      <c r="P49" s="37">
        <f>N49-O49</f>
        <v>2007890.2926115585</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208088</v>
      </c>
      <c r="P50" s="37">
        <f>N50-O50</f>
        <v>235012.76810534019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550000</v>
      </c>
      <c r="P51" s="37">
        <f>N51-O51</f>
        <v>149839.06364301394</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239960</v>
      </c>
      <c r="P53" s="37">
        <f t="shared" si="5"/>
        <v>-0.23408924651448615</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0</v>
      </c>
      <c r="P55" s="37">
        <f t="shared" si="5"/>
        <v>232507.31528895392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200789.02926115584</v>
      </c>
      <c r="W58" s="18">
        <v>1579608.6320409658</v>
      </c>
    </row>
    <row r="59" spans="1:23" x14ac:dyDescent="0.3">
      <c r="B59" s="24" t="str">
        <v>Hafiz Qureshi</v>
      </c>
      <c r="C59" s="22">
        <v>84435</v>
      </c>
      <c r="D59" s="22">
        <v>77208.302852962704</v>
      </c>
      <c r="E59" s="63">
        <v>77208.302852962704</v>
      </c>
      <c r="F59" s="63">
        <v>0</v>
      </c>
      <c r="G59" s="22" cm="1">
        <f t="array" ref="G59">(_xlfn.BYROW(B59,_xlfn.LAMBDA(_xlpm.party,
(SUMIFS(ledger!J:J,ledger!B:B,_xlpm.party,ledger!E:E,"&lt;&gt;*RD*",ledger!D:D,"Chamki",ledger!C:C,"&lt;&gt;November Closing CF")+
SUMIFS(ledger!J:J,ledger!B:B,_xlpm.party,ledger!E:E,"&lt;&gt;*RD*",ledger!D:D,"Crinkle",ledger!C:C,"&lt;&gt;November Closing CF")
))))</f>
        <v>772083.02852962713</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772083.02852962713</v>
      </c>
      <c r="O59" s="22">
        <f>SUMIF(Table14[Party], B59, Table14[Credit])</f>
        <v>305400</v>
      </c>
      <c r="P59" s="37">
        <f t="shared" si="6"/>
        <v>466683.02852962713</v>
      </c>
      <c r="Q59" s="21">
        <v>10</v>
      </c>
      <c r="R59" s="21">
        <v>12</v>
      </c>
      <c r="U59" s="4" t="s">
        <v>22</v>
      </c>
      <c r="V59" s="5">
        <v>34084.674469641555</v>
      </c>
      <c r="W59" s="18">
        <v>409016.09363569866</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890000</v>
      </c>
      <c r="P60" s="37">
        <f t="shared" si="6"/>
        <v>192644.47695683991</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28452</v>
      </c>
      <c r="D68" s="22">
        <v>26016.825164594004</v>
      </c>
      <c r="E68" s="63">
        <v>26016.825164594004</v>
      </c>
      <c r="F68" s="63">
        <v>0</v>
      </c>
      <c r="G68" s="22" cm="1">
        <f t="array" ref="G68">(_xlfn.BYROW(B68,_xlfn.LAMBDA(_xlpm.party,
(SUMIFS(ledger!J:J,ledger!B:B,_xlpm.party,ledger!E:E,"&lt;&gt;*RD*",ledger!D:D,"Chamki",ledger!C:C,"&lt;&gt;November Closing CF")+
SUMIFS(ledger!J:J,ledger!B:B,_xlpm.party,ledger!E:E,"&lt;&gt;*RD*",ledger!D:D,"Crinkle",ledger!C:C,"&lt;&gt;November Closing CF")
))))</f>
        <v>260168.25164594001</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260168.25164594001</v>
      </c>
      <c r="O68" s="22">
        <f>SUMIF(Table14[Party], B68, Table14[Credit])</f>
        <v>813525</v>
      </c>
      <c r="P68" s="37">
        <f t="shared" si="6"/>
        <v>-553356.74835405999</v>
      </c>
      <c r="Q68" s="21">
        <v>10</v>
      </c>
      <c r="R68" s="21">
        <v>12</v>
      </c>
      <c r="U68" s="4" t="s">
        <v>27</v>
      </c>
      <c r="V68" s="5">
        <v>77208.302852962704</v>
      </c>
      <c r="W68" s="18">
        <v>772083.02852962702</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539770</v>
      </c>
      <c r="P69" s="37">
        <f t="shared" si="6"/>
        <v>269990.42428675934</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636661.37746891007</v>
      </c>
      <c r="W75" s="14">
        <v>5332060.1682516467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2008095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459767.10680321883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3209860</v>
      </c>
      <c r="D4" t="s">
        <v>190</v>
      </c>
      <c r="E4" s="43">
        <f ca="1">Table12[[#This Row],[Amount]]/Table1[[#Totals],[tiyar/meters]]</f>
        <v>4.277821593785653</v>
      </c>
    </row>
    <row r="5" spans="1:5" x14ac:dyDescent="0.3">
      <c r="B5" t="s">
        <v>48</v>
      </c>
      <c r="C5" s="11">
        <f>SUM(Table8[Price])+Dyes!P56</f>
        <v>1077660</v>
      </c>
      <c r="E5" s="43">
        <f ca="1">Table12[[#This Row],[Amount]]/Table1[[#Totals],[tiyar/meters]]</f>
        <v>1.4362113047793508</v>
      </c>
    </row>
    <row r="6" spans="1:5" x14ac:dyDescent="0.3">
      <c r="B6" t="s">
        <v>49</v>
      </c>
      <c r="C6" s="11">
        <f>SUM(Table2[Price])+Finish!K30</f>
        <v>457600</v>
      </c>
      <c r="D6" t="s">
        <v>189</v>
      </c>
      <c r="E6" s="43">
        <f ca="1">Table12[[#This Row],[Amount]]/Table1[[#Totals],[tiyar/meters]]</f>
        <v>0.6098493894800131</v>
      </c>
    </row>
    <row r="7" spans="1:5" x14ac:dyDescent="0.3">
      <c r="B7" t="s">
        <v>50</v>
      </c>
      <c r="C7" s="11">
        <f>SUMIFS(Table14[Debit], Table14[Party],Table12[[#This Row],[Type]])</f>
        <v>11275</v>
      </c>
      <c r="E7" s="43">
        <f ca="1">Table12[[#This Row],[Amount]]/Table1[[#Totals],[tiyar/meters]]</f>
        <v>1.5026337120601285E-2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120300</v>
      </c>
      <c r="E9" s="43">
        <f ca="1">Table12[[#This Row],[Amount]]/Table1[[#Totals],[tiyar/meters]]</f>
        <v>0.16032535304730242</v>
      </c>
    </row>
    <row r="10" spans="1:5" x14ac:dyDescent="0.3">
      <c r="B10" t="s">
        <v>53</v>
      </c>
      <c r="C10" s="11">
        <f>Table5[[#Totals],[Amount]]</f>
        <v>36865</v>
      </c>
      <c r="E10" s="43">
        <f ca="1">Table12[[#This Row],[Amount]]/Table1[[#Totals],[tiyar/meters]]</f>
        <v>4.9130458354852892E-2</v>
      </c>
    </row>
    <row r="11" spans="1:5" x14ac:dyDescent="0.3">
      <c r="B11" t="s">
        <v>54</v>
      </c>
      <c r="C11" s="11">
        <f>Table13[[#Totals],[Debit]]</f>
        <v>74805</v>
      </c>
      <c r="E11" s="43">
        <f ca="1">Table12[[#This Row],[Amount]]/Table1[[#Totals],[tiyar/meters]]</f>
        <v>9.9693582998366226E-2</v>
      </c>
    </row>
    <row r="12" spans="1:5" x14ac:dyDescent="0.3">
      <c r="B12" t="s">
        <v>55</v>
      </c>
      <c r="C12" s="11">
        <f>Table15[[#Totals],[Amount]]</f>
        <v>65775</v>
      </c>
      <c r="E12" s="43">
        <f ca="1">Table12[[#This Row],[Amount]]/Table1[[#Totals],[tiyar/meters]]</f>
        <v>8.7659186173618578E-2</v>
      </c>
    </row>
    <row r="13" spans="1:5" x14ac:dyDescent="0.3">
      <c r="C13" s="11"/>
      <c r="E13" s="43">
        <f ca="1">Table12[[#This Row],[Amount]]/Table1[[#Totals],[tiyar/meters]]</f>
        <v>0</v>
      </c>
    </row>
    <row r="14" spans="1:5" x14ac:dyDescent="0.3">
      <c r="C14" s="14">
        <f>SUM(Table12[Amount])</f>
        <v>5054140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7678658.3979517203</v>
      </c>
    </row>
    <row r="4" spans="1:3" x14ac:dyDescent="0.3">
      <c r="B4" s="11" t="s">
        <v>44</v>
      </c>
      <c r="C4" s="11">
        <f>Table12[[#Totals],[Amount]]</f>
        <v>5054140</v>
      </c>
    </row>
    <row r="5" spans="1:3" x14ac:dyDescent="0.3">
      <c r="A5" s="6"/>
      <c r="B5" s="15" t="s">
        <v>68</v>
      </c>
      <c r="C5" s="15">
        <f>C3-C4</f>
        <v>2624518.3979517203</v>
      </c>
    </row>
    <row r="10" spans="1:3" ht="15" thickBot="1" x14ac:dyDescent="0.35">
      <c r="B10" t="s">
        <v>66</v>
      </c>
      <c r="C10" s="14" t="s">
        <v>67</v>
      </c>
    </row>
    <row r="11" spans="1:3" x14ac:dyDescent="0.3">
      <c r="B11" s="56" t="s">
        <v>0</v>
      </c>
      <c r="C11" s="57">
        <f>C3</f>
        <v>7678658.3979517203</v>
      </c>
    </row>
    <row r="12" spans="1:3" x14ac:dyDescent="0.3">
      <c r="B12" s="58" t="s">
        <v>69</v>
      </c>
      <c r="C12" s="59">
        <f>SUM(Table14[Credit])</f>
        <v>18408081</v>
      </c>
    </row>
    <row r="13" spans="1:3" ht="15" thickBot="1" x14ac:dyDescent="0.35">
      <c r="B13" s="74" t="s">
        <v>93</v>
      </c>
      <c r="C13" s="73">
        <f>(C11-C12)</f>
        <v>-10729422.60204828</v>
      </c>
    </row>
    <row r="14" spans="1:3" ht="15" thickBot="1" x14ac:dyDescent="0.35">
      <c r="B14" s="58"/>
      <c r="C14" s="59"/>
    </row>
    <row r="15" spans="1:3" x14ac:dyDescent="0.3">
      <c r="B15" s="56" t="s">
        <v>44</v>
      </c>
      <c r="C15" s="57">
        <f>C4</f>
        <v>5054140</v>
      </c>
    </row>
    <row r="16" spans="1:3" x14ac:dyDescent="0.3">
      <c r="B16" s="58" t="s">
        <v>70</v>
      </c>
      <c r="C16" s="59">
        <f>SUM(Table14[Debit])</f>
        <v>18380337</v>
      </c>
    </row>
    <row r="17" spans="2:6" ht="15" thickBot="1" x14ac:dyDescent="0.35">
      <c r="B17" s="74" t="s">
        <v>71</v>
      </c>
      <c r="C17" s="73">
        <f>C15-C16</f>
        <v>-13326197</v>
      </c>
    </row>
    <row r="18" spans="2:6" ht="15" thickBot="1" x14ac:dyDescent="0.35">
      <c r="B18" s="58"/>
      <c r="C18" s="59"/>
    </row>
    <row r="19" spans="2:6" ht="15" thickBot="1" x14ac:dyDescent="0.35">
      <c r="B19" s="75" t="s">
        <v>72</v>
      </c>
      <c r="C19" s="76">
        <f>Table18[[#Totals],[amount]]</f>
        <v>27744</v>
      </c>
    </row>
    <row r="20" spans="2:6" ht="15" thickBot="1" x14ac:dyDescent="0.35">
      <c r="B20" s="71"/>
      <c r="C20" s="72"/>
    </row>
    <row r="21" spans="2:6" ht="15" thickBot="1" x14ac:dyDescent="0.35">
      <c r="B21" s="60" t="s">
        <v>73</v>
      </c>
      <c r="C21" s="61">
        <f>(C13-C17)+C19</f>
        <v>2624518.3979517203</v>
      </c>
      <c r="E21" s="79" t="s">
        <v>74</v>
      </c>
      <c r="F21" s="80">
        <f>C5*0.05</f>
        <v>131225.91989758602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74805</v>
      </c>
      <c r="E38">
        <f>SUBTOTAL(109,Table13[Credit])</f>
        <v>0</v>
      </c>
      <c r="F38">
        <f>Table13[[#Totals],[Debit]]-Table13[[#Totals],[Credit]]</f>
        <v>74805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1" zoomScaleNormal="82" workbookViewId="0">
      <selection activeCell="G116" sqref="G11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29.755226469774399</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87.268730311889087</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c r="B114"/>
      <c r="C114"/>
      <c r="D114"/>
      <c r="E114" s="14"/>
      <c r="F114" s="14"/>
      <c r="G114" s="14"/>
      <c r="H114" s="43"/>
      <c r="I114" s="94" cm="1">
        <f t="array" aca="1" ref="I114" ca="1">SUMPRODUCT( SUBTOTAL(109, OFFSET(Table1[tiyar/meters], ROW(Table1[tiyar/meters])-MIN(ROW(Table1[tiyar/meters])), 0, 1)), --(Table1[Bill Number]&lt;&gt;"November Closing CF") )</f>
        <v>750349.19751280185</v>
      </c>
      <c r="J114" s="43" cm="1">
        <f t="array" aca="1" ref="J114" ca="1">SUMPRODUCT( SUBTOTAL(109, OFFSET(Table1[billing], ROW(Table1[billing])-MIN(ROW(Table1[billing])), 0, 1)), --(Table1[Bill Number]&lt;&gt;"November Closing CF") )</f>
        <v>7678658.3979517194</v>
      </c>
      <c r="K114" s="14">
        <f>SUMIFS(Table1[billing], Table1[Bill Number], "&lt;&gt;November Closing CF")</f>
        <v>7678658.3979517194</v>
      </c>
      <c r="O114"/>
      <c r="P114"/>
      <c r="Q114"/>
    </row>
    <row r="115" spans="1:17" x14ac:dyDescent="0.3">
      <c r="O115"/>
      <c r="P115"/>
      <c r="Q115"/>
    </row>
    <row r="116" spans="1:17" x14ac:dyDescent="0.3">
      <c r="O116"/>
      <c r="P116"/>
      <c r="Q116"/>
    </row>
    <row r="117" spans="1:17" x14ac:dyDescent="0.3">
      <c r="O117"/>
      <c r="P117"/>
      <c r="Q117"/>
    </row>
    <row r="118" spans="1:17" x14ac:dyDescent="0.3">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4">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0"/>
  <sheetViews>
    <sheetView topLeftCell="A45" zoomScale="145"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2637760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731400</v>
      </c>
      <c r="O40" s="14">
        <v>185000</v>
      </c>
      <c r="P40" s="14">
        <v>546400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263</v>
      </c>
      <c r="N43" s="14">
        <v>152540</v>
      </c>
      <c r="O43" s="14"/>
      <c r="P43" s="14">
        <v>152540</v>
      </c>
    </row>
    <row r="44" spans="1:16" x14ac:dyDescent="0.3">
      <c r="A44" s="1">
        <v>46018</v>
      </c>
      <c r="B44" t="s">
        <v>169</v>
      </c>
      <c r="C44" t="s">
        <v>334</v>
      </c>
      <c r="D44" s="11">
        <v>135</v>
      </c>
      <c r="E44" s="11">
        <v>580</v>
      </c>
      <c r="F44" s="11"/>
      <c r="G44" s="11">
        <f t="shared" si="5"/>
        <v>78300</v>
      </c>
      <c r="H44" s="11"/>
      <c r="I44" s="11">
        <f>(D44*E44)-Table3[[#This Row],[Paid]]</f>
        <v>78300</v>
      </c>
      <c r="L44" s="26">
        <v>46020</v>
      </c>
      <c r="M44" s="14"/>
      <c r="N44" s="14">
        <v>0</v>
      </c>
      <c r="O44" s="14">
        <v>100000</v>
      </c>
      <c r="P44" s="14">
        <v>-100000</v>
      </c>
    </row>
    <row r="45" spans="1:16" x14ac:dyDescent="0.3">
      <c r="A45" s="1">
        <v>46018</v>
      </c>
      <c r="B45" t="s">
        <v>200</v>
      </c>
      <c r="C45" t="s">
        <v>297</v>
      </c>
      <c r="D45" s="11">
        <v>201</v>
      </c>
      <c r="E45" s="11">
        <v>820</v>
      </c>
      <c r="F45" s="11"/>
      <c r="G45" s="11">
        <f>D45*E45</f>
        <v>164820</v>
      </c>
      <c r="H45" s="11"/>
      <c r="I45" s="11">
        <f>(D45*E45)-Table3[[#This Row],[Paid]]</f>
        <v>164820</v>
      </c>
      <c r="L45" s="42" t="s">
        <v>103</v>
      </c>
      <c r="M45" s="14"/>
      <c r="N45" s="14">
        <v>0</v>
      </c>
      <c r="O45" s="14">
        <v>100000</v>
      </c>
      <c r="P45" s="14">
        <v>-100000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c r="N46" s="14">
        <v>0</v>
      </c>
      <c r="O46" s="14">
        <v>0</v>
      </c>
      <c r="P46" s="14">
        <v>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c r="N47" s="14">
        <v>0</v>
      </c>
      <c r="O47" s="14">
        <v>0</v>
      </c>
      <c r="P47" s="14">
        <v>0</v>
      </c>
    </row>
    <row r="48" spans="1:16" x14ac:dyDescent="0.3">
      <c r="A48" s="1">
        <v>46018</v>
      </c>
      <c r="B48" t="s">
        <v>169</v>
      </c>
      <c r="C48" t="s">
        <v>334</v>
      </c>
      <c r="D48" s="11">
        <v>128</v>
      </c>
      <c r="E48" s="11">
        <v>580</v>
      </c>
      <c r="F48" s="11"/>
      <c r="G48" s="11">
        <f t="shared" ref="G48:G50" si="8">D48*E48</f>
        <v>74240</v>
      </c>
      <c r="H48" s="11"/>
      <c r="I48" s="11">
        <f>(D48*E48)-Table3[[#This Row],[Paid]]</f>
        <v>74240</v>
      </c>
      <c r="L48" s="26" t="s">
        <v>28</v>
      </c>
      <c r="M48" s="14">
        <v>3226</v>
      </c>
      <c r="N48" s="14">
        <v>2432870</v>
      </c>
      <c r="O48" s="14">
        <v>2201650</v>
      </c>
      <c r="P48" s="14">
        <v>3552648</v>
      </c>
    </row>
    <row r="49" spans="1:9" x14ac:dyDescent="0.3">
      <c r="A49" s="1">
        <v>46020</v>
      </c>
      <c r="B49" t="s">
        <v>169</v>
      </c>
      <c r="D49" s="11"/>
      <c r="E49" s="11"/>
      <c r="F49" s="11"/>
      <c r="G49" s="11">
        <f t="shared" si="8"/>
        <v>0</v>
      </c>
      <c r="H49" s="11">
        <f>SUMIFS(Table14[Debit], Table14[Date], Table3[[#This Row],[Date]], Table14[Party], Table3[[#This Row],[Party Name]])</f>
        <v>100000</v>
      </c>
      <c r="I49" s="11">
        <f>(D49*E49)-Table3[[#This Row],[Paid]]</f>
        <v>-100000</v>
      </c>
    </row>
    <row r="50" spans="1:9" x14ac:dyDescent="0.3">
      <c r="A50" s="1">
        <v>46019</v>
      </c>
      <c r="B50" t="s">
        <v>200</v>
      </c>
      <c r="D50" s="11"/>
      <c r="E50" s="11"/>
      <c r="F50" s="11"/>
      <c r="G50" s="11">
        <f t="shared" si="8"/>
        <v>0</v>
      </c>
      <c r="H50" s="11">
        <f>SUMIFS(Table14[Debit], Table14[Date], Table3[[#This Row],[Date]], Table14[Party], Table3[[#This Row],[Party Name]])</f>
        <v>0</v>
      </c>
      <c r="I50" s="11">
        <f>(D50*E50)-Table3[[#This Row],[Paid]]</f>
        <v>0</v>
      </c>
    </row>
    <row r="51" spans="1:9" x14ac:dyDescent="0.3">
      <c r="A51" s="1">
        <v>46019</v>
      </c>
      <c r="B51" t="s">
        <v>169</v>
      </c>
      <c r="D51" s="11">
        <v>116</v>
      </c>
      <c r="E51" s="11">
        <v>775</v>
      </c>
      <c r="F51" s="11"/>
      <c r="G51" s="11">
        <f t="shared" ref="G51:G52" si="9">D51*E51</f>
        <v>89900</v>
      </c>
      <c r="H51" s="11"/>
      <c r="I51" s="11">
        <f>(D51*E51)-Table3[[#This Row],[Paid]]</f>
        <v>89900</v>
      </c>
    </row>
    <row r="52" spans="1:9" x14ac:dyDescent="0.3">
      <c r="A52" s="1">
        <v>46019</v>
      </c>
      <c r="B52" t="s">
        <v>169</v>
      </c>
      <c r="D52" s="11">
        <v>20</v>
      </c>
      <c r="E52" s="11">
        <v>580</v>
      </c>
      <c r="F52" s="11"/>
      <c r="G52" s="11">
        <f t="shared" si="9"/>
        <v>11600</v>
      </c>
      <c r="H52" s="11"/>
      <c r="I52" s="11">
        <f>(D52*E52)-Table3[[#This Row],[Paid]]</f>
        <v>11600</v>
      </c>
    </row>
    <row r="53" spans="1:9" x14ac:dyDescent="0.3">
      <c r="A53" s="1">
        <v>46020</v>
      </c>
      <c r="B53" t="s">
        <v>169</v>
      </c>
      <c r="D53" s="11">
        <v>90</v>
      </c>
      <c r="E53" s="11">
        <v>775</v>
      </c>
      <c r="F53" s="11"/>
      <c r="G53" s="11">
        <f t="shared" ref="G53:G59" si="10">D53*E53</f>
        <v>69750</v>
      </c>
      <c r="H53" s="11"/>
      <c r="I53" s="11">
        <f>(D53*E53)-Table3[[#This Row],[Paid]]</f>
        <v>69750</v>
      </c>
    </row>
    <row r="54" spans="1:9" x14ac:dyDescent="0.3">
      <c r="A54" s="1">
        <v>46020</v>
      </c>
      <c r="B54" t="s">
        <v>169</v>
      </c>
      <c r="D54" s="11">
        <v>58</v>
      </c>
      <c r="E54" s="11">
        <v>580</v>
      </c>
      <c r="F54" s="11"/>
      <c r="G54" s="11">
        <f t="shared" si="10"/>
        <v>33640</v>
      </c>
      <c r="H54" s="11"/>
      <c r="I54" s="11">
        <f>(D54*E54)-Table3[[#This Row],[Paid]]</f>
        <v>33640</v>
      </c>
    </row>
    <row r="55" spans="1:9" x14ac:dyDescent="0.3">
      <c r="A55" s="1">
        <v>46021</v>
      </c>
      <c r="B55" t="s">
        <v>169</v>
      </c>
      <c r="D55" s="11"/>
      <c r="E55" s="11"/>
      <c r="F55" s="11"/>
      <c r="G55" s="11">
        <f t="shared" si="10"/>
        <v>0</v>
      </c>
      <c r="H55" s="11">
        <f>SUMIFS(Table14[Debit], Table14[Date], Table3[[#This Row],[Date]], Table14[Party], Table3[[#This Row],[Party Name]])</f>
        <v>250000</v>
      </c>
      <c r="I55" s="11">
        <f>(D55*E55)-Table3[[#This Row],[Paid]]</f>
        <v>-250000</v>
      </c>
    </row>
    <row r="56" spans="1:9" x14ac:dyDescent="0.3">
      <c r="A56" s="1">
        <v>46021</v>
      </c>
      <c r="B56" t="s">
        <v>200</v>
      </c>
      <c r="D56" s="11"/>
      <c r="E56" s="11"/>
      <c r="F56" s="11"/>
      <c r="G56" s="11">
        <f t="shared" si="10"/>
        <v>0</v>
      </c>
      <c r="H56" s="11">
        <f>SUMIFS(Table14[Debit], Table14[Date], Table3[[#This Row],[Date]], Table14[Party], Table3[[#This Row],[Party Name]])</f>
        <v>205401</v>
      </c>
      <c r="I56" s="11">
        <f>(D56*E56)-Table3[[#This Row],[Paid]]</f>
        <v>-205401</v>
      </c>
    </row>
    <row r="57" spans="1:9" x14ac:dyDescent="0.3">
      <c r="A57" s="1">
        <v>46021</v>
      </c>
      <c r="B57" t="s">
        <v>241</v>
      </c>
      <c r="D57" s="11"/>
      <c r="E57" s="11"/>
      <c r="F57" s="11"/>
      <c r="G57" s="11">
        <f t="shared" si="10"/>
        <v>0</v>
      </c>
      <c r="H57" s="11">
        <f>SUMIFS(Table14[Debit], Table14[Date], Table3[[#This Row],[Date]], Table14[Party], Table3[[#This Row],[Party Name]])</f>
        <v>11850</v>
      </c>
      <c r="I57" s="11">
        <f>(D57*E57)-Table3[[#This Row],[Paid]]</f>
        <v>-11850</v>
      </c>
    </row>
    <row r="58" spans="1:9" x14ac:dyDescent="0.3">
      <c r="A58" s="1">
        <v>46021</v>
      </c>
      <c r="B58" t="s">
        <v>202</v>
      </c>
      <c r="D58" s="11"/>
      <c r="E58" s="11"/>
      <c r="F58" s="11"/>
      <c r="G58" s="11">
        <f t="shared" si="10"/>
        <v>0</v>
      </c>
      <c r="H58" s="11">
        <f>SUMIFS(Table14[Debit], Table14[Date], Table3[[#This Row],[Date]], Table14[Party], Table3[[#This Row],[Party Name]])</f>
        <v>27000</v>
      </c>
      <c r="I58" s="11">
        <f>(D58*E58)-Table3[[#This Row],[Paid]]</f>
        <v>-27000</v>
      </c>
    </row>
    <row r="59" spans="1:9" x14ac:dyDescent="0.3">
      <c r="A59" s="1">
        <v>46021</v>
      </c>
      <c r="B59" t="s">
        <v>94</v>
      </c>
      <c r="D59" s="11"/>
      <c r="E59" s="11"/>
      <c r="F59" s="11"/>
      <c r="G59" s="11">
        <f t="shared" si="10"/>
        <v>0</v>
      </c>
      <c r="H59" s="11">
        <f>SUMIFS(Table14[Debit], Table14[Date], Table3[[#This Row],[Date]], Table14[Party], Table3[[#This Row],[Party Name]])</f>
        <v>1000</v>
      </c>
      <c r="I59" s="11">
        <f>(D59*E59)-Table3[[#This Row],[Paid]]</f>
        <v>-1000</v>
      </c>
    </row>
    <row r="60" spans="1:9" x14ac:dyDescent="0.3">
      <c r="A60" s="1"/>
      <c r="D60" s="14"/>
      <c r="E60" s="14"/>
      <c r="F60" s="14"/>
      <c r="G60" s="14">
        <f>SUBTOTAL(109,Table3[Total])</f>
        <v>2637760</v>
      </c>
      <c r="H60" s="14">
        <f>SUBTOTAL(109,Table3[Paid])</f>
        <v>2696901</v>
      </c>
      <c r="I60" s="14">
        <f>SUBTOTAL(109,Table3[balance])</f>
        <v>3262287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180" zoomScale="158" workbookViewId="0">
      <selection activeCell="E185" sqref="E18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7791062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18380337</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18408081</v>
      </c>
      <c r="M5" s="45" t="s">
        <v>108</v>
      </c>
      <c r="N5" s="46">
        <f>(SUMIFS(Table14[Credit],Table14[Mode],"Bank")-SUMIFS(Table14[Debit],Table14[Mode],"Bank")-SUMIFS(Table14[Withdrawal],Table14[Mode],"Transfer"))</f>
        <v>638660</v>
      </c>
      <c r="O5">
        <v>360000</v>
      </c>
    </row>
    <row r="6" spans="1:16" x14ac:dyDescent="0.3">
      <c r="A6" s="38">
        <v>46009</v>
      </c>
      <c r="B6" t="s">
        <v>177</v>
      </c>
      <c r="C6" s="96">
        <v>3600</v>
      </c>
      <c r="D6" s="96"/>
      <c r="E6" t="s">
        <v>218</v>
      </c>
      <c r="F6" s="111" t="s">
        <v>108</v>
      </c>
      <c r="J6" s="52" t="s">
        <v>43</v>
      </c>
      <c r="K6" s="53">
        <f>(K5-K4)</f>
        <v>27744</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27744</v>
      </c>
      <c r="O7" s="90">
        <f>SUM(O5,O6)</f>
        <v>410000</v>
      </c>
      <c r="P7" s="14">
        <f>Table18[[#Totals],[amount]]-Table18[[#Totals],[Actual]]</f>
        <v>-382256</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120300</v>
      </c>
    </row>
    <row r="165" spans="1:12" x14ac:dyDescent="0.3">
      <c r="A165" s="38">
        <v>46018</v>
      </c>
      <c r="B165" t="s">
        <v>54</v>
      </c>
      <c r="C165" s="11">
        <v>2500</v>
      </c>
      <c r="D165" s="11"/>
      <c r="E165" t="s">
        <v>236</v>
      </c>
      <c r="F165" s="111" t="s">
        <v>108</v>
      </c>
      <c r="J165" s="4" t="s">
        <v>9</v>
      </c>
      <c r="K165" s="14">
        <v>550000</v>
      </c>
      <c r="L165" s="14"/>
    </row>
    <row r="166" spans="1:12" x14ac:dyDescent="0.3">
      <c r="A166" s="38">
        <v>46018</v>
      </c>
      <c r="B166" t="s">
        <v>55</v>
      </c>
      <c r="C166" s="11">
        <v>1000</v>
      </c>
      <c r="D166" s="11"/>
      <c r="F166" s="111" t="s">
        <v>108</v>
      </c>
      <c r="J166" s="4" t="s">
        <v>94</v>
      </c>
      <c r="K166" s="14"/>
      <c r="L166" s="14">
        <v>454825</v>
      </c>
    </row>
    <row r="167" spans="1:12" x14ac:dyDescent="0.3">
      <c r="A167" s="38">
        <v>46018</v>
      </c>
      <c r="B167" t="s">
        <v>50</v>
      </c>
      <c r="C167" s="11">
        <v>1000</v>
      </c>
      <c r="D167" s="11"/>
      <c r="E167" t="s">
        <v>217</v>
      </c>
      <c r="F167" s="111" t="s">
        <v>108</v>
      </c>
      <c r="J167" s="4" t="s">
        <v>50</v>
      </c>
      <c r="K167" s="14"/>
      <c r="L167" s="14">
        <v>11275</v>
      </c>
    </row>
    <row r="168" spans="1:12" x14ac:dyDescent="0.3">
      <c r="A168" s="38">
        <v>46019</v>
      </c>
      <c r="B168" t="s">
        <v>55</v>
      </c>
      <c r="C168" s="96">
        <v>2630</v>
      </c>
      <c r="D168" s="96"/>
      <c r="E168" t="s">
        <v>328</v>
      </c>
      <c r="F168" s="111" t="s">
        <v>108</v>
      </c>
      <c r="J168" s="4" t="s">
        <v>55</v>
      </c>
      <c r="K168" s="14"/>
      <c r="L168" s="14">
        <v>65775</v>
      </c>
    </row>
    <row r="169" spans="1:12" x14ac:dyDescent="0.3">
      <c r="A169" s="116">
        <v>46019</v>
      </c>
      <c r="B169" t="s">
        <v>55</v>
      </c>
      <c r="C169" s="11">
        <v>21000</v>
      </c>
      <c r="D169" s="11"/>
      <c r="E169" t="s">
        <v>329</v>
      </c>
      <c r="F169" s="111" t="s">
        <v>108</v>
      </c>
      <c r="J169" s="4" t="s">
        <v>113</v>
      </c>
      <c r="K169" s="14"/>
      <c r="L169" s="14">
        <v>36865</v>
      </c>
    </row>
    <row r="170" spans="1:12" x14ac:dyDescent="0.3">
      <c r="A170" s="38">
        <v>46019</v>
      </c>
      <c r="B170" t="s">
        <v>54</v>
      </c>
      <c r="C170" s="11">
        <v>1000</v>
      </c>
      <c r="D170" s="11"/>
      <c r="E170" t="s">
        <v>236</v>
      </c>
      <c r="F170" s="111" t="s">
        <v>108</v>
      </c>
      <c r="J170" s="4" t="s">
        <v>52</v>
      </c>
      <c r="K170" s="14"/>
      <c r="L170" s="14"/>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74805</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678040</v>
      </c>
    </row>
    <row r="175" spans="1:12" x14ac:dyDescent="0.3">
      <c r="A175" s="116">
        <v>46020</v>
      </c>
      <c r="B175" t="s">
        <v>192</v>
      </c>
      <c r="C175" s="11"/>
      <c r="D175" s="11">
        <v>975000</v>
      </c>
      <c r="E175" t="s">
        <v>330</v>
      </c>
      <c r="F175" s="111" t="s">
        <v>108</v>
      </c>
      <c r="J175" s="4" t="s">
        <v>337</v>
      </c>
      <c r="K175" s="14">
        <v>68900</v>
      </c>
      <c r="L175" s="14">
        <v>14000</v>
      </c>
    </row>
    <row r="176" spans="1:12" x14ac:dyDescent="0.3">
      <c r="A176" s="38">
        <v>46020</v>
      </c>
      <c r="B176" t="s">
        <v>54</v>
      </c>
      <c r="C176" s="11">
        <v>10000</v>
      </c>
      <c r="D176" s="11"/>
      <c r="E176" t="s">
        <v>236</v>
      </c>
      <c r="F176" s="111" t="s">
        <v>108</v>
      </c>
      <c r="J176" s="4" t="s">
        <v>222</v>
      </c>
      <c r="K176" s="14">
        <v>323372</v>
      </c>
      <c r="L176" s="14">
        <v>113043</v>
      </c>
    </row>
    <row r="177" spans="1:12" x14ac:dyDescent="0.3">
      <c r="A177" s="116">
        <v>46020</v>
      </c>
      <c r="B177" t="s">
        <v>54</v>
      </c>
      <c r="C177" s="11">
        <v>7950</v>
      </c>
      <c r="D177" s="11"/>
      <c r="E177" t="s">
        <v>236</v>
      </c>
      <c r="F177" s="111" t="s">
        <v>108</v>
      </c>
      <c r="J177" s="4" t="s">
        <v>326</v>
      </c>
      <c r="K177" s="14">
        <v>208088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239960</v>
      </c>
      <c r="L180" s="14"/>
    </row>
    <row r="181" spans="1:12" x14ac:dyDescent="0.3">
      <c r="A181" s="116">
        <v>46020</v>
      </c>
      <c r="B181" t="s">
        <v>192</v>
      </c>
      <c r="C181" s="96"/>
      <c r="D181" s="96">
        <v>50000</v>
      </c>
      <c r="E181" t="s">
        <v>284</v>
      </c>
      <c r="F181" s="111" t="s">
        <v>108</v>
      </c>
      <c r="J181" s="4" t="s">
        <v>224</v>
      </c>
      <c r="K181" s="14">
        <v>236500</v>
      </c>
      <c r="L181" s="14"/>
    </row>
    <row r="182" spans="1:12" x14ac:dyDescent="0.3">
      <c r="A182" s="38">
        <v>46020</v>
      </c>
      <c r="B182" t="s">
        <v>192</v>
      </c>
      <c r="C182" s="11"/>
      <c r="D182" s="11">
        <v>30000</v>
      </c>
      <c r="E182" t="s">
        <v>234</v>
      </c>
      <c r="F182" s="111" t="s">
        <v>108</v>
      </c>
      <c r="J182" s="4" t="s">
        <v>149</v>
      </c>
      <c r="K182" s="14"/>
      <c r="L182" s="14">
        <v>50000</v>
      </c>
    </row>
    <row r="183" spans="1:12" x14ac:dyDescent="0.3">
      <c r="A183" s="116">
        <v>46020</v>
      </c>
      <c r="B183" t="s">
        <v>166</v>
      </c>
      <c r="C183" s="11"/>
      <c r="D183" s="11">
        <v>100000</v>
      </c>
      <c r="E183" t="s">
        <v>21</v>
      </c>
      <c r="F183" s="111" t="s">
        <v>108</v>
      </c>
      <c r="J183" s="4" t="s">
        <v>152</v>
      </c>
      <c r="K183" s="14">
        <v>1007920</v>
      </c>
      <c r="L183" s="14"/>
    </row>
    <row r="184" spans="1:12" x14ac:dyDescent="0.3">
      <c r="A184" s="38">
        <v>46020</v>
      </c>
      <c r="B184" t="s">
        <v>192</v>
      </c>
      <c r="C184" s="11">
        <v>100000</v>
      </c>
      <c r="D184" s="11"/>
      <c r="E184" t="s">
        <v>335</v>
      </c>
      <c r="F184" s="111" t="s">
        <v>108</v>
      </c>
      <c r="J184" s="4" t="s">
        <v>166</v>
      </c>
      <c r="K184" s="14">
        <v>890000</v>
      </c>
      <c r="L184" s="14"/>
    </row>
    <row r="185" spans="1:12" x14ac:dyDescent="0.3">
      <c r="A185" s="116">
        <v>46021</v>
      </c>
      <c r="B185" t="s">
        <v>224</v>
      </c>
      <c r="C185" s="11"/>
      <c r="D185" s="11">
        <v>68900</v>
      </c>
      <c r="E185" t="s">
        <v>352</v>
      </c>
      <c r="F185" s="111" t="s">
        <v>108</v>
      </c>
      <c r="J185" s="4" t="s">
        <v>169</v>
      </c>
      <c r="K185" s="14"/>
      <c r="L185" s="14">
        <v>915800</v>
      </c>
    </row>
    <row r="186" spans="1:12" x14ac:dyDescent="0.3">
      <c r="A186" s="38">
        <v>46021</v>
      </c>
      <c r="B186" t="s">
        <v>192</v>
      </c>
      <c r="C186" s="96"/>
      <c r="D186" s="96">
        <v>194000</v>
      </c>
      <c r="F186" s="111" t="s">
        <v>108</v>
      </c>
      <c r="J186" s="4" t="s">
        <v>192</v>
      </c>
      <c r="K186" s="14">
        <v>5664930</v>
      </c>
      <c r="L186" s="14">
        <v>11608968</v>
      </c>
    </row>
    <row r="187" spans="1:12" x14ac:dyDescent="0.3">
      <c r="A187" s="116">
        <v>46021</v>
      </c>
      <c r="B187" t="s">
        <v>199</v>
      </c>
      <c r="C187" s="11"/>
      <c r="D187" s="11">
        <v>100000</v>
      </c>
      <c r="E187" t="s">
        <v>338</v>
      </c>
      <c r="F187" s="111" t="s">
        <v>108</v>
      </c>
      <c r="J187" s="4" t="s">
        <v>198</v>
      </c>
      <c r="K187" s="14"/>
      <c r="L187" s="14">
        <v>590000</v>
      </c>
    </row>
    <row r="188" spans="1:12" x14ac:dyDescent="0.3">
      <c r="A188" s="38">
        <v>46021</v>
      </c>
      <c r="B188" t="s">
        <v>199</v>
      </c>
      <c r="C188" s="96"/>
      <c r="D188" s="96">
        <v>100000</v>
      </c>
      <c r="E188" t="s">
        <v>225</v>
      </c>
      <c r="F188" s="111" t="s">
        <v>108</v>
      </c>
      <c r="J188" s="4" t="s">
        <v>51</v>
      </c>
      <c r="K188" s="14"/>
      <c r="L188" s="14">
        <v>2047865</v>
      </c>
    </row>
    <row r="189" spans="1:12" x14ac:dyDescent="0.3">
      <c r="A189" s="116">
        <v>46021</v>
      </c>
      <c r="B189" t="s">
        <v>339</v>
      </c>
      <c r="C189" s="11"/>
      <c r="D189" s="11">
        <v>84970</v>
      </c>
      <c r="F189" s="111" t="s">
        <v>108</v>
      </c>
      <c r="J189" s="4" t="s">
        <v>219</v>
      </c>
      <c r="K189" s="14"/>
      <c r="L189" s="14">
        <v>10000</v>
      </c>
    </row>
    <row r="190" spans="1:12" x14ac:dyDescent="0.3">
      <c r="A190" s="38">
        <v>46021</v>
      </c>
      <c r="B190" t="s">
        <v>222</v>
      </c>
      <c r="C190" s="11">
        <f>883+150+150</f>
        <v>1183</v>
      </c>
      <c r="D190" s="11"/>
      <c r="F190" s="111" t="s">
        <v>108</v>
      </c>
      <c r="J190" s="4" t="s">
        <v>199</v>
      </c>
      <c r="K190" s="14">
        <v>539770</v>
      </c>
      <c r="L190" s="14"/>
    </row>
    <row r="191" spans="1:12" x14ac:dyDescent="0.3">
      <c r="A191" s="116">
        <v>46021</v>
      </c>
      <c r="B191" t="s">
        <v>229</v>
      </c>
      <c r="C191" s="11">
        <v>200401</v>
      </c>
      <c r="D191" s="11"/>
      <c r="E191" t="s">
        <v>340</v>
      </c>
      <c r="F191" s="111" t="s">
        <v>108</v>
      </c>
      <c r="J191" s="4" t="s">
        <v>229</v>
      </c>
      <c r="K191" s="14"/>
      <c r="L191" s="14">
        <v>1102426</v>
      </c>
    </row>
    <row r="192" spans="1:12" x14ac:dyDescent="0.3">
      <c r="A192" s="38">
        <v>46021</v>
      </c>
      <c r="B192" t="s">
        <v>341</v>
      </c>
      <c r="C192" s="11"/>
      <c r="D192" s="11">
        <v>239960</v>
      </c>
      <c r="F192" s="111" t="s">
        <v>108</v>
      </c>
      <c r="J192" s="4" t="s">
        <v>202</v>
      </c>
      <c r="K192" s="14"/>
      <c r="L192" s="14">
        <v>107000</v>
      </c>
    </row>
    <row r="193" spans="1:12" x14ac:dyDescent="0.3">
      <c r="A193" s="116">
        <v>46021</v>
      </c>
      <c r="B193" t="s">
        <v>169</v>
      </c>
      <c r="C193" s="11">
        <v>250000</v>
      </c>
      <c r="D193" s="11"/>
      <c r="F193" s="111" t="s">
        <v>108</v>
      </c>
      <c r="J193" s="4" t="s">
        <v>216</v>
      </c>
      <c r="K193" s="14">
        <v>7180146</v>
      </c>
      <c r="L193" s="14"/>
    </row>
    <row r="194" spans="1:12" x14ac:dyDescent="0.3">
      <c r="A194" s="38">
        <v>46021</v>
      </c>
      <c r="B194" t="s">
        <v>326</v>
      </c>
      <c r="C194" s="11"/>
      <c r="D194" s="11">
        <v>60000</v>
      </c>
      <c r="E194" t="s">
        <v>342</v>
      </c>
      <c r="F194" s="111" t="s">
        <v>108</v>
      </c>
      <c r="J194" s="4" t="s">
        <v>256</v>
      </c>
      <c r="K194" s="14"/>
      <c r="L194" s="14">
        <v>66850</v>
      </c>
    </row>
    <row r="195" spans="1:12" x14ac:dyDescent="0.3">
      <c r="A195" s="116">
        <v>46021</v>
      </c>
      <c r="B195" t="s">
        <v>192</v>
      </c>
      <c r="C195" s="11">
        <v>60000</v>
      </c>
      <c r="D195" s="11"/>
      <c r="E195" t="s">
        <v>343</v>
      </c>
      <c r="F195" s="111" t="s">
        <v>108</v>
      </c>
      <c r="J195" s="4" t="s">
        <v>286</v>
      </c>
      <c r="K195" s="14">
        <v>813525</v>
      </c>
      <c r="L195" s="14"/>
    </row>
    <row r="196" spans="1:12" x14ac:dyDescent="0.3">
      <c r="A196" s="38">
        <v>46021</v>
      </c>
      <c r="B196" t="s">
        <v>256</v>
      </c>
      <c r="C196" s="11">
        <v>11850</v>
      </c>
      <c r="D196" s="11"/>
      <c r="E196" t="s">
        <v>294</v>
      </c>
      <c r="F196" s="111" t="s">
        <v>108</v>
      </c>
      <c r="J196" s="4" t="s">
        <v>302</v>
      </c>
      <c r="K196" s="14"/>
      <c r="L196" s="14">
        <v>162500</v>
      </c>
    </row>
    <row r="197" spans="1:12" x14ac:dyDescent="0.3">
      <c r="A197" s="116">
        <v>46021</v>
      </c>
      <c r="B197" t="s">
        <v>202</v>
      </c>
      <c r="C197" s="11">
        <v>27000</v>
      </c>
      <c r="D197" s="11"/>
      <c r="E197" t="s">
        <v>230</v>
      </c>
      <c r="F197" s="111" t="s">
        <v>108</v>
      </c>
      <c r="J197" s="4" t="s">
        <v>28</v>
      </c>
      <c r="K197" s="14">
        <v>18408081</v>
      </c>
      <c r="L197" s="14">
        <v>18380337</v>
      </c>
    </row>
    <row r="198" spans="1:12" x14ac:dyDescent="0.3">
      <c r="A198" s="38">
        <v>46021</v>
      </c>
      <c r="B198" t="s">
        <v>233</v>
      </c>
      <c r="C198" s="11">
        <v>1300</v>
      </c>
      <c r="D198" s="11"/>
      <c r="E198" t="s">
        <v>344</v>
      </c>
      <c r="F198" s="111" t="s">
        <v>108</v>
      </c>
    </row>
    <row r="199" spans="1:12" x14ac:dyDescent="0.3">
      <c r="A199" s="116">
        <v>46021</v>
      </c>
      <c r="B199" t="s">
        <v>233</v>
      </c>
      <c r="C199" s="11">
        <v>60000</v>
      </c>
      <c r="D199" s="11"/>
      <c r="E199" t="s">
        <v>290</v>
      </c>
      <c r="F199" s="111" t="s">
        <v>108</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v>14000</v>
      </c>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46021</v>
      </c>
      <c r="C211" s="96"/>
      <c r="D211" s="11"/>
      <c r="F211" s="111"/>
    </row>
    <row r="212" spans="1:6" x14ac:dyDescent="0.3">
      <c r="A212" s="116"/>
      <c r="C212" s="11"/>
      <c r="D212" s="11"/>
      <c r="F212" s="111"/>
    </row>
    <row r="213" spans="1:6" x14ac:dyDescent="0.3">
      <c r="A213" s="116"/>
      <c r="C213" s="11"/>
      <c r="D213" s="11"/>
      <c r="F213" s="111"/>
    </row>
    <row r="214" spans="1:6" x14ac:dyDescent="0.3">
      <c r="A214" s="116"/>
      <c r="C214" s="11"/>
      <c r="D214" s="11"/>
      <c r="F214" s="111"/>
    </row>
    <row r="215" spans="1:6" x14ac:dyDescent="0.3">
      <c r="A215" s="116"/>
      <c r="C215" s="11"/>
      <c r="D215" s="11"/>
      <c r="F215" s="111"/>
    </row>
    <row r="216" spans="1:6" x14ac:dyDescent="0.3">
      <c r="A216" s="116"/>
      <c r="C216" s="11"/>
      <c r="D216" s="11"/>
      <c r="F216" s="111"/>
    </row>
    <row r="217" spans="1:6" x14ac:dyDescent="0.3">
      <c r="A217" s="38"/>
      <c r="C217" s="96"/>
      <c r="D217" s="96"/>
      <c r="F217" s="111"/>
    </row>
    <row r="218" spans="1:6" x14ac:dyDescent="0.3">
      <c r="A218" s="38"/>
      <c r="C218" s="14">
        <f>SUBTOTAL(109,Table14[Debit])</f>
        <v>18380337</v>
      </c>
      <c r="D218" s="14">
        <f>SUBTOTAL(109,Table14[Credit])</f>
        <v>18408081</v>
      </c>
      <c r="F218" s="54">
        <f>(Table14[[#Totals],[Credit]]-Table14[[#Totals],[Debit]])</f>
        <v>27744</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E12">
        <f>SUBTOTAL(109,Table8[Price])</f>
        <v>832750</v>
      </c>
      <c r="H12">
        <f>SUBTOTAL(109,Table8[Balance])</f>
        <v>80250</v>
      </c>
      <c r="K12" s="26">
        <v>46013</v>
      </c>
      <c r="L12">
        <v>111250</v>
      </c>
      <c r="M12">
        <v>0</v>
      </c>
    </row>
    <row r="13" spans="1:14" x14ac:dyDescent="0.3">
      <c r="K13" s="26">
        <v>46017</v>
      </c>
      <c r="L13">
        <v>84000</v>
      </c>
      <c r="M13">
        <v>34000</v>
      </c>
    </row>
    <row r="14" spans="1:14" x14ac:dyDescent="0.3">
      <c r="A14" t="s">
        <v>57</v>
      </c>
      <c r="B14" t="s">
        <v>156</v>
      </c>
      <c r="C14" t="s">
        <v>157</v>
      </c>
      <c r="D14" t="s">
        <v>4</v>
      </c>
      <c r="E14" t="s">
        <v>158</v>
      </c>
      <c r="K14" s="26">
        <v>46016</v>
      </c>
      <c r="L14">
        <v>162500</v>
      </c>
      <c r="M14">
        <v>0</v>
      </c>
    </row>
    <row r="15" spans="1:14" x14ac:dyDescent="0.3">
      <c r="A15" t="s">
        <v>131</v>
      </c>
      <c r="B15">
        <v>1</v>
      </c>
      <c r="C15">
        <v>25</v>
      </c>
      <c r="D15">
        <v>1400</v>
      </c>
      <c r="E15">
        <f>Table2325[[#This Row],[boxes]]*Table2325[[#This Row],[kgs]]*Table2325[[#This Row],[Rate]]</f>
        <v>35000</v>
      </c>
      <c r="K15" s="26">
        <v>46018</v>
      </c>
      <c r="L15">
        <v>111000</v>
      </c>
      <c r="M15">
        <v>27000</v>
      </c>
    </row>
    <row r="16" spans="1:14" x14ac:dyDescent="0.3">
      <c r="A16" t="s">
        <v>129</v>
      </c>
      <c r="B16">
        <v>1</v>
      </c>
      <c r="C16">
        <v>3</v>
      </c>
      <c r="D16">
        <v>1340</v>
      </c>
      <c r="E16">
        <f>Table2325[[#This Row],[boxes]]*Table2325[[#This Row],[kgs]]*Table2325[[#This Row],[Rate]]</f>
        <v>4020</v>
      </c>
      <c r="K16" s="26">
        <v>46020</v>
      </c>
      <c r="L16">
        <v>180250</v>
      </c>
      <c r="M16">
        <v>19250</v>
      </c>
    </row>
    <row r="17" spans="1:13" x14ac:dyDescent="0.3">
      <c r="A17" t="s">
        <v>147</v>
      </c>
      <c r="B17">
        <v>1</v>
      </c>
      <c r="D17">
        <v>1120</v>
      </c>
      <c r="E17">
        <f>Table2325[[#This Row],[boxes]]*Table2325[[#This Row],[kgs]]*Table2325[[#This Row],[Rate]]</f>
        <v>0</v>
      </c>
      <c r="K17" s="4" t="s">
        <v>28</v>
      </c>
      <c r="L17">
        <v>832750</v>
      </c>
      <c r="M17">
        <v>80250</v>
      </c>
    </row>
    <row r="18" spans="1:13" x14ac:dyDescent="0.3">
      <c r="A18" t="s">
        <v>126</v>
      </c>
      <c r="B18">
        <v>1</v>
      </c>
      <c r="C18">
        <v>25</v>
      </c>
      <c r="D18">
        <v>1120</v>
      </c>
      <c r="E18">
        <f>Table2325[[#This Row],[boxes]]*Table2325[[#This Row],[kgs]]*Table2325[[#This Row],[Rate]]</f>
        <v>28000</v>
      </c>
    </row>
    <row r="19" spans="1:13" x14ac:dyDescent="0.3">
      <c r="A19" t="s">
        <v>125</v>
      </c>
      <c r="B19">
        <v>1</v>
      </c>
      <c r="C19">
        <v>25</v>
      </c>
      <c r="D19">
        <v>1120</v>
      </c>
      <c r="E19">
        <f>Table2325[[#This Row],[boxes]]*Table2325[[#This Row],[kgs]]*Table2325[[#This Row],[Rate]]</f>
        <v>28000</v>
      </c>
    </row>
    <row r="20" spans="1:13" x14ac:dyDescent="0.3">
      <c r="A20" t="s">
        <v>146</v>
      </c>
      <c r="B20">
        <v>1</v>
      </c>
      <c r="D20">
        <v>1300</v>
      </c>
      <c r="E20">
        <f>Table2325[[#This Row],[boxes]]*Table2325[[#This Row],[kgs]]*Table2325[[#This Row],[Rate]]</f>
        <v>0</v>
      </c>
    </row>
    <row r="21" spans="1:13" x14ac:dyDescent="0.3">
      <c r="A21" t="s">
        <v>132</v>
      </c>
      <c r="B21">
        <v>1</v>
      </c>
      <c r="C21">
        <v>25</v>
      </c>
      <c r="D21">
        <v>1450</v>
      </c>
      <c r="E21">
        <f>Table2325[[#This Row],[boxes]]*Table2325[[#This Row],[kgs]]*Table2325[[#This Row],[Rate]]</f>
        <v>36250</v>
      </c>
    </row>
    <row r="22" spans="1:13" x14ac:dyDescent="0.3">
      <c r="A22" t="s">
        <v>159</v>
      </c>
      <c r="B22">
        <v>1</v>
      </c>
      <c r="C22">
        <v>25</v>
      </c>
      <c r="D22">
        <v>940</v>
      </c>
      <c r="E22">
        <f>Table2325[[#This Row],[boxes]]*Table2325[[#This Row],[kgs]]*Table2325[[#This Row],[Rate]]</f>
        <v>23500</v>
      </c>
    </row>
    <row r="23" spans="1:13" x14ac:dyDescent="0.3">
      <c r="A23" t="s">
        <v>125</v>
      </c>
      <c r="D23">
        <v>1130</v>
      </c>
      <c r="E23">
        <f>Table2325[[#This Row],[boxes]]*Table2325[[#This Row],[kgs]]*Table2325[[#This Row],[Rate]]</f>
        <v>0</v>
      </c>
    </row>
    <row r="24" spans="1:13" x14ac:dyDescent="0.3">
      <c r="A24" t="s">
        <v>146</v>
      </c>
      <c r="B24">
        <v>1</v>
      </c>
      <c r="C24">
        <v>12</v>
      </c>
      <c r="D24">
        <v>1300</v>
      </c>
      <c r="E24">
        <f>Table2325[[#This Row],[boxes]]*Table2325[[#This Row],[kgs]]*Table2325[[#This Row],[Rate]]</f>
        <v>15600</v>
      </c>
    </row>
    <row r="25" spans="1:13" x14ac:dyDescent="0.3">
      <c r="A25" t="s">
        <v>133</v>
      </c>
      <c r="B25">
        <v>1</v>
      </c>
      <c r="C25">
        <v>8</v>
      </c>
      <c r="D25">
        <v>1650</v>
      </c>
      <c r="E25">
        <f>Table2325[[#This Row],[boxes]]*Table2325[[#This Row],[kgs]]*Table2325[[#This Row],[Rate]]</f>
        <v>13200</v>
      </c>
    </row>
    <row r="26" spans="1:13" x14ac:dyDescent="0.3">
      <c r="A26" t="s">
        <v>129</v>
      </c>
      <c r="D26">
        <v>1340</v>
      </c>
      <c r="E26">
        <f>Table2325[[#This Row],[boxes]]*Table2325[[#This Row],[kgs]]*Table2325[[#This Row],[Rate]]</f>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872676</v>
      </c>
      <c r="C2" s="32">
        <f>GETPIVOTDATA("Sum of Tiyaar/gaz",$A$3)</f>
        <v>820581.8824</v>
      </c>
      <c r="D2" s="31">
        <f>((B2*48)+((C2/1.0936)*10))/C2</f>
        <v>60.191360587524493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35092</v>
      </c>
      <c r="D32" s="28">
        <f t="shared" si="1"/>
        <v>71.628096146227733</v>
      </c>
      <c r="E32" s="11">
        <f t="shared" si="2"/>
        <v>49956.741599999994</v>
      </c>
      <c r="F32" s="11">
        <f t="shared" si="0"/>
        <v>35092</v>
      </c>
      <c r="G32" s="78">
        <f t="shared" si="6"/>
        <v>29.755226469774399</v>
      </c>
      <c r="H32" s="28">
        <f t="shared" si="3"/>
        <v>32088.514996342357</v>
      </c>
      <c r="I32" s="28">
        <f t="shared" si="5"/>
        <v>71.628096146227733</v>
      </c>
    </row>
    <row r="33" spans="1:9" x14ac:dyDescent="0.3">
      <c r="A33" s="16">
        <v>1989</v>
      </c>
      <c r="B33" s="14">
        <v>61388</v>
      </c>
      <c r="C33" s="14">
        <v>8547</v>
      </c>
      <c r="D33" s="28">
        <f t="shared" ref="D33:D37" si="7">I33</f>
        <v>353.89946394774489</v>
      </c>
      <c r="E33" s="11">
        <f t="shared" ref="E33:E37" si="8">B33 * 1.0936</f>
        <v>67133.916799999992</v>
      </c>
      <c r="F33" s="11">
        <f t="shared" ref="F33:F37" si="9">C33</f>
        <v>8547</v>
      </c>
      <c r="G33" s="78">
        <f t="shared" ref="G33:G37" si="10">100- (F33/E33 *100)</f>
        <v>87.268730311889087</v>
      </c>
      <c r="H33" s="28">
        <f t="shared" ref="H33:H37" si="11">F33/1.0936</f>
        <v>7815.471836137528</v>
      </c>
      <c r="I33" s="28">
        <f t="shared" ref="I33:I37" si="12">((B33*48)+(H33*10))/C33</f>
        <v>353.89946394774489</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28</v>
      </c>
      <c r="B35" s="30">
        <v>80202</v>
      </c>
      <c r="C35" s="30">
        <v>820581.8824</v>
      </c>
      <c r="D35" s="28">
        <f t="shared" si="7"/>
        <v>13.835533319262105</v>
      </c>
      <c r="E35" s="11">
        <f t="shared" si="8"/>
        <v>87708.907199999987</v>
      </c>
      <c r="F35" s="11">
        <f t="shared" si="9"/>
        <v>820581.8824</v>
      </c>
      <c r="G35" s="78">
        <f t="shared" si="10"/>
        <v>-835.57417210643359</v>
      </c>
      <c r="H35" s="28">
        <f t="shared" si="11"/>
        <v>750349.19751280185</v>
      </c>
      <c r="I35" s="28">
        <f t="shared" si="12"/>
        <v>13.835533319262105</v>
      </c>
    </row>
    <row r="36" spans="1:9" x14ac:dyDescent="0.3">
      <c r="D36" s="28" t="e">
        <f t="shared" si="7"/>
        <v>#DIV/0!</v>
      </c>
      <c r="E36" s="11">
        <f t="shared" si="8"/>
        <v>0</v>
      </c>
      <c r="F36" s="11">
        <f t="shared" si="9"/>
        <v>0</v>
      </c>
      <c r="G36" s="78" t="e">
        <f t="shared" si="10"/>
        <v>#DIV/0!</v>
      </c>
      <c r="H36" s="28">
        <f t="shared" si="11"/>
        <v>0</v>
      </c>
      <c r="I36" s="28" t="e">
        <f t="shared" si="12"/>
        <v>#DIV/0!</v>
      </c>
    </row>
    <row r="37" spans="1:9" x14ac:dyDescent="0.3">
      <c r="D37" s="28" t="e">
        <f t="shared" si="7"/>
        <v>#DIV/0!</v>
      </c>
      <c r="E37" s="11">
        <f t="shared" si="8"/>
        <v>0</v>
      </c>
      <c r="F37" s="11">
        <f t="shared" si="9"/>
        <v>0</v>
      </c>
      <c r="G37" s="78" t="e">
        <f t="shared" si="10"/>
        <v>#DIV/0!</v>
      </c>
      <c r="H37" s="28">
        <f t="shared" si="11"/>
        <v>0</v>
      </c>
      <c r="I37" s="28" t="e">
        <f t="shared" si="12"/>
        <v>#DIV/0!</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65775</v>
      </c>
    </row>
    <row r="38" spans="2:10" x14ac:dyDescent="0.3">
      <c r="B38" s="1"/>
      <c r="D38">
        <f>SUM(Table5[Amount])</f>
        <v>36865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13" sqref="C1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6195971.2158010304</v>
      </c>
    </row>
    <row r="3" spans="1:3" ht="21" x14ac:dyDescent="0.4">
      <c r="A3" s="102" t="str">
        <f>Billing!Q6</f>
        <v>Ejaz Sahab</v>
      </c>
      <c r="B3" s="105">
        <f>Billing!AD6</f>
        <v>4171992</v>
      </c>
      <c r="C3" s="103">
        <f>Billing!AE6</f>
        <v>443937.95610826649</v>
      </c>
    </row>
    <row r="4" spans="1:3" ht="21" x14ac:dyDescent="0.4">
      <c r="A4" s="102" t="str">
        <f>Billing!Q7</f>
        <v>Arshad</v>
      </c>
      <c r="B4" s="105">
        <f>Billing!AD7</f>
        <v>6552935</v>
      </c>
      <c r="C4" s="104">
        <f>Billing!AE7</f>
        <v>375482.15435259789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10869060</v>
      </c>
      <c r="C6" s="103">
        <f>Billing!AE9</f>
        <v>609704.2384784203</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526380.76079005143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2111380</v>
      </c>
      <c r="C12" s="103">
        <f>Billing!AE15</f>
        <v>515265.94001463102</v>
      </c>
    </row>
    <row r="13" spans="1:3" ht="21" x14ac:dyDescent="0.4">
      <c r="A13" s="102" t="str">
        <f>Billing!Q16</f>
        <v>Badshah Fabrics</v>
      </c>
      <c r="B13" s="105">
        <f>Billing!AD16</f>
        <v>5815761</v>
      </c>
      <c r="C13" s="103">
        <f>Billing!AE16</f>
        <v>286606.4103877116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813525</v>
      </c>
      <c r="C21" s="103">
        <f>Billing!AE24</f>
        <v>160168.30651060725</v>
      </c>
    </row>
    <row r="22" spans="1:3" ht="21" x14ac:dyDescent="0.4">
      <c r="A22" s="102" t="str">
        <f>Billing!Q25</f>
        <v>Shahid Qasayi</v>
      </c>
      <c r="B22" s="105">
        <f>Billing!AD25</f>
        <v>2008095</v>
      </c>
      <c r="C22" s="103">
        <f>Billing!AE25</f>
        <v>459767.10680321883</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2025-12-30T22:13:07Z</dcterms:modified>
  <cp:category/>
  <cp:contentStatus/>
</cp:coreProperties>
</file>