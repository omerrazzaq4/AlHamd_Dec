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tables/table9.xml" ContentType="application/vnd.openxmlformats-officedocument.spreadsheetml.table+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slicers/slicer3.xml" ContentType="application/vnd.ms-excel.slicer+xml"/>
  <Override PartName="/xl/pivotTables/pivotTable4.xml" ContentType="application/vnd.openxmlformats-officedocument.spreadsheetml.pivot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tables/table17.xml" ContentType="application/vnd.openxmlformats-officedocument.spreadsheetml.table+xml"/>
  <Override PartName="/xl/slicers/slicer4.xml" ContentType="application/vnd.ms-excel.slicer+xml"/>
  <Override PartName="/xl/tables/table18.xml" ContentType="application/vnd.openxmlformats-officedocument.spreadsheetml.table+xml"/>
  <Override PartName="/xl/tables/table19.xml" ContentType="application/vnd.openxmlformats-officedocument.spreadsheetml.table+xml"/>
  <Override PartName="/xl/drawings/drawing5.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slicers/slicer5.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never"/>
  <mc:AlternateContent xmlns:mc="http://schemas.openxmlformats.org/markup-compatibility/2006">
    <mc:Choice Requires="x15">
      <x15ac:absPath xmlns:x15ac="http://schemas.microsoft.com/office/spreadsheetml/2010/11/ac" url="https://pern-my.sharepoint.com/personal/25020299_lums_edu_pk/Documents/Desktop/Factory/"/>
    </mc:Choice>
  </mc:AlternateContent>
  <xr:revisionPtr revIDLastSave="2379" documentId="8_{882B14A6-A67C-4C60-A7D4-43427E6D1DAC}" xr6:coauthVersionLast="47" xr6:coauthVersionMax="47" xr10:uidLastSave="{CF3D5C5E-3112-490A-8AB1-AEE38B30CE04}"/>
  <bookViews>
    <workbookView xWindow="-108" yWindow="-108" windowWidth="23256" windowHeight="12456" tabRatio="597" firstSheet="8" activeTab="15" xr2:uid="{E7D9A63E-D9E8-4997-9BC3-9785CA208C4E}"/>
  </bookViews>
  <sheets>
    <sheet name="Billing" sheetId="9" r:id="rId1"/>
    <sheet name="Bill Print" sheetId="19" r:id="rId2"/>
    <sheet name="Expenses" sheetId="8" r:id="rId3"/>
    <sheet name="Profit" sheetId="10" r:id="rId4"/>
    <sheet name="Transport" sheetId="18" r:id="rId5"/>
    <sheet name="ledger" sheetId="1" r:id="rId6"/>
    <sheet name="Wood" sheetId="6" r:id="rId7"/>
    <sheet name="Cashbook" sheetId="17" r:id="rId8"/>
    <sheet name="Dyes" sheetId="7" r:id="rId9"/>
    <sheet name="Finish" sheetId="15" r:id="rId10"/>
    <sheet name="Electricity" sheetId="13" r:id="rId11"/>
    <sheet name="Miscellaneous" sheetId="11" r:id="rId12"/>
    <sheet name="Salary Acc" sheetId="12" r:id="rId13"/>
    <sheet name="pivot " sheetId="2" r:id="rId14"/>
    <sheet name="Running Acc" sheetId="14" r:id="rId15"/>
    <sheet name="Balance" sheetId="20" r:id="rId16"/>
    <sheet name="Cashflow" sheetId="21" r:id="rId17"/>
  </sheets>
  <externalReferences>
    <externalReference r:id="rId18"/>
  </externalReferences>
  <definedNames>
    <definedName name="_xlcn.WorksheetConnection_Khata2.xlsxTable4" hidden="1">Table4[]</definedName>
    <definedName name="_xlcn.WorksheetConnection_Khata2.xlsxTable41" hidden="1">Table4[]</definedName>
    <definedName name="Slicer_Date">#N/A</definedName>
    <definedName name="Slicer_Date1">#N/A</definedName>
    <definedName name="Slicer_Party">#N/A</definedName>
    <definedName name="Slicer_Party_Name">#N/A</definedName>
    <definedName name="Slicer_Party_Name1">#N/A</definedName>
    <definedName name="Slicer_Party_Name2">#N/A</definedName>
    <definedName name="Slicer_Person">#N/A</definedName>
    <definedName name="Slicer_Shipment_Number">#N/A</definedName>
    <definedName name="Table4_1" localSheetId="0" hidden="1">Billing!#REF!</definedName>
  </definedNames>
  <calcPr calcId="191028"/>
  <pivotCaches>
    <pivotCache cacheId="0" r:id="rId19"/>
    <pivotCache cacheId="1" r:id="rId20"/>
    <pivotCache cacheId="2" r:id="rId21"/>
    <pivotCache cacheId="3" r:id="rId22"/>
    <pivotCache cacheId="4" r:id="rId23"/>
    <pivotCache cacheId="5" r:id="rId24"/>
  </pivotCaches>
  <extLs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4:slicerCache r:id="rId27"/>
        <x14:slicerCache r:id="rId28"/>
        <x14:slicerCache r:id="rId29"/>
        <x14:slicerCache r:id="rId30"/>
        <x14:slicerCache r:id="rId31"/>
        <x14:slicerCache r:id="rId32"/>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Khata (2).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9" i="6" l="1"/>
  <c r="I59" i="6" s="1"/>
  <c r="G59" i="6"/>
  <c r="H56" i="6"/>
  <c r="I56" i="6" s="1"/>
  <c r="H57" i="6"/>
  <c r="I57" i="6" s="1"/>
  <c r="H58" i="6"/>
  <c r="I58" i="6" s="1"/>
  <c r="H55" i="6"/>
  <c r="I55" i="6" s="1"/>
  <c r="G58" i="6"/>
  <c r="G57" i="6"/>
  <c r="G56" i="6"/>
  <c r="G55" i="6"/>
  <c r="G54" i="6"/>
  <c r="I54" i="6"/>
  <c r="G53" i="6"/>
  <c r="I53" i="6"/>
  <c r="I112" i="1"/>
  <c r="J112" i="1" a="1"/>
  <c r="J112" i="1" s="1"/>
  <c r="I113" i="1"/>
  <c r="J113" i="1" a="1"/>
  <c r="J113" i="1" s="1"/>
  <c r="J111" i="1" a="1"/>
  <c r="J111" i="1" s="1"/>
  <c r="J110" i="1" a="1"/>
  <c r="J110" i="1" s="1"/>
  <c r="I111" i="1"/>
  <c r="I103" i="1"/>
  <c r="J103" i="1" a="1"/>
  <c r="J103" i="1" s="1"/>
  <c r="I104" i="1"/>
  <c r="J104" i="1" a="1"/>
  <c r="J104" i="1" s="1"/>
  <c r="I105" i="1"/>
  <c r="J105" i="1" a="1"/>
  <c r="J105" i="1" s="1"/>
  <c r="I106" i="1"/>
  <c r="J106" i="1" s="1" a="1"/>
  <c r="J106" i="1" s="1"/>
  <c r="I107" i="1"/>
  <c r="J107" i="1" s="1" a="1"/>
  <c r="J107" i="1" s="1"/>
  <c r="I108" i="1"/>
  <c r="J108" i="1" s="1" a="1"/>
  <c r="J108" i="1" s="1"/>
  <c r="I109" i="1"/>
  <c r="J109" i="1" s="1" a="1"/>
  <c r="J109" i="1" s="1"/>
  <c r="I110" i="1"/>
  <c r="F110" i="1"/>
  <c r="C190" i="17"/>
  <c r="O112" i="9"/>
  <c r="B21" i="21"/>
  <c r="D3" i="17"/>
  <c r="D2" i="17"/>
  <c r="B4" i="21"/>
  <c r="H50" i="6"/>
  <c r="I50" i="6" s="1"/>
  <c r="H49" i="6"/>
  <c r="I49" i="6" s="1"/>
  <c r="G51" i="6"/>
  <c r="G52" i="6"/>
  <c r="I51" i="6"/>
  <c r="I52" i="6"/>
  <c r="G48" i="6"/>
  <c r="G49" i="6"/>
  <c r="G50" i="6"/>
  <c r="I48" i="6"/>
  <c r="I100" i="1"/>
  <c r="J100" i="1" s="1" a="1"/>
  <c r="J100" i="1" s="1"/>
  <c r="I94" i="1"/>
  <c r="J94" i="1" s="1" a="1"/>
  <c r="J94" i="1" s="1"/>
  <c r="I95" i="1"/>
  <c r="J95" i="1" s="1" a="1"/>
  <c r="J95" i="1" s="1"/>
  <c r="I99" i="1"/>
  <c r="J99" i="1" s="1" a="1"/>
  <c r="J99" i="1" s="1"/>
  <c r="I101" i="1"/>
  <c r="J101" i="1" s="1" a="1"/>
  <c r="J101" i="1" s="1"/>
  <c r="I102" i="1"/>
  <c r="J102" i="1" s="1" a="1"/>
  <c r="J102" i="1" s="1"/>
  <c r="G98" i="1"/>
  <c r="I98" i="1" s="1"/>
  <c r="J98" i="1" s="1" a="1"/>
  <c r="J98" i="1" s="1"/>
  <c r="G97" i="1"/>
  <c r="I97" i="1" s="1"/>
  <c r="J97" i="1" s="1" a="1"/>
  <c r="J97" i="1" s="1"/>
  <c r="G93" i="1"/>
  <c r="I93" i="1" s="1"/>
  <c r="G96" i="1"/>
  <c r="I96" i="1" s="1"/>
  <c r="J96" i="1" s="1" a="1"/>
  <c r="J96" i="1" s="1"/>
  <c r="F94" i="1"/>
  <c r="G11" i="7"/>
  <c r="H11" i="7" s="1"/>
  <c r="G10" i="7"/>
  <c r="H10" i="7" s="1"/>
  <c r="H47" i="6"/>
  <c r="I47" i="6" s="1"/>
  <c r="H46" i="6"/>
  <c r="I46" i="6" s="1"/>
  <c r="G46" i="6"/>
  <c r="G47" i="6"/>
  <c r="H42" i="6"/>
  <c r="I42" i="6" s="1"/>
  <c r="G45" i="6"/>
  <c r="I45" i="6"/>
  <c r="I77" i="1"/>
  <c r="J77" i="1" s="1" a="1"/>
  <c r="J77" i="1" s="1"/>
  <c r="I78" i="1"/>
  <c r="J78" i="1" s="1" a="1"/>
  <c r="J78" i="1" s="1"/>
  <c r="I79" i="1"/>
  <c r="J79" i="1" s="1" a="1"/>
  <c r="J79" i="1" s="1"/>
  <c r="I80" i="1"/>
  <c r="J80" i="1" s="1" a="1"/>
  <c r="J80" i="1" s="1"/>
  <c r="I81" i="1"/>
  <c r="J81" i="1" s="1" a="1"/>
  <c r="J81" i="1" s="1"/>
  <c r="I82" i="1"/>
  <c r="J82" i="1" s="1" a="1"/>
  <c r="J82" i="1" s="1"/>
  <c r="I83" i="1"/>
  <c r="J83" i="1" s="1" a="1"/>
  <c r="J83" i="1" s="1"/>
  <c r="I84" i="1"/>
  <c r="J84" i="1" s="1" a="1"/>
  <c r="J84" i="1" s="1"/>
  <c r="I85" i="1"/>
  <c r="J85" i="1" s="1" a="1"/>
  <c r="J85" i="1" s="1"/>
  <c r="I86" i="1"/>
  <c r="J86" i="1" s="1" a="1"/>
  <c r="J86" i="1" s="1"/>
  <c r="I87" i="1"/>
  <c r="J87" i="1" s="1" a="1"/>
  <c r="J87" i="1" s="1"/>
  <c r="I88" i="1"/>
  <c r="J88" i="1" s="1" a="1"/>
  <c r="J88" i="1" s="1"/>
  <c r="I89" i="1"/>
  <c r="J89" i="1" s="1" a="1"/>
  <c r="J89" i="1" s="1"/>
  <c r="I90" i="1"/>
  <c r="J90" i="1" s="1" a="1"/>
  <c r="J90" i="1" s="1"/>
  <c r="I91" i="1"/>
  <c r="J91" i="1" s="1" a="1"/>
  <c r="J91" i="1" s="1"/>
  <c r="I92" i="1"/>
  <c r="J92" i="1" s="1" a="1"/>
  <c r="J92" i="1" s="1"/>
  <c r="H37" i="6"/>
  <c r="I37" i="6" s="1"/>
  <c r="G37" i="6"/>
  <c r="G38" i="6"/>
  <c r="I38" i="6"/>
  <c r="H36" i="6"/>
  <c r="I36" i="6" s="1"/>
  <c r="H39" i="6"/>
  <c r="I39" i="6" s="1"/>
  <c r="H40" i="6"/>
  <c r="I40" i="6" s="1"/>
  <c r="H41" i="6"/>
  <c r="I41" i="6" s="1"/>
  <c r="H35" i="6"/>
  <c r="I35" i="6" s="1"/>
  <c r="H32" i="6"/>
  <c r="I32" i="6" s="1"/>
  <c r="H33" i="6"/>
  <c r="I33" i="6" s="1"/>
  <c r="G32" i="6"/>
  <c r="G33" i="6"/>
  <c r="G34" i="6"/>
  <c r="G35" i="6"/>
  <c r="G36" i="6"/>
  <c r="G39" i="6"/>
  <c r="G40" i="6"/>
  <c r="G41" i="6"/>
  <c r="G42" i="6"/>
  <c r="G43" i="6"/>
  <c r="G44" i="6"/>
  <c r="I34" i="6"/>
  <c r="I43" i="6"/>
  <c r="I44" i="6"/>
  <c r="I70" i="1"/>
  <c r="J70" i="1" s="1" a="1"/>
  <c r="J70" i="1" s="1"/>
  <c r="I71" i="1"/>
  <c r="J71" i="1" s="1" a="1"/>
  <c r="J71" i="1" s="1"/>
  <c r="I72" i="1"/>
  <c r="J72" i="1" s="1" a="1"/>
  <c r="J72" i="1" s="1"/>
  <c r="I73" i="1"/>
  <c r="J73" i="1" s="1" a="1"/>
  <c r="J73" i="1" s="1"/>
  <c r="I74" i="1"/>
  <c r="J74" i="1" s="1" a="1"/>
  <c r="J74" i="1" s="1"/>
  <c r="I75" i="1"/>
  <c r="J75" i="1" s="1" a="1"/>
  <c r="J75" i="1" s="1"/>
  <c r="I76" i="1"/>
  <c r="J76" i="1" s="1" a="1"/>
  <c r="J76" i="1" s="1"/>
  <c r="C106" i="17"/>
  <c r="C7" i="8" s="1"/>
  <c r="C103" i="17"/>
  <c r="H31" i="6"/>
  <c r="I31" i="6" s="1"/>
  <c r="G31" i="6"/>
  <c r="G22" i="6"/>
  <c r="I22" i="6"/>
  <c r="G26" i="6"/>
  <c r="I26" i="6"/>
  <c r="G28" i="6"/>
  <c r="G29" i="6"/>
  <c r="G30" i="6"/>
  <c r="I28" i="6"/>
  <c r="I29" i="6"/>
  <c r="I30" i="6"/>
  <c r="C74" i="17"/>
  <c r="H27" i="6"/>
  <c r="I27" i="6" s="1"/>
  <c r="G27" i="6"/>
  <c r="G25" i="6"/>
  <c r="H23" i="6"/>
  <c r="I23" i="6" s="1"/>
  <c r="H24" i="6"/>
  <c r="I24" i="6" s="1"/>
  <c r="H25" i="6"/>
  <c r="I25" i="6" s="1"/>
  <c r="H21" i="6"/>
  <c r="I21" i="6" s="1"/>
  <c r="G21" i="6"/>
  <c r="G23" i="6"/>
  <c r="G24" i="6"/>
  <c r="I65" i="1"/>
  <c r="J65" i="1" s="1" a="1"/>
  <c r="J65" i="1" s="1"/>
  <c r="I66" i="1"/>
  <c r="J66" i="1" s="1" a="1"/>
  <c r="J66" i="1" s="1"/>
  <c r="I67" i="1"/>
  <c r="J67" i="1" s="1" a="1"/>
  <c r="J67" i="1" s="1"/>
  <c r="I68" i="1"/>
  <c r="J68" i="1" s="1" a="1"/>
  <c r="J68" i="1" s="1"/>
  <c r="I69" i="1"/>
  <c r="J69" i="1" s="1" a="1"/>
  <c r="J69" i="1" s="1"/>
  <c r="C63" i="17"/>
  <c r="I63" i="1"/>
  <c r="J63" i="1" s="1" a="1"/>
  <c r="J63" i="1" s="1"/>
  <c r="I64" i="1"/>
  <c r="J64" i="1" s="1" a="1"/>
  <c r="J64" i="1" s="1"/>
  <c r="H14" i="6"/>
  <c r="I14" i="6" s="1"/>
  <c r="H17" i="6"/>
  <c r="I17" i="6" s="1"/>
  <c r="H18" i="6"/>
  <c r="I18" i="6" s="1"/>
  <c r="H19" i="6"/>
  <c r="I19" i="6" s="1"/>
  <c r="H20" i="6"/>
  <c r="I20" i="6" s="1"/>
  <c r="H16" i="6"/>
  <c r="I16" i="6" s="1"/>
  <c r="G20" i="6"/>
  <c r="G19" i="6"/>
  <c r="G18" i="6"/>
  <c r="G17" i="6"/>
  <c r="G16" i="6"/>
  <c r="G15" i="6"/>
  <c r="I15" i="6"/>
  <c r="G14" i="6"/>
  <c r="G13" i="6"/>
  <c r="I13" i="6"/>
  <c r="I61" i="1"/>
  <c r="J61" i="1" s="1" a="1"/>
  <c r="J61" i="1" s="1"/>
  <c r="I62" i="1"/>
  <c r="J62" i="1" s="1" a="1"/>
  <c r="J62" i="1" s="1"/>
  <c r="I60" i="1"/>
  <c r="J60" i="1" s="1" a="1"/>
  <c r="J60" i="1" s="1"/>
  <c r="H10" i="6"/>
  <c r="I10" i="6" s="1"/>
  <c r="C112" i="9"/>
  <c r="D112" i="9"/>
  <c r="E112" i="9"/>
  <c r="F112" i="9"/>
  <c r="G112" i="9"/>
  <c r="V33" i="9" a="1"/>
  <c r="V33" i="9" s="1"/>
  <c r="H112" i="9"/>
  <c r="W33" i="9" a="1"/>
  <c r="W33" i="9" s="1"/>
  <c r="I112" i="9"/>
  <c r="X33" i="9" a="1"/>
  <c r="X33" i="9" s="1"/>
  <c r="J112" i="9"/>
  <c r="Y33" i="9" a="1"/>
  <c r="Y33" i="9" s="1"/>
  <c r="K112" i="9"/>
  <c r="Z33" i="9" a="1"/>
  <c r="Z33" i="9" s="1"/>
  <c r="L112" i="9"/>
  <c r="AA33" i="9" a="1"/>
  <c r="AA33" i="9" s="1"/>
  <c r="M112" i="9"/>
  <c r="AB33" i="9" a="1"/>
  <c r="AB33" i="9" s="1"/>
  <c r="C113" i="9"/>
  <c r="D113" i="9"/>
  <c r="E113" i="9"/>
  <c r="F113" i="9"/>
  <c r="G113" i="9"/>
  <c r="V34" i="9" s="1" a="1"/>
  <c r="V34" i="9" s="1"/>
  <c r="H113" i="9"/>
  <c r="W34" i="9" s="1" a="1"/>
  <c r="W34" i="9" s="1"/>
  <c r="I113" i="9"/>
  <c r="X34" i="9" a="1"/>
  <c r="X34" i="9" s="1"/>
  <c r="J113" i="9"/>
  <c r="Y34" i="9" s="1" a="1"/>
  <c r="Y34" i="9" s="1"/>
  <c r="K113" i="9"/>
  <c r="Z34" i="9" s="1" a="1"/>
  <c r="Z34" i="9" s="1"/>
  <c r="L113" i="9"/>
  <c r="AA34" i="9" s="1" a="1"/>
  <c r="AA34" i="9" s="1"/>
  <c r="M113" i="9"/>
  <c r="C114" i="9"/>
  <c r="D114" i="9"/>
  <c r="S35" i="9" s="1" a="1"/>
  <c r="S35" i="9" s="1"/>
  <c r="E114" i="9"/>
  <c r="T35" i="9" a="1"/>
  <c r="T35" i="9" s="1"/>
  <c r="F114" i="9"/>
  <c r="G114" i="9"/>
  <c r="H114" i="9"/>
  <c r="W35" i="9" s="1" a="1"/>
  <c r="W35" i="9" s="1"/>
  <c r="I114" i="9"/>
  <c r="X35" i="9" s="1" a="1"/>
  <c r="X35" i="9" s="1"/>
  <c r="J114" i="9"/>
  <c r="Y35" i="9" a="1"/>
  <c r="Y35" i="9" s="1"/>
  <c r="K114" i="9"/>
  <c r="Z35" i="9" s="1" a="1"/>
  <c r="Z35" i="9" s="1"/>
  <c r="L114" i="9"/>
  <c r="AA35" i="9" a="1"/>
  <c r="AA35" i="9" s="1"/>
  <c r="M114" i="9"/>
  <c r="AB35" i="9" a="1"/>
  <c r="AB35" i="9" s="1"/>
  <c r="C115" i="9"/>
  <c r="D115" i="9"/>
  <c r="E115" i="9"/>
  <c r="F115" i="9"/>
  <c r="G115" i="9"/>
  <c r="V36" i="9" s="1" a="1"/>
  <c r="V36" i="9" s="1"/>
  <c r="H115" i="9"/>
  <c r="W36" i="9" s="1" a="1"/>
  <c r="W36" i="9" s="1"/>
  <c r="I115" i="9"/>
  <c r="N115" i="9" s="1"/>
  <c r="J115" i="9"/>
  <c r="Y36" i="9" s="1" a="1"/>
  <c r="Y36" i="9" s="1"/>
  <c r="K115" i="9"/>
  <c r="Z36" i="9" s="1" a="1"/>
  <c r="Z36" i="9" s="1"/>
  <c r="L115" i="9"/>
  <c r="AA36" i="9" s="1" a="1"/>
  <c r="AA36" i="9" s="1"/>
  <c r="M115" i="9"/>
  <c r="AB36" i="9" s="1" a="1"/>
  <c r="AB36" i="9" s="1"/>
  <c r="J59" i="1"/>
  <c r="J58" i="1"/>
  <c r="J57" i="1"/>
  <c r="J56" i="1"/>
  <c r="J55" i="1"/>
  <c r="J54" i="1"/>
  <c r="I29" i="1"/>
  <c r="J29" i="1"/>
  <c r="I30" i="1"/>
  <c r="J30" i="1"/>
  <c r="I31" i="1"/>
  <c r="J31" i="1"/>
  <c r="I32" i="1"/>
  <c r="J32"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2" i="1"/>
  <c r="J52" i="1"/>
  <c r="I53" i="1"/>
  <c r="J53" i="1"/>
  <c r="J28" i="1"/>
  <c r="I28" i="1"/>
  <c r="I3" i="1"/>
  <c r="J3" i="1"/>
  <c r="I4" i="1"/>
  <c r="J4" i="1"/>
  <c r="I5" i="1"/>
  <c r="J5" i="1"/>
  <c r="I6" i="1"/>
  <c r="J6" i="1"/>
  <c r="I7" i="1"/>
  <c r="J7" i="1"/>
  <c r="I8" i="1"/>
  <c r="J8" i="1"/>
  <c r="I9" i="1"/>
  <c r="J9" i="1"/>
  <c r="I10" i="1"/>
  <c r="J10" i="1"/>
  <c r="I11" i="1"/>
  <c r="J11" i="1"/>
  <c r="I12" i="1"/>
  <c r="J12" i="1"/>
  <c r="I13" i="1"/>
  <c r="J13" i="1"/>
  <c r="I14" i="1"/>
  <c r="J14" i="1"/>
  <c r="I15" i="1"/>
  <c r="J15" i="1"/>
  <c r="I16" i="1"/>
  <c r="J16" i="1"/>
  <c r="I17" i="1"/>
  <c r="J17" i="1"/>
  <c r="I18" i="1"/>
  <c r="J18" i="1"/>
  <c r="I19" i="1"/>
  <c r="J19" i="1"/>
  <c r="I20" i="1"/>
  <c r="J20" i="1"/>
  <c r="I21" i="1"/>
  <c r="J21" i="1"/>
  <c r="I22" i="1"/>
  <c r="J22" i="1"/>
  <c r="I23" i="1"/>
  <c r="J23" i="1"/>
  <c r="I24" i="1"/>
  <c r="J24" i="1"/>
  <c r="I25" i="1"/>
  <c r="J25" i="1"/>
  <c r="I26" i="1"/>
  <c r="J26" i="1"/>
  <c r="I27" i="1"/>
  <c r="J27" i="1"/>
  <c r="J2" i="1"/>
  <c r="I2" i="1"/>
  <c r="D37" i="14"/>
  <c r="F7" i="15"/>
  <c r="G7" i="15"/>
  <c r="F8" i="15"/>
  <c r="G8" i="15"/>
  <c r="F9" i="15"/>
  <c r="G9" i="15"/>
  <c r="H9" i="15" s="1"/>
  <c r="G5" i="7"/>
  <c r="G3" i="7"/>
  <c r="G4" i="7"/>
  <c r="G6" i="7"/>
  <c r="H6" i="7" s="1"/>
  <c r="G7" i="7"/>
  <c r="H7" i="7" s="1"/>
  <c r="H8" i="7"/>
  <c r="G9" i="7"/>
  <c r="H9" i="7" s="1"/>
  <c r="G8" i="6"/>
  <c r="G9" i="6"/>
  <c r="G10" i="6"/>
  <c r="G11" i="6"/>
  <c r="G12" i="6"/>
  <c r="I11" i="6"/>
  <c r="I12" i="6"/>
  <c r="G79" i="9" a="1"/>
  <c r="G79" i="9" s="1"/>
  <c r="H79" i="9" a="1"/>
  <c r="H79" i="9" s="1"/>
  <c r="I79" i="9" a="1"/>
  <c r="I79" i="9" s="1"/>
  <c r="J79" i="9" a="1"/>
  <c r="J79" i="9" s="1"/>
  <c r="K79" i="9" a="1"/>
  <c r="K79" i="9" s="1"/>
  <c r="L79" i="9" a="1"/>
  <c r="L79" i="9" s="1"/>
  <c r="M79" i="9" a="1"/>
  <c r="M79" i="9" s="1"/>
  <c r="G77" i="9" a="1"/>
  <c r="G77" i="9" s="1"/>
  <c r="H77" i="9" a="1"/>
  <c r="H77" i="9" s="1"/>
  <c r="I77" i="9" a="1"/>
  <c r="I77" i="9" s="1"/>
  <c r="J77" i="9" a="1"/>
  <c r="J77" i="9" s="1"/>
  <c r="K77" i="9" a="1"/>
  <c r="K77" i="9" s="1"/>
  <c r="L77" i="9" a="1"/>
  <c r="L77" i="9" s="1"/>
  <c r="M77" i="9" a="1"/>
  <c r="M77" i="9" s="1"/>
  <c r="G78" i="9" a="1"/>
  <c r="G78" i="9" s="1"/>
  <c r="H78" i="9" a="1"/>
  <c r="H78" i="9" s="1"/>
  <c r="I78" i="9" a="1"/>
  <c r="I78" i="9" s="1"/>
  <c r="J78" i="9" a="1"/>
  <c r="J78" i="9" s="1"/>
  <c r="K78" i="9" a="1"/>
  <c r="K78" i="9" s="1"/>
  <c r="L78" i="9" a="1"/>
  <c r="L78" i="9" s="1"/>
  <c r="M78" i="9" a="1"/>
  <c r="M78" i="9" s="1"/>
  <c r="V35" i="9" a="1"/>
  <c r="V35" i="9" s="1"/>
  <c r="N112" i="9"/>
  <c r="P35" i="7"/>
  <c r="P36" i="7"/>
  <c r="P37" i="7"/>
  <c r="P38" i="7"/>
  <c r="P39" i="7"/>
  <c r="P40" i="7"/>
  <c r="P41" i="7"/>
  <c r="P42" i="7"/>
  <c r="P43" i="7"/>
  <c r="P44" i="7"/>
  <c r="P45" i="7"/>
  <c r="P46" i="7"/>
  <c r="P47" i="7"/>
  <c r="P56" i="7"/>
  <c r="C5" i="8"/>
  <c r="P48" i="7"/>
  <c r="P49" i="7"/>
  <c r="P50" i="7"/>
  <c r="P51" i="7"/>
  <c r="P52" i="7"/>
  <c r="P53" i="7"/>
  <c r="P54" i="7"/>
  <c r="P55" i="7"/>
  <c r="P34" i="7"/>
  <c r="K27" i="15"/>
  <c r="K26" i="15"/>
  <c r="K25" i="15"/>
  <c r="K30" i="15"/>
  <c r="B49" i="9" a="1"/>
  <c r="I66" i="9" s="1" a="1"/>
  <c r="I66" i="9" s="1"/>
  <c r="E12" i="7"/>
  <c r="F11" i="15"/>
  <c r="F12" i="15"/>
  <c r="F13" i="15"/>
  <c r="G10" i="15"/>
  <c r="H10" i="15" s="1"/>
  <c r="G11" i="15"/>
  <c r="H11" i="15" s="1"/>
  <c r="H14" i="15" s="1"/>
  <c r="G12" i="15"/>
  <c r="H12" i="15" s="1"/>
  <c r="G13" i="15"/>
  <c r="H13" i="15" s="1"/>
  <c r="O77" i="9"/>
  <c r="O78" i="9"/>
  <c r="C9" i="8"/>
  <c r="I36" i="12"/>
  <c r="J35" i="14"/>
  <c r="J36" i="14"/>
  <c r="D35" i="14"/>
  <c r="D36" i="14"/>
  <c r="D35" i="18"/>
  <c r="D36" i="18"/>
  <c r="D37" i="18"/>
  <c r="E35" i="18"/>
  <c r="E36" i="18"/>
  <c r="E37" i="18"/>
  <c r="J25" i="15"/>
  <c r="J27" i="15"/>
  <c r="E38" i="7"/>
  <c r="E37" i="7"/>
  <c r="G7" i="6"/>
  <c r="C39" i="12"/>
  <c r="C40" i="12"/>
  <c r="C41" i="12"/>
  <c r="C42" i="12"/>
  <c r="C38" i="12"/>
  <c r="C37" i="12"/>
  <c r="R33" i="9" a="1"/>
  <c r="R33" i="9" s="1"/>
  <c r="S33" i="9" a="1"/>
  <c r="S33" i="9" s="1"/>
  <c r="T33" i="9" a="1"/>
  <c r="T33" i="9" s="1"/>
  <c r="U33" i="9" a="1"/>
  <c r="U33" i="9" s="1"/>
  <c r="R34" i="9" a="1"/>
  <c r="R34" i="9" s="1"/>
  <c r="S34" i="9" a="1"/>
  <c r="S34" i="9" s="1"/>
  <c r="T34" i="9" a="1"/>
  <c r="T34" i="9" s="1"/>
  <c r="U34" i="9" a="1"/>
  <c r="U34" i="9" s="1"/>
  <c r="R35" i="9" a="1"/>
  <c r="R35" i="9" s="1"/>
  <c r="U35" i="9" a="1"/>
  <c r="U35" i="9" s="1"/>
  <c r="J4" i="14"/>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4" i="12"/>
  <c r="G2" i="7"/>
  <c r="I35" i="12"/>
  <c r="G5" i="6"/>
  <c r="G6" i="6"/>
  <c r="F5" i="15"/>
  <c r="F6" i="15"/>
  <c r="B84" i="9" a="1"/>
  <c r="B84" i="9" s="1"/>
  <c r="E16" i="7"/>
  <c r="E17" i="7"/>
  <c r="E18" i="7"/>
  <c r="E19" i="7"/>
  <c r="E20" i="7"/>
  <c r="E21" i="7"/>
  <c r="E22" i="7"/>
  <c r="E23" i="7"/>
  <c r="E24" i="7"/>
  <c r="E25" i="7"/>
  <c r="E26" i="7"/>
  <c r="E27" i="7"/>
  <c r="E28" i="7"/>
  <c r="E29" i="7"/>
  <c r="E30" i="7"/>
  <c r="E31" i="7"/>
  <c r="E32" i="7"/>
  <c r="E33" i="7"/>
  <c r="E34" i="7"/>
  <c r="E35" i="7"/>
  <c r="E36" i="7"/>
  <c r="E15" i="7"/>
  <c r="E41" i="7"/>
  <c r="E83" i="2"/>
  <c r="F83" i="2"/>
  <c r="H83" i="2"/>
  <c r="I83" i="2"/>
  <c r="D83" i="2"/>
  <c r="E84" i="2"/>
  <c r="F84" i="2"/>
  <c r="H84" i="2"/>
  <c r="I84" i="2"/>
  <c r="D84" i="2"/>
  <c r="E85" i="2"/>
  <c r="F85" i="2"/>
  <c r="H85" i="2"/>
  <c r="I85" i="2"/>
  <c r="D85" i="2"/>
  <c r="E86" i="2"/>
  <c r="F86" i="2"/>
  <c r="E87" i="2"/>
  <c r="F87" i="2"/>
  <c r="G87" i="2"/>
  <c r="H87" i="2"/>
  <c r="I87" i="2"/>
  <c r="D87" i="2"/>
  <c r="E88" i="2"/>
  <c r="F88" i="2"/>
  <c r="E89" i="2"/>
  <c r="F89" i="2"/>
  <c r="G89" i="2"/>
  <c r="E90" i="2"/>
  <c r="F90" i="2"/>
  <c r="G90" i="2"/>
  <c r="E91" i="2"/>
  <c r="F91" i="2"/>
  <c r="H91" i="2"/>
  <c r="I91" i="2"/>
  <c r="D91" i="2"/>
  <c r="E92" i="2"/>
  <c r="F92" i="2"/>
  <c r="H92" i="2"/>
  <c r="I92" i="2"/>
  <c r="D92" i="2"/>
  <c r="E93" i="2"/>
  <c r="F93" i="2"/>
  <c r="G93" i="2"/>
  <c r="E94" i="2"/>
  <c r="F94" i="2"/>
  <c r="G94" i="2"/>
  <c r="E95" i="2"/>
  <c r="F95" i="2"/>
  <c r="G95" i="2"/>
  <c r="E96" i="2"/>
  <c r="F96" i="2"/>
  <c r="H96" i="2"/>
  <c r="I96" i="2"/>
  <c r="D96" i="2"/>
  <c r="G96" i="2"/>
  <c r="E97" i="2"/>
  <c r="F97" i="2"/>
  <c r="G97" i="2"/>
  <c r="E98" i="2"/>
  <c r="F98" i="2"/>
  <c r="G98" i="2"/>
  <c r="E99" i="2"/>
  <c r="F99" i="2"/>
  <c r="G99" i="2"/>
  <c r="H99" i="2"/>
  <c r="I99" i="2"/>
  <c r="D99" i="2"/>
  <c r="E100" i="2"/>
  <c r="F100" i="2"/>
  <c r="G100" i="2"/>
  <c r="H100" i="2"/>
  <c r="I100" i="2"/>
  <c r="D100" i="2"/>
  <c r="E101" i="2"/>
  <c r="F101" i="2"/>
  <c r="G101" i="2"/>
  <c r="H101" i="2"/>
  <c r="I101" i="2"/>
  <c r="D101" i="2"/>
  <c r="E102" i="2"/>
  <c r="F102" i="2"/>
  <c r="G102" i="2"/>
  <c r="H102" i="2"/>
  <c r="I102" i="2"/>
  <c r="D102" i="2"/>
  <c r="E103" i="2"/>
  <c r="F103" i="2"/>
  <c r="G103" i="2"/>
  <c r="H103" i="2"/>
  <c r="I103" i="2"/>
  <c r="D103" i="2"/>
  <c r="E104" i="2"/>
  <c r="F104" i="2"/>
  <c r="G104" i="2"/>
  <c r="H104" i="2"/>
  <c r="I104" i="2"/>
  <c r="D104" i="2"/>
  <c r="E105" i="2"/>
  <c r="F105" i="2"/>
  <c r="G105" i="2"/>
  <c r="H105" i="2"/>
  <c r="I105" i="2"/>
  <c r="D105" i="2"/>
  <c r="E106" i="2"/>
  <c r="F106" i="2"/>
  <c r="G106" i="2"/>
  <c r="H106" i="2"/>
  <c r="I106" i="2"/>
  <c r="D106" i="2"/>
  <c r="E107" i="2"/>
  <c r="F107" i="2"/>
  <c r="G107" i="2"/>
  <c r="H107" i="2"/>
  <c r="I107" i="2"/>
  <c r="D107" i="2"/>
  <c r="E108" i="2"/>
  <c r="F108" i="2"/>
  <c r="G108" i="2"/>
  <c r="H108" i="2"/>
  <c r="I108" i="2"/>
  <c r="D108" i="2"/>
  <c r="E109" i="2"/>
  <c r="F109" i="2"/>
  <c r="G109" i="2"/>
  <c r="H109" i="2"/>
  <c r="I109" i="2"/>
  <c r="D109" i="2"/>
  <c r="E110" i="2"/>
  <c r="F110" i="2"/>
  <c r="G110" i="2"/>
  <c r="H110" i="2"/>
  <c r="I110" i="2"/>
  <c r="D110" i="2"/>
  <c r="E111" i="2"/>
  <c r="F111" i="2"/>
  <c r="G111" i="2"/>
  <c r="H111" i="2"/>
  <c r="I111" i="2"/>
  <c r="D111" i="2"/>
  <c r="E112" i="2"/>
  <c r="F112" i="2"/>
  <c r="G112" i="2"/>
  <c r="H112" i="2"/>
  <c r="I112" i="2"/>
  <c r="D112" i="2"/>
  <c r="E113" i="2"/>
  <c r="F113" i="2"/>
  <c r="G113" i="2"/>
  <c r="H113" i="2"/>
  <c r="I113" i="2"/>
  <c r="D113" i="2"/>
  <c r="E114" i="2"/>
  <c r="F114" i="2"/>
  <c r="G114" i="2"/>
  <c r="H114" i="2"/>
  <c r="I114" i="2"/>
  <c r="D114" i="2"/>
  <c r="E115" i="2"/>
  <c r="F115" i="2"/>
  <c r="G115" i="2"/>
  <c r="H115" i="2"/>
  <c r="I115" i="2"/>
  <c r="D115" i="2"/>
  <c r="E116" i="2"/>
  <c r="F116" i="2"/>
  <c r="G116" i="2"/>
  <c r="H116" i="2"/>
  <c r="I116" i="2"/>
  <c r="D116" i="2"/>
  <c r="E117" i="2"/>
  <c r="F117" i="2"/>
  <c r="G117" i="2"/>
  <c r="H117" i="2"/>
  <c r="I117" i="2"/>
  <c r="D117" i="2"/>
  <c r="E118" i="2"/>
  <c r="F118" i="2"/>
  <c r="G118" i="2"/>
  <c r="H118" i="2"/>
  <c r="I118" i="2"/>
  <c r="D118" i="2"/>
  <c r="E119" i="2"/>
  <c r="F119" i="2"/>
  <c r="G119" i="2"/>
  <c r="H119" i="2"/>
  <c r="I119" i="2"/>
  <c r="D119" i="2"/>
  <c r="E74" i="2"/>
  <c r="F74" i="2"/>
  <c r="H74" i="2"/>
  <c r="I74" i="2"/>
  <c r="D74" i="2"/>
  <c r="E75" i="2"/>
  <c r="F75" i="2"/>
  <c r="G75" i="2"/>
  <c r="E76" i="2"/>
  <c r="F76" i="2"/>
  <c r="H76" i="2"/>
  <c r="I76" i="2"/>
  <c r="D76" i="2"/>
  <c r="E77" i="2"/>
  <c r="F77" i="2"/>
  <c r="E78" i="2"/>
  <c r="F78" i="2"/>
  <c r="G78" i="2"/>
  <c r="E79" i="2"/>
  <c r="F79" i="2"/>
  <c r="H79" i="2"/>
  <c r="I79" i="2"/>
  <c r="D79" i="2"/>
  <c r="E80" i="2"/>
  <c r="F80" i="2"/>
  <c r="H80" i="2"/>
  <c r="I80" i="2"/>
  <c r="D80" i="2"/>
  <c r="E81" i="2"/>
  <c r="F81" i="2"/>
  <c r="G81" i="2"/>
  <c r="E82" i="2"/>
  <c r="F82" i="2"/>
  <c r="Q5" i="9" a="1"/>
  <c r="A14" i="20" s="1"/>
  <c r="O64" i="9"/>
  <c r="G5" i="15"/>
  <c r="G6" i="15"/>
  <c r="D30" i="18"/>
  <c r="I3" i="12"/>
  <c r="J3" i="14"/>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G4" i="6"/>
  <c r="E56" i="2"/>
  <c r="F56" i="2"/>
  <c r="E57" i="2"/>
  <c r="F57" i="2"/>
  <c r="H57" i="2"/>
  <c r="I57" i="2"/>
  <c r="D57" i="2"/>
  <c r="E58" i="2"/>
  <c r="F58" i="2"/>
  <c r="G58" i="2"/>
  <c r="F27" i="2"/>
  <c r="H27" i="2" s="1"/>
  <c r="I27" i="2" s="1"/>
  <c r="D27" i="2" s="1"/>
  <c r="E27" i="2"/>
  <c r="E59" i="2"/>
  <c r="F59" i="2"/>
  <c r="H59" i="2"/>
  <c r="I59" i="2"/>
  <c r="D59" i="2"/>
  <c r="F28" i="2"/>
  <c r="H28" i="2" s="1"/>
  <c r="I28" i="2" s="1"/>
  <c r="D28" i="2" s="1"/>
  <c r="E28" i="2"/>
  <c r="E60" i="2"/>
  <c r="G60" i="2"/>
  <c r="F60" i="2"/>
  <c r="H60" i="2"/>
  <c r="I60" i="2"/>
  <c r="D60" i="2"/>
  <c r="E61" i="2"/>
  <c r="F61" i="2"/>
  <c r="E62" i="2"/>
  <c r="F62" i="2"/>
  <c r="H62" i="2"/>
  <c r="I62" i="2"/>
  <c r="D62" i="2"/>
  <c r="E63" i="2"/>
  <c r="G63" i="2"/>
  <c r="F63" i="2"/>
  <c r="H63" i="2"/>
  <c r="I63" i="2"/>
  <c r="D63" i="2"/>
  <c r="E64" i="2"/>
  <c r="F64" i="2"/>
  <c r="G64" i="2"/>
  <c r="E65" i="2"/>
  <c r="F65" i="2"/>
  <c r="E66" i="2"/>
  <c r="F66" i="2"/>
  <c r="H66" i="2"/>
  <c r="I66" i="2"/>
  <c r="D66" i="2"/>
  <c r="E67" i="2"/>
  <c r="F67" i="2"/>
  <c r="H67" i="2"/>
  <c r="I67" i="2"/>
  <c r="D67" i="2"/>
  <c r="E68" i="2"/>
  <c r="G68" i="2"/>
  <c r="F68" i="2"/>
  <c r="E69" i="2"/>
  <c r="F69" i="2"/>
  <c r="H69" i="2"/>
  <c r="I69" i="2"/>
  <c r="D69" i="2"/>
  <c r="E70" i="2"/>
  <c r="F70" i="2"/>
  <c r="H70" i="2"/>
  <c r="I70" i="2"/>
  <c r="D70" i="2"/>
  <c r="E71" i="2"/>
  <c r="F71" i="2"/>
  <c r="H71" i="2"/>
  <c r="I71" i="2"/>
  <c r="D71" i="2"/>
  <c r="E72" i="2"/>
  <c r="F72" i="2"/>
  <c r="H72" i="2"/>
  <c r="I72" i="2"/>
  <c r="D72" i="2"/>
  <c r="E73" i="2"/>
  <c r="F73" i="2"/>
  <c r="H73" i="2"/>
  <c r="I73" i="2"/>
  <c r="D73" i="2"/>
  <c r="E45" i="2"/>
  <c r="F45" i="2"/>
  <c r="E46" i="2"/>
  <c r="F46" i="2"/>
  <c r="H46" i="2"/>
  <c r="I46" i="2"/>
  <c r="D46" i="2"/>
  <c r="E47" i="2"/>
  <c r="F47" i="2"/>
  <c r="H47" i="2"/>
  <c r="I47" i="2"/>
  <c r="D47" i="2"/>
  <c r="E48" i="2"/>
  <c r="F48" i="2"/>
  <c r="F20" i="2"/>
  <c r="E20" i="2"/>
  <c r="E49" i="2"/>
  <c r="F49" i="2"/>
  <c r="F21" i="2"/>
  <c r="H21" i="2" s="1"/>
  <c r="I21" i="2" s="1"/>
  <c r="D21" i="2" s="1"/>
  <c r="E21" i="2"/>
  <c r="E50" i="2"/>
  <c r="G50" i="2"/>
  <c r="F50" i="2"/>
  <c r="H50" i="2"/>
  <c r="I50" i="2"/>
  <c r="D50" i="2"/>
  <c r="E51" i="2"/>
  <c r="F51" i="2"/>
  <c r="H51" i="2"/>
  <c r="I51" i="2"/>
  <c r="D51" i="2"/>
  <c r="E52" i="2"/>
  <c r="F52" i="2"/>
  <c r="H52" i="2"/>
  <c r="I52" i="2"/>
  <c r="D52" i="2"/>
  <c r="E53" i="2"/>
  <c r="F53" i="2"/>
  <c r="H53" i="2"/>
  <c r="I53" i="2"/>
  <c r="D53" i="2"/>
  <c r="E54" i="2"/>
  <c r="F54" i="2"/>
  <c r="H54" i="2"/>
  <c r="I54" i="2"/>
  <c r="D54" i="2"/>
  <c r="F24" i="2"/>
  <c r="H24" i="2" s="1"/>
  <c r="I24" i="2" s="1"/>
  <c r="D24" i="2" s="1"/>
  <c r="E24" i="2"/>
  <c r="E55" i="2"/>
  <c r="F55" i="2"/>
  <c r="H55" i="2"/>
  <c r="I55" i="2"/>
  <c r="D55" i="2"/>
  <c r="F25" i="2"/>
  <c r="H25" i="2" s="1"/>
  <c r="I25" i="2" s="1"/>
  <c r="D25" i="2" s="1"/>
  <c r="E25" i="2"/>
  <c r="C3" i="12"/>
  <c r="O7" i="17"/>
  <c r="D21" i="18"/>
  <c r="D22" i="18"/>
  <c r="D23" i="18"/>
  <c r="D24" i="18"/>
  <c r="D25" i="18"/>
  <c r="D26" i="18"/>
  <c r="D27" i="18"/>
  <c r="D28" i="18"/>
  <c r="D29" i="18"/>
  <c r="D31" i="18"/>
  <c r="D32" i="18"/>
  <c r="D33" i="18"/>
  <c r="D34" i="18"/>
  <c r="E21" i="18"/>
  <c r="E22" i="18"/>
  <c r="E23" i="18"/>
  <c r="E24" i="18"/>
  <c r="E25" i="18"/>
  <c r="E26" i="18"/>
  <c r="E27" i="18"/>
  <c r="E28" i="18"/>
  <c r="E29" i="18"/>
  <c r="E30" i="18"/>
  <c r="E31" i="18"/>
  <c r="E32" i="18"/>
  <c r="E33" i="18"/>
  <c r="E34" i="18"/>
  <c r="J21" i="14"/>
  <c r="J22" i="14"/>
  <c r="J23" i="14"/>
  <c r="J24" i="14"/>
  <c r="J25" i="14"/>
  <c r="J26" i="14"/>
  <c r="J27" i="14"/>
  <c r="J28" i="14"/>
  <c r="J29" i="14"/>
  <c r="J30" i="14"/>
  <c r="J31" i="14"/>
  <c r="J32" i="14"/>
  <c r="J33" i="14"/>
  <c r="J34" i="14"/>
  <c r="D17" i="14"/>
  <c r="D18" i="14"/>
  <c r="D19" i="14"/>
  <c r="D20" i="14"/>
  <c r="D21" i="14"/>
  <c r="D22" i="14"/>
  <c r="D23" i="14"/>
  <c r="D24" i="14"/>
  <c r="D25" i="14"/>
  <c r="D26" i="14"/>
  <c r="D27" i="14"/>
  <c r="D28" i="14"/>
  <c r="D29" i="14"/>
  <c r="D30" i="14"/>
  <c r="D31" i="14"/>
  <c r="D32" i="14"/>
  <c r="D33" i="14"/>
  <c r="D34" i="14"/>
  <c r="G3" i="6"/>
  <c r="G2" i="6"/>
  <c r="C19" i="8"/>
  <c r="D16" i="14"/>
  <c r="J18" i="14"/>
  <c r="J19" i="14"/>
  <c r="J20" i="14"/>
  <c r="E33" i="2"/>
  <c r="F33" i="2"/>
  <c r="H33" i="2" s="1"/>
  <c r="I33" i="2" s="1"/>
  <c r="D33" i="2" s="1"/>
  <c r="F6" i="2"/>
  <c r="H6" i="2" s="1"/>
  <c r="I6" i="2" s="1"/>
  <c r="D6" i="2" s="1"/>
  <c r="E6" i="2"/>
  <c r="F5" i="2"/>
  <c r="H5" i="2" s="1"/>
  <c r="I5" i="2" s="1"/>
  <c r="D5" i="2" s="1"/>
  <c r="E5" i="2"/>
  <c r="E34" i="2"/>
  <c r="F34" i="2"/>
  <c r="G34" i="2" s="1"/>
  <c r="H113" i="1" s="1"/>
  <c r="F18" i="2"/>
  <c r="E18" i="2"/>
  <c r="E35" i="2"/>
  <c r="F35" i="2"/>
  <c r="H35" i="2"/>
  <c r="I35" i="2" s="1"/>
  <c r="D35" i="2" s="1"/>
  <c r="E36" i="2"/>
  <c r="F36" i="2"/>
  <c r="H36" i="2"/>
  <c r="I36" i="2"/>
  <c r="D36" i="2"/>
  <c r="F22" i="2"/>
  <c r="H22" i="2" s="1"/>
  <c r="I22" i="2" s="1"/>
  <c r="D22" i="2" s="1"/>
  <c r="E22" i="2"/>
  <c r="F7" i="2"/>
  <c r="H7" i="2" s="1"/>
  <c r="I7" i="2" s="1"/>
  <c r="D7" i="2" s="1"/>
  <c r="E7" i="2"/>
  <c r="E37" i="2"/>
  <c r="F37" i="2"/>
  <c r="H37" i="2"/>
  <c r="I37" i="2"/>
  <c r="D37" i="2"/>
  <c r="G37" i="2"/>
  <c r="E39" i="2"/>
  <c r="G39" i="2"/>
  <c r="F39" i="2"/>
  <c r="H39" i="2"/>
  <c r="I39" i="2"/>
  <c r="D39" i="2"/>
  <c r="E40" i="2"/>
  <c r="F40" i="2"/>
  <c r="H40" i="2"/>
  <c r="I40" i="2"/>
  <c r="D40" i="2"/>
  <c r="E41" i="2"/>
  <c r="F41" i="2"/>
  <c r="H41" i="2"/>
  <c r="I41" i="2"/>
  <c r="D41" i="2"/>
  <c r="E42" i="2"/>
  <c r="F42" i="2"/>
  <c r="G42" i="2"/>
  <c r="E43" i="2"/>
  <c r="F43" i="2"/>
  <c r="H43" i="2"/>
  <c r="I43" i="2"/>
  <c r="D43" i="2"/>
  <c r="E44" i="2"/>
  <c r="F44" i="2"/>
  <c r="G44" i="2"/>
  <c r="F19" i="2"/>
  <c r="E19" i="2"/>
  <c r="F38" i="2"/>
  <c r="H38" i="2"/>
  <c r="I38" i="2"/>
  <c r="D38" i="2"/>
  <c r="E38" i="2"/>
  <c r="I4" i="12"/>
  <c r="I5" i="12"/>
  <c r="D3" i="14"/>
  <c r="D4" i="14"/>
  <c r="D5" i="14"/>
  <c r="D6" i="14"/>
  <c r="D7" i="14"/>
  <c r="D8" i="14"/>
  <c r="D9" i="14"/>
  <c r="D10" i="14"/>
  <c r="D11" i="14"/>
  <c r="D12" i="14"/>
  <c r="D13" i="14"/>
  <c r="D14" i="14"/>
  <c r="D15" i="14"/>
  <c r="D3" i="18"/>
  <c r="D4" i="18"/>
  <c r="D5" i="18"/>
  <c r="D6" i="18"/>
  <c r="D7" i="18"/>
  <c r="D8" i="18"/>
  <c r="D9" i="18"/>
  <c r="D10" i="18"/>
  <c r="D11" i="18"/>
  <c r="D12" i="18"/>
  <c r="D13" i="18"/>
  <c r="D14" i="18"/>
  <c r="D15" i="18"/>
  <c r="D16" i="18"/>
  <c r="D17" i="18"/>
  <c r="D18" i="18"/>
  <c r="D19" i="18"/>
  <c r="D20" i="18"/>
  <c r="J5" i="14"/>
  <c r="J6" i="14"/>
  <c r="J7" i="14"/>
  <c r="J8" i="14"/>
  <c r="J9" i="14"/>
  <c r="J10" i="14"/>
  <c r="J11" i="14"/>
  <c r="J12" i="14"/>
  <c r="J13" i="14"/>
  <c r="J14" i="14"/>
  <c r="J16" i="14"/>
  <c r="J17" i="14"/>
  <c r="J4" i="19" a="1"/>
  <c r="J4" i="19" s="1"/>
  <c r="E8" i="18"/>
  <c r="E3" i="18"/>
  <c r="E4" i="18"/>
  <c r="E5" i="18"/>
  <c r="E6" i="18"/>
  <c r="E7" i="18"/>
  <c r="E9" i="18"/>
  <c r="E10" i="18"/>
  <c r="E11" i="18"/>
  <c r="E12" i="18"/>
  <c r="E13" i="18"/>
  <c r="E14" i="18"/>
  <c r="E15" i="18"/>
  <c r="E16" i="18"/>
  <c r="E17" i="18"/>
  <c r="E18" i="18"/>
  <c r="E19" i="18"/>
  <c r="E20" i="18"/>
  <c r="F13" i="2"/>
  <c r="H13" i="2" s="1"/>
  <c r="I13" i="2" s="1"/>
  <c r="D13" i="2" s="1"/>
  <c r="E13" i="2"/>
  <c r="F23" i="2"/>
  <c r="H23" i="2" s="1"/>
  <c r="I23" i="2" s="1"/>
  <c r="D23" i="2" s="1"/>
  <c r="E23" i="2"/>
  <c r="F15" i="2"/>
  <c r="E15" i="2"/>
  <c r="F16" i="2"/>
  <c r="E16" i="2"/>
  <c r="F26" i="2"/>
  <c r="H26" i="2" s="1"/>
  <c r="I26" i="2" s="1"/>
  <c r="D26" i="2" s="1"/>
  <c r="E26" i="2"/>
  <c r="F29" i="2"/>
  <c r="H29" i="2" s="1"/>
  <c r="I29" i="2" s="1"/>
  <c r="D29" i="2" s="1"/>
  <c r="E29" i="2"/>
  <c r="F30" i="2"/>
  <c r="F31" i="2"/>
  <c r="H31" i="2"/>
  <c r="I31" i="2" s="1"/>
  <c r="D31" i="2" s="1"/>
  <c r="E31" i="2"/>
  <c r="H43" i="1"/>
  <c r="F32" i="2"/>
  <c r="H32" i="2" s="1"/>
  <c r="I32" i="2" s="1"/>
  <c r="D32" i="2" s="1"/>
  <c r="F14" i="2"/>
  <c r="H14" i="2" s="1"/>
  <c r="I14" i="2" s="1"/>
  <c r="D14" i="2" s="1"/>
  <c r="E14" i="2"/>
  <c r="E30" i="2"/>
  <c r="E32" i="2"/>
  <c r="N4" i="17"/>
  <c r="F12" i="2"/>
  <c r="E12" i="2"/>
  <c r="F11" i="2"/>
  <c r="H11" i="2" s="1"/>
  <c r="I11" i="2" s="1"/>
  <c r="E11" i="2"/>
  <c r="E17" i="2"/>
  <c r="F17" i="2"/>
  <c r="F9" i="2"/>
  <c r="E9" i="2"/>
  <c r="E8" i="2"/>
  <c r="F8" i="2"/>
  <c r="H8" i="2" s="1"/>
  <c r="I8" i="2" s="1"/>
  <c r="D8" i="2" s="1"/>
  <c r="E10" i="2"/>
  <c r="E4" i="2"/>
  <c r="C8" i="8"/>
  <c r="F10" i="2"/>
  <c r="H10" i="2" s="1"/>
  <c r="I10" i="2" s="1"/>
  <c r="D10" i="2" s="1"/>
  <c r="F4" i="2"/>
  <c r="H4" i="2" s="1"/>
  <c r="I4" i="2" s="1"/>
  <c r="D4" i="2" s="1"/>
  <c r="N3" i="7"/>
  <c r="N5" i="7"/>
  <c r="E6" i="11"/>
  <c r="D6" i="11"/>
  <c r="F3" i="2"/>
  <c r="J15" i="14"/>
  <c r="H94" i="2"/>
  <c r="I94" i="2"/>
  <c r="D94" i="2"/>
  <c r="G91" i="2"/>
  <c r="H98" i="2"/>
  <c r="I98" i="2"/>
  <c r="D98" i="2"/>
  <c r="H93" i="2"/>
  <c r="I93" i="2"/>
  <c r="D93" i="2"/>
  <c r="H95" i="2"/>
  <c r="I95" i="2"/>
  <c r="D95" i="2"/>
  <c r="H97" i="2"/>
  <c r="I97" i="2"/>
  <c r="D97" i="2"/>
  <c r="H82" i="2"/>
  <c r="I82" i="2"/>
  <c r="D82" i="2"/>
  <c r="B2" i="2"/>
  <c r="J30" i="15"/>
  <c r="H49" i="2"/>
  <c r="I49" i="2"/>
  <c r="D49" i="2"/>
  <c r="G55" i="2"/>
  <c r="G49" i="2"/>
  <c r="G69" i="2"/>
  <c r="G51" i="2"/>
  <c r="G57" i="2"/>
  <c r="G66" i="2"/>
  <c r="G72" i="2"/>
  <c r="G45" i="2"/>
  <c r="G38" i="2"/>
  <c r="G71" i="2"/>
  <c r="H45" i="2"/>
  <c r="I45" i="2"/>
  <c r="D45" i="2"/>
  <c r="H68" i="2"/>
  <c r="I68" i="2"/>
  <c r="D68" i="2"/>
  <c r="H77" i="2"/>
  <c r="I77" i="2"/>
  <c r="D77" i="2"/>
  <c r="G76" i="2"/>
  <c r="F14" i="15"/>
  <c r="G56" i="2"/>
  <c r="H64" i="2"/>
  <c r="I64" i="2"/>
  <c r="D64" i="2"/>
  <c r="G82" i="2"/>
  <c r="G77" i="2"/>
  <c r="G53" i="2"/>
  <c r="H89" i="2"/>
  <c r="I89" i="2"/>
  <c r="D89" i="2"/>
  <c r="H81" i="2"/>
  <c r="I81" i="2"/>
  <c r="D81" i="2"/>
  <c r="G84" i="2"/>
  <c r="H58" i="2"/>
  <c r="I58" i="2"/>
  <c r="D58" i="2"/>
  <c r="G65" i="2"/>
  <c r="H56" i="2"/>
  <c r="I56" i="2"/>
  <c r="D56" i="2"/>
  <c r="C6" i="8"/>
  <c r="G73" i="2"/>
  <c r="G67" i="2"/>
  <c r="G40" i="2"/>
  <c r="G61" i="2"/>
  <c r="H75" i="2"/>
  <c r="I75" i="2"/>
  <c r="D75" i="2"/>
  <c r="G86" i="2"/>
  <c r="G79" i="2"/>
  <c r="H44" i="2"/>
  <c r="I44" i="2"/>
  <c r="D44" i="2"/>
  <c r="G80" i="2"/>
  <c r="H90" i="2"/>
  <c r="I90" i="2"/>
  <c r="D90" i="2"/>
  <c r="G85" i="2"/>
  <c r="G59" i="2"/>
  <c r="G74" i="2"/>
  <c r="G92" i="2"/>
  <c r="G88" i="2"/>
  <c r="G83" i="2"/>
  <c r="G36" i="2"/>
  <c r="G47" i="2"/>
  <c r="H65" i="2"/>
  <c r="I65" i="2"/>
  <c r="D65" i="2"/>
  <c r="H88" i="2"/>
  <c r="I88" i="2"/>
  <c r="D88" i="2"/>
  <c r="G48" i="2"/>
  <c r="G62" i="2"/>
  <c r="G52" i="2"/>
  <c r="H78" i="2"/>
  <c r="I78" i="2"/>
  <c r="D78" i="2"/>
  <c r="H86" i="2"/>
  <c r="I86" i="2"/>
  <c r="D86" i="2"/>
  <c r="H48" i="2"/>
  <c r="I48" i="2"/>
  <c r="D48" i="2"/>
  <c r="G54" i="2"/>
  <c r="H42" i="2"/>
  <c r="I42" i="2"/>
  <c r="D42" i="2"/>
  <c r="G43" i="2"/>
  <c r="G41" i="2"/>
  <c r="G46" i="2"/>
  <c r="H61" i="2"/>
  <c r="I61" i="2"/>
  <c r="D61" i="2"/>
  <c r="G70" i="2"/>
  <c r="H46" i="1"/>
  <c r="H38" i="1"/>
  <c r="H40" i="1"/>
  <c r="H41" i="1"/>
  <c r="H33" i="1"/>
  <c r="H16" i="1"/>
  <c r="H18" i="1"/>
  <c r="H48" i="1"/>
  <c r="H29" i="1"/>
  <c r="H57" i="1"/>
  <c r="H6" i="1"/>
  <c r="H8" i="1"/>
  <c r="H9" i="1"/>
  <c r="H36" i="1"/>
  <c r="H34" i="1"/>
  <c r="H28" i="1"/>
  <c r="H56" i="1"/>
  <c r="H35" i="1"/>
  <c r="H26" i="1"/>
  <c r="H24" i="1"/>
  <c r="H39" i="1"/>
  <c r="H51" i="1"/>
  <c r="H50" i="1"/>
  <c r="H37" i="1"/>
  <c r="H54" i="1"/>
  <c r="H49" i="1"/>
  <c r="H47" i="1"/>
  <c r="H7" i="1"/>
  <c r="H52" i="1"/>
  <c r="H20" i="1"/>
  <c r="H13" i="1"/>
  <c r="H30" i="1"/>
  <c r="H12" i="1"/>
  <c r="H22" i="1"/>
  <c r="H59" i="1"/>
  <c r="H15" i="1"/>
  <c r="H42" i="1"/>
  <c r="H55" i="1"/>
  <c r="H53" i="1"/>
  <c r="H31" i="1"/>
  <c r="H58" i="1"/>
  <c r="H32" i="1"/>
  <c r="H14" i="1"/>
  <c r="H10" i="1"/>
  <c r="H45" i="1"/>
  <c r="H19" i="1"/>
  <c r="H2" i="1"/>
  <c r="H23" i="1"/>
  <c r="H4" i="1"/>
  <c r="H3" i="1"/>
  <c r="H5" i="1"/>
  <c r="H44" i="1"/>
  <c r="H25" i="1"/>
  <c r="H17" i="1"/>
  <c r="H11" i="1"/>
  <c r="H27" i="1"/>
  <c r="H21" i="1"/>
  <c r="L76" i="9" a="1"/>
  <c r="L76" i="9" s="1"/>
  <c r="G76" i="9" a="1"/>
  <c r="G76" i="9" s="1"/>
  <c r="C111" i="9"/>
  <c r="R32" i="9" s="1" a="1"/>
  <c r="R32" i="9" s="1"/>
  <c r="H111" i="9"/>
  <c r="W32" i="9" a="1"/>
  <c r="W32" i="9" s="1"/>
  <c r="D111" i="9"/>
  <c r="S32" i="9" a="1"/>
  <c r="S32" i="9" s="1"/>
  <c r="I111" i="9"/>
  <c r="X32" i="9" s="1" a="1"/>
  <c r="X32" i="9" s="1"/>
  <c r="E111" i="9"/>
  <c r="T32" i="9" a="1"/>
  <c r="T32" i="9" s="1"/>
  <c r="J111" i="9"/>
  <c r="Y32" i="9" a="1"/>
  <c r="Y32" i="9" s="1"/>
  <c r="K76" i="9" a="1"/>
  <c r="K76" i="9" s="1"/>
  <c r="H76" i="9" a="1"/>
  <c r="H76" i="9" s="1"/>
  <c r="G111" i="9"/>
  <c r="M76" i="9" a="1"/>
  <c r="M76" i="9" s="1"/>
  <c r="M111" i="9"/>
  <c r="AB32" i="9" s="1" a="1"/>
  <c r="AB32" i="9" s="1"/>
  <c r="K111" i="9"/>
  <c r="Z32" i="9" s="1" a="1"/>
  <c r="Z32" i="9" s="1"/>
  <c r="F111" i="9"/>
  <c r="U32" i="9" s="1" a="1"/>
  <c r="U32" i="9" s="1"/>
  <c r="J76" i="9" a="1"/>
  <c r="J76" i="9" s="1"/>
  <c r="L111" i="9"/>
  <c r="AA32" i="9" s="1" a="1"/>
  <c r="AA32" i="9" s="1"/>
  <c r="O76" i="9"/>
  <c r="I76" i="9" a="1"/>
  <c r="I76" i="9" s="1"/>
  <c r="V32" i="9" a="1"/>
  <c r="V32" i="9" s="1"/>
  <c r="B10" i="21"/>
  <c r="B14" i="21"/>
  <c r="C2" i="2"/>
  <c r="N113" i="9" l="1"/>
  <c r="X36" i="9" a="1"/>
  <c r="X36" i="9" s="1"/>
  <c r="AB34" i="9" a="1"/>
  <c r="AB34" i="9" s="1"/>
  <c r="N114" i="9"/>
  <c r="N111" i="9"/>
  <c r="G60" i="6"/>
  <c r="K6" i="6"/>
  <c r="C4" i="8" s="1"/>
  <c r="G35" i="2"/>
  <c r="G31" i="2"/>
  <c r="H110" i="1" s="1"/>
  <c r="G13" i="2"/>
  <c r="H69" i="1" s="1"/>
  <c r="H34" i="2"/>
  <c r="I34" i="2" s="1"/>
  <c r="D34" i="2" s="1"/>
  <c r="G33" i="2"/>
  <c r="H112" i="1" s="1"/>
  <c r="G32" i="2"/>
  <c r="H111" i="1" s="1"/>
  <c r="G27" i="2"/>
  <c r="F88" i="9"/>
  <c r="U9" i="9" s="1" a="1"/>
  <c r="U9" i="9" s="1"/>
  <c r="M75" i="9" a="1"/>
  <c r="M75" i="9" s="1"/>
  <c r="A10" i="20"/>
  <c r="A17" i="20"/>
  <c r="C94" i="9"/>
  <c r="J93" i="1" a="1"/>
  <c r="J93" i="1" s="1"/>
  <c r="I114" i="1" a="1"/>
  <c r="I114" i="1" s="1"/>
  <c r="E5" i="8" s="1"/>
  <c r="A25" i="20"/>
  <c r="M51" i="9" a="1"/>
  <c r="M51" i="9" s="1"/>
  <c r="J63" i="9" a="1"/>
  <c r="J63" i="9" s="1"/>
  <c r="G102" i="9"/>
  <c r="V23" i="9" s="1" a="1"/>
  <c r="V23" i="9" s="1"/>
  <c r="A9" i="20"/>
  <c r="O63" i="9"/>
  <c r="I110" i="9"/>
  <c r="A19" i="20"/>
  <c r="L66" i="9" a="1"/>
  <c r="L66" i="9" s="1"/>
  <c r="F106" i="9"/>
  <c r="H90" i="9"/>
  <c r="W11" i="9" s="1" a="1"/>
  <c r="W11" i="9" s="1"/>
  <c r="O66" i="9"/>
  <c r="H94" i="9"/>
  <c r="W15" i="9" s="1" a="1"/>
  <c r="W15" i="9" s="1"/>
  <c r="H103" i="9"/>
  <c r="W24" i="9" s="1" a="1"/>
  <c r="W24" i="9" s="1"/>
  <c r="M68" i="9" a="1"/>
  <c r="M68" i="9" s="1"/>
  <c r="K106" i="9"/>
  <c r="Z27" i="9" s="1" a="1"/>
  <c r="Z27" i="9" s="1"/>
  <c r="H53" i="9" a="1"/>
  <c r="H53" i="9" s="1"/>
  <c r="I58" i="9" a="1"/>
  <c r="I58" i="9" s="1"/>
  <c r="J73" i="9" a="1"/>
  <c r="J73" i="9" s="1"/>
  <c r="O110" i="9"/>
  <c r="H56" i="9" a="1"/>
  <c r="H56" i="9" s="1"/>
  <c r="L99" i="9"/>
  <c r="AA20" i="9" s="1" a="1"/>
  <c r="AA20" i="9" s="1"/>
  <c r="B16" i="9"/>
  <c r="K107" i="9"/>
  <c r="Z28" i="9" s="1" a="1"/>
  <c r="Z28" i="9" s="1"/>
  <c r="K65" i="9" a="1"/>
  <c r="K65" i="9" s="1"/>
  <c r="L107" i="9"/>
  <c r="AA28" i="9" s="1" a="1"/>
  <c r="AA28" i="9" s="1"/>
  <c r="H93" i="9"/>
  <c r="W14" i="9" s="1" a="1"/>
  <c r="W14" i="9" s="1"/>
  <c r="K70" i="9" a="1"/>
  <c r="K70" i="9" s="1"/>
  <c r="O70" i="9"/>
  <c r="L97" i="9"/>
  <c r="AA18" i="9" s="1" a="1"/>
  <c r="AA18" i="9" s="1"/>
  <c r="C101" i="9"/>
  <c r="R22" i="9" s="1" a="1"/>
  <c r="R22" i="9" s="1"/>
  <c r="H55" i="9" a="1"/>
  <c r="H55" i="9" s="1"/>
  <c r="E98" i="9"/>
  <c r="T19" i="9" s="1" a="1"/>
  <c r="T19" i="9" s="1"/>
  <c r="H89" i="9"/>
  <c r="L95" i="9"/>
  <c r="AA16" i="9" s="1" a="1"/>
  <c r="AA16" i="9" s="1"/>
  <c r="O61" i="9"/>
  <c r="E108" i="9"/>
  <c r="T29" i="9" s="1" a="1"/>
  <c r="T29" i="9" s="1"/>
  <c r="C102" i="9"/>
  <c r="R23" i="9" s="1" a="1"/>
  <c r="R23" i="9" s="1"/>
  <c r="C98" i="9"/>
  <c r="R19" i="9" s="1" a="1"/>
  <c r="R19" i="9" s="1"/>
  <c r="K103" i="9"/>
  <c r="Z24" i="9" s="1" a="1"/>
  <c r="Z24" i="9" s="1"/>
  <c r="B14" i="9"/>
  <c r="E14" i="9" s="1"/>
  <c r="M63" i="9" a="1"/>
  <c r="M63" i="9" s="1"/>
  <c r="M70" i="9" a="1"/>
  <c r="M70" i="9" s="1"/>
  <c r="L60" i="9" a="1"/>
  <c r="L60" i="9" s="1"/>
  <c r="L100" i="9"/>
  <c r="AA21" i="9" s="1" a="1"/>
  <c r="AA21" i="9" s="1"/>
  <c r="K94" i="9"/>
  <c r="Z15" i="9" s="1" a="1"/>
  <c r="Z15" i="9" s="1"/>
  <c r="B12" i="9"/>
  <c r="H100" i="9"/>
  <c r="W21" i="9" s="1" a="1"/>
  <c r="W21" i="9" s="1"/>
  <c r="I104" i="9"/>
  <c r="X25" i="9" s="1" a="1"/>
  <c r="X25" i="9" s="1"/>
  <c r="O75" i="9"/>
  <c r="F86" i="9"/>
  <c r="U7" i="9" s="1" a="1"/>
  <c r="U7" i="9" s="1"/>
  <c r="H91" i="9"/>
  <c r="W12" i="9" s="1" a="1"/>
  <c r="W12" i="9" s="1"/>
  <c r="F107" i="9"/>
  <c r="U28" i="9" s="1" a="1"/>
  <c r="U28" i="9" s="1"/>
  <c r="M89" i="9"/>
  <c r="AB10" i="9" s="1" a="1"/>
  <c r="AB10" i="9" s="1"/>
  <c r="K89" i="9"/>
  <c r="Z10" i="9" s="1" a="1"/>
  <c r="Z10" i="9" s="1"/>
  <c r="F102" i="9"/>
  <c r="U23" i="9" s="1" a="1"/>
  <c r="U23" i="9" s="1"/>
  <c r="K63" i="9" a="1"/>
  <c r="K63" i="9" s="1"/>
  <c r="L102" i="9"/>
  <c r="AA23" i="9" s="1" a="1"/>
  <c r="AA23" i="9" s="1"/>
  <c r="J102" i="9"/>
  <c r="Y23" i="9" s="1" a="1"/>
  <c r="Y23" i="9" s="1"/>
  <c r="J59" i="9" a="1"/>
  <c r="J59" i="9" s="1"/>
  <c r="G61" i="9" a="1"/>
  <c r="G61" i="9" s="1"/>
  <c r="I109" i="9"/>
  <c r="X30" i="9" s="1" a="1"/>
  <c r="X30" i="9" s="1"/>
  <c r="G96" i="9"/>
  <c r="V17" i="9" s="1" a="1"/>
  <c r="V17" i="9" s="1"/>
  <c r="D89" i="9"/>
  <c r="S10" i="9" s="1" a="1"/>
  <c r="S10" i="9" s="1"/>
  <c r="I52" i="9" a="1"/>
  <c r="I52" i="9" s="1"/>
  <c r="J95" i="9"/>
  <c r="Y16" i="9" s="1" a="1"/>
  <c r="Y16" i="9" s="1"/>
  <c r="D108" i="9"/>
  <c r="S29" i="9" s="1" a="1"/>
  <c r="S29" i="9" s="1"/>
  <c r="K74" i="9" a="1"/>
  <c r="K74" i="9" s="1"/>
  <c r="M50" i="9" a="1"/>
  <c r="M50" i="9" s="1"/>
  <c r="M104" i="9"/>
  <c r="AB25" i="9" s="1" a="1"/>
  <c r="AB25" i="9" s="1"/>
  <c r="O74" i="9"/>
  <c r="G64" i="9" a="1"/>
  <c r="G64" i="9" s="1"/>
  <c r="C104" i="9"/>
  <c r="R25" i="9" s="1" a="1"/>
  <c r="R25" i="9" s="1"/>
  <c r="J72" i="9" a="1"/>
  <c r="J72" i="9" s="1"/>
  <c r="J62" i="9" a="1"/>
  <c r="J62" i="9" s="1"/>
  <c r="H57" i="9" a="1"/>
  <c r="H57" i="9" s="1"/>
  <c r="M60" i="9" a="1"/>
  <c r="M60" i="9" s="1"/>
  <c r="H68" i="9" a="1"/>
  <c r="H68" i="9" s="1"/>
  <c r="L101" i="9"/>
  <c r="D98" i="9"/>
  <c r="S19" i="9" s="1" a="1"/>
  <c r="S19" i="9" s="1"/>
  <c r="F95" i="9"/>
  <c r="U16" i="9" s="1" a="1"/>
  <c r="U16" i="9" s="1"/>
  <c r="L51" i="9" a="1"/>
  <c r="L51" i="9" s="1"/>
  <c r="H63" i="9" a="1"/>
  <c r="H63" i="9" s="1"/>
  <c r="I73" i="9" a="1"/>
  <c r="I73" i="9" s="1"/>
  <c r="C97" i="9"/>
  <c r="R18" i="9" s="1" a="1"/>
  <c r="R18" i="9" s="1"/>
  <c r="I62" i="9" a="1"/>
  <c r="I62" i="9" s="1"/>
  <c r="L72" i="9" a="1"/>
  <c r="L72" i="9" s="1"/>
  <c r="H75" i="9" a="1"/>
  <c r="H75" i="9" s="1"/>
  <c r="I54" i="9" a="1"/>
  <c r="I54" i="9" s="1"/>
  <c r="G74" i="9" a="1"/>
  <c r="G74" i="9" s="1"/>
  <c r="I87" i="9"/>
  <c r="X8" i="9" s="1" a="1"/>
  <c r="X8" i="9" s="1"/>
  <c r="L75" i="9" a="1"/>
  <c r="L75" i="9" s="1"/>
  <c r="C85" i="9"/>
  <c r="R6" i="9" s="1" a="1"/>
  <c r="R6" i="9" s="1"/>
  <c r="L64" i="9" a="1"/>
  <c r="L64" i="9" s="1"/>
  <c r="W10" i="9" a="1"/>
  <c r="W10" i="9" s="1"/>
  <c r="K56" i="9" a="1"/>
  <c r="K56" i="9" s="1"/>
  <c r="B13" i="9"/>
  <c r="G103" i="9"/>
  <c r="V24" i="9" s="1" a="1"/>
  <c r="V24" i="9" s="1"/>
  <c r="G89" i="9"/>
  <c r="V10" i="9" s="1" a="1"/>
  <c r="V10" i="9" s="1"/>
  <c r="E85" i="9"/>
  <c r="T6" i="9" s="1" a="1"/>
  <c r="T6" i="9" s="1"/>
  <c r="B11" i="9"/>
  <c r="F94" i="9"/>
  <c r="U15" i="9" s="1" a="1"/>
  <c r="U15" i="9" s="1"/>
  <c r="D101" i="9"/>
  <c r="S22" i="9" s="1" a="1"/>
  <c r="S22" i="9" s="1"/>
  <c r="I94" i="9"/>
  <c r="X15" i="9" s="1" a="1"/>
  <c r="X15" i="9" s="1"/>
  <c r="C92" i="9"/>
  <c r="R13" i="9" s="1" a="1"/>
  <c r="R13" i="9" s="1"/>
  <c r="L53" i="9" a="1"/>
  <c r="L53" i="9" s="1"/>
  <c r="I92" i="9"/>
  <c r="G104" i="9"/>
  <c r="V25" i="9" s="1" a="1"/>
  <c r="V25" i="9" s="1"/>
  <c r="L90" i="9"/>
  <c r="AA11" i="9" s="1" a="1"/>
  <c r="AA11" i="9" s="1"/>
  <c r="M67" i="9" a="1"/>
  <c r="M67" i="9" s="1"/>
  <c r="I65" i="9" a="1"/>
  <c r="I65" i="9" s="1"/>
  <c r="K68" i="9" a="1"/>
  <c r="K68" i="9" s="1"/>
  <c r="H97" i="9"/>
  <c r="W18" i="9" s="1" a="1"/>
  <c r="W18" i="9" s="1"/>
  <c r="J96" i="9"/>
  <c r="Y17" i="9" s="1" a="1"/>
  <c r="Y17" i="9" s="1"/>
  <c r="I53" i="9" a="1"/>
  <c r="I53" i="9" s="1"/>
  <c r="J106" i="9"/>
  <c r="Y27" i="9" s="1" a="1"/>
  <c r="Y27" i="9" s="1"/>
  <c r="M53" i="9" a="1"/>
  <c r="M53" i="9" s="1"/>
  <c r="F90" i="9"/>
  <c r="U11" i="9" s="1" a="1"/>
  <c r="U11" i="9" s="1"/>
  <c r="K61" i="9" a="1"/>
  <c r="K61" i="9" s="1"/>
  <c r="J56" i="9" a="1"/>
  <c r="J56" i="9" s="1"/>
  <c r="I102" i="9"/>
  <c r="X23" i="9" s="1" a="1"/>
  <c r="X23" i="9" s="1"/>
  <c r="K57" i="9" a="1"/>
  <c r="K57" i="9" s="1"/>
  <c r="I86" i="9"/>
  <c r="X7" i="9" s="1" a="1"/>
  <c r="X7" i="9" s="1"/>
  <c r="J99" i="9"/>
  <c r="Y20" i="9" s="1" a="1"/>
  <c r="Y20" i="9" s="1"/>
  <c r="I55" i="9" a="1"/>
  <c r="I55" i="9" s="1"/>
  <c r="M105" i="9"/>
  <c r="AB26" i="9" s="1" a="1"/>
  <c r="AB26" i="9" s="1"/>
  <c r="C99" i="9"/>
  <c r="R20" i="9" s="1" a="1"/>
  <c r="R20" i="9" s="1"/>
  <c r="D90" i="9"/>
  <c r="S11" i="9" s="1" a="1"/>
  <c r="S11" i="9" s="1"/>
  <c r="H102" i="9"/>
  <c r="W23" i="9" s="1" a="1"/>
  <c r="W23" i="9" s="1"/>
  <c r="O62" i="9"/>
  <c r="C89" i="9"/>
  <c r="R10" i="9" s="1" a="1"/>
  <c r="R10" i="9" s="1"/>
  <c r="G54" i="9" a="1"/>
  <c r="G54" i="9" s="1"/>
  <c r="E87" i="9"/>
  <c r="T8" i="9" s="1" a="1"/>
  <c r="T8" i="9" s="1"/>
  <c r="G66" i="9" a="1"/>
  <c r="G66" i="9" s="1"/>
  <c r="K62" i="9" a="1"/>
  <c r="K62" i="9" s="1"/>
  <c r="K87" i="9"/>
  <c r="Z8" i="9" s="1" a="1"/>
  <c r="Z8" i="9" s="1"/>
  <c r="L87" i="9"/>
  <c r="AA8" i="9" s="1" a="1"/>
  <c r="AA8" i="9" s="1"/>
  <c r="B6" i="9"/>
  <c r="E103" i="9"/>
  <c r="T24" i="9" s="1" a="1"/>
  <c r="T24" i="9" s="1"/>
  <c r="O56" i="9"/>
  <c r="L88" i="9"/>
  <c r="AA9" i="9" s="1" a="1"/>
  <c r="AA9" i="9" s="1"/>
  <c r="J70" i="9" a="1"/>
  <c r="J70" i="9" s="1"/>
  <c r="B8" i="9"/>
  <c r="C8" i="9" s="1"/>
  <c r="M106" i="9"/>
  <c r="AB27" i="9" s="1" a="1"/>
  <c r="AB27" i="9" s="1"/>
  <c r="D91" i="9"/>
  <c r="S12" i="9" s="1" a="1"/>
  <c r="S12" i="9" s="1"/>
  <c r="E109" i="9"/>
  <c r="T30" i="9" s="1" a="1"/>
  <c r="T30" i="9" s="1"/>
  <c r="E106" i="9"/>
  <c r="T27" i="9" s="1" a="1"/>
  <c r="T27" i="9" s="1"/>
  <c r="J69" i="9" a="1"/>
  <c r="J69" i="9" s="1"/>
  <c r="I70" i="9" a="1"/>
  <c r="I70" i="9" s="1"/>
  <c r="G99" i="9"/>
  <c r="V20" i="9" s="1" a="1"/>
  <c r="V20" i="9" s="1"/>
  <c r="C108" i="9"/>
  <c r="R29" i="9" s="1" a="1"/>
  <c r="R29" i="9" s="1"/>
  <c r="I89" i="9"/>
  <c r="X10" i="9" s="1" a="1"/>
  <c r="X10" i="9" s="1"/>
  <c r="M71" i="9" a="1"/>
  <c r="M71" i="9" s="1"/>
  <c r="O92" i="9"/>
  <c r="AD13" i="9" s="1"/>
  <c r="B10" i="20" s="1"/>
  <c r="G67" i="9" a="1"/>
  <c r="G67" i="9" s="1"/>
  <c r="K73" i="9" a="1"/>
  <c r="K73" i="9" s="1"/>
  <c r="E100" i="9"/>
  <c r="T21" i="9" s="1" a="1"/>
  <c r="T21" i="9" s="1"/>
  <c r="K86" i="9"/>
  <c r="Z7" i="9" s="1" a="1"/>
  <c r="Z7" i="9" s="1"/>
  <c r="C96" i="9"/>
  <c r="R17" i="9" s="1" a="1"/>
  <c r="R17" i="9" s="1"/>
  <c r="I108" i="9"/>
  <c r="H88" i="9"/>
  <c r="W9" i="9" s="1" a="1"/>
  <c r="W9" i="9" s="1"/>
  <c r="K100" i="9"/>
  <c r="Z21" i="9" s="1" a="1"/>
  <c r="Z21" i="9" s="1"/>
  <c r="F99" i="9"/>
  <c r="U20" i="9" s="1" a="1"/>
  <c r="U20" i="9" s="1"/>
  <c r="G50" i="9" a="1"/>
  <c r="G50" i="9" s="1"/>
  <c r="I60" i="9" a="1"/>
  <c r="I60" i="9" s="1"/>
  <c r="I75" i="9" a="1"/>
  <c r="I75" i="9" s="1"/>
  <c r="J92" i="9"/>
  <c r="Y13" i="9" s="1" a="1"/>
  <c r="Y13" i="9" s="1"/>
  <c r="O97" i="9"/>
  <c r="AD18" i="9" s="1"/>
  <c r="B15" i="20" s="1"/>
  <c r="L103" i="9"/>
  <c r="AA24" i="9" s="1" a="1"/>
  <c r="AA24" i="9" s="1"/>
  <c r="G75" i="9" a="1"/>
  <c r="G75" i="9" s="1"/>
  <c r="M101" i="9"/>
  <c r="AB22" i="9" s="1" a="1"/>
  <c r="AB22" i="9" s="1"/>
  <c r="B3" i="9"/>
  <c r="C3" i="9" s="1"/>
  <c r="M66" i="9" a="1"/>
  <c r="M66" i="9" s="1"/>
  <c r="L85" i="9"/>
  <c r="AA6" i="9" s="1" a="1"/>
  <c r="AA6" i="9" s="1"/>
  <c r="M109" i="9"/>
  <c r="AB30" i="9" s="1" a="1"/>
  <c r="AB30" i="9" s="1"/>
  <c r="I107" i="9"/>
  <c r="X28" i="9" s="1" a="1"/>
  <c r="X28" i="9" s="1"/>
  <c r="J94" i="9"/>
  <c r="Y15" i="9" s="1" a="1"/>
  <c r="Y15" i="9" s="1"/>
  <c r="J90" i="9"/>
  <c r="Y11" i="9" s="1" a="1"/>
  <c r="Y11" i="9" s="1"/>
  <c r="J60" i="9" a="1"/>
  <c r="J60" i="9" s="1"/>
  <c r="C91" i="9"/>
  <c r="R12" i="9" s="1" a="1"/>
  <c r="R12" i="9" s="1"/>
  <c r="E107" i="9"/>
  <c r="T28" i="9" s="1" a="1"/>
  <c r="T28" i="9" s="1"/>
  <c r="J57" i="9" a="1"/>
  <c r="J57" i="9" s="1"/>
  <c r="F110" i="9"/>
  <c r="U31" i="9" s="1" a="1"/>
  <c r="U31" i="9" s="1"/>
  <c r="L69" i="9" a="1"/>
  <c r="L69" i="9" s="1"/>
  <c r="K53" i="9" a="1"/>
  <c r="K53" i="9" s="1"/>
  <c r="H106" i="9"/>
  <c r="W27" i="9" s="1" a="1"/>
  <c r="W27" i="9" s="1"/>
  <c r="I51" i="9" a="1"/>
  <c r="I51" i="9" s="1"/>
  <c r="G57" i="9" a="1"/>
  <c r="G57" i="9" s="1"/>
  <c r="M57" i="9" a="1"/>
  <c r="M57" i="9" s="1"/>
  <c r="M58" i="9" a="1"/>
  <c r="M58" i="9" s="1"/>
  <c r="G100" i="9"/>
  <c r="V21" i="9" s="1" a="1"/>
  <c r="V21" i="9" s="1"/>
  <c r="B7" i="9"/>
  <c r="L70" i="9" a="1"/>
  <c r="L70" i="9" s="1"/>
  <c r="G73" i="9" a="1"/>
  <c r="G73" i="9" s="1"/>
  <c r="J75" i="9" a="1"/>
  <c r="J75" i="9" s="1"/>
  <c r="G108" i="9"/>
  <c r="V29" i="9" s="1" a="1"/>
  <c r="V29" i="9" s="1"/>
  <c r="J85" i="9"/>
  <c r="Y6" i="9" s="1" a="1"/>
  <c r="Y6" i="9" s="1"/>
  <c r="K55" i="9" a="1"/>
  <c r="K55" i="9" s="1"/>
  <c r="D99" i="9"/>
  <c r="S20" i="9" s="1" a="1"/>
  <c r="S20" i="9" s="1"/>
  <c r="K75" i="9" a="1"/>
  <c r="K75" i="9" s="1"/>
  <c r="K95" i="9"/>
  <c r="Z16" i="9" s="1" a="1"/>
  <c r="Z16" i="9" s="1"/>
  <c r="M107" i="9"/>
  <c r="AB28" i="9" s="1" a="1"/>
  <c r="AB28" i="9" s="1"/>
  <c r="K108" i="9"/>
  <c r="Z29" i="9" s="1" a="1"/>
  <c r="Z29" i="9" s="1"/>
  <c r="D100" i="9"/>
  <c r="S21" i="9" s="1" a="1"/>
  <c r="S21" i="9" s="1"/>
  <c r="I56" i="9" a="1"/>
  <c r="I56" i="9" s="1"/>
  <c r="O52" i="9"/>
  <c r="C90" i="9"/>
  <c r="R11" i="9" s="1" a="1"/>
  <c r="R11" i="9" s="1"/>
  <c r="F92" i="9"/>
  <c r="U13" i="9" s="1" a="1"/>
  <c r="U13" i="9" s="1"/>
  <c r="E105" i="9"/>
  <c r="T26" i="9" s="1" a="1"/>
  <c r="T26" i="9" s="1"/>
  <c r="H73" i="9" a="1"/>
  <c r="H73" i="9" s="1"/>
  <c r="J61" i="9" a="1"/>
  <c r="J61" i="9" s="1"/>
  <c r="L59" i="9" a="1"/>
  <c r="L59" i="9" s="1"/>
  <c r="H72" i="9" a="1"/>
  <c r="H72" i="9" s="1"/>
  <c r="L50" i="9" a="1"/>
  <c r="L50" i="9" s="1"/>
  <c r="J86" i="9"/>
  <c r="Y7" i="9" s="1" a="1"/>
  <c r="Y7" i="9" s="1"/>
  <c r="C107" i="9"/>
  <c r="R28" i="9" s="1" a="1"/>
  <c r="R28" i="9" s="1"/>
  <c r="H52" i="9" a="1"/>
  <c r="H52" i="9" s="1"/>
  <c r="J103" i="9"/>
  <c r="Y24" i="9" s="1" a="1"/>
  <c r="Y24" i="9" s="1"/>
  <c r="K101" i="9"/>
  <c r="Z22" i="9" s="1" a="1"/>
  <c r="Z22" i="9" s="1"/>
  <c r="H60" i="9" a="1"/>
  <c r="H60" i="9" s="1"/>
  <c r="D95" i="9"/>
  <c r="S16" i="9" s="1" a="1"/>
  <c r="S16" i="9" s="1"/>
  <c r="M72" i="9" a="1"/>
  <c r="M72" i="9" s="1"/>
  <c r="M55" i="9" a="1"/>
  <c r="M55" i="9" s="1"/>
  <c r="H107" i="9"/>
  <c r="W28" i="9" s="1" a="1"/>
  <c r="W28" i="9" s="1"/>
  <c r="L55" i="9" a="1"/>
  <c r="L55" i="9" s="1"/>
  <c r="I90" i="9"/>
  <c r="X11" i="9" s="1" a="1"/>
  <c r="X11" i="9" s="1"/>
  <c r="G72" i="9" a="1"/>
  <c r="G72" i="9" s="1"/>
  <c r="D102" i="9"/>
  <c r="S23" i="9" s="1" a="1"/>
  <c r="S23" i="9" s="1"/>
  <c r="C110" i="9"/>
  <c r="R31" i="9" s="1" a="1"/>
  <c r="R31" i="9" s="1"/>
  <c r="D103" i="9"/>
  <c r="S24" i="9" s="1" a="1"/>
  <c r="S24" i="9" s="1"/>
  <c r="J50" i="9" a="1"/>
  <c r="J50" i="9" s="1"/>
  <c r="L52" i="9" a="1"/>
  <c r="L52" i="9" s="1"/>
  <c r="J55" i="9" a="1"/>
  <c r="J55" i="9" s="1"/>
  <c r="J107" i="9"/>
  <c r="Y28" i="9" s="1" a="1"/>
  <c r="Y28" i="9" s="1"/>
  <c r="L61" i="9" a="1"/>
  <c r="L61" i="9" s="1"/>
  <c r="I99" i="9"/>
  <c r="X20" i="9" s="1" a="1"/>
  <c r="X20" i="9" s="1"/>
  <c r="I106" i="9"/>
  <c r="X27" i="9" s="1" a="1"/>
  <c r="X27" i="9" s="1"/>
  <c r="I100" i="9"/>
  <c r="X21" i="9" s="1" a="1"/>
  <c r="X21" i="9" s="1"/>
  <c r="K54" i="9" a="1"/>
  <c r="K54" i="9" s="1"/>
  <c r="E94" i="9"/>
  <c r="T15" i="9" s="1" a="1"/>
  <c r="T15" i="9" s="1"/>
  <c r="M56" i="9" a="1"/>
  <c r="M56" i="9" s="1"/>
  <c r="J98" i="9"/>
  <c r="Y19" i="9" s="1" a="1"/>
  <c r="Y19" i="9" s="1"/>
  <c r="E86" i="9"/>
  <c r="T7" i="9" s="1" a="1"/>
  <c r="T7" i="9" s="1"/>
  <c r="J64" i="9" a="1"/>
  <c r="J64" i="9" s="1"/>
  <c r="J71" i="9" a="1"/>
  <c r="J71" i="9" s="1"/>
  <c r="H101" i="9"/>
  <c r="W22" i="9" s="1" a="1"/>
  <c r="W22" i="9" s="1"/>
  <c r="I64" i="9" a="1"/>
  <c r="I64" i="9" s="1"/>
  <c r="L67" i="9" a="1"/>
  <c r="L67" i="9" s="1"/>
  <c r="AA22" i="9" a="1"/>
  <c r="AA22" i="9" s="1"/>
  <c r="G93" i="9"/>
  <c r="V14" i="9" s="1" a="1"/>
  <c r="V14" i="9" s="1"/>
  <c r="I57" i="9" a="1"/>
  <c r="I57" i="9" s="1"/>
  <c r="H58" i="9" a="1"/>
  <c r="H58" i="9" s="1"/>
  <c r="L91" i="9"/>
  <c r="AA12" i="9" s="1" a="1"/>
  <c r="AA12" i="9" s="1"/>
  <c r="F98" i="9"/>
  <c r="U19" i="9" s="1" a="1"/>
  <c r="U19" i="9" s="1"/>
  <c r="D110" i="9"/>
  <c r="S31" i="9" s="1" a="1"/>
  <c r="S31" i="9" s="1"/>
  <c r="K90" i="9"/>
  <c r="Z11" i="9" s="1" a="1"/>
  <c r="Z11" i="9" s="1"/>
  <c r="L104" i="9"/>
  <c r="AA25" i="9" s="1" a="1"/>
  <c r="AA25" i="9" s="1"/>
  <c r="H67" i="9" a="1"/>
  <c r="H67" i="9" s="1"/>
  <c r="O72" i="9"/>
  <c r="I105" i="9"/>
  <c r="X26" i="9" s="1" a="1"/>
  <c r="X26" i="9" s="1"/>
  <c r="L108" i="9"/>
  <c r="AA29" i="9" s="1" a="1"/>
  <c r="AA29" i="9" s="1"/>
  <c r="H66" i="9" a="1"/>
  <c r="H66" i="9" s="1"/>
  <c r="K58" i="9" a="1"/>
  <c r="K58" i="9" s="1"/>
  <c r="G98" i="9"/>
  <c r="V19" i="9" s="1" a="1"/>
  <c r="V19" i="9" s="1"/>
  <c r="L105" i="9"/>
  <c r="AA26" i="9" s="1" a="1"/>
  <c r="AA26" i="9" s="1"/>
  <c r="E110" i="9"/>
  <c r="T31" i="9" s="1" a="1"/>
  <c r="T31" i="9" s="1"/>
  <c r="H98" i="9"/>
  <c r="W19" i="9" s="1" a="1"/>
  <c r="W19" i="9" s="1"/>
  <c r="I68" i="9" a="1"/>
  <c r="I68" i="9" s="1"/>
  <c r="H99" i="9"/>
  <c r="W20" i="9" s="1" a="1"/>
  <c r="W20" i="9" s="1"/>
  <c r="H86" i="9"/>
  <c r="W7" i="9" s="1" a="1"/>
  <c r="W7" i="9" s="1"/>
  <c r="D86" i="9"/>
  <c r="S7" i="9" s="1" a="1"/>
  <c r="S7" i="9" s="1"/>
  <c r="I67" i="9" a="1"/>
  <c r="I67" i="9" s="1"/>
  <c r="J74" i="9" a="1"/>
  <c r="J74" i="9" s="1"/>
  <c r="J51" i="9" a="1"/>
  <c r="J51" i="9" s="1"/>
  <c r="H110" i="9"/>
  <c r="W31" i="9" s="1" a="1"/>
  <c r="W31" i="9" s="1"/>
  <c r="L74" i="9" a="1"/>
  <c r="L74" i="9" s="1"/>
  <c r="F97" i="9"/>
  <c r="U18" i="9" s="1" a="1"/>
  <c r="U18" i="9" s="1"/>
  <c r="J54" i="9" a="1"/>
  <c r="J54" i="9" s="1"/>
  <c r="F104" i="9"/>
  <c r="U25" i="9" s="1" a="1"/>
  <c r="U25" i="9" s="1"/>
  <c r="H61" i="9" a="1"/>
  <c r="H61" i="9" s="1"/>
  <c r="G94" i="9"/>
  <c r="V15" i="9" s="1" a="1"/>
  <c r="V15" i="9" s="1"/>
  <c r="I72" i="9" a="1"/>
  <c r="I72" i="9" s="1"/>
  <c r="M64" i="9" a="1"/>
  <c r="M64" i="9" s="1"/>
  <c r="K98" i="9"/>
  <c r="Z19" i="9" s="1" a="1"/>
  <c r="Z19" i="9" s="1"/>
  <c r="G107" i="9"/>
  <c r="V28" i="9" s="1" a="1"/>
  <c r="V28" i="9" s="1"/>
  <c r="K96" i="9"/>
  <c r="Z17" i="9" s="1" a="1"/>
  <c r="Z17" i="9" s="1"/>
  <c r="F108" i="9"/>
  <c r="U29" i="9" s="1" a="1"/>
  <c r="U29" i="9" s="1"/>
  <c r="K105" i="9"/>
  <c r="Z26" i="9" s="1" a="1"/>
  <c r="Z26" i="9" s="1"/>
  <c r="D92" i="9"/>
  <c r="S13" i="9" s="1" a="1"/>
  <c r="S13" i="9" s="1"/>
  <c r="O68" i="9"/>
  <c r="E104" i="9"/>
  <c r="T25" i="9" s="1" a="1"/>
  <c r="T25" i="9" s="1"/>
  <c r="G85" i="9"/>
  <c r="V6" i="9" s="1" a="1"/>
  <c r="V6" i="9" s="1"/>
  <c r="J65" i="9" a="1"/>
  <c r="J65" i="9" s="1"/>
  <c r="G87" i="9"/>
  <c r="J108" i="9"/>
  <c r="Y29" i="9" s="1" a="1"/>
  <c r="Y29" i="9" s="1"/>
  <c r="J66" i="9" a="1"/>
  <c r="J66" i="9" s="1"/>
  <c r="D107" i="9"/>
  <c r="S28" i="9" s="1" a="1"/>
  <c r="S28" i="9" s="1"/>
  <c r="I69" i="9" a="1"/>
  <c r="I69" i="9" s="1"/>
  <c r="M59" i="9" a="1"/>
  <c r="M59" i="9" s="1"/>
  <c r="M73" i="9" a="1"/>
  <c r="M73" i="9" s="1"/>
  <c r="G105" i="9"/>
  <c r="V26" i="9" s="1" a="1"/>
  <c r="V26" i="9" s="1"/>
  <c r="H104" i="9"/>
  <c r="W25" i="9" s="1" a="1"/>
  <c r="W25" i="9" s="1"/>
  <c r="G106" i="9"/>
  <c r="V27" i="9" s="1" a="1"/>
  <c r="V27" i="9" s="1"/>
  <c r="E95" i="9"/>
  <c r="T16" i="9" s="1" a="1"/>
  <c r="T16" i="9" s="1"/>
  <c r="J87" i="9"/>
  <c r="Y8" i="9" s="1" a="1"/>
  <c r="Y8" i="9" s="1"/>
  <c r="K85" i="9"/>
  <c r="Z6" i="9" s="1" a="1"/>
  <c r="Z6" i="9" s="1"/>
  <c r="I96" i="9"/>
  <c r="X17" i="9" s="1" a="1"/>
  <c r="X17" i="9" s="1"/>
  <c r="K66" i="9" a="1"/>
  <c r="K66" i="9" s="1"/>
  <c r="H109" i="9"/>
  <c r="W30" i="9" s="1" a="1"/>
  <c r="W30" i="9" s="1"/>
  <c r="J53" i="9" a="1"/>
  <c r="J53" i="9" s="1"/>
  <c r="C87" i="9"/>
  <c r="R8" i="9" s="1" a="1"/>
  <c r="R8" i="9" s="1"/>
  <c r="M62" i="9" a="1"/>
  <c r="M62" i="9" s="1"/>
  <c r="I50" i="9" a="1"/>
  <c r="I50" i="9" s="1"/>
  <c r="F96" i="9"/>
  <c r="U17" i="9" s="1" a="1"/>
  <c r="U17" i="9" s="1"/>
  <c r="B5" i="9"/>
  <c r="G92" i="9"/>
  <c r="V13" i="9" s="1" a="1"/>
  <c r="V13" i="9" s="1"/>
  <c r="L92" i="9"/>
  <c r="AA13" i="9" s="1" a="1"/>
  <c r="AA13" i="9" s="1"/>
  <c r="L68" i="9" a="1"/>
  <c r="L68" i="9" s="1"/>
  <c r="G95" i="9"/>
  <c r="V16" i="9" s="1" a="1"/>
  <c r="V16" i="9" s="1"/>
  <c r="G109" i="9"/>
  <c r="V30" i="9" s="1" a="1"/>
  <c r="V30" i="9" s="1"/>
  <c r="L86" i="9"/>
  <c r="AA7" i="9" s="1" a="1"/>
  <c r="AA7" i="9" s="1"/>
  <c r="I85" i="9"/>
  <c r="X6" i="9" s="1" a="1"/>
  <c r="X6" i="9" s="1"/>
  <c r="K59" i="9" a="1"/>
  <c r="K59" i="9" s="1"/>
  <c r="M52" i="9" a="1"/>
  <c r="M52" i="9" s="1"/>
  <c r="G52" i="9" a="1"/>
  <c r="G52" i="9" s="1"/>
  <c r="J110" i="9"/>
  <c r="Y31" i="9" s="1" a="1"/>
  <c r="Y31" i="9" s="1"/>
  <c r="M86" i="9"/>
  <c r="AB7" i="9" s="1" a="1"/>
  <c r="AB7" i="9" s="1"/>
  <c r="G86" i="9"/>
  <c r="V7" i="9" s="1" a="1"/>
  <c r="V7" i="9" s="1"/>
  <c r="C105" i="9"/>
  <c r="R26" i="9" s="1" a="1"/>
  <c r="R26" i="9" s="1"/>
  <c r="O71" i="9"/>
  <c r="H105" i="9"/>
  <c r="W26" i="9" s="1" a="1"/>
  <c r="W26" i="9" s="1"/>
  <c r="M87" i="9"/>
  <c r="AB8" i="9" s="1" a="1"/>
  <c r="AB8" i="9" s="1"/>
  <c r="I91" i="9"/>
  <c r="X12" i="9" s="1" a="1"/>
  <c r="X12" i="9" s="1"/>
  <c r="B18" i="9"/>
  <c r="C18" i="9" s="1"/>
  <c r="C106" i="9"/>
  <c r="R27" i="9" s="1" a="1"/>
  <c r="R27" i="9" s="1"/>
  <c r="I103" i="9"/>
  <c r="X24" i="9" s="1" a="1"/>
  <c r="X24" i="9" s="1"/>
  <c r="L106" i="9"/>
  <c r="AA27" i="9" s="1" a="1"/>
  <c r="AA27" i="9" s="1"/>
  <c r="J58" i="9" a="1"/>
  <c r="J58" i="9" s="1"/>
  <c r="M97" i="9"/>
  <c r="AB18" i="9" s="1" a="1"/>
  <c r="AB18" i="9" s="1"/>
  <c r="O60" i="9"/>
  <c r="E93" i="9"/>
  <c r="T14" i="9" s="1" a="1"/>
  <c r="T14" i="9" s="1"/>
  <c r="L54" i="9" a="1"/>
  <c r="L54" i="9" s="1"/>
  <c r="E97" i="9"/>
  <c r="T18" i="9" s="1" a="1"/>
  <c r="T18" i="9" s="1"/>
  <c r="G101" i="9"/>
  <c r="V22" i="9" s="1" a="1"/>
  <c r="V22" i="9" s="1"/>
  <c r="D97" i="9"/>
  <c r="S18" i="9" s="1" a="1"/>
  <c r="S18" i="9" s="1"/>
  <c r="H64" i="9" a="1"/>
  <c r="H64" i="9" s="1"/>
  <c r="M100" i="9"/>
  <c r="AB21" i="9" s="1" a="1"/>
  <c r="AB21" i="9" s="1"/>
  <c r="K52" i="9" a="1"/>
  <c r="K52" i="9" s="1"/>
  <c r="M95" i="9"/>
  <c r="AB16" i="9" s="1" a="1"/>
  <c r="AB16" i="9" s="1"/>
  <c r="M88" i="9"/>
  <c r="AB9" i="9" s="1" a="1"/>
  <c r="AB9" i="9" s="1"/>
  <c r="K64" i="9" a="1"/>
  <c r="K64" i="9" s="1"/>
  <c r="G62" i="9" a="1"/>
  <c r="G62" i="9" s="1"/>
  <c r="H92" i="9"/>
  <c r="W13" i="9" s="1" a="1"/>
  <c r="W13" i="9" s="1"/>
  <c r="M108" i="9"/>
  <c r="AB29" i="9" s="1" a="1"/>
  <c r="AB29" i="9" s="1"/>
  <c r="F105" i="9"/>
  <c r="U26" i="9" s="1" a="1"/>
  <c r="U26" i="9" s="1"/>
  <c r="L96" i="9"/>
  <c r="AA17" i="9" s="1" a="1"/>
  <c r="AA17" i="9" s="1"/>
  <c r="X31" i="9" a="1"/>
  <c r="X31" i="9" s="1"/>
  <c r="H95" i="9"/>
  <c r="W16" i="9" s="1" a="1"/>
  <c r="W16" i="9" s="1"/>
  <c r="K51" i="9" a="1"/>
  <c r="K51" i="9" s="1"/>
  <c r="K110" i="9"/>
  <c r="Z31" i="9" s="1" a="1"/>
  <c r="Z31" i="9" s="1"/>
  <c r="M65" i="9" a="1"/>
  <c r="M65" i="9" s="1"/>
  <c r="B17" i="9"/>
  <c r="H71" i="9" a="1"/>
  <c r="H71" i="9" s="1"/>
  <c r="M69" i="9" a="1"/>
  <c r="M69" i="9" s="1"/>
  <c r="E91" i="9"/>
  <c r="T12" i="9" s="1" a="1"/>
  <c r="T12" i="9" s="1"/>
  <c r="I101" i="9"/>
  <c r="X22" i="9" s="1" a="1"/>
  <c r="X22" i="9" s="1"/>
  <c r="J109" i="9"/>
  <c r="Y30" i="9" s="1" a="1"/>
  <c r="Y30" i="9" s="1"/>
  <c r="K50" i="9" a="1"/>
  <c r="K50" i="9" s="1"/>
  <c r="L73" i="9" a="1"/>
  <c r="L73" i="9" s="1"/>
  <c r="K102" i="9"/>
  <c r="Z23" i="9" s="1" a="1"/>
  <c r="Z23" i="9" s="1"/>
  <c r="J52" i="9" a="1"/>
  <c r="J52" i="9" s="1"/>
  <c r="G97" i="9"/>
  <c r="V18" i="9" s="1" a="1"/>
  <c r="V18" i="9" s="1"/>
  <c r="M61" i="9" a="1"/>
  <c r="M61" i="9" s="1"/>
  <c r="G70" i="9" a="1"/>
  <c r="G70" i="9" s="1"/>
  <c r="J89" i="9"/>
  <c r="Y10" i="9" s="1" a="1"/>
  <c r="Y10" i="9" s="1"/>
  <c r="O57" i="9"/>
  <c r="M54" i="9" a="1"/>
  <c r="M54" i="9" s="1"/>
  <c r="J88" i="9"/>
  <c r="Y9" i="9" s="1" a="1"/>
  <c r="Y9" i="9" s="1"/>
  <c r="L89" i="9"/>
  <c r="AA10" i="9" s="1" a="1"/>
  <c r="AA10" i="9" s="1"/>
  <c r="I95" i="9"/>
  <c r="X16" i="9" s="1" a="1"/>
  <c r="X16" i="9" s="1"/>
  <c r="K67" i="9" a="1"/>
  <c r="K67" i="9" s="1"/>
  <c r="E90" i="9"/>
  <c r="T11" i="9" s="1" a="1"/>
  <c r="T11" i="9" s="1"/>
  <c r="J100" i="9"/>
  <c r="Y21" i="9" s="1" a="1"/>
  <c r="Y21" i="9" s="1"/>
  <c r="I88" i="9"/>
  <c r="X9" i="9" s="1" a="1"/>
  <c r="X9" i="9" s="1"/>
  <c r="E88" i="9"/>
  <c r="T9" i="9" s="1" a="1"/>
  <c r="T9" i="9" s="1"/>
  <c r="K88" i="9"/>
  <c r="Z9" i="9" s="1" a="1"/>
  <c r="Z9" i="9" s="1"/>
  <c r="G63" i="9" a="1"/>
  <c r="G63" i="9" s="1"/>
  <c r="D104" i="9"/>
  <c r="S25" i="9" s="1" a="1"/>
  <c r="S25" i="9" s="1"/>
  <c r="D105" i="9"/>
  <c r="S26" i="9" s="1" a="1"/>
  <c r="S26" i="9" s="1"/>
  <c r="G88" i="9"/>
  <c r="V9" i="9" s="1" a="1"/>
  <c r="V9" i="9" s="1"/>
  <c r="C95" i="9"/>
  <c r="R16" i="9" s="1" a="1"/>
  <c r="R16" i="9" s="1"/>
  <c r="L62" i="9" a="1"/>
  <c r="L62" i="9" s="1"/>
  <c r="G65" i="9" a="1"/>
  <c r="G65" i="9" s="1"/>
  <c r="O55" i="9"/>
  <c r="D85" i="9"/>
  <c r="S6" i="9" s="1" a="1"/>
  <c r="S6" i="9" s="1"/>
  <c r="B49" i="9"/>
  <c r="D49" i="9" s="1" a="1"/>
  <c r="D49" i="9" s="1"/>
  <c r="M103" i="9"/>
  <c r="AB24" i="9" s="1" a="1"/>
  <c r="AB24" i="9" s="1"/>
  <c r="H87" i="9"/>
  <c r="W8" i="9" s="1" a="1"/>
  <c r="W8" i="9" s="1"/>
  <c r="E92" i="9"/>
  <c r="T13" i="9" s="1" a="1"/>
  <c r="T13" i="9" s="1"/>
  <c r="K92" i="9"/>
  <c r="Z13" i="9" s="1" a="1"/>
  <c r="Z13" i="9" s="1"/>
  <c r="H62" i="9" a="1"/>
  <c r="H62" i="9" s="1"/>
  <c r="L56" i="9" a="1"/>
  <c r="L56" i="9" s="1"/>
  <c r="O67" i="9"/>
  <c r="M98" i="9"/>
  <c r="AB19" i="9" s="1" a="1"/>
  <c r="AB19" i="9" s="1"/>
  <c r="C100" i="9"/>
  <c r="R21" i="9" s="1" a="1"/>
  <c r="R21" i="9" s="1"/>
  <c r="E96" i="9"/>
  <c r="T17" i="9" s="1" a="1"/>
  <c r="T17" i="9" s="1"/>
  <c r="H59" i="9" a="1"/>
  <c r="H59" i="9" s="1"/>
  <c r="M99" i="9"/>
  <c r="AB20" i="9" s="1" a="1"/>
  <c r="AB20" i="9" s="1"/>
  <c r="M110" i="9"/>
  <c r="AB31" i="9" s="1" a="1"/>
  <c r="AB31" i="9" s="1"/>
  <c r="O54" i="9"/>
  <c r="G90" i="9"/>
  <c r="V11" i="9" s="1" a="1"/>
  <c r="V11" i="9" s="1"/>
  <c r="E89" i="9"/>
  <c r="T10" i="9" s="1" a="1"/>
  <c r="T10" i="9" s="1"/>
  <c r="O50" i="9"/>
  <c r="O73" i="9"/>
  <c r="C93" i="9"/>
  <c r="R14" i="9" s="1" a="1"/>
  <c r="R14" i="9" s="1"/>
  <c r="I71" i="9" a="1"/>
  <c r="I71" i="9" s="1"/>
  <c r="C109" i="9"/>
  <c r="R30" i="9" s="1" a="1"/>
  <c r="R30" i="9" s="1"/>
  <c r="F100" i="9"/>
  <c r="U21" i="9" s="1" a="1"/>
  <c r="U21" i="9" s="1"/>
  <c r="R15" i="9" a="1"/>
  <c r="R15" i="9" s="1"/>
  <c r="H65" i="9" a="1"/>
  <c r="H65" i="9" s="1"/>
  <c r="A28" i="20"/>
  <c r="A13" i="20"/>
  <c r="A16" i="20"/>
  <c r="O98" i="9"/>
  <c r="AD19" i="9" s="1"/>
  <c r="B16" i="20" s="1"/>
  <c r="K69" i="9" a="1"/>
  <c r="K69" i="9" s="1"/>
  <c r="A22" i="20"/>
  <c r="A3" i="20"/>
  <c r="G55" i="9" a="1"/>
  <c r="G55" i="9" s="1"/>
  <c r="N78" i="9"/>
  <c r="P78" i="9" s="1"/>
  <c r="G60" i="9" a="1"/>
  <c r="G60" i="9" s="1"/>
  <c r="AC32" i="9"/>
  <c r="K114" i="1"/>
  <c r="A24" i="20"/>
  <c r="N77" i="9"/>
  <c r="P77" i="9" s="1"/>
  <c r="A4" i="20"/>
  <c r="A5" i="20"/>
  <c r="C88" i="9"/>
  <c r="R9" i="9" s="1" a="1"/>
  <c r="R9" i="9" s="1"/>
  <c r="H108" i="9"/>
  <c r="F89" i="9"/>
  <c r="U10" i="9" s="1" a="1"/>
  <c r="U10" i="9" s="1"/>
  <c r="F93" i="9"/>
  <c r="U14" i="9" s="1" a="1"/>
  <c r="U14" i="9" s="1"/>
  <c r="I59" i="9" a="1"/>
  <c r="I59" i="9" s="1"/>
  <c r="G110" i="9"/>
  <c r="M85" i="9"/>
  <c r="AB6" i="9" s="1" a="1"/>
  <c r="AB6" i="9" s="1"/>
  <c r="G53" i="9" a="1"/>
  <c r="G53" i="9" s="1"/>
  <c r="J91" i="9"/>
  <c r="Y12" i="9" s="1" a="1"/>
  <c r="Y12" i="9" s="1"/>
  <c r="E99" i="9"/>
  <c r="T20" i="9" s="1" a="1"/>
  <c r="T20" i="9" s="1"/>
  <c r="I98" i="9"/>
  <c r="X19" i="9" s="1" a="1"/>
  <c r="X19" i="9" s="1"/>
  <c r="L93" i="9"/>
  <c r="AA14" i="9" s="1" a="1"/>
  <c r="AA14" i="9" s="1"/>
  <c r="B10" i="9"/>
  <c r="L109" i="9"/>
  <c r="AA30" i="9" s="1" a="1"/>
  <c r="AA30" i="9" s="1"/>
  <c r="M102" i="9"/>
  <c r="AB23" i="9" s="1" a="1"/>
  <c r="AB23" i="9" s="1"/>
  <c r="J101" i="9"/>
  <c r="L57" i="9" a="1"/>
  <c r="L57" i="9" s="1"/>
  <c r="L110" i="9"/>
  <c r="AA31" i="9" s="1" a="1"/>
  <c r="AA31" i="9" s="1"/>
  <c r="F91" i="9"/>
  <c r="U12" i="9" s="1" a="1"/>
  <c r="U12" i="9" s="1"/>
  <c r="L98" i="9"/>
  <c r="AA19" i="9" s="1" a="1"/>
  <c r="AA19" i="9" s="1"/>
  <c r="I61" i="9" a="1"/>
  <c r="I61" i="9" s="1"/>
  <c r="L58" i="9" a="1"/>
  <c r="L58" i="9" s="1"/>
  <c r="A27" i="20"/>
  <c r="A23" i="20"/>
  <c r="A18" i="20"/>
  <c r="A26" i="20"/>
  <c r="A21" i="20"/>
  <c r="L71" i="9" a="1"/>
  <c r="L71" i="9" s="1"/>
  <c r="F87" i="9"/>
  <c r="U8" i="9" s="1" a="1"/>
  <c r="U8" i="9" s="1"/>
  <c r="K97" i="9"/>
  <c r="Z18" i="9" s="1" a="1"/>
  <c r="Z18" i="9" s="1"/>
  <c r="G91" i="9"/>
  <c r="V12" i="9" s="1" a="1"/>
  <c r="V12" i="9" s="1"/>
  <c r="H54" i="9" a="1"/>
  <c r="H54" i="9" s="1"/>
  <c r="J68" i="9" a="1"/>
  <c r="J68" i="9" s="1"/>
  <c r="M94" i="9"/>
  <c r="AB15" i="9" s="1" a="1"/>
  <c r="AB15" i="9" s="1"/>
  <c r="K72" i="9" a="1"/>
  <c r="K72" i="9" s="1"/>
  <c r="D87" i="9"/>
  <c r="S8" i="9" s="1" a="1"/>
  <c r="S8" i="9" s="1"/>
  <c r="H96" i="9"/>
  <c r="W17" i="9" s="1" a="1"/>
  <c r="W17" i="9" s="1"/>
  <c r="J97" i="9"/>
  <c r="Y18" i="9" s="1" a="1"/>
  <c r="Y18" i="9" s="1"/>
  <c r="M92" i="9"/>
  <c r="AB13" i="9" s="1" a="1"/>
  <c r="AB13" i="9" s="1"/>
  <c r="D88" i="9"/>
  <c r="S9" i="9" s="1" a="1"/>
  <c r="S9" i="9" s="1"/>
  <c r="J105" i="9"/>
  <c r="I97" i="9"/>
  <c r="K109" i="9"/>
  <c r="Z30" i="9" s="1" a="1"/>
  <c r="Z30" i="9" s="1"/>
  <c r="O69" i="9"/>
  <c r="K104" i="9"/>
  <c r="Z25" i="9" s="1" a="1"/>
  <c r="Z25" i="9" s="1"/>
  <c r="L63" i="9" a="1"/>
  <c r="L63" i="9" s="1"/>
  <c r="K60" i="9" a="1"/>
  <c r="K60" i="9" s="1"/>
  <c r="D106" i="9"/>
  <c r="S27" i="9" s="1" a="1"/>
  <c r="S27" i="9" s="1"/>
  <c r="O59" i="9"/>
  <c r="O58" i="9"/>
  <c r="A7" i="20"/>
  <c r="A12" i="20"/>
  <c r="A11" i="20"/>
  <c r="N76" i="9"/>
  <c r="P76" i="9" s="1"/>
  <c r="A6" i="20"/>
  <c r="A15" i="20"/>
  <c r="C103" i="9"/>
  <c r="R24" i="9" s="1" a="1"/>
  <c r="R24" i="9" s="1"/>
  <c r="J104" i="9"/>
  <c r="Y25" i="9" s="1" a="1"/>
  <c r="Y25" i="9" s="1"/>
  <c r="O53" i="9"/>
  <c r="I93" i="9"/>
  <c r="M91" i="9"/>
  <c r="AB12" i="9" s="1" a="1"/>
  <c r="AB12" i="9" s="1"/>
  <c r="H70" i="9" a="1"/>
  <c r="H70" i="9" s="1"/>
  <c r="D94" i="9"/>
  <c r="S15" i="9" s="1" a="1"/>
  <c r="S15" i="9" s="1"/>
  <c r="B4" i="9"/>
  <c r="E101" i="9"/>
  <c r="T22" i="9" s="1" a="1"/>
  <c r="T22" i="9" s="1"/>
  <c r="F85" i="9"/>
  <c r="U6" i="9" s="1" a="1"/>
  <c r="U6" i="9" s="1"/>
  <c r="K71" i="9" a="1"/>
  <c r="K71" i="9" s="1"/>
  <c r="I74" i="9" a="1"/>
  <c r="I74" i="9" s="1"/>
  <c r="M93" i="9"/>
  <c r="AB14" i="9" s="1" a="1"/>
  <c r="AB14" i="9" s="1"/>
  <c r="G71" i="9" a="1"/>
  <c r="G71" i="9" s="1"/>
  <c r="C86" i="9"/>
  <c r="R7" i="9" s="1" a="1"/>
  <c r="R7" i="9" s="1"/>
  <c r="K93" i="9"/>
  <c r="Z14" i="9" s="1" a="1"/>
  <c r="Z14" i="9" s="1"/>
  <c r="O65" i="9"/>
  <c r="B15" i="9"/>
  <c r="H74" i="9" a="1"/>
  <c r="H74" i="9" s="1"/>
  <c r="K99" i="9"/>
  <c r="Z20" i="9" s="1" a="1"/>
  <c r="Z20" i="9" s="1"/>
  <c r="F101" i="9"/>
  <c r="U22" i="9" s="1" a="1"/>
  <c r="U22" i="9" s="1"/>
  <c r="F103" i="9"/>
  <c r="U24" i="9" s="1" a="1"/>
  <c r="U24" i="9" s="1"/>
  <c r="U27" i="9" a="1"/>
  <c r="U27" i="9" s="1"/>
  <c r="B9" i="9"/>
  <c r="D93" i="9"/>
  <c r="S14" i="9" s="1" a="1"/>
  <c r="S14" i="9" s="1"/>
  <c r="A8" i="20"/>
  <c r="Q5" i="9"/>
  <c r="AD31" i="9"/>
  <c r="B28" i="20" s="1"/>
  <c r="AC35" i="9"/>
  <c r="AC34" i="9"/>
  <c r="A20" i="20"/>
  <c r="AC36" i="9"/>
  <c r="J93" i="9"/>
  <c r="Y14" i="9" s="1" a="1"/>
  <c r="Y14" i="9" s="1"/>
  <c r="M90" i="9"/>
  <c r="AB11" i="9" s="1" a="1"/>
  <c r="AB11" i="9" s="1"/>
  <c r="E102" i="9"/>
  <c r="T23" i="9" s="1" a="1"/>
  <c r="T23" i="9" s="1"/>
  <c r="L94" i="9"/>
  <c r="AA15" i="9" s="1" a="1"/>
  <c r="AA15" i="9" s="1"/>
  <c r="J67" i="9" a="1"/>
  <c r="J67" i="9" s="1"/>
  <c r="M96" i="9"/>
  <c r="AB17" i="9" s="1" a="1"/>
  <c r="AB17" i="9" s="1"/>
  <c r="H85" i="9"/>
  <c r="X29" i="9" a="1"/>
  <c r="X29" i="9" s="1"/>
  <c r="L65" i="9" a="1"/>
  <c r="L65" i="9" s="1"/>
  <c r="G58" i="9" a="1"/>
  <c r="G58" i="9" s="1"/>
  <c r="H69" i="9" a="1"/>
  <c r="H69" i="9" s="1"/>
  <c r="K91" i="9"/>
  <c r="Z12" i="9" s="1" a="1"/>
  <c r="Z12" i="9" s="1"/>
  <c r="D96" i="9"/>
  <c r="S17" i="9" s="1" a="1"/>
  <c r="S17" i="9" s="1"/>
  <c r="O51" i="9"/>
  <c r="I63" i="9" a="1"/>
  <c r="I63" i="9" s="1"/>
  <c r="D109" i="9"/>
  <c r="S30" i="9" s="1" a="1"/>
  <c r="S30" i="9" s="1"/>
  <c r="F109" i="9"/>
  <c r="U30" i="9" s="1" a="1"/>
  <c r="U30" i="9" s="1"/>
  <c r="G4" i="2"/>
  <c r="G5" i="2"/>
  <c r="H96" i="1" s="1"/>
  <c r="G20" i="2"/>
  <c r="H86" i="1" s="1"/>
  <c r="G22" i="2"/>
  <c r="H91" i="1" s="1"/>
  <c r="G12" i="2"/>
  <c r="G6" i="2"/>
  <c r="G17" i="2"/>
  <c r="G29" i="2"/>
  <c r="G11" i="2"/>
  <c r="H74" i="1" s="1"/>
  <c r="G15" i="2"/>
  <c r="H79" i="1" s="1"/>
  <c r="G8" i="2"/>
  <c r="G9" i="2"/>
  <c r="G30" i="2"/>
  <c r="H108" i="1" s="1"/>
  <c r="G19" i="2"/>
  <c r="G25" i="2"/>
  <c r="G24" i="2"/>
  <c r="H20" i="2"/>
  <c r="I20" i="2" s="1"/>
  <c r="D20" i="2" s="1"/>
  <c r="G26" i="2"/>
  <c r="H97" i="1" s="1"/>
  <c r="H19" i="2"/>
  <c r="I19" i="2" s="1"/>
  <c r="D19" i="2" s="1"/>
  <c r="G16" i="2"/>
  <c r="H81" i="1" s="1"/>
  <c r="G18" i="2"/>
  <c r="G23" i="2"/>
  <c r="G14" i="2"/>
  <c r="H75" i="1" s="1"/>
  <c r="H30" i="2"/>
  <c r="I30" i="2" s="1"/>
  <c r="D30" i="2" s="1"/>
  <c r="G10" i="2"/>
  <c r="H77" i="1" s="1"/>
  <c r="H15" i="2"/>
  <c r="I15" i="2" s="1"/>
  <c r="D15" i="2" s="1"/>
  <c r="G21" i="2"/>
  <c r="H99" i="1"/>
  <c r="H94" i="1"/>
  <c r="G7" i="2"/>
  <c r="H62" i="1" s="1"/>
  <c r="H18" i="2"/>
  <c r="I18" i="2" s="1"/>
  <c r="D18" i="2" s="1"/>
  <c r="G28" i="2"/>
  <c r="H17" i="2"/>
  <c r="I17" i="2" s="1"/>
  <c r="D17" i="2" s="1"/>
  <c r="H16" i="2"/>
  <c r="I16" i="2" s="1"/>
  <c r="D16" i="2" s="1"/>
  <c r="H9" i="2"/>
  <c r="I9" i="2" s="1"/>
  <c r="D9" i="2" s="1"/>
  <c r="H12" i="2"/>
  <c r="I12" i="2" s="1"/>
  <c r="D12" i="2" s="1"/>
  <c r="O85" i="9"/>
  <c r="AD6" i="9" s="1"/>
  <c r="B3" i="20" s="1"/>
  <c r="B3" i="21"/>
  <c r="N5" i="17"/>
  <c r="O96" i="9"/>
  <c r="AD17" i="9" s="1"/>
  <c r="B14" i="20" s="1"/>
  <c r="N6" i="17"/>
  <c r="B15" i="21"/>
  <c r="O90" i="9"/>
  <c r="AD11" i="9" s="1"/>
  <c r="B8" i="20" s="1"/>
  <c r="B5" i="21"/>
  <c r="B22" i="21"/>
  <c r="O104" i="9"/>
  <c r="AD25" i="9" s="1"/>
  <c r="B13" i="21"/>
  <c r="O95" i="9"/>
  <c r="AD16" i="9" s="1"/>
  <c r="B13" i="20" s="1"/>
  <c r="B26" i="21"/>
  <c r="B24" i="21"/>
  <c r="O86" i="9"/>
  <c r="AD7" i="9" s="1"/>
  <c r="B4" i="20" s="1"/>
  <c r="O87" i="9"/>
  <c r="AD8" i="9" s="1"/>
  <c r="B5" i="20" s="1"/>
  <c r="AD33" i="9"/>
  <c r="P112" i="9"/>
  <c r="O91" i="9"/>
  <c r="O108" i="9"/>
  <c r="O93" i="9"/>
  <c r="O102" i="9"/>
  <c r="AD23" i="9" s="1"/>
  <c r="B20" i="20" s="1"/>
  <c r="B27" i="21"/>
  <c r="O106" i="9"/>
  <c r="B2" i="21"/>
  <c r="O105" i="9"/>
  <c r="AD26" i="9" s="1"/>
  <c r="B23" i="20" s="1"/>
  <c r="O114" i="9"/>
  <c r="AD35" i="9" s="1"/>
  <c r="B23" i="21"/>
  <c r="O115" i="9"/>
  <c r="O113" i="9"/>
  <c r="P113" i="9" s="1"/>
  <c r="O101" i="9"/>
  <c r="AD22" i="9" s="1"/>
  <c r="B19" i="20" s="1"/>
  <c r="B9" i="21"/>
  <c r="B11" i="21"/>
  <c r="B6" i="21"/>
  <c r="O88" i="9"/>
  <c r="AD9" i="9" s="1"/>
  <c r="B6" i="20" s="1"/>
  <c r="O111" i="9"/>
  <c r="AD32" i="9" s="1"/>
  <c r="O94" i="9"/>
  <c r="B19" i="21"/>
  <c r="B12" i="21"/>
  <c r="O109" i="9"/>
  <c r="B17" i="21"/>
  <c r="O89" i="9"/>
  <c r="AD10" i="9" s="1"/>
  <c r="B7" i="20" s="1"/>
  <c r="B7" i="21"/>
  <c r="O99" i="9"/>
  <c r="AD20" i="9" s="1"/>
  <c r="B17" i="20" s="1"/>
  <c r="B20" i="21"/>
  <c r="B8" i="21"/>
  <c r="O107" i="9"/>
  <c r="AD28" i="9" s="1"/>
  <c r="B25" i="20" s="1"/>
  <c r="B18" i="21"/>
  <c r="O100" i="9"/>
  <c r="B25" i="21"/>
  <c r="B16" i="21"/>
  <c r="O103" i="9"/>
  <c r="C243" i="17"/>
  <c r="K4" i="17" s="1"/>
  <c r="C16" i="10"/>
  <c r="G14" i="15"/>
  <c r="E38" i="18"/>
  <c r="J37" i="14"/>
  <c r="C12" i="8" s="1"/>
  <c r="D38" i="14"/>
  <c r="C10" i="8" s="1"/>
  <c r="C43" i="12"/>
  <c r="H60" i="6"/>
  <c r="I37" i="12"/>
  <c r="D38" i="18"/>
  <c r="C11" i="8" s="1"/>
  <c r="I60" i="6"/>
  <c r="H12" i="7"/>
  <c r="M74" i="9" a="1"/>
  <c r="M74" i="9" s="1"/>
  <c r="G51" i="9" a="1"/>
  <c r="G51" i="9" s="1"/>
  <c r="G68" i="9" a="1"/>
  <c r="G68" i="9" s="1"/>
  <c r="H51" i="9" a="1"/>
  <c r="H51" i="9" s="1"/>
  <c r="J114" i="1" a="1"/>
  <c r="J114" i="1" s="1"/>
  <c r="G56" i="9" a="1"/>
  <c r="G56" i="9" s="1"/>
  <c r="H50" i="9" a="1"/>
  <c r="H50" i="9" s="1"/>
  <c r="G59" i="9" a="1"/>
  <c r="G59" i="9" s="1"/>
  <c r="AC33" i="9"/>
  <c r="G69" i="9" a="1"/>
  <c r="G69" i="9" s="1"/>
  <c r="N79" i="9"/>
  <c r="D2" i="2"/>
  <c r="AD34" i="9" l="1"/>
  <c r="AE34" i="9" s="1"/>
  <c r="H101" i="1"/>
  <c r="H67" i="1"/>
  <c r="I84" i="9"/>
  <c r="X5" i="9" s="1" a="1"/>
  <c r="X5" i="9" s="1"/>
  <c r="H60" i="1"/>
  <c r="H68" i="1"/>
  <c r="H84" i="1"/>
  <c r="H85" i="1"/>
  <c r="H93" i="1"/>
  <c r="H70" i="1"/>
  <c r="H106" i="1"/>
  <c r="H104" i="1"/>
  <c r="H82" i="1"/>
  <c r="H66" i="1"/>
  <c r="H107" i="1"/>
  <c r="H109" i="1"/>
  <c r="H83" i="1"/>
  <c r="H89" i="1"/>
  <c r="H63" i="1"/>
  <c r="H103" i="1"/>
  <c r="H92" i="1"/>
  <c r="H95" i="1"/>
  <c r="H102" i="1"/>
  <c r="E8" i="9"/>
  <c r="E18" i="9"/>
  <c r="G49" i="9" a="1"/>
  <c r="G49" i="9" s="1"/>
  <c r="O84" i="9"/>
  <c r="AD5" i="9" s="1"/>
  <c r="B2" i="20" s="1"/>
  <c r="D84" i="9"/>
  <c r="S5" i="9" s="1" a="1"/>
  <c r="S5" i="9" s="1"/>
  <c r="J84" i="9"/>
  <c r="Y5" i="9" s="1" a="1"/>
  <c r="Y5" i="9" s="1"/>
  <c r="H49" i="9" a="1"/>
  <c r="H49" i="9" s="1"/>
  <c r="M84" i="9"/>
  <c r="AB5" i="9" s="1" a="1"/>
  <c r="AB5" i="9" s="1"/>
  <c r="E4" i="8"/>
  <c r="E8" i="8"/>
  <c r="E13" i="8"/>
  <c r="E7" i="8"/>
  <c r="E6" i="8"/>
  <c r="E10" i="8"/>
  <c r="E9" i="8"/>
  <c r="E12" i="8"/>
  <c r="N85" i="9"/>
  <c r="P85" i="9" s="1"/>
  <c r="C14" i="9"/>
  <c r="D10" i="19" a="1"/>
  <c r="D10" i="19" s="1"/>
  <c r="F49" i="9" a="1"/>
  <c r="F49" i="9" s="1"/>
  <c r="C14" i="19" a="1"/>
  <c r="C14" i="19" s="1"/>
  <c r="K84" i="9"/>
  <c r="Z5" i="9" s="1" a="1"/>
  <c r="Z5" i="9" s="1"/>
  <c r="C84" i="9"/>
  <c r="R5" i="9" s="1" a="1"/>
  <c r="R5" i="9" s="1"/>
  <c r="E84" i="9"/>
  <c r="T5" i="9" s="1" a="1"/>
  <c r="T5" i="9" s="1"/>
  <c r="G84" i="9"/>
  <c r="V5" i="9" s="1" a="1"/>
  <c r="V5" i="9" s="1"/>
  <c r="H84" i="9"/>
  <c r="W5" i="9" s="1" a="1"/>
  <c r="W5" i="9" s="1"/>
  <c r="F84" i="9"/>
  <c r="U5" i="9" s="1" a="1"/>
  <c r="U5" i="9" s="1"/>
  <c r="O49" i="9"/>
  <c r="N102" i="9"/>
  <c r="P102" i="9" s="1"/>
  <c r="N92" i="9"/>
  <c r="P92" i="9" s="1"/>
  <c r="N95" i="9"/>
  <c r="P95" i="9" s="1"/>
  <c r="N56" i="9"/>
  <c r="P56" i="9" s="1"/>
  <c r="N87" i="9"/>
  <c r="P87" i="9" s="1"/>
  <c r="C12" i="19" a="1"/>
  <c r="C12" i="19" s="1"/>
  <c r="N62" i="9"/>
  <c r="P62" i="9" s="1"/>
  <c r="N64" i="9"/>
  <c r="P64" i="9" s="1"/>
  <c r="AC27" i="9"/>
  <c r="N55" i="9"/>
  <c r="P55" i="9" s="1"/>
  <c r="N57" i="9"/>
  <c r="P57" i="9" s="1"/>
  <c r="N65" i="9"/>
  <c r="P65" i="9" s="1"/>
  <c r="AC21" i="9"/>
  <c r="N73" i="9"/>
  <c r="P73" i="9" s="1"/>
  <c r="AC9" i="9"/>
  <c r="AE9" i="9" s="1"/>
  <c r="C6" i="20" s="1"/>
  <c r="N66" i="9"/>
  <c r="P66" i="9" s="1"/>
  <c r="N54" i="9"/>
  <c r="P54" i="9" s="1"/>
  <c r="N52" i="9"/>
  <c r="P52" i="9" s="1"/>
  <c r="AC23" i="9"/>
  <c r="AE23" i="9" s="1"/>
  <c r="C20" i="20" s="1"/>
  <c r="N59" i="9"/>
  <c r="P59" i="9" s="1"/>
  <c r="N75" i="9"/>
  <c r="P75" i="9" s="1"/>
  <c r="V8" i="9" a="1"/>
  <c r="V8" i="9" s="1"/>
  <c r="AC8" i="9" s="1"/>
  <c r="AE8" i="9" s="1"/>
  <c r="C5" i="20" s="1"/>
  <c r="N103" i="9"/>
  <c r="P103" i="9" s="1"/>
  <c r="AC10" i="9"/>
  <c r="AE10" i="9" s="1"/>
  <c r="C7" i="20" s="1"/>
  <c r="N53" i="9"/>
  <c r="P53" i="9" s="1"/>
  <c r="E7" i="9" a="1"/>
  <c r="E7" i="9" s="1"/>
  <c r="C7" i="9"/>
  <c r="C13" i="9"/>
  <c r="E13" i="9"/>
  <c r="AC20" i="9"/>
  <c r="AE20" i="9" s="1"/>
  <c r="C17" i="20" s="1"/>
  <c r="N89" i="9"/>
  <c r="P89" i="9" s="1"/>
  <c r="N98" i="9"/>
  <c r="P98" i="9" s="1"/>
  <c r="N63" i="9"/>
  <c r="P63" i="9" s="1"/>
  <c r="C5" i="9"/>
  <c r="E5" i="9"/>
  <c r="N106" i="9"/>
  <c r="P106" i="9" s="1"/>
  <c r="E12" i="9"/>
  <c r="C12" i="9"/>
  <c r="C6" i="9"/>
  <c r="E6" i="9"/>
  <c r="C49" i="9" a="1"/>
  <c r="C49" i="9" s="1"/>
  <c r="N90" i="9"/>
  <c r="P90" i="9" s="1"/>
  <c r="N67" i="9"/>
  <c r="P67" i="9" s="1"/>
  <c r="N72" i="9"/>
  <c r="P72" i="9" s="1"/>
  <c r="AC28" i="9"/>
  <c r="AE28" i="9" s="1"/>
  <c r="C25" i="20" s="1"/>
  <c r="N100" i="9"/>
  <c r="P100" i="9" s="1"/>
  <c r="E49" i="9" a="1"/>
  <c r="E49" i="9" s="1"/>
  <c r="X13" i="9" a="1"/>
  <c r="X13" i="9" s="1"/>
  <c r="AC13" i="9" s="1"/>
  <c r="AE13" i="9" s="1"/>
  <c r="C10" i="20" s="1"/>
  <c r="C16" i="9"/>
  <c r="E16" i="9"/>
  <c r="AC24" i="9"/>
  <c r="N107" i="9"/>
  <c r="P107" i="9" s="1"/>
  <c r="N99" i="9"/>
  <c r="P99" i="9" s="1"/>
  <c r="W6" i="9" a="1"/>
  <c r="W6" i="9" s="1"/>
  <c r="AC6" i="9" s="1"/>
  <c r="AE6" i="9" s="1"/>
  <c r="C3" i="20" s="1"/>
  <c r="N109" i="9"/>
  <c r="P109" i="9" s="1"/>
  <c r="K49" i="9" a="1"/>
  <c r="K49" i="9" s="1"/>
  <c r="M49" i="9" a="1"/>
  <c r="M49" i="9" s="1"/>
  <c r="B2" i="9"/>
  <c r="L84" i="9"/>
  <c r="AA5" i="9" s="1" a="1"/>
  <c r="AA5" i="9" s="1"/>
  <c r="I49" i="9" a="1"/>
  <c r="I49" i="9" s="1"/>
  <c r="L49" i="9" a="1"/>
  <c r="L49" i="9" s="1"/>
  <c r="J49" i="9" a="1"/>
  <c r="J49" i="9" s="1"/>
  <c r="C17" i="9"/>
  <c r="E17" i="9"/>
  <c r="N50" i="9"/>
  <c r="P50" i="9" s="1"/>
  <c r="N88" i="9"/>
  <c r="P88" i="9" s="1"/>
  <c r="N70" i="9"/>
  <c r="P70" i="9" s="1"/>
  <c r="C11" i="9"/>
  <c r="E11" i="9"/>
  <c r="N58" i="9"/>
  <c r="P58" i="9" s="1"/>
  <c r="E3" i="9"/>
  <c r="N61" i="9"/>
  <c r="P61" i="9" s="1"/>
  <c r="N86" i="9"/>
  <c r="P86" i="9" s="1"/>
  <c r="AC19" i="9"/>
  <c r="AE19" i="9" s="1"/>
  <c r="C16" i="20" s="1"/>
  <c r="AC16" i="9"/>
  <c r="AE16" i="9" s="1"/>
  <c r="C13" i="20" s="1"/>
  <c r="AC11" i="9"/>
  <c r="AE11" i="9" s="1"/>
  <c r="C8" i="20" s="1"/>
  <c r="N60" i="9"/>
  <c r="P60" i="9" s="1"/>
  <c r="AE32" i="9"/>
  <c r="N68" i="9"/>
  <c r="P68" i="9" s="1"/>
  <c r="AC17" i="9"/>
  <c r="AE17" i="9" s="1"/>
  <c r="C14" i="20" s="1"/>
  <c r="AC30" i="9"/>
  <c r="N74" i="9"/>
  <c r="P74" i="9" s="1"/>
  <c r="D8" i="19" a="1"/>
  <c r="D8" i="19" s="1"/>
  <c r="AC15" i="9"/>
  <c r="C4" i="9"/>
  <c r="E4" i="9"/>
  <c r="Y22" i="9" a="1"/>
  <c r="Y22" i="9" s="1"/>
  <c r="AC22" i="9" s="1"/>
  <c r="AE22" i="9" s="1"/>
  <c r="C19" i="20" s="1"/>
  <c r="N101" i="9"/>
  <c r="P101" i="9" s="1"/>
  <c r="E18" i="19" a="1"/>
  <c r="E18" i="19" s="1"/>
  <c r="D14" i="19" a="1"/>
  <c r="D14" i="19" s="1"/>
  <c r="X18" i="9" a="1"/>
  <c r="X18" i="9" s="1"/>
  <c r="AC18" i="9" s="1"/>
  <c r="AE18" i="9" s="1"/>
  <c r="C15" i="20" s="1"/>
  <c r="N97" i="9"/>
  <c r="P97" i="9" s="1"/>
  <c r="N69" i="9"/>
  <c r="P69" i="9" s="1"/>
  <c r="C9" i="9"/>
  <c r="E9" i="9"/>
  <c r="N91" i="9"/>
  <c r="P91" i="9" s="1"/>
  <c r="N110" i="9"/>
  <c r="P110" i="9" s="1"/>
  <c r="V31" i="9" a="1"/>
  <c r="V31" i="9" s="1"/>
  <c r="AC31" i="9" s="1"/>
  <c r="AE31" i="9" s="1"/>
  <c r="C28" i="20" s="1"/>
  <c r="C15" i="9"/>
  <c r="E15" i="9"/>
  <c r="AC25" i="9"/>
  <c r="AE25" i="9" s="1"/>
  <c r="C22" i="20" s="1"/>
  <c r="N71" i="9"/>
  <c r="P71" i="9" s="1"/>
  <c r="X14" i="9" a="1"/>
  <c r="X14" i="9" s="1"/>
  <c r="AC14" i="9" s="1"/>
  <c r="N93" i="9"/>
  <c r="P93" i="9" s="1"/>
  <c r="Y26" i="9" a="1"/>
  <c r="Y26" i="9" s="1"/>
  <c r="AC26" i="9" s="1"/>
  <c r="AE26" i="9" s="1"/>
  <c r="C23" i="20" s="1"/>
  <c r="N105" i="9"/>
  <c r="P105" i="9" s="1"/>
  <c r="E10" i="9"/>
  <c r="C10" i="9"/>
  <c r="N104" i="9"/>
  <c r="P104" i="9" s="1"/>
  <c r="AE35" i="9"/>
  <c r="A2" i="20"/>
  <c r="D12" i="19" a="1"/>
  <c r="D12" i="19" s="1"/>
  <c r="N51" i="9"/>
  <c r="P51" i="9" s="1"/>
  <c r="N94" i="9"/>
  <c r="P94" i="9" s="1"/>
  <c r="AC12" i="9"/>
  <c r="N96" i="9"/>
  <c r="P96" i="9" s="1"/>
  <c r="W29" i="9" a="1"/>
  <c r="W29" i="9" s="1"/>
  <c r="AC29" i="9" s="1"/>
  <c r="N108" i="9"/>
  <c r="P108" i="9" s="1"/>
  <c r="H98" i="1"/>
  <c r="H65" i="1"/>
  <c r="H100" i="1"/>
  <c r="H90" i="1"/>
  <c r="H64" i="1"/>
  <c r="H61" i="1"/>
  <c r="H78" i="1"/>
  <c r="H72" i="1"/>
  <c r="H87" i="1"/>
  <c r="H88" i="1"/>
  <c r="H105" i="1"/>
  <c r="H80" i="1"/>
  <c r="H76" i="1"/>
  <c r="H71" i="1"/>
  <c r="H73" i="1"/>
  <c r="B22" i="20"/>
  <c r="N7" i="17"/>
  <c r="P7" i="17" s="1"/>
  <c r="C12" i="10"/>
  <c r="D243" i="17"/>
  <c r="F243" i="17" s="1"/>
  <c r="P114" i="9"/>
  <c r="P111" i="9"/>
  <c r="AD15" i="9"/>
  <c r="B12" i="20" s="1"/>
  <c r="AD27" i="9"/>
  <c r="B24" i="20" s="1"/>
  <c r="AD14" i="9"/>
  <c r="AE33" i="9"/>
  <c r="AD29" i="9"/>
  <c r="AD12" i="9"/>
  <c r="B9" i="20" s="1"/>
  <c r="AD36" i="9"/>
  <c r="P115" i="9"/>
  <c r="AD24" i="9"/>
  <c r="B21" i="20" s="1"/>
  <c r="AD21" i="9"/>
  <c r="B18" i="20" s="1"/>
  <c r="AD30" i="9"/>
  <c r="B27" i="20" s="1"/>
  <c r="F38" i="18"/>
  <c r="E11" i="8"/>
  <c r="C14" i="8"/>
  <c r="C4" i="10" s="1"/>
  <c r="C15" i="10" s="1"/>
  <c r="C17" i="10" s="1"/>
  <c r="AC7" i="9"/>
  <c r="AE7" i="9" s="1"/>
  <c r="C4" i="20" s="1"/>
  <c r="N84" i="9" l="1"/>
  <c r="P84" i="9" s="1"/>
  <c r="E14" i="19"/>
  <c r="AC5" i="9"/>
  <c r="AE5" i="9" s="1"/>
  <c r="C2" i="20" s="1"/>
  <c r="E12" i="19"/>
  <c r="N49" i="9"/>
  <c r="P49" i="9" s="1"/>
  <c r="E2" i="9"/>
  <c r="C2" i="9"/>
  <c r="C21" i="9"/>
  <c r="C19" i="10"/>
  <c r="E20" i="19" a="1"/>
  <c r="E20" i="19" s="1"/>
  <c r="K5" i="17"/>
  <c r="K6" i="17" s="1"/>
  <c r="AE27" i="9"/>
  <c r="C24" i="20" s="1"/>
  <c r="AE15" i="9"/>
  <c r="C12" i="20" s="1"/>
  <c r="B26" i="20"/>
  <c r="AE29" i="9"/>
  <c r="C26" i="20" s="1"/>
  <c r="B11" i="20"/>
  <c r="AE14" i="9"/>
  <c r="C11" i="20" s="1"/>
  <c r="AE12" i="9"/>
  <c r="C9" i="20" s="1"/>
  <c r="AE24" i="9"/>
  <c r="C21" i="20" s="1"/>
  <c r="AE21" i="9"/>
  <c r="C18" i="20" s="1"/>
  <c r="AE30" i="9"/>
  <c r="C27" i="20" s="1"/>
  <c r="E16" i="19" l="1"/>
  <c r="C23" i="9"/>
  <c r="C3" i="10" s="1"/>
  <c r="C5" i="10" s="1"/>
  <c r="F21" i="10" s="1"/>
  <c r="C11" i="10" l="1"/>
  <c r="C13" i="10" s="1"/>
  <c r="C2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Khata (2).xlsx!Table4" type="102" refreshedVersion="8" minRefreshableVersion="5" refreshOnLoad="1" saveData="1">
    <extLst>
      <ext xmlns:x15="http://schemas.microsoft.com/office/spreadsheetml/2010/11/main" uri="{DE250136-89BD-433C-8126-D09CA5730AF9}">
        <x15:connection id="Table4" autoDelete="1">
          <x15:rangePr sourceName="_xlcn.WorksheetConnection_Khata2.xlsxTable4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<sst xmlns="http://schemas.openxmlformats.org/spreadsheetml/2006/main" count="1558" uniqueCount="370">
  <si>
    <t>Billing</t>
  </si>
  <si>
    <t>Billing Total</t>
  </si>
  <si>
    <t>Party Name</t>
  </si>
  <si>
    <t>Tiyaar</t>
  </si>
  <si>
    <t>Rate</t>
  </si>
  <si>
    <t>Total</t>
  </si>
  <si>
    <t>Row Labels</t>
  </si>
  <si>
    <t>Sum of Tiyaar</t>
  </si>
  <si>
    <t>Sum of Total</t>
  </si>
  <si>
    <t>Arshad</t>
  </si>
  <si>
    <t>Gaz</t>
  </si>
  <si>
    <t>Total Metres</t>
  </si>
  <si>
    <t>Total Chamki</t>
  </si>
  <si>
    <t>Total Super Silky</t>
  </si>
  <si>
    <t>Billing (Chamki/Crinkle)</t>
  </si>
  <si>
    <t>Billing (Super Chamki)</t>
  </si>
  <si>
    <t>Adjusted Bill</t>
  </si>
  <si>
    <t>Amount Paid</t>
  </si>
  <si>
    <t>Balance</t>
  </si>
  <si>
    <t>Rate (Chamki)</t>
  </si>
  <si>
    <t>Rate (Super Silky)</t>
  </si>
  <si>
    <t>BSC</t>
  </si>
  <si>
    <t>Ejaz Sahab</t>
  </si>
  <si>
    <t>Shehzad Kamoki</t>
  </si>
  <si>
    <t>Sufi Nawaz Sahab</t>
  </si>
  <si>
    <t>Sajad Khan</t>
  </si>
  <si>
    <t>Raaz Fabrics</t>
  </si>
  <si>
    <t>Hafiz Qureshi</t>
  </si>
  <si>
    <t>Grand Total</t>
  </si>
  <si>
    <t>Total:</t>
  </si>
  <si>
    <t>(Real Figure)</t>
  </si>
  <si>
    <t>Total influx</t>
  </si>
  <si>
    <t>(considering 10.5)</t>
  </si>
  <si>
    <t>Parties:</t>
  </si>
  <si>
    <t>Party Names:</t>
  </si>
  <si>
    <t>Ubaidullah</t>
  </si>
  <si>
    <t>Description</t>
  </si>
  <si>
    <t>Total Gazana/gaz</t>
  </si>
  <si>
    <t>Gazana/meters</t>
  </si>
  <si>
    <t>Total Chamki-crinkle/meters</t>
  </si>
  <si>
    <t>Total Super Silky/meters</t>
  </si>
  <si>
    <t>Total Billing</t>
  </si>
  <si>
    <t>Total Paid</t>
  </si>
  <si>
    <t>Total Balance</t>
  </si>
  <si>
    <t>Expenses</t>
  </si>
  <si>
    <t>Type</t>
  </si>
  <si>
    <t>Amount</t>
  </si>
  <si>
    <t>Wood</t>
  </si>
  <si>
    <t>Dyes/Chemical</t>
  </si>
  <si>
    <t xml:space="preserve">Finish </t>
  </si>
  <si>
    <t>Misc</t>
  </si>
  <si>
    <t>Electricity</t>
  </si>
  <si>
    <t>Salary</t>
  </si>
  <si>
    <t>Running Acc</t>
  </si>
  <si>
    <t>Transport</t>
  </si>
  <si>
    <t>Parts</t>
  </si>
  <si>
    <t>Stock (for next 15th)</t>
  </si>
  <si>
    <t>Stock</t>
  </si>
  <si>
    <t>quantity</t>
  </si>
  <si>
    <t>Column3</t>
  </si>
  <si>
    <t>mann</t>
  </si>
  <si>
    <t>Starch</t>
  </si>
  <si>
    <t>Kg</t>
  </si>
  <si>
    <t>Pva</t>
  </si>
  <si>
    <t>Dyes</t>
  </si>
  <si>
    <t>Nil</t>
  </si>
  <si>
    <t>Column1</t>
  </si>
  <si>
    <t>Column2</t>
  </si>
  <si>
    <t>Profit</t>
  </si>
  <si>
    <t>Credit</t>
  </si>
  <si>
    <t>Debit</t>
  </si>
  <si>
    <t>Exp Balance</t>
  </si>
  <si>
    <t>Cash in hand</t>
  </si>
  <si>
    <t>Difference</t>
  </si>
  <si>
    <t>My share:</t>
  </si>
  <si>
    <t>Date</t>
  </si>
  <si>
    <t>Diff</t>
  </si>
  <si>
    <t>Bill Number</t>
  </si>
  <si>
    <t>Quality</t>
  </si>
  <si>
    <t>Shipment Number</t>
  </si>
  <si>
    <t>Kora/metre</t>
  </si>
  <si>
    <t>Tiyaar/gaz</t>
  </si>
  <si>
    <t>shortage %</t>
  </si>
  <si>
    <t>tiyar/meters</t>
  </si>
  <si>
    <t>billing</t>
  </si>
  <si>
    <t>Chamki</t>
  </si>
  <si>
    <t>Silky</t>
  </si>
  <si>
    <t>(All)</t>
  </si>
  <si>
    <t>Sum of Tiyaar/gaz</t>
  </si>
  <si>
    <t>Vehicle Number</t>
  </si>
  <si>
    <t>Weight</t>
  </si>
  <si>
    <t>Rent</t>
  </si>
  <si>
    <t>Paid</t>
  </si>
  <si>
    <t>balance</t>
  </si>
  <si>
    <t>Malik Zaheer</t>
  </si>
  <si>
    <t>Closing Balance CF</t>
  </si>
  <si>
    <t>Aqib</t>
  </si>
  <si>
    <t>-</t>
  </si>
  <si>
    <t>Gari #</t>
  </si>
  <si>
    <t>Sum of Weight</t>
  </si>
  <si>
    <t>Sum of total</t>
  </si>
  <si>
    <t>Sum of Paid</t>
  </si>
  <si>
    <t>Sum of balance</t>
  </si>
  <si>
    <t>(blank)</t>
  </si>
  <si>
    <t>amount</t>
  </si>
  <si>
    <t>Actual</t>
  </si>
  <si>
    <t>Cash in hand (July):</t>
  </si>
  <si>
    <t>Bank Withdrawal</t>
  </si>
  <si>
    <t>Bank</t>
  </si>
  <si>
    <t>Cash</t>
  </si>
  <si>
    <t>Party</t>
  </si>
  <si>
    <t>Mode</t>
  </si>
  <si>
    <t>Withdrawal</t>
  </si>
  <si>
    <t>Rashan</t>
  </si>
  <si>
    <t>H3R</t>
  </si>
  <si>
    <t>Unicolour</t>
  </si>
  <si>
    <t>Faysal Akraam</t>
  </si>
  <si>
    <t>Finish</t>
  </si>
  <si>
    <t>Sum of Credit</t>
  </si>
  <si>
    <t>Sum of Debit</t>
  </si>
  <si>
    <t>Chemical Name</t>
  </si>
  <si>
    <t>Boxes</t>
  </si>
  <si>
    <t>Price</t>
  </si>
  <si>
    <t>info</t>
  </si>
  <si>
    <t>chemicals</t>
  </si>
  <si>
    <t>Navy Blue</t>
  </si>
  <si>
    <t>Rubine B</t>
  </si>
  <si>
    <t>Sum of Price</t>
  </si>
  <si>
    <t>Sum of Balance</t>
  </si>
  <si>
    <t>Blue SE2R</t>
  </si>
  <si>
    <t>Red F3BS</t>
  </si>
  <si>
    <t>Violet 3R</t>
  </si>
  <si>
    <t>Violet 5R</t>
  </si>
  <si>
    <t>Yellow 10GF</t>
  </si>
  <si>
    <t>Item</t>
  </si>
  <si>
    <t>Quantity</t>
  </si>
  <si>
    <t>Bill number</t>
  </si>
  <si>
    <t>Units</t>
  </si>
  <si>
    <t>Advance</t>
  </si>
  <si>
    <t>Person</t>
  </si>
  <si>
    <t>Shipment number</t>
  </si>
  <si>
    <t>Max of Kora/metre</t>
  </si>
  <si>
    <t>cost</t>
  </si>
  <si>
    <t>Max of Kora/gaz</t>
  </si>
  <si>
    <t>Tiyar/metre</t>
  </si>
  <si>
    <t>Cost</t>
  </si>
  <si>
    <t>Yellow 4G</t>
  </si>
  <si>
    <t>Scarlet B</t>
  </si>
  <si>
    <t>Ashraf Zia</t>
  </si>
  <si>
    <t>Rafaqat</t>
  </si>
  <si>
    <t>gazana</t>
  </si>
  <si>
    <t>sum</t>
  </si>
  <si>
    <t>Azam</t>
  </si>
  <si>
    <t>Blue GSL</t>
  </si>
  <si>
    <t>Billing (Previous)</t>
  </si>
  <si>
    <t>Billing September</t>
  </si>
  <si>
    <t>boxes</t>
  </si>
  <si>
    <t>kgs</t>
  </si>
  <si>
    <t>total</t>
  </si>
  <si>
    <t>Black</t>
  </si>
  <si>
    <t>Red FB</t>
  </si>
  <si>
    <t>Yellow GG</t>
  </si>
  <si>
    <t>T blue</t>
  </si>
  <si>
    <t>LAST Month Stock</t>
  </si>
  <si>
    <t>BP26</t>
  </si>
  <si>
    <t>AS Traders</t>
  </si>
  <si>
    <t>Badshah Fabrics</t>
  </si>
  <si>
    <t>Party Names</t>
  </si>
  <si>
    <t>Reject</t>
  </si>
  <si>
    <t>Kaleem ullah</t>
  </si>
  <si>
    <t>Amjad 7up</t>
  </si>
  <si>
    <t>Hazrat Khan</t>
  </si>
  <si>
    <t>Ishaq</t>
  </si>
  <si>
    <t>Haseeb Shamsi</t>
  </si>
  <si>
    <t>(Last month)</t>
  </si>
  <si>
    <t>Faizan</t>
  </si>
  <si>
    <t>madina dyes</t>
  </si>
  <si>
    <t>Dasti</t>
  </si>
  <si>
    <t>Shafique Ansari</t>
  </si>
  <si>
    <t>Amjad sohail</t>
  </si>
  <si>
    <t>Billing (Slub)</t>
  </si>
  <si>
    <t>Billing (Satin)</t>
  </si>
  <si>
    <t>Aurangzeb</t>
  </si>
  <si>
    <t>General Dyes</t>
  </si>
  <si>
    <t>Salman Zaffar</t>
  </si>
  <si>
    <t>Slub</t>
  </si>
  <si>
    <t>Satin</t>
  </si>
  <si>
    <t>closing CF</t>
  </si>
  <si>
    <t>black</t>
  </si>
  <si>
    <t>60 bags starch 3 bp26</t>
  </si>
  <si>
    <t>700*810</t>
  </si>
  <si>
    <t>TKL 364</t>
  </si>
  <si>
    <t>Arb Dasti</t>
  </si>
  <si>
    <t>Shahid Qasayi</t>
  </si>
  <si>
    <t>Abid ghafoor</t>
  </si>
  <si>
    <t>ibraheem behraam</t>
  </si>
  <si>
    <t>Hameed corporation</t>
  </si>
  <si>
    <t>Shafi Dyes</t>
  </si>
  <si>
    <t>Madina Dyes</t>
  </si>
  <si>
    <t>shahid Qasayi</t>
  </si>
  <si>
    <t>Irfan Punjabi</t>
  </si>
  <si>
    <t>Zia-ullah karachi</t>
  </si>
  <si>
    <t>Amjad wood</t>
  </si>
  <si>
    <t>Black-Chamki</t>
  </si>
  <si>
    <t>Billing (Black-chamki)</t>
  </si>
  <si>
    <t>Billing (Kataan)</t>
  </si>
  <si>
    <t>ZA</t>
  </si>
  <si>
    <t>This month</t>
  </si>
  <si>
    <t>Ahmad Javaid</t>
  </si>
  <si>
    <t>Munaar</t>
  </si>
  <si>
    <t>Billing (Munaar)</t>
  </si>
  <si>
    <t>November Closing CF</t>
  </si>
  <si>
    <t>Kataan</t>
  </si>
  <si>
    <t>billing (Slub)</t>
  </si>
  <si>
    <t>Billing (Black-Chamki)</t>
  </si>
  <si>
    <t>Billing (kataan</t>
  </si>
  <si>
    <t>Closing CF</t>
  </si>
  <si>
    <t>chai</t>
  </si>
  <si>
    <t>mazdoor</t>
  </si>
  <si>
    <t>Loom Ac</t>
  </si>
  <si>
    <t>Baba Hamid Sarning</t>
  </si>
  <si>
    <t>Ashfaq Sahab theka</t>
  </si>
  <si>
    <t>omer</t>
  </si>
  <si>
    <t>package</t>
  </si>
  <si>
    <t>hafiz qureshi</t>
  </si>
  <si>
    <t>cash</t>
  </si>
  <si>
    <t>10k cash Hafiz qureshi</t>
  </si>
  <si>
    <t>silai machine</t>
  </si>
  <si>
    <t>TID:508845</t>
  </si>
  <si>
    <t>irfan Punjabi</t>
  </si>
  <si>
    <t>Zubair ali jc</t>
  </si>
  <si>
    <t>jet gutkay</t>
  </si>
  <si>
    <t>jet</t>
  </si>
  <si>
    <t>Advance salary</t>
  </si>
  <si>
    <t>Imran electric</t>
  </si>
  <si>
    <t>stationary</t>
  </si>
  <si>
    <t>petrol</t>
  </si>
  <si>
    <t>nasir</t>
  </si>
  <si>
    <t>nasir opt</t>
  </si>
  <si>
    <t>haseen khan</t>
  </si>
  <si>
    <t>LES 9718</t>
  </si>
  <si>
    <t>Rana Babar</t>
  </si>
  <si>
    <t>APL</t>
  </si>
  <si>
    <t>APl</t>
  </si>
  <si>
    <t>anayat</t>
  </si>
  <si>
    <t>jazzcash</t>
  </si>
  <si>
    <t>workshop</t>
  </si>
  <si>
    <t>db box</t>
  </si>
  <si>
    <t>khubaib</t>
  </si>
  <si>
    <t>bill</t>
  </si>
  <si>
    <t>UBL</t>
  </si>
  <si>
    <t>235k+265K</t>
  </si>
  <si>
    <t>irfan punjabi</t>
  </si>
  <si>
    <t>BAHL</t>
  </si>
  <si>
    <t>cash- madina dyes</t>
  </si>
  <si>
    <t>munawar bajwa</t>
  </si>
  <si>
    <t>Rana babar</t>
  </si>
  <si>
    <t>shahid qasayi</t>
  </si>
  <si>
    <t>crinkle</t>
  </si>
  <si>
    <t>1000 (Qadeer drv)+1000(shave)</t>
  </si>
  <si>
    <t>dyes karaya</t>
  </si>
  <si>
    <t>mali+200 naeem sab</t>
  </si>
  <si>
    <t>Nov Balance CF</t>
  </si>
  <si>
    <t>ghar</t>
  </si>
  <si>
    <t>TID:654505</t>
  </si>
  <si>
    <t>TID:344704</t>
  </si>
  <si>
    <t>Master Akbar</t>
  </si>
  <si>
    <t>Shahid Munir</t>
  </si>
  <si>
    <t>bearings</t>
  </si>
  <si>
    <t>TID:726134</t>
  </si>
  <si>
    <t>Badshah/726134</t>
  </si>
  <si>
    <t>TID:094356</t>
  </si>
  <si>
    <t>Badshah/094356</t>
  </si>
  <si>
    <t>TID:329249</t>
  </si>
  <si>
    <t>Badshah/329249</t>
  </si>
  <si>
    <t>TID:759875</t>
  </si>
  <si>
    <t>Badshah/759875</t>
  </si>
  <si>
    <t>Sajad khan</t>
  </si>
  <si>
    <t>TID:828977</t>
  </si>
  <si>
    <t>Sajad khan/828977</t>
  </si>
  <si>
    <t>thaan+cash (BSC)</t>
  </si>
  <si>
    <t>shahid qasayi (Maal/BSC)</t>
  </si>
  <si>
    <t>PVA</t>
  </si>
  <si>
    <t>salary Ashfaq sahab</t>
  </si>
  <si>
    <t>afzaal chakki</t>
  </si>
  <si>
    <t>Dec-Jan</t>
  </si>
  <si>
    <t>salman Zaffar</t>
  </si>
  <si>
    <t>Against Chamki</t>
  </si>
  <si>
    <t>salman Zaffar nill</t>
  </si>
  <si>
    <t>freight</t>
  </si>
  <si>
    <t>ghulam abbas</t>
  </si>
  <si>
    <t>groccery</t>
  </si>
  <si>
    <t>engine oil 2L 697</t>
  </si>
  <si>
    <t>bank charges</t>
  </si>
  <si>
    <t>Bill Nill</t>
  </si>
  <si>
    <t>boiler weld</t>
  </si>
  <si>
    <t>Cash/125811</t>
  </si>
  <si>
    <t>LEI 2223</t>
  </si>
  <si>
    <t>Azam sahab cred</t>
  </si>
  <si>
    <t>food</t>
  </si>
  <si>
    <t>petrol/935</t>
  </si>
  <si>
    <t>usman shafiq dyes</t>
  </si>
  <si>
    <t>Usman shafiq dyes</t>
  </si>
  <si>
    <t>bolts</t>
  </si>
  <si>
    <t>atta</t>
  </si>
  <si>
    <t>cable</t>
  </si>
  <si>
    <t>TID:062397</t>
  </si>
  <si>
    <t>TID:749585</t>
  </si>
  <si>
    <t>50K+34K</t>
  </si>
  <si>
    <t>TID:480293</t>
  </si>
  <si>
    <t>usman shafiq Dyes</t>
  </si>
  <si>
    <t>Dyes/34k balance</t>
  </si>
  <si>
    <t>stenter</t>
  </si>
  <si>
    <t>medicine</t>
  </si>
  <si>
    <t>Usama Jet</t>
  </si>
  <si>
    <t>TID:247792</t>
  </si>
  <si>
    <t>Hafiz qureshi</t>
  </si>
  <si>
    <t>TID:101964</t>
  </si>
  <si>
    <t>TID:063335</t>
  </si>
  <si>
    <t>shahid qasai</t>
  </si>
  <si>
    <t>garari</t>
  </si>
  <si>
    <t>61k left</t>
  </si>
  <si>
    <t>reciept#749</t>
  </si>
  <si>
    <t>reciept#750</t>
  </si>
  <si>
    <t>badshah</t>
  </si>
  <si>
    <t>azam</t>
  </si>
  <si>
    <t>ejaz sahab</t>
  </si>
  <si>
    <t>TID:671487</t>
  </si>
  <si>
    <t>nut qablay</t>
  </si>
  <si>
    <t>Matt Traders</t>
  </si>
  <si>
    <t>380+100+100+100+100+50+50+95</t>
  </si>
  <si>
    <t>1997+1988</t>
  </si>
  <si>
    <t>1296-a</t>
  </si>
  <si>
    <t>1296-b</t>
  </si>
  <si>
    <t>LEJ 9662</t>
  </si>
  <si>
    <t>Badshah Fabrics (100k)</t>
  </si>
  <si>
    <t>cost per meter</t>
  </si>
  <si>
    <t>temp</t>
  </si>
  <si>
    <t>TID:310854</t>
  </si>
  <si>
    <t>shehzad kamoki</t>
  </si>
  <si>
    <t>TID:618716</t>
  </si>
  <si>
    <t>sufi nawaz sahab</t>
  </si>
  <si>
    <t>maal BSC</t>
  </si>
  <si>
    <t>ejaz sahab maal</t>
  </si>
  <si>
    <t>Farhaan</t>
  </si>
  <si>
    <t>unloading</t>
  </si>
  <si>
    <t>shahid qasai (100+100)</t>
  </si>
  <si>
    <t>heaters</t>
  </si>
  <si>
    <t>Salary//unresolved sabir</t>
  </si>
  <si>
    <t>bulbs x10</t>
  </si>
  <si>
    <t>100k transfer</t>
  </si>
  <si>
    <t>bsc</t>
  </si>
  <si>
    <t>Cash deposit</t>
  </si>
  <si>
    <t>TID:228777</t>
  </si>
  <si>
    <t>TID:151348</t>
  </si>
  <si>
    <t>parts</t>
  </si>
  <si>
    <t>50+50</t>
  </si>
  <si>
    <t>60 (SZ)+ 100 (BS)</t>
  </si>
  <si>
    <t>32k transfer+68k cash</t>
  </si>
  <si>
    <t>35k+65K</t>
  </si>
  <si>
    <t>TID:918140</t>
  </si>
  <si>
    <t>TID:709275</t>
  </si>
  <si>
    <t>TID:096506</t>
  </si>
  <si>
    <t>TID:885534</t>
  </si>
  <si>
    <t>nill till 1/1/26</t>
  </si>
  <si>
    <t>kulhari ect</t>
  </si>
  <si>
    <t>Cheque transfer</t>
  </si>
  <si>
    <t>Against Cheque (Sufi N)</t>
  </si>
  <si>
    <t>maal adjust</t>
  </si>
  <si>
    <t>Amjad sohail (Maal Adjust)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</si>
</sst>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_-;\-* #,##0.0_-;_-* &quot;-&quot;??_-;_-@_-"/>
  </numFmts>
  <fonts count="14" x14ac:knownFonts="1">
    <font>
      <sz val="11"/>
      <color theme="1"/>
      <name val="Aptos Narrow"/>
      <family val="2"/>
      <scheme val="minor"/>
    </font>
    <font>
      <b/>
      <sz val="11"/>
      <color theme="1"/>
      <name val="Aptos Narrow"/>
      <family val="2"/>
      <scheme val="minor"/>
    </font>
    <font>
      <b/>
      <i/>
      <sz val="11"/>
      <color theme="1"/>
      <name val="Aptos Narrow"/>
      <family val="2"/>
      <scheme val="minor"/>
    </font>
    <font>
      <b/>
      <i/>
      <u/>
      <sz val="20"/>
      <color theme="1"/>
      <name val="Aptos Narrow"/>
      <family val="2"/>
      <scheme val="minor"/>
    </font>
    <font>
      <sz val="8"/>
      <name val="Aptos Narrow"/>
      <family val="2"/>
      <scheme val="minor"/>
    </font>
    <font>
      <b/>
      <i/>
      <u/>
      <sz val="22"/>
      <color theme="1"/>
      <name val="Aptos Narrow"/>
      <family val="2"/>
      <scheme val="minor"/>
    </font>
    <font>
      <sz val="11"/>
      <color theme="1"/>
      <name val="Aptos Narrow"/>
      <family val="2"/>
      <scheme val="minor"/>
    </font>
    <font>
      <sz val="6"/>
      <name val="Yu Gothic"/>
      <family val="2"/>
      <charset val="128"/>
    </font>
    <font>
      <b/>
      <sz val="14"/>
      <color theme="1"/>
      <name val="Aptos Narrow"/>
      <family val="2"/>
      <scheme val="minor"/>
    </font>
    <font>
      <b/>
      <sz val="12"/>
      <color theme="1"/>
      <name val="Aptos Narrow"/>
      <family val="2"/>
      <scheme val="minor"/>
    </font>
    <font>
      <b/>
      <sz val="16"/>
      <color theme="1"/>
      <name val="Aptos Narrow"/>
      <family val="2"/>
      <scheme val="minor"/>
    </font>
    <font>
      <sz val="14"/>
      <color theme="1"/>
      <name val="Aptos Narrow"/>
      <family val="2"/>
      <scheme val="minor"/>
    </font>
    <font>
      <b/>
      <sz val="11"/>
      <color theme="0"/>
      <name val="Aptos Narrow"/>
      <family val="2"/>
      <scheme val="minor"/>
    </font>
    <font>
      <sz val="16"/>
      <color theme="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theme="4"/>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double">
        <color theme="4"/>
      </top>
      <bottom style="thin">
        <color theme="4" tint="0.39997558519241921"/>
      </bottom>
      <diagonal/>
    </border>
    <border>
      <left style="thin">
        <color indexed="64"/>
      </left>
      <right/>
      <top/>
      <bottom style="thin">
        <color indexed="64"/>
      </bottom>
      <diagonal/>
    </border>
    <border>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505050"/>
      </left>
      <right/>
      <top style="medium">
        <color rgb="FF505050"/>
      </top>
      <bottom style="medium">
        <color rgb="FF505050"/>
      </bottom>
      <diagonal/>
    </border>
    <border>
      <left/>
      <right style="medium">
        <color rgb="FF505050"/>
      </right>
      <top style="medium">
        <color rgb="FF505050"/>
      </top>
      <bottom style="medium">
        <color rgb="FF505050"/>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style="thin">
        <color auto="1"/>
      </left>
      <right style="thin">
        <color auto="1"/>
      </right>
      <top style="thin">
        <color auto="1"/>
      </top>
      <bottom/>
      <diagonal/>
    </border>
    <border>
      <left/>
      <right/>
      <top/>
      <bottom style="thin">
        <color indexed="64"/>
      </bottom>
      <diagonal/>
    </border>
  </borders>
  <cellStyleXfs count="2">
    <xf numFmtId="0" fontId="0" fillId="0" borderId="0"/>
    <xf numFmtId="43" fontId="6" fillId="0" borderId="0" applyFont="0" applyFill="0" applyBorder="0" applyAlignment="0" applyProtection="0"/>
  </cellStyleXfs>
  <cellXfs count="131">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3" fillId="0" borderId="0" xfId="0" applyFont="1"/>
    <xf numFmtId="0" fontId="1" fillId="0" borderId="3" xfId="0" applyFont="1" applyBorder="1" applyAlignment="1">
      <alignment horizontal="center" vertical="top"/>
    </xf>
    <xf numFmtId="0" fontId="5" fillId="0" borderId="0" xfId="0" applyFont="1"/>
    <xf numFmtId="43" fontId="0" fillId="0" borderId="0" xfId="1" applyFont="1"/>
    <xf numFmtId="164" fontId="0" fillId="0" borderId="0" xfId="1" applyNumberFormat="1" applyFont="1"/>
    <xf numFmtId="164" fontId="1" fillId="0" borderId="3" xfId="1" applyNumberFormat="1" applyFont="1" applyBorder="1" applyAlignment="1">
      <alignment horizontal="center" vertical="top"/>
    </xf>
    <xf numFmtId="164" fontId="1" fillId="0" borderId="3" xfId="1" applyNumberFormat="1" applyFont="1" applyBorder="1"/>
    <xf numFmtId="164" fontId="0" fillId="0" borderId="0" xfId="0" applyNumberFormat="1"/>
    <xf numFmtId="164" fontId="2" fillId="0" borderId="0" xfId="1" applyNumberFormat="1" applyFont="1"/>
    <xf numFmtId="164" fontId="0" fillId="0" borderId="0" xfId="0" applyNumberFormat="1" applyAlignment="1">
      <alignment horizontal="left"/>
    </xf>
    <xf numFmtId="164" fontId="1" fillId="0" borderId="4" xfId="0" applyNumberFormat="1" applyFont="1" applyBorder="1"/>
    <xf numFmtId="1" fontId="0" fillId="0" borderId="0" xfId="0" applyNumberFormat="1"/>
    <xf numFmtId="0" fontId="0" fillId="2" borderId="0" xfId="0" applyFill="1"/>
    <xf numFmtId="164" fontId="0" fillId="2" borderId="0" xfId="1" applyNumberFormat="1" applyFont="1" applyFill="1"/>
    <xf numFmtId="0" fontId="0" fillId="0" borderId="1" xfId="0" applyBorder="1"/>
    <xf numFmtId="164" fontId="0" fillId="0" borderId="1" xfId="1" applyNumberFormat="1" applyFont="1" applyBorder="1"/>
    <xf numFmtId="0" fontId="1" fillId="3" borderId="1" xfId="0" applyFont="1" applyFill="1" applyBorder="1"/>
    <xf numFmtId="0" fontId="1" fillId="0" borderId="1" xfId="0" applyFont="1" applyBorder="1"/>
    <xf numFmtId="164" fontId="0" fillId="2" borderId="0" xfId="0" applyNumberFormat="1" applyFill="1"/>
    <xf numFmtId="14" fontId="0" fillId="0" borderId="0" xfId="0" applyNumberFormat="1" applyAlignment="1">
      <alignment horizontal="left"/>
    </xf>
    <xf numFmtId="0" fontId="1" fillId="0" borderId="2" xfId="1" applyNumberFormat="1" applyFont="1" applyBorder="1" applyAlignment="1">
      <alignment horizontal="center" vertical="top"/>
    </xf>
    <xf numFmtId="43" fontId="0" fillId="0" borderId="0" xfId="0" applyNumberFormat="1"/>
    <xf numFmtId="164" fontId="0" fillId="4" borderId="0" xfId="1" applyNumberFormat="1" applyFont="1" applyFill="1"/>
    <xf numFmtId="164" fontId="0" fillId="6" borderId="0" xfId="0" applyNumberFormat="1" applyFill="1"/>
    <xf numFmtId="0" fontId="1" fillId="5" borderId="1" xfId="0" applyFont="1" applyFill="1" applyBorder="1"/>
    <xf numFmtId="164" fontId="1" fillId="5" borderId="1" xfId="0" applyNumberFormat="1" applyFont="1" applyFill="1" applyBorder="1"/>
    <xf numFmtId="164" fontId="1" fillId="5" borderId="1" xfId="1" applyNumberFormat="1" applyFont="1" applyFill="1" applyBorder="1"/>
    <xf numFmtId="164" fontId="0" fillId="0" borderId="3" xfId="0" pivotButton="1" applyNumberFormat="1" applyBorder="1"/>
    <xf numFmtId="164" fontId="0" fillId="0" borderId="5" xfId="0" applyNumberFormat="1" applyBorder="1"/>
    <xf numFmtId="164" fontId="0" fillId="0" borderId="6" xfId="0" applyNumberFormat="1" applyBorder="1"/>
    <xf numFmtId="164" fontId="1" fillId="0" borderId="1" xfId="1" applyNumberFormat="1" applyFont="1" applyBorder="1"/>
    <xf numFmtId="14" fontId="0" fillId="0" borderId="8" xfId="0" applyNumberFormat="1" applyBorder="1"/>
    <xf numFmtId="164" fontId="0" fillId="0" borderId="1" xfId="0" applyNumberFormat="1" applyBorder="1"/>
    <xf numFmtId="0" fontId="2" fillId="0" borderId="1" xfId="0" applyFont="1" applyBorder="1"/>
    <xf numFmtId="164" fontId="2" fillId="0" borderId="1" xfId="0" applyNumberFormat="1" applyFont="1" applyBorder="1"/>
    <xf numFmtId="0" fontId="0" fillId="0" borderId="0" xfId="0" applyAlignment="1">
      <alignment horizontal="left" indent="1"/>
    </xf>
    <xf numFmtId="165" fontId="0" fillId="0" borderId="0" xfId="0" applyNumberFormat="1"/>
    <xf numFmtId="164" fontId="0" fillId="0" borderId="0" xfId="0" pivotButton="1" applyNumberFormat="1"/>
    <xf numFmtId="0" fontId="0" fillId="0" borderId="9" xfId="0" applyBorder="1"/>
    <xf numFmtId="164" fontId="0" fillId="0" borderId="10" xfId="0" applyNumberFormat="1" applyBorder="1"/>
    <xf numFmtId="0" fontId="0" fillId="0" borderId="6" xfId="0" applyBorder="1"/>
    <xf numFmtId="0" fontId="0" fillId="0" borderId="11" xfId="0" applyBorder="1"/>
    <xf numFmtId="164" fontId="0" fillId="0" borderId="12" xfId="0" applyNumberFormat="1" applyBorder="1"/>
    <xf numFmtId="0" fontId="0" fillId="0" borderId="5" xfId="0" applyBorder="1"/>
    <xf numFmtId="0" fontId="0" fillId="0" borderId="10" xfId="0" applyBorder="1"/>
    <xf numFmtId="0" fontId="1" fillId="0" borderId="11" xfId="0" applyFont="1" applyBorder="1"/>
    <xf numFmtId="164" fontId="1" fillId="0" borderId="12" xfId="0" applyNumberFormat="1" applyFont="1" applyBorder="1"/>
    <xf numFmtId="164" fontId="0" fillId="7" borderId="0" xfId="0" applyNumberFormat="1" applyFill="1"/>
    <xf numFmtId="0" fontId="8" fillId="0" borderId="0" xfId="0" applyFont="1"/>
    <xf numFmtId="0" fontId="0" fillId="0" borderId="13" xfId="0" applyBorder="1"/>
    <xf numFmtId="164" fontId="0" fillId="0" borderId="14" xfId="0" applyNumberFormat="1" applyBorder="1"/>
    <xf numFmtId="0" fontId="0" fillId="0" borderId="15" xfId="0" applyBorder="1"/>
    <xf numFmtId="164" fontId="0" fillId="0" borderId="16" xfId="0" applyNumberFormat="1" applyBorder="1"/>
    <xf numFmtId="0" fontId="1" fillId="0" borderId="19" xfId="0" applyFont="1" applyBorder="1"/>
    <xf numFmtId="164" fontId="1" fillId="0" borderId="20" xfId="0" applyNumberFormat="1" applyFont="1" applyBorder="1"/>
    <xf numFmtId="0" fontId="9" fillId="0" borderId="0" xfId="0" applyFont="1"/>
    <xf numFmtId="165" fontId="0" fillId="0" borderId="1" xfId="1" applyNumberFormat="1" applyFont="1" applyBorder="1"/>
    <xf numFmtId="0" fontId="10" fillId="3" borderId="1" xfId="0" applyFont="1" applyFill="1" applyBorder="1"/>
    <xf numFmtId="0" fontId="11" fillId="0" borderId="0" xfId="0" applyFont="1"/>
    <xf numFmtId="165" fontId="8" fillId="0" borderId="0" xfId="1" applyNumberFormat="1" applyFont="1" applyBorder="1"/>
    <xf numFmtId="165" fontId="11" fillId="0" borderId="0" xfId="1" applyNumberFormat="1" applyFont="1" applyBorder="1"/>
    <xf numFmtId="164" fontId="8" fillId="0" borderId="0" xfId="1" applyNumberFormat="1" applyFont="1" applyBorder="1"/>
    <xf numFmtId="164" fontId="11" fillId="0" borderId="0" xfId="1" applyNumberFormat="1" applyFont="1" applyBorder="1"/>
    <xf numFmtId="43" fontId="0" fillId="0" borderId="1" xfId="1" applyFont="1" applyBorder="1"/>
    <xf numFmtId="0" fontId="1" fillId="0" borderId="15" xfId="0" applyFont="1" applyBorder="1"/>
    <xf numFmtId="164" fontId="1" fillId="0" borderId="16" xfId="0" applyNumberFormat="1" applyFont="1" applyBorder="1"/>
    <xf numFmtId="164" fontId="1" fillId="0" borderId="18" xfId="0" applyNumberFormat="1" applyFont="1" applyBorder="1"/>
    <xf numFmtId="0" fontId="1" fillId="0" borderId="17" xfId="0" applyFont="1" applyBorder="1"/>
    <xf numFmtId="0" fontId="1" fillId="0" borderId="21" xfId="0" applyFont="1" applyBorder="1"/>
    <xf numFmtId="164" fontId="1" fillId="0" borderId="22" xfId="0" applyNumberFormat="1" applyFont="1" applyBorder="1"/>
    <xf numFmtId="0" fontId="1" fillId="5" borderId="0" xfId="0" applyFont="1" applyFill="1"/>
    <xf numFmtId="2" fontId="1" fillId="0" borderId="0" xfId="0" applyNumberFormat="1" applyFont="1"/>
    <xf numFmtId="0" fontId="12" fillId="0" borderId="19" xfId="0" applyFont="1" applyBorder="1"/>
    <xf numFmtId="43" fontId="12" fillId="0" borderId="23" xfId="0" applyNumberFormat="1" applyFont="1" applyBorder="1"/>
    <xf numFmtId="0" fontId="1" fillId="0" borderId="0" xfId="0" applyFont="1"/>
    <xf numFmtId="0" fontId="1" fillId="0" borderId="0" xfId="0" applyFont="1" applyAlignment="1">
      <alignment horizontal="center" vertical="top"/>
    </xf>
    <xf numFmtId="164" fontId="1" fillId="0" borderId="0" xfId="1" applyNumberFormat="1" applyFont="1" applyBorder="1" applyAlignment="1">
      <alignment horizontal="center" vertical="top"/>
    </xf>
    <xf numFmtId="164" fontId="1" fillId="0" borderId="0" xfId="1" applyNumberFormat="1" applyFont="1" applyBorder="1"/>
    <xf numFmtId="14" fontId="1" fillId="0" borderId="0" xfId="0" applyNumberFormat="1" applyFont="1" applyAlignment="1">
      <alignment horizontal="center" vertical="top"/>
    </xf>
    <xf numFmtId="14" fontId="1" fillId="0" borderId="7" xfId="0" applyNumberFormat="1" applyFont="1" applyBorder="1"/>
    <xf numFmtId="164" fontId="1" fillId="0" borderId="0" xfId="1" applyNumberFormat="1" applyFont="1"/>
    <xf numFmtId="0" fontId="1" fillId="0" borderId="0" xfId="0" applyFont="1" applyAlignment="1">
      <alignment horizontal="center"/>
    </xf>
    <xf numFmtId="0" fontId="0" fillId="0" borderId="3" xfId="0" applyBorder="1"/>
    <xf numFmtId="0" fontId="0" fillId="0" borderId="24" xfId="0" applyBorder="1"/>
    <xf numFmtId="165" fontId="8" fillId="0" borderId="0" xfId="1" applyNumberFormat="1" applyFont="1"/>
    <xf numFmtId="165" fontId="8" fillId="0" borderId="23" xfId="1" applyNumberFormat="1" applyFont="1" applyBorder="1"/>
    <xf numFmtId="164" fontId="8" fillId="0" borderId="23" xfId="1" applyNumberFormat="1" applyFont="1" applyBorder="1"/>
    <xf numFmtId="165" fontId="0" fillId="8" borderId="0" xfId="0" applyNumberFormat="1" applyFill="1"/>
    <xf numFmtId="14" fontId="1" fillId="0" borderId="0" xfId="0" applyNumberFormat="1" applyFont="1"/>
    <xf numFmtId="164" fontId="0" fillId="0" borderId="0" xfId="1" applyNumberFormat="1" applyFont="1" applyBorder="1"/>
    <xf numFmtId="0" fontId="1" fillId="0" borderId="0" xfId="0" applyFont="1" applyAlignment="1">
      <alignment horizontal="left" vertical="top"/>
    </xf>
    <xf numFmtId="0" fontId="1" fillId="0" borderId="1" xfId="0" applyFont="1" applyBorder="1" applyAlignment="1">
      <alignment horizontal="left"/>
    </xf>
    <xf numFmtId="164" fontId="1" fillId="0" borderId="1" xfId="0" applyNumberFormat="1" applyFont="1" applyBorder="1" applyAlignment="1">
      <alignment horizontal="left"/>
    </xf>
    <xf numFmtId="0" fontId="0" fillId="9" borderId="0" xfId="0" applyFill="1"/>
    <xf numFmtId="164" fontId="8" fillId="9" borderId="23" xfId="1" applyNumberFormat="1" applyFont="1" applyFill="1" applyBorder="1"/>
    <xf numFmtId="0" fontId="10" fillId="0" borderId="0" xfId="0" applyFont="1"/>
    <xf numFmtId="164" fontId="10" fillId="7" borderId="0" xfId="0" applyNumberFormat="1" applyFont="1" applyFill="1"/>
    <xf numFmtId="164" fontId="10" fillId="8" borderId="0" xfId="0" applyNumberFormat="1" applyFont="1" applyFill="1"/>
    <xf numFmtId="164" fontId="13" fillId="0" borderId="0" xfId="0" applyNumberFormat="1" applyFont="1"/>
    <xf numFmtId="0" fontId="1" fillId="0" borderId="25" xfId="1" applyNumberFormat="1" applyFont="1" applyBorder="1" applyAlignment="1">
      <alignment horizontal="center" vertical="top"/>
    </xf>
    <xf numFmtId="14" fontId="1" fillId="0" borderId="1" xfId="1" applyNumberFormat="1" applyFont="1" applyBorder="1"/>
    <xf numFmtId="0" fontId="1" fillId="0" borderId="1" xfId="1" applyNumberFormat="1" applyFont="1" applyBorder="1"/>
    <xf numFmtId="164" fontId="1" fillId="0" borderId="1" xfId="1" applyNumberFormat="1" applyFont="1" applyFill="1" applyBorder="1"/>
    <xf numFmtId="165" fontId="1" fillId="0" borderId="1" xfId="1" applyNumberFormat="1" applyFont="1" applyBorder="1"/>
    <xf numFmtId="0" fontId="0" fillId="0" borderId="0" xfId="0" applyAlignment="1">
      <alignment horizontal="center"/>
    </xf>
    <xf numFmtId="14" fontId="1" fillId="0" borderId="3" xfId="1" applyNumberFormat="1" applyFont="1" applyBorder="1"/>
    <xf numFmtId="0" fontId="1" fillId="0" borderId="3" xfId="1" applyNumberFormat="1" applyFont="1" applyBorder="1"/>
    <xf numFmtId="165" fontId="1" fillId="0" borderId="3" xfId="1" applyNumberFormat="1" applyFont="1" applyBorder="1"/>
    <xf numFmtId="0" fontId="1" fillId="3" borderId="2" xfId="0" applyFont="1" applyFill="1" applyBorder="1"/>
    <xf numFmtId="14" fontId="0" fillId="0" borderId="7" xfId="0" applyNumberFormat="1" applyBorder="1"/>
    <xf numFmtId="14" fontId="1" fillId="0" borderId="0" xfId="0" applyNumberFormat="1" applyFont="1" applyAlignment="1">
      <alignment horizontal="center"/>
    </xf>
    <xf numFmtId="0" fontId="1" fillId="0" borderId="26" xfId="0" applyFont="1" applyBorder="1"/>
    <xf numFmtId="0" fontId="0" fillId="0" borderId="0" xfId="1" applyNumberFormat="1" applyFont="1"/>
    <xf numFmtId="165" fontId="1" fillId="0" borderId="0" xfId="1" applyNumberFormat="1" applyFont="1"/>
    <xf numFmtId="165" fontId="0" fillId="0" borderId="0" xfId="1" applyNumberFormat="1" applyFont="1"/>
    <xf numFmtId="14" fontId="0" fillId="0" borderId="0" xfId="1" applyNumberFormat="1" applyFont="1"/>
    <xf numFmtId="0" fontId="6" fillId="0" borderId="0" xfId="1" applyNumberFormat="1" applyFont="1"/>
    <xf numFmtId="0" fontId="1" fillId="0" borderId="0" xfId="1" applyNumberFormat="1" applyFont="1"/>
    <xf numFmtId="16" fontId="0" fillId="0" borderId="0" xfId="0" applyNumberFormat="1"/>
    <xf numFmtId="16" fontId="0" fillId="0" borderId="0" xfId="1" applyNumberFormat="1" applyFont="1"/>
    <xf numFmtId="14" fontId="0" fillId="0" borderId="7" xfId="0" applyNumberFormat="1" applyFont="1" applyBorder="1"/>
    <xf numFmtId="14" fontId="0" fillId="0" borderId="8" xfId="0" applyNumberFormat="1" applyFont="1" applyBorder="1"/>
    <xf numFmtId="0" fontId="0" fillId="0" borderId="0" xfId="0" applyBorder="1"/>
    <xf numFmtId="0" fontId="0" fillId="0" borderId="0" xfId="0" applyBorder="1" applyAlignment="1">
      <alignment horizontal="center"/>
    </xf>
  </cellXfs>
  <cellStyles count="2">
    <cellStyle name="Comma" xfId="1" builtinId="3"/>
    <cellStyle name="Normal" xfId="0" builtinId="0"/>
  </cellStyles>
  <dxfs count="134">
    <dxf>
      <numFmt numFmtId="164" formatCode="_-* #,##0_-;\-* #,##0_-;_-* &quot;-&quot;??_-;_-@_-"/>
      <fill>
        <patternFill patternType="solid">
          <fgColor indexed="64"/>
          <bgColor rgb="FFFF0000"/>
        </patternFill>
      </fill>
    </dxf>
    <dxf>
      <numFmt numFmtId="164" formatCode="_-* #,##0_-;\-* #,##0_-;_-* &quot;-&quot;??_-;_-@_-"/>
    </dxf>
    <dxf>
      <numFmt numFmtId="164" formatCode="_-* #,##0_-;\-* #,##0_-;_-* &quot;-&quot;??_-;_-@_-"/>
    </dxf>
    <dxf>
      <numFmt numFmtId="19" formatCode="dd/mm/yyyy"/>
      <border diagonalUp="0" diagonalDown="0" outline="0">
        <left style="thin">
          <color theme="4" tint="0.39997558519241921"/>
        </left>
        <right/>
        <top style="thin">
          <color theme="4" tint="0.39997558519241921"/>
        </top>
        <bottom/>
      </border>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ont>
        <b val="0"/>
        <i val="0"/>
        <strike val="0"/>
        <condense val="0"/>
        <extend val="0"/>
        <outline val="0"/>
        <shadow val="0"/>
        <u val="none"/>
        <vertAlign val="baseline"/>
        <sz val="11"/>
        <color theme="1"/>
        <name val="Aptos Narrow"/>
        <family val="2"/>
        <scheme val="minor"/>
      </font>
      <numFmt numFmtId="35" formatCode="_-* #,##0.00_-;\-* #,##0.00_-;_-* &quot;-&quot;??_-;_-@_-"/>
    </dxf>
    <dxf>
      <font>
        <b/>
        <i val="0"/>
        <strike val="0"/>
        <condense val="0"/>
        <extend val="0"/>
        <outline val="0"/>
        <shadow val="0"/>
        <u val="none"/>
        <vertAlign val="baseline"/>
        <sz val="11"/>
        <color theme="1"/>
        <name val="Aptos Narrow"/>
        <family val="2"/>
        <scheme val="minor"/>
      </font>
    </dxf>
    <dxf>
      <font>
        <b val="0"/>
        <strike val="0"/>
        <outline val="0"/>
        <shadow val="0"/>
        <u val="none"/>
        <vertAlign val="baseline"/>
        <sz val="16"/>
        <color theme="1"/>
        <name val="Aptos Narrow"/>
        <family val="2"/>
        <scheme val="minor"/>
      </font>
      <numFmt numFmtId="164" formatCode="_-* #,##0_-;\-* #,##0_-;_-* &quot;-&quot;??_-;_-@_-"/>
    </dxf>
    <dxf>
      <numFmt numFmtId="0" formatCode="General"/>
    </dxf>
    <dxf>
      <numFmt numFmtId="19" formatCode="dd/mm/yyyy"/>
    </dxf>
    <dxf>
      <numFmt numFmtId="19" formatCode="dd/mm/yyyy"/>
    </dxf>
    <dxf>
      <numFmt numFmtId="19" formatCode="dd/mm/yyyy"/>
    </dxf>
    <dxf>
      <numFmt numFmtId="19" formatCode="dd/mm/yyyy"/>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1"/>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numFmt numFmtId="19" formatCode="dd/mm/yyyy"/>
    </dxf>
    <dxf>
      <numFmt numFmtId="164" formatCode="_-* #,##0_-;\-* #,##0_-;_-* &quot;-&quot;??_-;_-@_-"/>
      <fill>
        <patternFill patternType="solid">
          <fgColor indexed="64"/>
          <bgColor rgb="FFFFFF00"/>
        </patternFill>
      </fill>
    </dxf>
    <dxf>
      <numFmt numFmtId="164" formatCode="_-* #,##0_-;\-* #,##0_-;_-* &quot;-&quot;??_-;_-@_-"/>
      <fill>
        <patternFill patternType="solid">
          <fgColor indexed="64"/>
          <bgColor rgb="FFFFFF00"/>
        </patternFill>
      </fill>
    </dxf>
    <dxf>
      <numFmt numFmtId="19" formatCode="dd/mm/yyyy"/>
    </dxf>
    <dxf>
      <numFmt numFmtId="19" formatCode="dd/mm/yyyy"/>
    </dxf>
    <dxf>
      <numFmt numFmtId="164" formatCode="_-* #,##0_-;\-* #,##0_-;_-* &quot;-&quot;??_-;_-@_-"/>
    </dxf>
    <dxf>
      <numFmt numFmtId="164" formatCode="_-* #,##0_-;\-* #,##0_-;_-* &quot;-&quot;??_-;_-@_-"/>
    </dxf>
    <dxf>
      <numFmt numFmtId="0" formatCode="General"/>
    </dxf>
    <dxf>
      <numFmt numFmtId="0" formatCode="General"/>
    </dxf>
    <dxf>
      <numFmt numFmtId="0" formatCode="General"/>
    </dxf>
    <dxf>
      <numFmt numFmtId="19" formatCode="dd/mm/yyyy"/>
    </dxf>
    <dxf>
      <numFmt numFmtId="19" formatCode="dd/mm/yyyy"/>
    </dxf>
    <dxf>
      <numFmt numFmtId="19" formatCode="dd/mm/yyyy"/>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 #,##0_-;\-* #,##0_-;_-* &quot;-&quot;??_-;_-@_-"/>
    </dxf>
    <dxf>
      <numFmt numFmtId="164" formatCode="_-* #,##0_-;\-* #,##0_-;_-* &quot;-&quot;??_-;_-@_-"/>
    </dxf>
    <dxf>
      <numFmt numFmtId="19" formatCode="dd/mm/yyyy"/>
    </dxf>
    <dxf>
      <numFmt numFmtId="19" formatCode="dd/mm/yyyy"/>
    </dxf>
    <dxf>
      <border diagonalUp="0" diagonalDown="0" outline="0">
        <left/>
        <right/>
        <top style="thin">
          <color auto="1"/>
        </top>
        <bottom/>
      </border>
    </dxf>
    <dxf>
      <numFmt numFmtId="164" formatCode="_-* #,##0_-;\-* #,##0_-;_-* &quot;-&quot;??_-;_-@_-"/>
      <border diagonalUp="0" diagonalDown="0" outline="0">
        <left style="thin">
          <color auto="1"/>
        </left>
        <right/>
        <top style="thin">
          <color auto="1"/>
        </top>
        <bottom/>
      </border>
    </dxf>
    <dxf>
      <numFmt numFmtId="164" formatCode="_-* #,##0_-;\-* #,##0_-;_-* &quot;-&quot;??_-;_-@_-"/>
      <border diagonalUp="0" diagonalDown="0">
        <left style="thin">
          <color auto="1"/>
        </left>
        <right/>
        <top style="thin">
          <color auto="1"/>
        </top>
        <bottom style="thin">
          <color auto="1"/>
        </bottom>
        <vertical/>
        <horizontal/>
      </border>
    </dxf>
    <dxf>
      <border diagonalUp="0" diagonalDown="0" outline="0">
        <left/>
        <right style="thin">
          <color auto="1"/>
        </right>
        <top style="thin">
          <color auto="1"/>
        </top>
        <bottom/>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border diagonalUp="0" diagonalDown="0" outline="0">
        <left style="thin">
          <color indexed="64"/>
        </left>
        <right style="thin">
          <color indexed="64"/>
        </right>
        <top/>
        <bottom/>
      </border>
    </dxf>
    <dxf>
      <numFmt numFmtId="164" formatCode="_-* #,##0_-;\-* #,##0_-;_-* &quot;-&quot;??_-;_-@_-"/>
      <border diagonalUp="0" diagonalDown="0">
        <left style="thin">
          <color auto="1"/>
        </left>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alignment horizontal="center" vertical="bottom" textRotation="0" wrapText="0" indent="0" justifyLastLine="0" shrinkToFit="0" readingOrder="0"/>
    </dxf>
    <dxf>
      <numFmt numFmtId="164" formatCode="_-* #,##0_-;\-* #,##0_-;_-* &quot;-&quot;??_-;_-@_-"/>
    </dxf>
    <dxf>
      <numFmt numFmtId="164" formatCode="_-* #,##0_-;\-* #,##0_-;_-* &quot;-&quot;??_-;_-@_-"/>
    </dxf>
    <dxf>
      <font>
        <b val="0"/>
        <i val="0"/>
        <strike val="0"/>
        <condense val="0"/>
        <extend val="0"/>
        <outline val="0"/>
        <shadow val="0"/>
        <u val="none"/>
        <vertAlign val="baseline"/>
        <sz val="11"/>
        <color theme="1"/>
        <name val="Aptos Narrow"/>
        <family val="2"/>
        <scheme val="minor"/>
      </font>
      <numFmt numFmtId="19" formatCode="dd/mm/yyyy"/>
      <border diagonalUp="0" diagonalDown="0">
        <left style="thin">
          <color theme="4" tint="0.39997558519241921"/>
        </left>
        <right/>
        <top style="thin">
          <color theme="4" tint="0.39997558519241921"/>
        </top>
        <bottom style="thin">
          <color theme="4" tint="0.39997558519241921"/>
        </bottom>
        <vertical/>
        <horizontal/>
      </border>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sz val="14"/>
      </font>
    </dxf>
    <dxf>
      <font>
        <b/>
      </font>
    </dxf>
    <dxf>
      <numFmt numFmtId="164" formatCode="_-* #,##0_-;\-* #,##0_-;_-* &quot;-&quot;??_-;_-@_-"/>
    </dxf>
    <dxf>
      <numFmt numFmtId="0" formatCode="General"/>
    </dxf>
    <dxf>
      <numFmt numFmtId="165" formatCode="_-* #,##0.0_-;\-* #,##0.0_-;_-* &quot;-&quot;??_-;_-@_-"/>
    </dxf>
    <dxf>
      <numFmt numFmtId="165" formatCode="_-* #,##0.0_-;\-* #,##0.0_-;_-* &quot;-&quot;??_-;_-@_-"/>
    </dxf>
    <dxf>
      <numFmt numFmtId="165" formatCode="_-* #,##0.0_-;\-* #,##0.0_-;_-* &quot;-&quot;??_-;_-@_-"/>
      <fill>
        <patternFill patternType="solid">
          <fgColor indexed="64"/>
          <bgColor rgb="FF92D050"/>
        </patternFill>
      </fill>
    </dxf>
    <dxf>
      <numFmt numFmtId="165" formatCode="_-* #,##0.0_-;\-* #,##0.0_-;_-* &quot;-&quot;??_-;_-@_-"/>
    </dxf>
    <dxf>
      <numFmt numFmtId="165" formatCode="_-* #,##0.0_-;\-* #,##0.0_-;_-* &quot;-&quot;??_-;_-@_-"/>
    </dxf>
    <dxf>
      <font>
        <b/>
      </font>
      <numFmt numFmtId="165" formatCode="_-* #,##0.0_-;\-* #,##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0" formatCode="General"/>
    </dxf>
    <dxf>
      <font>
        <b/>
      </font>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numFmt numFmtId="0" formatCode="Genera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dd/mm/yyyy"/>
    </dxf>
    <dxf>
      <numFmt numFmtId="19" formatCode="dd/mm/yyyy"/>
    </dxf>
    <dxf>
      <numFmt numFmtId="164" formatCode="_-* #,##0_-;\-* #,##0_-;_-* &quot;-&quot;??_-;_-@_-"/>
      <border diagonalUp="0" diagonalDown="0">
        <left/>
        <right style="medium">
          <color indexed="64"/>
        </right>
        <vertical/>
      </border>
    </dxf>
    <dxf>
      <border diagonalUp="0" diagonalDown="0">
        <left style="medium">
          <color indexed="64"/>
        </left>
        <right/>
        <vertical/>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_-* #,##0_-;\-* #,##0_-;_-* &quot;-&quot;??_-;_-@_-"/>
    </dxf>
    <dxf>
      <numFmt numFmtId="0" formatCode="General"/>
    </dxf>
    <dxf>
      <numFmt numFmtId="164" formatCode="_-* #,##0_-;\-* #,##0_-;_-* &quot;-&quot;??_-;_-@_-"/>
    </dxf>
    <dxf>
      <numFmt numFmtId="164" formatCode="_-* #,##0_-;\-* #,##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dxf>
    <dxf>
      <font>
        <b/>
        <i val="0"/>
        <strike val="0"/>
        <condense val="0"/>
        <extend val="0"/>
        <outline val="0"/>
        <shadow val="0"/>
        <u val="none"/>
        <vertAlign val="baseline"/>
        <sz val="14"/>
        <color theme="1"/>
        <name val="Aptos Narrow"/>
        <family val="2"/>
        <scheme val="minor"/>
      </font>
    </dxf>
    <dxf>
      <font>
        <b/>
        <i val="0"/>
        <strike val="0"/>
        <condense val="0"/>
        <extend val="0"/>
        <outline val="0"/>
        <shadow val="0"/>
        <u val="none"/>
        <vertAlign val="baseline"/>
        <sz val="12"/>
        <color theme="1"/>
        <name val="Aptos Narrow"/>
        <family val="2"/>
        <scheme val="minor"/>
      </font>
    </dxf>
    <dxf>
      <numFmt numFmtId="164" formatCode="_-* #,##0_-;\-* #,##0_-;_-* &quot;-&quot;??_-;_-@_-"/>
    </dxf>
    <dxf>
      <numFmt numFmtId="1" formatCode="0"/>
    </dxf>
    <dxf>
      <numFmt numFmtId="0" formatCode="General"/>
    </dxf>
    <dxf>
      <numFmt numFmtId="2" formatCode="0.00"/>
    </dxf>
    <dxf>
      <numFmt numFmtId="1" formatCode="0"/>
    </dxf>
    <dxf>
      <numFmt numFmtId="164" formatCode="_-* #,##0_-;\-* #,##0_-;_-* &quot;-&quot;??_-;_-@_-"/>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07/relationships/slicerCache" Target="slicerCaches/slicerCache2.xml"/><Relationship Id="rId39" Type="http://schemas.microsoft.com/office/2017/10/relationships/person" Target="persons/person.xml"/><Relationship Id="rId21" Type="http://schemas.openxmlformats.org/officeDocument/2006/relationships/pivotCacheDefinition" Target="pivotCache/pivotCacheDefinition3.xml"/><Relationship Id="rId34"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5.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microsoft.com/office/2007/relationships/slicerCache" Target="slicerCaches/slicerCache8.xml"/><Relationship Id="rId37" Type="http://schemas.openxmlformats.org/officeDocument/2006/relationships/sheetMetadata" Target="metadata.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microsoft.com/office/2007/relationships/slicerCache" Target="slicerCaches/slicerCache4.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theme" Target="theme/theme1.xml"/><Relationship Id="rId38" Type="http://schemas.openxmlformats.org/officeDocument/2006/relationships/powerPivotData" Target="model/item.data"/></Relationships>
</file>

<file path=xl/drawings/drawing1.xml><?xml version="1.0" encoding="utf-8"?>
<xdr:wsDr xmlns:xdr="http://schemas.openxmlformats.org/drawingml/2006/spreadsheetDrawing" xmlns:a="http://schemas.openxmlformats.org/drawingml/2006/main">
  <xdr:twoCellAnchor editAs="absolute">
    <xdr:from>
      <xdr:col>11</xdr:col>
      <xdr:colOff>693606</xdr:colOff>
      <xdr:row>109</xdr:row>
      <xdr:rowOff>87338</xdr:rowOff>
    </xdr:from>
    <xdr:to>
      <xdr:col>15</xdr:col>
      <xdr:colOff>817243</xdr:colOff>
      <xdr:row>116</xdr:row>
      <xdr:rowOff>158331</xdr:rowOff>
    </xdr:to>
    <mc:AlternateContent xmlns:mc="http://schemas.openxmlformats.org/markup-compatibility/2006" xmlns:sle15="http://schemas.microsoft.com/office/drawing/2012/slicer">
      <mc:Choice Requires="sle15">
        <xdr:graphicFrame macro="">
          <xdr:nvGraphicFramePr>
            <xdr:cNvPr id="2" name="Party Name">
              <a:extLst>
                <a:ext uri="{FF2B5EF4-FFF2-40B4-BE49-F238E27FC236}">
                  <a16:creationId xmlns:a16="http://schemas.microsoft.com/office/drawing/2014/main" id="{8259DA32-45F5-EBDD-5B95-34700BFA09B9}"/>
                </a:ext>
              </a:extLst>
            </xdr:cNvPr>
            <xdr:cNvGraphicFramePr/>
          </xdr:nvGraphicFramePr>
          <xdr:xfrm>
            <a:off x="0" y="0"/>
            <a:ext cx="0" cy="0"/>
          </xdr:xfrm>
          <a:graphic>
            <a:graphicData uri="http://schemas.microsoft.com/office/drawing/2010/slicer">
              <sle:slicer xmlns:sle="http://schemas.microsoft.com/office/drawing/2010/slicer" name="Party Name"/>
            </a:graphicData>
          </a:graphic>
        </xdr:graphicFrame>
      </mc:Choice>
      <mc:Fallback xmlns="">
        <xdr:sp macro="" textlink="">
          <xdr:nvSpPr>
            <xdr:cNvPr id="0" name=""/>
            <xdr:cNvSpPr>
              <a:spLocks noTextEdit="1"/>
            </xdr:cNvSpPr>
          </xdr:nvSpPr>
          <xdr:spPr>
            <a:xfrm>
              <a:off x="13068703" y="20345387"/>
              <a:ext cx="4416856" cy="1371968"/>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503230</xdr:colOff>
      <xdr:row>249</xdr:row>
      <xdr:rowOff>80205</xdr:rowOff>
    </xdr:from>
    <xdr:to>
      <xdr:col>2</xdr:col>
      <xdr:colOff>138447</xdr:colOff>
      <xdr:row>257</xdr:row>
      <xdr:rowOff>138604</xdr:rowOff>
    </xdr:to>
    <mc:AlternateContent xmlns:mc="http://schemas.openxmlformats.org/markup-compatibility/2006" xmlns:sle15="http://schemas.microsoft.com/office/drawing/2012/slicer">
      <mc:Choice Requires="sle15">
        <xdr:graphicFrame macro="">
          <xdr:nvGraphicFramePr>
            <xdr:cNvPr id="3" name="Date">
              <a:extLst>
                <a:ext uri="{FF2B5EF4-FFF2-40B4-BE49-F238E27FC236}">
                  <a16:creationId xmlns:a16="http://schemas.microsoft.com/office/drawing/2014/main" id="{21711736-4BA5-0C40-7222-5B278D3B7DEA}"/>
                </a:ext>
                <a:ext uri="{147F2762-F138-4A5C-976F-8EAC2B608ADB}">
                  <a16:predDERef xmlns:a16="http://schemas.microsoft.com/office/drawing/2014/main" pred="{8259DA32-45F5-EBDD-5B95-34700BFA09B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03230" y="45950930"/>
              <a:ext cx="1879349" cy="1532158"/>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461699</xdr:colOff>
      <xdr:row>27</xdr:row>
      <xdr:rowOff>48614</xdr:rowOff>
    </xdr:from>
    <xdr:to>
      <xdr:col>11</xdr:col>
      <xdr:colOff>66829</xdr:colOff>
      <xdr:row>40</xdr:row>
      <xdr:rowOff>85188</xdr:rowOff>
    </xdr:to>
    <mc:AlternateContent xmlns:mc="http://schemas.openxmlformats.org/markup-compatibility/2006" xmlns:sle15="http://schemas.microsoft.com/office/drawing/2012/slicer">
      <mc:Choice Requires="sle15">
        <xdr:graphicFrame macro="">
          <xdr:nvGraphicFramePr>
            <xdr:cNvPr id="2" name="Party Name 1">
              <a:extLst>
                <a:ext uri="{FF2B5EF4-FFF2-40B4-BE49-F238E27FC236}">
                  <a16:creationId xmlns:a16="http://schemas.microsoft.com/office/drawing/2014/main" id="{2078434D-1B2A-7CD5-B26B-3D2054BBA3D8}"/>
                </a:ext>
              </a:extLst>
            </xdr:cNvPr>
            <xdr:cNvGraphicFramePr/>
          </xdr:nvGraphicFramePr>
          <xdr:xfrm>
            <a:off x="0" y="0"/>
            <a:ext cx="0" cy="0"/>
          </xdr:xfrm>
          <a:graphic>
            <a:graphicData uri="http://schemas.microsoft.com/office/drawing/2010/slicer">
              <sle:slicer xmlns:sle="http://schemas.microsoft.com/office/drawing/2010/slicer" name="Party Name 1"/>
            </a:graphicData>
          </a:graphic>
        </xdr:graphicFrame>
      </mc:Choice>
      <mc:Fallback xmlns="">
        <xdr:sp macro="" textlink="">
          <xdr:nvSpPr>
            <xdr:cNvPr id="0" name=""/>
            <xdr:cNvSpPr>
              <a:spLocks noTextEdit="1"/>
            </xdr:cNvSpPr>
          </xdr:nvSpPr>
          <xdr:spPr>
            <a:xfrm>
              <a:off x="10010347" y="5033071"/>
              <a:ext cx="1859599" cy="242767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585495</xdr:colOff>
      <xdr:row>7</xdr:row>
      <xdr:rowOff>43181</xdr:rowOff>
    </xdr:from>
    <xdr:to>
      <xdr:col>13</xdr:col>
      <xdr:colOff>470937</xdr:colOff>
      <xdr:row>11</xdr:row>
      <xdr:rowOff>141514</xdr:rowOff>
    </xdr:to>
    <mc:AlternateContent xmlns:mc="http://schemas.openxmlformats.org/markup-compatibility/2006" xmlns:sle15="http://schemas.microsoft.com/office/drawing/2012/slicer">
      <mc:Choice Requires="sle15">
        <xdr:graphicFrame macro="">
          <xdr:nvGraphicFramePr>
            <xdr:cNvPr id="3" name="Date 1">
              <a:extLst>
                <a:ext uri="{FF2B5EF4-FFF2-40B4-BE49-F238E27FC236}">
                  <a16:creationId xmlns:a16="http://schemas.microsoft.com/office/drawing/2014/main" id="{2FD3A6BB-AB30-2E41-D0AA-0842C10BDF25}"/>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0727522" y="1347048"/>
              <a:ext cx="2251238" cy="843399"/>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283784</xdr:colOff>
      <xdr:row>12</xdr:row>
      <xdr:rowOff>138748</xdr:rowOff>
    </xdr:from>
    <xdr:to>
      <xdr:col>14</xdr:col>
      <xdr:colOff>606680</xdr:colOff>
      <xdr:row>21</xdr:row>
      <xdr:rowOff>81973</xdr:rowOff>
    </xdr:to>
    <mc:AlternateContent xmlns:mc="http://schemas.openxmlformats.org/markup-compatibility/2006" xmlns:sle15="http://schemas.microsoft.com/office/drawing/2012/slicer">
      <mc:Choice Requires="sle15">
        <xdr:graphicFrame macro="">
          <xdr:nvGraphicFramePr>
            <xdr:cNvPr id="2" name="Party">
              <a:extLst>
                <a:ext uri="{FF2B5EF4-FFF2-40B4-BE49-F238E27FC236}">
                  <a16:creationId xmlns:a16="http://schemas.microsoft.com/office/drawing/2014/main" id="{46A80067-1595-EB06-C9E8-CC1ACACB97FE}"/>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10419892" y="2355475"/>
              <a:ext cx="3441644" cy="1605771"/>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8</xdr:col>
      <xdr:colOff>546660</xdr:colOff>
      <xdr:row>17</xdr:row>
      <xdr:rowOff>152401</xdr:rowOff>
    </xdr:from>
    <xdr:to>
      <xdr:col>11</xdr:col>
      <xdr:colOff>41514</xdr:colOff>
      <xdr:row>24</xdr:row>
      <xdr:rowOff>7620</xdr:rowOff>
    </xdr:to>
    <mc:AlternateContent xmlns:mc="http://schemas.openxmlformats.org/markup-compatibility/2006" xmlns:sle15="http://schemas.microsoft.com/office/drawing/2012/slicer">
      <mc:Choice Requires="sle15">
        <xdr:graphicFrame macro="">
          <xdr:nvGraphicFramePr>
            <xdr:cNvPr id="2" name="Party Name 2">
              <a:extLst>
                <a:ext uri="{FF2B5EF4-FFF2-40B4-BE49-F238E27FC236}">
                  <a16:creationId xmlns:a16="http://schemas.microsoft.com/office/drawing/2014/main" id="{982FB2B7-BB79-2919-5556-DB024E50BA32}"/>
                </a:ext>
              </a:extLst>
            </xdr:cNvPr>
            <xdr:cNvGraphicFramePr/>
          </xdr:nvGraphicFramePr>
          <xdr:xfrm>
            <a:off x="0" y="0"/>
            <a:ext cx="0" cy="0"/>
          </xdr:xfrm>
          <a:graphic>
            <a:graphicData uri="http://schemas.microsoft.com/office/drawing/2010/slicer">
              <sle:slicer xmlns:sle="http://schemas.microsoft.com/office/drawing/2010/slicer" name="Party Name 2"/>
            </a:graphicData>
          </a:graphic>
        </xdr:graphicFrame>
      </mc:Choice>
      <mc:Fallback xmlns="">
        <xdr:sp macro="" textlink="">
          <xdr:nvSpPr>
            <xdr:cNvPr id="0" name=""/>
            <xdr:cNvSpPr>
              <a:spLocks noTextEdit="1"/>
            </xdr:cNvSpPr>
          </xdr:nvSpPr>
          <xdr:spPr>
            <a:xfrm>
              <a:off x="7008420" y="1981201"/>
              <a:ext cx="1959924" cy="1135379"/>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11</xdr:col>
      <xdr:colOff>463399</xdr:colOff>
      <xdr:row>10</xdr:row>
      <xdr:rowOff>30996</xdr:rowOff>
    </xdr:from>
    <xdr:to>
      <xdr:col>14</xdr:col>
      <xdr:colOff>471148</xdr:colOff>
      <xdr:row>24</xdr:row>
      <xdr:rowOff>80882</xdr:rowOff>
    </xdr:to>
    <mc:AlternateContent xmlns:mc="http://schemas.openxmlformats.org/markup-compatibility/2006" xmlns:sle15="http://schemas.microsoft.com/office/drawing/2012/slicer">
      <mc:Choice Requires="sle15">
        <xdr:graphicFrame macro="">
          <xdr:nvGraphicFramePr>
            <xdr:cNvPr id="2" name="Person">
              <a:extLst>
                <a:ext uri="{FF2B5EF4-FFF2-40B4-BE49-F238E27FC236}">
                  <a16:creationId xmlns:a16="http://schemas.microsoft.com/office/drawing/2014/main" id="{61B25ECF-139D-2B91-5D20-EAF105CE7515}"/>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8399823" y="1839132"/>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150706</xdr:colOff>
      <xdr:row>3</xdr:row>
      <xdr:rowOff>67734</xdr:rowOff>
    </xdr:from>
    <xdr:to>
      <xdr:col>12</xdr:col>
      <xdr:colOff>438576</xdr:colOff>
      <xdr:row>17</xdr:row>
      <xdr:rowOff>41276</xdr:rowOff>
    </xdr:to>
    <mc:AlternateContent xmlns:mc="http://schemas.openxmlformats.org/markup-compatibility/2006" xmlns:a14="http://schemas.microsoft.com/office/drawing/2010/main">
      <mc:Choice Requires="a14">
        <xdr:graphicFrame macro="">
          <xdr:nvGraphicFramePr>
            <xdr:cNvPr id="2" name="Shipment Number">
              <a:extLst>
                <a:ext uri="{FF2B5EF4-FFF2-40B4-BE49-F238E27FC236}">
                  <a16:creationId xmlns:a16="http://schemas.microsoft.com/office/drawing/2014/main" id="{46BC7137-382B-BA5E-E548-421ADD6BCB8A}"/>
                </a:ext>
              </a:extLst>
            </xdr:cNvPr>
            <xdr:cNvGraphicFramePr/>
          </xdr:nvGraphicFramePr>
          <xdr:xfrm>
            <a:off x="0" y="0"/>
            <a:ext cx="0" cy="0"/>
          </xdr:xfrm>
          <a:graphic>
            <a:graphicData uri="http://schemas.microsoft.com/office/drawing/2010/slicer">
              <sle:slicer xmlns:sle="http://schemas.microsoft.com/office/drawing/2010/slicer" name="Shipment Number"/>
            </a:graphicData>
          </a:graphic>
        </xdr:graphicFrame>
      </mc:Choice>
      <mc:Fallback xmlns="">
        <xdr:sp macro="" textlink="">
          <xdr:nvSpPr>
            <xdr:cNvPr id="0" name=""/>
            <xdr:cNvSpPr>
              <a:spLocks noTextEdit="1"/>
            </xdr:cNvSpPr>
          </xdr:nvSpPr>
          <xdr:spPr>
            <a:xfrm>
              <a:off x="10920306" y="626534"/>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ern-my.sharepoint.com/personal/25020299_lums_edu_pk/Documents/Desktop/Factory/Factory_Khata_November.xlsx" TargetMode="External"/><Relationship Id="rId1" Type="http://schemas.openxmlformats.org/officeDocument/2006/relationships/externalLinkPath" Target="Factory_Khata_Novemb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ling"/>
      <sheetName val="Bill Print"/>
      <sheetName val="Expenses"/>
      <sheetName val="Profit"/>
      <sheetName val="Transport"/>
      <sheetName val="ledger"/>
      <sheetName val="Wood"/>
      <sheetName val="Cashbook"/>
      <sheetName val="Dyes"/>
      <sheetName val="Finish"/>
      <sheetName val="Electricity"/>
      <sheetName val="Miscellaneous"/>
      <sheetName val="Salary Acc"/>
      <sheetName val="pivot "/>
      <sheetName val="Running Acc"/>
      <sheetName val="Balance"/>
      <sheetName val="Sheet1"/>
      <sheetName val="Cashflow"/>
    </sheetNames>
    <sheetDataSet>
      <sheetData sheetId="0">
        <row r="5">
          <cell r="Q5" t="str">
            <v>BSC</v>
          </cell>
          <cell r="R5">
            <v>2534939</v>
          </cell>
          <cell r="S5">
            <v>2317976.408193124</v>
          </cell>
          <cell r="T5">
            <v>2035507.4981711779</v>
          </cell>
          <cell r="U5">
            <v>282468.91002194589</v>
          </cell>
          <cell r="V5">
            <v>20355074.981711783</v>
          </cell>
          <cell r="W5">
            <v>3583739.941477689</v>
          </cell>
          <cell r="X5">
            <v>0</v>
          </cell>
          <cell r="Y5">
            <v>0</v>
          </cell>
          <cell r="Z5">
            <v>0</v>
          </cell>
          <cell r="AA5">
            <v>0</v>
          </cell>
          <cell r="AB5">
            <v>0</v>
          </cell>
          <cell r="AD5">
            <v>19750734</v>
          </cell>
        </row>
        <row r="6">
          <cell r="Q6" t="str">
            <v>Ejaz Sahab</v>
          </cell>
          <cell r="R6">
            <v>393394</v>
          </cell>
          <cell r="S6">
            <v>359723.84784198983</v>
          </cell>
          <cell r="T6">
            <v>148145.57425018289</v>
          </cell>
          <cell r="U6">
            <v>211578.27359180688</v>
          </cell>
          <cell r="V6">
            <v>1481455.7425018288</v>
          </cell>
          <cell r="W6">
            <v>2691373.4455010975</v>
          </cell>
          <cell r="X6">
            <v>0</v>
          </cell>
          <cell r="Y6">
            <v>0</v>
          </cell>
          <cell r="Z6">
            <v>0</v>
          </cell>
          <cell r="AA6">
            <v>0</v>
          </cell>
          <cell r="AB6">
            <v>0</v>
          </cell>
          <cell r="AD6">
            <v>3963904</v>
          </cell>
        </row>
        <row r="7">
          <cell r="Q7" t="str">
            <v>Arshad</v>
          </cell>
          <cell r="R7">
            <v>657148</v>
          </cell>
          <cell r="S7">
            <v>600903.43818580837</v>
          </cell>
          <cell r="T7">
            <v>522790.78273591812</v>
          </cell>
          <cell r="U7">
            <v>78112.65544989027</v>
          </cell>
          <cell r="V7">
            <v>5227907.8273591809</v>
          </cell>
          <cell r="W7">
            <v>1000670.2633504025</v>
          </cell>
          <cell r="X7">
            <v>0</v>
          </cell>
          <cell r="Y7">
            <v>0</v>
          </cell>
          <cell r="Z7">
            <v>0</v>
          </cell>
          <cell r="AA7">
            <v>0</v>
          </cell>
          <cell r="AB7">
            <v>0</v>
          </cell>
          <cell r="AD7">
            <v>6002935</v>
          </cell>
        </row>
        <row r="8">
          <cell r="Q8" t="str">
            <v>Shehzad Kamoki</v>
          </cell>
          <cell r="R8">
            <v>134607</v>
          </cell>
          <cell r="S8">
            <v>123086.13752743235</v>
          </cell>
          <cell r="T8">
            <v>123086.13752743235</v>
          </cell>
          <cell r="U8">
            <v>0</v>
          </cell>
          <cell r="V8">
            <v>1269270.3440380397</v>
          </cell>
          <cell r="W8">
            <v>0</v>
          </cell>
          <cell r="X8">
            <v>0</v>
          </cell>
          <cell r="Y8">
            <v>0</v>
          </cell>
          <cell r="Z8">
            <v>0</v>
          </cell>
          <cell r="AA8">
            <v>0</v>
          </cell>
          <cell r="AB8">
            <v>0</v>
          </cell>
          <cell r="AD8">
            <v>1268740</v>
          </cell>
        </row>
        <row r="9">
          <cell r="Q9" t="str">
            <v>Sufi Nawaz Sahab</v>
          </cell>
          <cell r="R9">
            <v>1186725</v>
          </cell>
          <cell r="S9">
            <v>1085154.5354791514</v>
          </cell>
          <cell r="T9">
            <v>599330.65106071695</v>
          </cell>
          <cell r="U9">
            <v>485823.88441843458</v>
          </cell>
          <cell r="V9">
            <v>5408917.8595464528</v>
          </cell>
          <cell r="W9">
            <v>5829886.6130212145</v>
          </cell>
          <cell r="X9">
            <v>0</v>
          </cell>
          <cell r="Y9">
            <v>0</v>
          </cell>
          <cell r="Z9">
            <v>0</v>
          </cell>
          <cell r="AA9">
            <v>0</v>
          </cell>
          <cell r="AB9">
            <v>0</v>
          </cell>
          <cell r="AD9">
            <v>10629100</v>
          </cell>
        </row>
        <row r="10">
          <cell r="Q10" t="str">
            <v>Sajad Khan</v>
          </cell>
          <cell r="R10">
            <v>865551</v>
          </cell>
          <cell r="S10">
            <v>791469.45866861753</v>
          </cell>
          <cell r="T10">
            <v>785980.24871982448</v>
          </cell>
          <cell r="U10">
            <v>0</v>
          </cell>
          <cell r="V10">
            <v>7859802.4871982448</v>
          </cell>
          <cell r="W10">
            <v>0</v>
          </cell>
          <cell r="X10">
            <v>71359.729334308722</v>
          </cell>
          <cell r="Y10">
            <v>0</v>
          </cell>
          <cell r="Z10">
            <v>0</v>
          </cell>
          <cell r="AA10">
            <v>0</v>
          </cell>
          <cell r="AB10">
            <v>0</v>
          </cell>
          <cell r="AD10">
            <v>7397871</v>
          </cell>
        </row>
        <row r="11">
          <cell r="Q11" t="str">
            <v>Raaz Fabrics</v>
          </cell>
          <cell r="R11">
            <v>152434</v>
          </cell>
          <cell r="S11">
            <v>139387.34455010976</v>
          </cell>
          <cell r="T11">
            <v>139387.34455010976</v>
          </cell>
          <cell r="U11">
            <v>0</v>
          </cell>
          <cell r="V11">
            <v>1393873.4455010975</v>
          </cell>
          <cell r="W11">
            <v>0</v>
          </cell>
          <cell r="X11">
            <v>0</v>
          </cell>
          <cell r="Y11">
            <v>0</v>
          </cell>
          <cell r="Z11">
            <v>0</v>
          </cell>
          <cell r="AA11">
            <v>0</v>
          </cell>
          <cell r="AB11">
            <v>0</v>
          </cell>
          <cell r="AD11">
            <v>1100000</v>
          </cell>
        </row>
        <row r="12">
          <cell r="Q12" t="str">
            <v>Azam</v>
          </cell>
          <cell r="R12">
            <v>361607</v>
          </cell>
          <cell r="S12">
            <v>330657.46159473306</v>
          </cell>
          <cell r="T12">
            <v>305469.09290416975</v>
          </cell>
          <cell r="U12">
            <v>25188.368690563279</v>
          </cell>
          <cell r="V12">
            <v>3054690.9290416976</v>
          </cell>
          <cell r="W12">
            <v>327448.79297732259</v>
          </cell>
          <cell r="X12">
            <v>0</v>
          </cell>
          <cell r="Y12">
            <v>0</v>
          </cell>
          <cell r="Z12">
            <v>0</v>
          </cell>
          <cell r="AA12">
            <v>0</v>
          </cell>
          <cell r="AB12">
            <v>0</v>
          </cell>
          <cell r="AD12">
            <v>3322620</v>
          </cell>
        </row>
        <row r="13">
          <cell r="Q13" t="str">
            <v>Ubaidullah</v>
          </cell>
          <cell r="R13">
            <v>66850</v>
          </cell>
          <cell r="S13">
            <v>61128.383321141191</v>
          </cell>
          <cell r="T13">
            <v>46132.955376737387</v>
          </cell>
          <cell r="U13">
            <v>14995.427944403806</v>
          </cell>
          <cell r="V13">
            <v>461329.5537673739</v>
          </cell>
          <cell r="W13">
            <v>179945.13533284568</v>
          </cell>
          <cell r="X13">
            <v>0</v>
          </cell>
          <cell r="Y13">
            <v>0</v>
          </cell>
          <cell r="Z13">
            <v>0</v>
          </cell>
          <cell r="AA13">
            <v>0</v>
          </cell>
          <cell r="AB13">
            <v>0</v>
          </cell>
          <cell r="AD13">
            <v>640190</v>
          </cell>
        </row>
        <row r="14">
          <cell r="Q14" t="str">
            <v>Ashraf Zia</v>
          </cell>
          <cell r="R14">
            <v>23305</v>
          </cell>
          <cell r="S14">
            <v>21310.35113386979</v>
          </cell>
          <cell r="T14">
            <v>21310.35113386979</v>
          </cell>
          <cell r="U14">
            <v>0</v>
          </cell>
          <cell r="V14">
            <v>255724.21360643749</v>
          </cell>
          <cell r="W14">
            <v>0</v>
          </cell>
          <cell r="X14">
            <v>0</v>
          </cell>
          <cell r="Y14">
            <v>0</v>
          </cell>
          <cell r="Z14">
            <v>0</v>
          </cell>
          <cell r="AA14">
            <v>0</v>
          </cell>
          <cell r="AB14">
            <v>0</v>
          </cell>
          <cell r="AD14">
            <v>130000</v>
          </cell>
        </row>
        <row r="15">
          <cell r="Q15" t="str">
            <v>Hafiz Qureshi</v>
          </cell>
          <cell r="R15">
            <v>202815</v>
          </cell>
          <cell r="S15">
            <v>185456.29114850037</v>
          </cell>
          <cell r="T15">
            <v>185456.29114850037</v>
          </cell>
          <cell r="U15">
            <v>0</v>
          </cell>
          <cell r="V15">
            <v>1854562.9114850038</v>
          </cell>
          <cell r="W15">
            <v>0</v>
          </cell>
          <cell r="X15">
            <v>0</v>
          </cell>
          <cell r="Y15">
            <v>0</v>
          </cell>
          <cell r="Z15">
            <v>0</v>
          </cell>
          <cell r="AA15">
            <v>0</v>
          </cell>
          <cell r="AB15">
            <v>0</v>
          </cell>
          <cell r="AD15">
            <v>1805980</v>
          </cell>
        </row>
        <row r="16">
          <cell r="Q16" t="str">
            <v>Badshah Fabrics</v>
          </cell>
          <cell r="R16">
            <v>517408</v>
          </cell>
          <cell r="S16">
            <v>473123.62838332116</v>
          </cell>
          <cell r="T16">
            <v>355909.83906364307</v>
          </cell>
          <cell r="U16">
            <v>117213.78931967814</v>
          </cell>
          <cell r="V16">
            <v>3559098.3906364306</v>
          </cell>
          <cell r="W16">
            <v>1460624.5427944404</v>
          </cell>
          <cell r="X16">
            <v>0</v>
          </cell>
          <cell r="Y16">
            <v>0</v>
          </cell>
          <cell r="Z16">
            <v>0</v>
          </cell>
          <cell r="AA16">
            <v>0</v>
          </cell>
          <cell r="AB16">
            <v>0</v>
          </cell>
          <cell r="AD16">
            <v>4925761</v>
          </cell>
        </row>
        <row r="17">
          <cell r="Q17" t="str">
            <v>Reject</v>
          </cell>
          <cell r="R17">
            <v>0</v>
          </cell>
          <cell r="S17">
            <v>0</v>
          </cell>
          <cell r="T17">
            <v>0</v>
          </cell>
          <cell r="U17">
            <v>0</v>
          </cell>
          <cell r="V17">
            <v>0</v>
          </cell>
          <cell r="W17">
            <v>0</v>
          </cell>
          <cell r="X17">
            <v>0</v>
          </cell>
          <cell r="Y17">
            <v>0</v>
          </cell>
          <cell r="Z17">
            <v>0</v>
          </cell>
          <cell r="AA17">
            <v>0</v>
          </cell>
          <cell r="AB17">
            <v>0</v>
          </cell>
          <cell r="AD17">
            <v>0</v>
          </cell>
        </row>
        <row r="18">
          <cell r="Q18" t="str">
            <v>Amjad 7up</v>
          </cell>
          <cell r="R18">
            <v>52914</v>
          </cell>
          <cell r="S18">
            <v>48385.149963423559</v>
          </cell>
          <cell r="T18">
            <v>48385.149963423559</v>
          </cell>
          <cell r="U18">
            <v>0</v>
          </cell>
          <cell r="V18">
            <v>483851.49963423557</v>
          </cell>
          <cell r="W18">
            <v>0</v>
          </cell>
          <cell r="X18">
            <v>0</v>
          </cell>
          <cell r="Y18">
            <v>0</v>
          </cell>
          <cell r="Z18">
            <v>0</v>
          </cell>
          <cell r="AA18">
            <v>0</v>
          </cell>
          <cell r="AB18">
            <v>0</v>
          </cell>
          <cell r="AD18">
            <v>480000</v>
          </cell>
        </row>
        <row r="19">
          <cell r="Q19" t="str">
            <v>Hazrat Khan</v>
          </cell>
          <cell r="R19">
            <v>9750</v>
          </cell>
          <cell r="S19">
            <v>8915.5084125822978</v>
          </cell>
          <cell r="T19">
            <v>8915.5084125822978</v>
          </cell>
          <cell r="U19">
            <v>0</v>
          </cell>
          <cell r="V19">
            <v>89155.084125822978</v>
          </cell>
          <cell r="W19">
            <v>0</v>
          </cell>
          <cell r="X19">
            <v>0</v>
          </cell>
          <cell r="Y19">
            <v>0</v>
          </cell>
          <cell r="Z19">
            <v>0</v>
          </cell>
          <cell r="AA19">
            <v>0</v>
          </cell>
          <cell r="AB19">
            <v>0</v>
          </cell>
          <cell r="AD19">
            <v>95000</v>
          </cell>
        </row>
        <row r="20">
          <cell r="Q20" t="str">
            <v>Haseeb Shamsi</v>
          </cell>
          <cell r="R20">
            <v>61975</v>
          </cell>
          <cell r="S20">
            <v>56670.629114850046</v>
          </cell>
          <cell r="T20">
            <v>47437.820043891741</v>
          </cell>
          <cell r="U20">
            <v>9232.809070958303</v>
          </cell>
          <cell r="V20">
            <v>474378.20043891744</v>
          </cell>
          <cell r="W20">
            <v>120026.51792245793</v>
          </cell>
          <cell r="X20">
            <v>0</v>
          </cell>
          <cell r="Y20">
            <v>0</v>
          </cell>
          <cell r="Z20">
            <v>0</v>
          </cell>
          <cell r="AA20">
            <v>0</v>
          </cell>
          <cell r="AB20">
            <v>0</v>
          </cell>
          <cell r="AD20">
            <v>594405</v>
          </cell>
        </row>
        <row r="21">
          <cell r="Q21" t="str">
            <v>Faizan</v>
          </cell>
          <cell r="R21">
            <v>438975</v>
          </cell>
          <cell r="S21">
            <v>401403.62106803223</v>
          </cell>
          <cell r="T21">
            <v>0</v>
          </cell>
          <cell r="U21">
            <v>398433.61375274323</v>
          </cell>
          <cell r="V21">
            <v>0</v>
          </cell>
          <cell r="W21">
            <v>5179636.9787856629</v>
          </cell>
          <cell r="X21">
            <v>44550.109729334312</v>
          </cell>
          <cell r="Y21">
            <v>0</v>
          </cell>
          <cell r="Z21">
            <v>0</v>
          </cell>
          <cell r="AA21">
            <v>0</v>
          </cell>
          <cell r="AB21">
            <v>0</v>
          </cell>
          <cell r="AD21">
            <v>4915571</v>
          </cell>
        </row>
        <row r="22">
          <cell r="Q22" t="str">
            <v>Shafique Ansari</v>
          </cell>
          <cell r="R22">
            <v>82290</v>
          </cell>
          <cell r="S22">
            <v>75246.891002194592</v>
          </cell>
          <cell r="T22">
            <v>64300.475493782011</v>
          </cell>
          <cell r="U22">
            <v>7565.8376005852242</v>
          </cell>
          <cell r="V22">
            <v>643004.75493782014</v>
          </cell>
          <cell r="W22">
            <v>98355.888807607917</v>
          </cell>
          <cell r="X22">
            <v>0</v>
          </cell>
          <cell r="Y22">
            <v>94656.181419166067</v>
          </cell>
          <cell r="Z22">
            <v>0</v>
          </cell>
          <cell r="AA22">
            <v>0</v>
          </cell>
          <cell r="AB22">
            <v>0</v>
          </cell>
          <cell r="AD22">
            <v>835660</v>
          </cell>
        </row>
        <row r="23">
          <cell r="Q23" t="str">
            <v>Amjad sohail</v>
          </cell>
          <cell r="R23">
            <v>281909</v>
          </cell>
          <cell r="S23">
            <v>257780.72421360645</v>
          </cell>
          <cell r="T23">
            <v>213946.59839063644</v>
          </cell>
          <cell r="U23">
            <v>43834.125822970011</v>
          </cell>
          <cell r="V23">
            <v>2139465.9839063645</v>
          </cell>
          <cell r="W23">
            <v>569843.63569861022</v>
          </cell>
          <cell r="X23">
            <v>0</v>
          </cell>
          <cell r="Y23">
            <v>0</v>
          </cell>
          <cell r="Z23">
            <v>0</v>
          </cell>
          <cell r="AA23">
            <v>0</v>
          </cell>
          <cell r="AB23">
            <v>0</v>
          </cell>
          <cell r="AD23">
            <v>2300000</v>
          </cell>
        </row>
        <row r="24">
          <cell r="Q24" t="str">
            <v>Salman Zaffar</v>
          </cell>
          <cell r="R24">
            <v>64780</v>
          </cell>
          <cell r="S24">
            <v>59235.552304316028</v>
          </cell>
          <cell r="T24">
            <v>14355.340160936359</v>
          </cell>
          <cell r="U24">
            <v>31409.107534747625</v>
          </cell>
          <cell r="V24">
            <v>143553.40160936359</v>
          </cell>
          <cell r="W24">
            <v>408318.39795171918</v>
          </cell>
          <cell r="X24">
            <v>0</v>
          </cell>
          <cell r="Y24">
            <v>0</v>
          </cell>
          <cell r="Z24">
            <v>161653.2553035845</v>
          </cell>
          <cell r="AA24">
            <v>0</v>
          </cell>
          <cell r="AB24">
            <v>0</v>
          </cell>
          <cell r="AD24">
            <v>0</v>
          </cell>
        </row>
        <row r="25">
          <cell r="Q25" t="str">
            <v>Shahid Qasayi</v>
          </cell>
          <cell r="R25">
            <v>176129</v>
          </cell>
          <cell r="S25">
            <v>161054.31602048283</v>
          </cell>
          <cell r="T25">
            <v>113495.7937088515</v>
          </cell>
          <cell r="U25">
            <v>0</v>
          </cell>
          <cell r="V25">
            <v>1134957.9370885149</v>
          </cell>
          <cell r="W25">
            <v>0</v>
          </cell>
          <cell r="X25">
            <v>0</v>
          </cell>
          <cell r="Y25">
            <v>0</v>
          </cell>
          <cell r="Z25">
            <v>0</v>
          </cell>
          <cell r="AA25">
            <v>523143.74542794435</v>
          </cell>
          <cell r="AB25">
            <v>0</v>
          </cell>
          <cell r="AD25">
            <v>1468325</v>
          </cell>
        </row>
        <row r="26">
          <cell r="Q26" t="str">
            <v>Hameed corporation</v>
          </cell>
          <cell r="R26">
            <v>46404</v>
          </cell>
          <cell r="S26">
            <v>42432.333577176301</v>
          </cell>
          <cell r="T26">
            <v>42432.333577176301</v>
          </cell>
          <cell r="U26">
            <v>0</v>
          </cell>
          <cell r="V26">
            <v>424323.335771763</v>
          </cell>
          <cell r="W26">
            <v>0</v>
          </cell>
          <cell r="X26">
            <v>0</v>
          </cell>
          <cell r="Y26">
            <v>0</v>
          </cell>
          <cell r="Z26">
            <v>0</v>
          </cell>
          <cell r="AA26">
            <v>0</v>
          </cell>
          <cell r="AB26">
            <v>0</v>
          </cell>
          <cell r="AD26">
            <v>424323</v>
          </cell>
        </row>
        <row r="27">
          <cell r="Q27" t="str">
            <v>ibraheem behraam</v>
          </cell>
          <cell r="R27">
            <v>66705</v>
          </cell>
          <cell r="S27">
            <v>60995.793708851503</v>
          </cell>
          <cell r="T27">
            <v>0</v>
          </cell>
          <cell r="U27">
            <v>60995.793708851503</v>
          </cell>
          <cell r="V27">
            <v>0</v>
          </cell>
          <cell r="W27">
            <v>792945.31821506959</v>
          </cell>
          <cell r="X27">
            <v>0</v>
          </cell>
          <cell r="Y27">
            <v>0</v>
          </cell>
          <cell r="Z27">
            <v>0</v>
          </cell>
          <cell r="AA27">
            <v>0</v>
          </cell>
          <cell r="AB27">
            <v>0</v>
          </cell>
          <cell r="AD27">
            <v>790500</v>
          </cell>
        </row>
        <row r="28">
          <cell r="Q28" t="str">
            <v>Zia-ullah karachi</v>
          </cell>
          <cell r="R28">
            <v>13622</v>
          </cell>
          <cell r="S28">
            <v>12456.108266276518</v>
          </cell>
          <cell r="T28">
            <v>12456.108266276518</v>
          </cell>
          <cell r="U28">
            <v>0</v>
          </cell>
          <cell r="V28">
            <v>124561.08266276518</v>
          </cell>
          <cell r="W28">
            <v>0</v>
          </cell>
          <cell r="X28">
            <v>0</v>
          </cell>
          <cell r="Y28">
            <v>0</v>
          </cell>
          <cell r="Z28">
            <v>0</v>
          </cell>
          <cell r="AA28">
            <v>0</v>
          </cell>
          <cell r="AB28">
            <v>0</v>
          </cell>
          <cell r="AD28">
            <v>124560</v>
          </cell>
        </row>
        <row r="29">
          <cell r="Q29" t="str">
            <v>ZA</v>
          </cell>
          <cell r="R29">
            <v>32399</v>
          </cell>
          <cell r="S29">
            <v>29626.005852231167</v>
          </cell>
          <cell r="T29">
            <v>0</v>
          </cell>
          <cell r="U29">
            <v>29626.005852231167</v>
          </cell>
          <cell r="V29">
            <v>0</v>
          </cell>
          <cell r="W29">
            <v>385138.07607900514</v>
          </cell>
          <cell r="X29">
            <v>0</v>
          </cell>
          <cell r="Y29">
            <v>0</v>
          </cell>
          <cell r="Z29">
            <v>0</v>
          </cell>
          <cell r="AA29">
            <v>0</v>
          </cell>
          <cell r="AB29">
            <v>0</v>
          </cell>
          <cell r="AD29">
            <v>250000</v>
          </cell>
        </row>
        <row r="30">
          <cell r="Q30" t="str">
            <v>Ahmad Javaid</v>
          </cell>
          <cell r="R30">
            <v>4557</v>
          </cell>
          <cell r="S30">
            <v>4166.9714703730797</v>
          </cell>
          <cell r="T30">
            <v>0</v>
          </cell>
          <cell r="U30">
            <v>0</v>
          </cell>
          <cell r="V30">
            <v>0</v>
          </cell>
          <cell r="W30">
            <v>0</v>
          </cell>
          <cell r="X30">
            <v>0</v>
          </cell>
          <cell r="Y30">
            <v>0</v>
          </cell>
          <cell r="Z30">
            <v>0</v>
          </cell>
          <cell r="AA30">
            <v>0</v>
          </cell>
          <cell r="AB30">
            <v>54170.629114850039</v>
          </cell>
          <cell r="AD30">
            <v>0</v>
          </cell>
        </row>
        <row r="31">
          <cell r="R31">
            <v>0</v>
          </cell>
          <cell r="S31">
            <v>0</v>
          </cell>
          <cell r="T31">
            <v>0</v>
          </cell>
          <cell r="U31">
            <v>0</v>
          </cell>
          <cell r="V31">
            <v>0</v>
          </cell>
          <cell r="W31">
            <v>0</v>
          </cell>
          <cell r="X31">
            <v>0</v>
          </cell>
          <cell r="Y31">
            <v>0</v>
          </cell>
          <cell r="Z31">
            <v>0</v>
          </cell>
          <cell r="AA31">
            <v>0</v>
          </cell>
          <cell r="AB31">
            <v>0</v>
          </cell>
          <cell r="AD31">
            <v>0</v>
          </cell>
        </row>
        <row r="32">
          <cell r="R32">
            <v>0</v>
          </cell>
          <cell r="S32">
            <v>0</v>
          </cell>
          <cell r="T32">
            <v>0</v>
          </cell>
          <cell r="U32">
            <v>0</v>
          </cell>
          <cell r="V32">
            <v>0</v>
          </cell>
          <cell r="W32">
            <v>0</v>
          </cell>
          <cell r="X32">
            <v>0</v>
          </cell>
          <cell r="Y32">
            <v>0</v>
          </cell>
          <cell r="Z32">
            <v>0</v>
          </cell>
          <cell r="AA32">
            <v>0</v>
          </cell>
          <cell r="AB32">
            <v>0</v>
          </cell>
          <cell r="AD32">
            <v>0</v>
          </cell>
        </row>
        <row r="33">
          <cell r="R33">
            <v>0</v>
          </cell>
          <cell r="S33">
            <v>0</v>
          </cell>
          <cell r="T33">
            <v>0</v>
          </cell>
          <cell r="U33">
            <v>0</v>
          </cell>
          <cell r="V33">
            <v>0</v>
          </cell>
          <cell r="W33">
            <v>0</v>
          </cell>
          <cell r="X33">
            <v>0</v>
          </cell>
          <cell r="Y33">
            <v>0</v>
          </cell>
          <cell r="Z33">
            <v>0</v>
          </cell>
          <cell r="AA33">
            <v>0</v>
          </cell>
          <cell r="AB33">
            <v>0</v>
          </cell>
          <cell r="AD33">
            <v>0</v>
          </cell>
        </row>
        <row r="34">
          <cell r="R34">
            <v>0</v>
          </cell>
          <cell r="S34">
            <v>0</v>
          </cell>
          <cell r="T34">
            <v>0</v>
          </cell>
          <cell r="U34">
            <v>0</v>
          </cell>
          <cell r="V34">
            <v>0</v>
          </cell>
          <cell r="W34">
            <v>0</v>
          </cell>
          <cell r="X34">
            <v>0</v>
          </cell>
          <cell r="Y34">
            <v>0</v>
          </cell>
          <cell r="Z34">
            <v>0</v>
          </cell>
          <cell r="AA34">
            <v>0</v>
          </cell>
          <cell r="AB34">
            <v>0</v>
          </cell>
          <cell r="AD34">
            <v>0</v>
          </cell>
        </row>
        <row r="35">
          <cell r="R35">
            <v>0</v>
          </cell>
          <cell r="S35">
            <v>0</v>
          </cell>
          <cell r="T35">
            <v>0</v>
          </cell>
          <cell r="U35">
            <v>0</v>
          </cell>
          <cell r="V35">
            <v>0</v>
          </cell>
          <cell r="W35">
            <v>0</v>
          </cell>
          <cell r="X35">
            <v>0</v>
          </cell>
          <cell r="Y35">
            <v>0</v>
          </cell>
          <cell r="AA35">
            <v>0</v>
          </cell>
          <cell r="AB35">
            <v>0</v>
          </cell>
          <cell r="AD35">
            <v>0</v>
          </cell>
        </row>
        <row r="36">
          <cell r="AB36">
            <v>0</v>
          </cell>
        </row>
      </sheetData>
      <sheetData sheetId="1"/>
      <sheetData sheetId="2"/>
      <sheetData sheetId="3"/>
      <sheetData sheetId="4"/>
      <sheetData sheetId="5"/>
      <sheetData sheetId="6"/>
      <sheetData sheetId="7">
        <row r="5">
          <cell r="N5">
            <v>7651062</v>
          </cell>
        </row>
        <row r="6">
          <cell r="N6">
            <v>-610916</v>
          </cell>
        </row>
      </sheetData>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22.075052430555" createdVersion="8" refreshedVersion="8" minRefreshableVersion="3" recordCount="112" xr:uid="{46CBB50D-3613-4E5B-8212-DD0313DCD05A}">
  <cacheSource type="worksheet">
    <worksheetSource name="Table1"/>
  </cacheSource>
  <cacheFields count="14">
    <cacheField name="Date" numFmtId="0">
      <sharedItems containsSemiMixedTypes="0" containsNonDate="0" containsDate="1" containsString="0" minDate="2025-11-18T00:00:00" maxDate="2025-12-31T00:00:00"/>
    </cacheField>
    <cacheField name="Party Name" numFmtId="0">
      <sharedItems containsBlank="1" count="33">
        <s v="BSC"/>
        <s v="Ejaz Sahab"/>
        <s v="Arshad"/>
        <s v="Shehzad Kamoki"/>
        <s v="Sufi Nawaz Sahab"/>
        <s v="Sajad Khan"/>
        <s v="Raaz Fabrics"/>
        <s v="Azam"/>
        <s v="Ubaidullah"/>
        <s v="Ashraf Zia"/>
        <s v="Hafiz Qureshi"/>
        <s v="Badshah Fabrics"/>
        <s v="Reject"/>
        <s v="Amjad 7up"/>
        <s v="Hazrat Khan"/>
        <s v="Haseeb Shamsi"/>
        <s v="Faizan"/>
        <s v="Shafique Ansari"/>
        <s v="Amjad sohail"/>
        <s v="Salman Zaffar"/>
        <s v="Shahid Qasayi"/>
        <s v="Hameed corporation"/>
        <s v="ibraheem behraam"/>
        <s v="Zia-ullah karachi"/>
        <s v="ZA"/>
        <s v="Ahmad Javaid"/>
        <m u="1"/>
        <s v="YING" u="1"/>
        <s v="Meow" u="1"/>
        <s v="Umer Sb" u="1"/>
        <s v="-" u="1"/>
        <s v="Sajjad" u="1"/>
        <s v="Haji Ejaz" u="1"/>
      </sharedItems>
    </cacheField>
    <cacheField name="Bill Number" numFmtId="0">
      <sharedItems containsMixedTypes="1" containsNumber="1" containsInteger="1" minValue="1256" maxValue="1308"/>
    </cacheField>
    <cacheField name="Quality" numFmtId="0">
      <sharedItems/>
    </cacheField>
    <cacheField name="Shipment Number" numFmtId="164">
      <sharedItems containsBlank="1" containsMixedTypes="1" containsNumber="1" containsInteger="1" minValue="1558" maxValue="17000" count="350">
        <m/>
        <n v="1971"/>
        <n v="1951"/>
        <n v="1934"/>
        <n v="1924"/>
        <n v="1835"/>
        <n v="1628"/>
        <n v="1958"/>
        <n v="1987"/>
        <n v="1974"/>
        <n v="1972"/>
        <n v="1982"/>
        <n v="1986"/>
        <n v="1981"/>
        <n v="1954"/>
        <n v="1948"/>
        <n v="1947"/>
        <n v="1985"/>
        <n v="1983"/>
        <n v="1984"/>
        <s v="1997+1988"/>
        <n v="1993"/>
        <n v="1775"/>
        <n v="1941"/>
        <n v="2000"/>
        <n v="1995"/>
        <n v="1992"/>
        <n v="1718"/>
        <n v="1990"/>
        <n v="1989"/>
        <n v="2001"/>
        <n v="1879" u="1"/>
        <n v="1867" u="1"/>
        <n v="1878" u="1"/>
        <n v="1897" u="1"/>
        <n v="1920" u="1"/>
        <n v="1898" u="1"/>
        <n v="1875" u="1"/>
        <n v="1918" u="1"/>
        <n v="1906" u="1"/>
        <n v="1873" u="1"/>
        <n v="1883" u="1"/>
        <n v="1917" u="1"/>
        <n v="1900" u="1"/>
        <n v="1930" u="1"/>
        <n v="1911" u="1"/>
        <n v="1887" u="1"/>
        <n v="1882" u="1"/>
        <n v="1890" u="1"/>
        <n v="1877" u="1"/>
        <n v="1853" u="1"/>
        <n v="1889" u="1"/>
        <n v="1884" u="1"/>
        <n v="1926" u="1"/>
        <n v="1905" u="1"/>
        <n v="1843" u="1"/>
        <n v="1935" u="1"/>
        <n v="1888" u="1"/>
        <n v="1925" u="1"/>
        <n v="1893" u="1"/>
        <n v="1894" u="1"/>
        <n v="1936" u="1"/>
        <n v="1937" u="1"/>
        <n v="1939" u="1"/>
        <n v="1913" u="1"/>
        <n v="1912" u="1"/>
        <n v="1915" u="1"/>
        <n v="1899" u="1"/>
        <n v="1919" u="1"/>
        <n v="1886" u="1"/>
        <n v="1907" u="1"/>
        <n v="1938" u="1"/>
        <n v="1870" u="1"/>
        <n v="1921" u="1"/>
        <n v="1922" u="1"/>
        <n v="1933" u="1"/>
        <n v="1842" u="1"/>
        <n v="1910" u="1"/>
        <n v="1923" u="1"/>
        <n v="1914" u="1"/>
        <n v="1904" u="1"/>
        <n v="1909" u="1"/>
        <n v="1940" u="1"/>
        <n v="1943" u="1"/>
        <n v="1961" u="1"/>
        <n v="1928" u="1"/>
        <n v="1927" u="1"/>
        <n v="1852" u="1"/>
        <n v="1931" u="1"/>
        <n v="1908" u="1"/>
        <n v="1929" u="1"/>
        <n v="1975" u="1"/>
        <n v="1903" u="1"/>
        <n v="1942" u="1"/>
        <n v="1946" u="1"/>
        <n v="1968" u="1"/>
        <n v="1945" u="1"/>
        <n v="1962" u="1"/>
        <n v="1970" u="1"/>
        <n v="1944" u="1"/>
        <n v="1955" u="1"/>
        <n v="1902" u="1"/>
        <n v="1959" u="1"/>
        <n v="1960" u="1"/>
        <n v="1966" u="1"/>
        <n v="1892" u="1"/>
        <n v="1949" u="1"/>
        <n v="1956" u="1"/>
        <n v="1818" u="1"/>
        <n v="1780" u="1"/>
        <n v="1800" u="1"/>
        <n v="1826" u="1"/>
        <n v="1803" u="1"/>
        <n v="1829" u="1"/>
        <n v="1813" u="1"/>
        <n v="1827" u="1"/>
        <n v="1761" u="1"/>
        <n v="1786" u="1"/>
        <n v="1834" u="1"/>
        <n v="1796" u="1"/>
        <n v="1836" u="1"/>
        <n v="1828" u="1"/>
        <n v="1837" u="1"/>
        <n v="1840" u="1"/>
        <n v="1825" u="1"/>
        <n v="1838" u="1"/>
        <n v="1845" u="1"/>
        <n v="1807" u="1"/>
        <n v="1791" u="1"/>
        <n v="1850" u="1"/>
        <n v="1801" u="1"/>
        <n v="1824" u="1"/>
        <n v="1814" u="1"/>
        <n v="1815" u="1"/>
        <n v="1833" u="1"/>
        <n v="1665" u="1"/>
        <n v="1860" u="1"/>
        <n v="1830" u="1"/>
        <n v="1839" u="1"/>
        <n v="1648" u="1"/>
        <n v="1863" u="1"/>
        <n v="1831" u="1"/>
        <n v="1832" u="1"/>
        <n v="1847" u="1"/>
        <n v="1841" u="1"/>
        <n v="1797" u="1"/>
        <n v="1816" u="1"/>
        <n v="1846" u="1"/>
        <n v="1876" u="1"/>
        <n v="1874" u="1"/>
        <n v="1865" u="1"/>
        <n v="1851" u="1"/>
        <n v="1868" u="1"/>
        <n v="1881" u="1"/>
        <n v="1869" u="1"/>
        <n v="1866" u="1"/>
        <n v="1896" u="1"/>
        <n v="1895" u="1"/>
        <n v="1916" u="1"/>
        <n v="1844" u="1"/>
        <n v="1862" u="1"/>
        <n v="1891" u="1"/>
        <n v="1901" u="1"/>
        <n v="1864" u="1"/>
        <n v="1708" u="1"/>
        <n v="1720" u="1"/>
        <n v="1723" u="1"/>
        <n v="1724" u="1"/>
        <n v="1714" u="1"/>
        <n v="1690" u="1"/>
        <n v="1716" u="1"/>
        <n v="1696" u="1"/>
        <n v="1694" u="1"/>
        <n v="1687" u="1"/>
        <n v="1719" u="1"/>
        <n v="1688" u="1"/>
        <n v="1710" u="1"/>
        <n v="1725" u="1"/>
        <n v="1736" u="1"/>
        <n v="1728" u="1"/>
        <n v="1726" u="1"/>
        <n v="1730" u="1"/>
        <n v="1729" u="1"/>
        <n v="1748" u="1"/>
        <n v="1756" u="1"/>
        <n v="1757" u="1"/>
        <n v="1697" u="1"/>
        <n v="1727" u="1"/>
        <n v="1755" u="1"/>
        <n v="1763" u="1"/>
        <n v="1701" u="1"/>
        <n v="1753" u="1"/>
        <n v="1751" u="1"/>
        <n v="1760" u="1"/>
        <n v="1762" u="1"/>
        <n v="1767" u="1"/>
        <n v="1764" u="1"/>
        <n v="1765" u="1"/>
        <n v="1770" u="1"/>
        <n v="1772" u="1"/>
        <n v="1721" u="1"/>
        <n v="1769" u="1"/>
        <n v="1771" u="1"/>
        <n v="1746" u="1"/>
        <n v="1759" u="1"/>
        <n v="1722" u="1"/>
        <n v="1773" u="1"/>
        <n v="1779" u="1"/>
        <n v="1749" u="1"/>
        <n v="1782" u="1"/>
        <n v="1713" u="1"/>
        <n v="1706" u="1"/>
        <n v="1711" u="1"/>
        <n v="1768" u="1"/>
        <n v="1684" u="1"/>
        <n v="1691" u="1"/>
        <n v="1784" u="1"/>
        <n v="1781" u="1"/>
        <n v="1747" u="1"/>
        <n v="1777" u="1"/>
        <n v="1750" u="1"/>
        <n v="1788" u="1"/>
        <n v="1787" u="1"/>
        <n v="1734" u="1"/>
        <n v="1776" u="1"/>
        <n v="1766" u="1"/>
        <n v="1793" u="1"/>
        <n v="1804" u="1"/>
        <n v="1811" u="1"/>
        <n v="1812" u="1"/>
        <n v="1806" u="1"/>
        <n v="1785" u="1"/>
        <n v="1752" u="1"/>
        <n v="1783" u="1"/>
        <n v="1790" u="1"/>
        <n v="1794" u="1"/>
        <n v="1802" u="1"/>
        <n v="1789" u="1"/>
        <n v="1778" u="1"/>
        <n v="1808" u="1"/>
        <n v="1795" u="1"/>
        <n v="1799" u="1"/>
        <n v="1792" u="1"/>
        <n v="1817" u="1"/>
        <n v="1798" u="1"/>
        <n v="1605" u="1"/>
        <n v="1624" u="1"/>
        <n v="1646" u="1"/>
        <n v="1640" u="1"/>
        <n v="1649" u="1"/>
        <n v="1607" u="1"/>
        <n v="1647" u="1"/>
        <n v="1643" u="1"/>
        <n v="1644" u="1"/>
        <n v="1651" u="1"/>
        <n v="1641" u="1"/>
        <n v="1652" u="1"/>
        <n v="1655" u="1"/>
        <n v="1650" u="1"/>
        <n v="1653" u="1"/>
        <n v="1662" u="1"/>
        <n v="1663" u="1"/>
        <n v="1598" u="1"/>
        <n v="1661" u="1"/>
        <n v="1658" u="1"/>
        <n v="1656" u="1"/>
        <n v="1654" u="1"/>
        <n v="1659" u="1"/>
        <n v="1669" u="1"/>
        <n v="1666" u="1"/>
        <n v="1657" u="1"/>
        <n v="1676" u="1"/>
        <n v="1683" u="1"/>
        <n v="1673" u="1"/>
        <n v="1679" u="1"/>
        <n v="1668" u="1"/>
        <n v="1664" u="1"/>
        <n v="1660" u="1"/>
        <n v="1678" u="1"/>
        <n v="1677" u="1"/>
        <n v="1667" u="1"/>
        <n v="1675" u="1"/>
        <n v="1681" u="1"/>
        <n v="1674" u="1"/>
        <n v="1680" u="1"/>
        <n v="1682" u="1"/>
        <n v="1633" u="1"/>
        <n v="1685" u="1"/>
        <n v="1686" u="1"/>
        <n v="1692" u="1"/>
        <n v="1693" u="1"/>
        <n v="1700" u="1"/>
        <n v="1672" u="1"/>
        <n v="1705" u="1"/>
        <n v="1704" u="1"/>
        <n v="1689" u="1"/>
        <n v="1699" u="1"/>
        <n v="1695" u="1"/>
        <n v="1595" u="1"/>
        <n v="1593" u="1"/>
        <n v="1599" u="1"/>
        <n v="1597" u="1"/>
        <n v="1600" u="1"/>
        <n v="1602" u="1"/>
        <n v="1558" u="1"/>
        <n v="1603" u="1"/>
        <n v="1619" u="1"/>
        <n v="1621" u="1"/>
        <n v="1601" u="1"/>
        <n v="1606" u="1"/>
        <n v="1609" u="1"/>
        <n v="1614" u="1"/>
        <n v="1623" u="1"/>
        <n v="1610" u="1"/>
        <n v="1620" u="1"/>
        <n v="1608" u="1"/>
        <n v="1625" u="1"/>
        <n v="1618" u="1"/>
        <n v="1611" u="1"/>
        <n v="1629" u="1"/>
        <n v="1631" u="1"/>
        <n v="1604" u="1"/>
        <n v="1627" u="1"/>
        <n v="1615" u="1"/>
        <n v="1630" u="1"/>
        <n v="1635" u="1"/>
        <n v="1617" u="1"/>
        <n v="1637" u="1"/>
        <n v="1642" u="1"/>
        <n v="1613" u="1"/>
        <n v="17000" u="1"/>
        <n v="1574" u="1"/>
        <n v="1573" u="1"/>
        <n v="1570" u="1"/>
        <n v="1571" u="1"/>
        <n v="1575" u="1"/>
        <n v="1579" u="1"/>
        <n v="1580" u="1"/>
        <n v="1577" u="1"/>
        <n v="1578" u="1"/>
        <n v="1583" u="1"/>
        <n v="1589" u="1"/>
        <n v="1572" u="1"/>
        <n v="1592" u="1"/>
        <n v="1590" u="1"/>
        <n v="1591" u="1"/>
        <n v="1576" u="1"/>
        <n v="1581" u="1"/>
        <n v="1596" u="1"/>
        <n v="1594" u="1"/>
      </sharedItems>
    </cacheField>
    <cacheField name="Kora/metre" numFmtId="164">
      <sharedItems containsString="0" containsBlank="1" containsNumber="1" containsInteger="1" minValue="0" maxValue="80202"/>
    </cacheField>
    <cacheField name="Tiyaar/gaz" numFmtId="164">
      <sharedItems containsString="0" containsBlank="1" containsNumber="1" minValue="709.74639999999999" maxValue="52476"/>
    </cacheField>
    <cacheField name="shortage %" numFmtId="165">
      <sharedItems containsMixedTypes="1" containsNumber="1" minValue="0.1052719730907512" maxValue="87.268730311889087"/>
    </cacheField>
    <cacheField name="tiyar/meters" numFmtId="165">
      <sharedItems containsString="0" containsBlank="1" containsNumber="1" minValue="0" maxValue="2035507.4981711779"/>
    </cacheField>
    <cacheField name="billing" numFmtId="165">
      <sharedItems containsSemiMixedTypes="0" containsString="0" containsNumber="1" minValue="0" maxValue="20355074.981711783"/>
    </cacheField>
    <cacheField name="Total Billing" numFmtId="0">
      <sharedItems containsNonDate="0" containsString="0" containsBlank="1"/>
    </cacheField>
    <cacheField name="Shortage %2" numFmtId="0" formula=" ('Tiyaar/gaz'/ ('Kora/metre'/ 1.0936)) * 100" databaseField="0"/>
    <cacheField name="Shortage2" numFmtId="0" formula=" ('Tiyaar/gaz'/ ('Kora/metre'* 1.0936)) * 100" databaseField="0"/>
    <cacheField name="kora / gaz" numFmtId="0" formula="'Kora/metre'* 1.0936" databaseField="0"/>
  </cacheFields>
  <extLst>
    <ext xmlns:x14="http://schemas.microsoft.com/office/spreadsheetml/2009/9/main" uri="{725AE2AE-9491-48be-B2B4-4EB974FC3084}">
      <x14:pivotCacheDefinition pivotCacheId="13414188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22.075052893517" createdVersion="8" refreshedVersion="8" minRefreshableVersion="3" recordCount="9" xr:uid="{376A650C-1F79-4049-BC45-E34989F046B2}">
  <cacheSource type="worksheet">
    <worksheetSource name="Table2"/>
  </cacheSource>
  <cacheFields count="8">
    <cacheField name="Date" numFmtId="14">
      <sharedItems containsNonDate="0" containsDate="1" containsString="0" containsBlank="1" minDate="2025-12-17T00:00:00" maxDate="2025-12-24T00:00:00"/>
    </cacheField>
    <cacheField name="Party Name" numFmtId="14">
      <sharedItems containsBlank="1" count="8">
        <s v="Finish"/>
        <s v="Faysal Akraam"/>
        <s v="AS Traders"/>
        <s v="Abid ghafoor"/>
        <s v="Madina Dyes"/>
        <m/>
        <s v="-" u="1"/>
        <s v="Faysal" u="1"/>
      </sharedItems>
    </cacheField>
    <cacheField name="Item" numFmtId="0">
      <sharedItems containsBlank="1"/>
    </cacheField>
    <cacheField name="Boxes" numFmtId="0">
      <sharedItems containsString="0" containsBlank="1" containsNumber="1" containsInteger="1" minValue="45" maxValue="45"/>
    </cacheField>
    <cacheField name="Quantity" numFmtId="0">
      <sharedItems containsNonDate="0" containsString="0" containsBlank="1"/>
    </cacheField>
    <cacheField name="Price" numFmtId="0">
      <sharedItems containsSemiMixedTypes="0" containsString="0" containsNumber="1" containsInteger="1" minValue="0" maxValue="351000"/>
    </cacheField>
    <cacheField name="Paid" numFmtId="0">
      <sharedItems containsSemiMixedTypes="0" containsString="0" containsNumber="1" containsInteger="1" minValue="0" maxValue="150000"/>
    </cacheField>
    <cacheField name="Balance" numFmtId="0">
      <sharedItems containsSemiMixedTypes="0" containsString="0" containsNumber="1" containsInteger="1" minValue="-150000" maxValue="351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22.075053009263" createdVersion="8" refreshedVersion="8" minRefreshableVersion="3" recordCount="51" xr:uid="{3E5C2981-ACF5-44A9-8567-B1D65DB3A8D2}">
  <cacheSource type="worksheet">
    <worksheetSource name="Table3"/>
  </cacheSource>
  <cacheFields count="9">
    <cacheField name="Date" numFmtId="14">
      <sharedItems containsNonDate="0" containsDate="1" containsString="0" containsBlank="1" minDate="2025-05-02T00:00:00" maxDate="2025-12-30T00:00:00" count="148">
        <d v="2025-12-17T00:00:00"/>
        <d v="2025-12-18T00:00:00"/>
        <d v="2025-12-19T00:00:00"/>
        <d v="2025-12-20T00:00:00"/>
        <d v="2025-12-22T00:00:00"/>
        <d v="2025-12-21T00:00:00"/>
        <d v="2025-12-23T00:00:00"/>
        <d v="2025-12-24T00:00:00"/>
        <d v="2025-12-25T00:00:00"/>
        <m/>
        <d v="2025-12-26T00:00:00"/>
        <d v="2025-12-27T00:00:00"/>
        <d v="2025-12-29T00:00:00"/>
        <d v="2025-12-28T00:00:00"/>
        <d v="2025-10-17T00:00:00" u="1"/>
        <d v="2025-11-18T00:00:00" u="1"/>
        <d v="2025-11-19T00:00:00" u="1"/>
        <d v="2025-11-20T00:00:00" u="1"/>
        <d v="2025-11-21T00:00:00" u="1"/>
        <d v="2025-11-23T00:00:00" u="1"/>
        <d v="2025-11-24T00:00:00" u="1"/>
        <d v="2025-11-25T00:00:00" u="1"/>
        <d v="2025-11-26T00:00:00" u="1"/>
        <d v="2025-11-27T00:00:00" u="1"/>
        <d v="2025-11-28T00:00:00" u="1"/>
        <d v="2025-11-29T00:00:00" u="1"/>
        <d v="2025-12-01T00:00:00" u="1"/>
        <d v="2025-12-02T00:00:00" u="1"/>
        <d v="2025-12-03T00:00:00" u="1"/>
        <d v="2025-12-04T00:00:00" u="1"/>
        <d v="2025-12-05T00:00:00" u="1"/>
        <d v="2025-12-06T00:00:00" u="1"/>
        <d v="2025-12-07T00:00:00" u="1"/>
        <d v="2025-12-08T00:00:00" u="1"/>
        <d v="2025-12-09T00:00:00" u="1"/>
        <d v="2025-12-10T00:00:00" u="1"/>
        <d v="2025-12-11T00:00:00" u="1"/>
        <d v="2025-12-12T00:00:00" u="1"/>
        <d v="2025-12-14T00:00:00" u="1"/>
        <d v="2025-12-13T00:00:00" u="1"/>
        <d v="2025-12-15T00:00:00" u="1"/>
        <d v="2025-12-16T00:00:00" u="1"/>
        <d v="2025-10-18T00:00:00" u="1"/>
        <d v="2025-10-20T00:00:00" u="1"/>
        <d v="2025-10-21T00:00:00" u="1"/>
        <d v="2025-10-22T00:00:00" u="1"/>
        <d v="2025-10-23T00:00:00" u="1"/>
        <d v="2025-10-24T00:00:00" u="1"/>
        <d v="2025-10-25T00:00:00" u="1"/>
        <d v="2025-10-26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0-09T00:00:00" u="1"/>
        <d v="2025-11-10T00:00:00" u="1"/>
        <d v="2025-11-11T00:00:00" u="1"/>
        <d v="2025-11-12T00:00:00" u="1"/>
        <d v="2025-11-14T00:00:00" u="1"/>
        <d v="2025-11-17T00:00:00" u="1"/>
        <d v="2025-09-16T00:00:00" u="1"/>
        <d v="2025-09-17T00:00:00" u="1"/>
        <d v="2025-09-18T00:00:00" u="1"/>
        <d v="2025-09-19T00:00:00" u="1"/>
        <d v="2025-09-20T00:00:00" u="1"/>
        <d v="2025-09-21T00:00:00" u="1"/>
        <d v="2025-09-22T00:00:00" u="1"/>
        <d v="2025-09-23T00:00:00" u="1"/>
        <d v="2025-09-24T00:00:00" u="1"/>
        <d v="2025-09-25T00:00:00" u="1"/>
        <d v="2025-09-26T00:00:00" u="1"/>
        <d v="2025-09-27T00:00:00" u="1"/>
        <d v="2025-09-28T00:00:00" u="1"/>
        <d v="2025-09-29T00:00:00" u="1"/>
        <d v="2025-09-30T00:00:00" u="1"/>
        <d v="2025-10-01T00:00:00" u="1"/>
        <d v="2025-10-02T00:00:00" u="1"/>
        <d v="2025-10-03T00:00:00" u="1"/>
        <d v="2025-10-04T00:00:00" u="1"/>
        <d v="2025-10-05T00:00:00" u="1"/>
        <d v="2025-10-06T00:00:00" u="1"/>
        <d v="2025-10-07T00:00:00" u="1"/>
        <d v="2025-10-08T00:00:00" u="1"/>
        <d v="2025-10-10T00:00:00" u="1"/>
        <d v="2025-10-12T00:00:00" u="1"/>
        <d v="2025-10-13T00:00:00" u="1"/>
        <d v="2025-10-14T00:00:00" u="1"/>
        <d v="2025-10-15T00:00:00" u="1"/>
        <d v="2025-10-16T00:00:00" u="1"/>
        <d v="2025-09-01T00:00:00" u="1"/>
        <d v="2025-08-16T00:00:00" u="1"/>
        <d v="2025-08-12T00:00:00" u="1"/>
        <d v="2025-08-13T00:00:00" u="1"/>
        <d v="2025-08-15T00:00:00" u="1"/>
        <d v="2025-08-17T00:00:00" u="1"/>
        <d v="2025-08-18T00:00:00" u="1"/>
        <d v="2025-08-19T00:00:00" u="1"/>
        <d v="2025-08-20T00:00:00" u="1"/>
        <d v="2025-08-21T00:00:00" u="1"/>
        <d v="2025-08-23T00:00:00" u="1"/>
        <d v="2025-08-25T00:00:00" u="1"/>
        <d v="2025-08-24T00:00:00" u="1"/>
        <d v="2025-08-26T00:00:00" u="1"/>
        <d v="2025-08-27T00:00:00" u="1"/>
        <d v="2025-08-28T00:00:00" u="1"/>
        <d v="2025-08-30T00:00:00" u="1"/>
        <d v="2025-08-31T00:00:00" u="1"/>
        <d v="2025-09-02T00:00:00" u="1"/>
        <d v="2025-09-03T00:00:00" u="1"/>
        <d v="2025-09-04T00:00:00" u="1"/>
        <d v="2025-09-05T00:00:00" u="1"/>
        <d v="2025-09-07T00:00:00" u="1"/>
        <d v="2025-09-08T00:00:00" u="1"/>
        <d v="2025-09-09T00:00:00" u="1"/>
        <d v="2025-09-10T00:00:00" u="1"/>
        <d v="2025-09-11T00:00:00" u="1"/>
        <d v="2025-09-12T00:00:00" u="1"/>
        <d v="2025-09-13T00:00:00" u="1"/>
        <d v="2025-09-14T00:00:00" u="1"/>
        <d v="2025-09-15T00:00:00" u="1"/>
        <d v="2025-08-02T00:00:00" u="1"/>
        <d v="2025-07-02T00:00:00" u="1"/>
        <d v="2025-06-02T00:00:00" u="1"/>
        <d v="2025-05-02T00:00:00" u="1"/>
        <d v="2025-07-13T00:00:00" u="1"/>
        <d v="2025-07-14T00:00:00" u="1"/>
        <d v="2025-07-15T00:00:00" u="1"/>
        <d v="2025-07-19T00:00:00" u="1"/>
        <d v="2025-07-20T00:00:00" u="1"/>
        <d v="2025-07-21T00:00:00" u="1"/>
        <d v="2025-07-31T00:00:00" u="1"/>
        <d v="2025-08-03T00:00:00" u="1"/>
        <d v="2025-08-04T00:00:00" u="1"/>
        <d v="2025-08-07T00:00:00" u="1"/>
        <d v="2025-08-08T00:00:00" u="1"/>
        <d v="2025-08-09T00:00:00" u="1"/>
        <d v="2025-08-10T00:00:00" u="1"/>
        <d v="2025-08-11T00:00:00" u="1"/>
        <d v="2025-08-14T00:00:00" u="1"/>
        <d v="2025-08-01T00:00:00" u="1"/>
      </sharedItems>
    </cacheField>
    <cacheField name="Party Name" numFmtId="0">
      <sharedItems containsBlank="1" count="12">
        <s v="Malik Zaheer"/>
        <s v="Aqib"/>
        <s v="Rafaqat"/>
        <s v="Kaleem ullah"/>
        <s v="Ishaq"/>
        <s v="Aurangzeb"/>
        <s v="Irfan Punjabi"/>
        <s v="Amjad wood"/>
        <s v="Rana Babar"/>
        <m/>
        <s v="Shamil" u="1"/>
        <s v="Aqib Freight" u="1"/>
      </sharedItems>
    </cacheField>
    <cacheField name="Vehicle Number" numFmtId="0">
      <sharedItems containsBlank="1" containsMixedTypes="1" containsNumber="1" containsInteger="1" minValue="31" maxValue="9940" count="64">
        <s v="Closing Balance CF"/>
        <s v="TKL 364"/>
        <n v="9662"/>
        <s v="LES 9718"/>
        <s v="APL"/>
        <m/>
        <n v="2223"/>
        <s v="LEI 2223"/>
        <s v="-"/>
        <s v="LEJ 9662"/>
        <n v="8618" u="1"/>
        <n v="3414" u="1"/>
        <n v="112" u="1"/>
        <n v="1435" u="1"/>
        <n v="4646" u="1"/>
        <n v="1196" u="1"/>
        <n v="4366" u="1"/>
        <n v="442" u="1"/>
        <n v="6613" u="1"/>
        <n v="4095" u="1"/>
        <n v="3229" u="1"/>
        <n v="162" u="1"/>
        <n v="8141" u="1"/>
        <n v="5560" u="1"/>
        <n v="685" u="1"/>
        <n v="571" u="1"/>
        <n v="160" u="1"/>
        <n v="6691" u="1"/>
        <n v="1055" u="1"/>
        <n v="8395" u="1"/>
        <n v="4649" u="1"/>
        <n v="52" u="1"/>
        <n v="739" u="1"/>
        <n v="1288" u="1"/>
        <n v="5045" u="1"/>
        <n v="561" u="1"/>
        <n v="447" u="1"/>
        <n v="5946" u="1"/>
        <n v="1910" u="1"/>
        <n v="7286" u="1"/>
        <n v="1961" u="1"/>
        <n v="3220" u="1"/>
        <n v="5679" u="1"/>
        <n v="9373" u="1"/>
        <n v="1973" u="1"/>
        <n v="9940" u="1"/>
        <n v="31" u="1"/>
        <n v="3834" u="1"/>
        <n v="9755" u="1"/>
        <n v="1561" u="1"/>
        <n v="2980" u="1"/>
        <n v="7221" u="1"/>
        <n v="8901" u="1"/>
        <n v="8994" u="1"/>
        <n v="364" u="1"/>
        <n v="4068" u="1"/>
        <n v="6038" u="1"/>
        <n v="2727" u="1"/>
        <n v="2570" u="1"/>
        <n v="6851" u="1"/>
        <n v="303" u="1"/>
        <n v="5963" u="1"/>
        <n v="1671" u="1"/>
        <n v="1972" u="1"/>
      </sharedItems>
    </cacheField>
    <cacheField name="Weight" numFmtId="164">
      <sharedItems containsString="0" containsBlank="1" containsNumber="1" containsInteger="1" minValue="25" maxValue="252"/>
    </cacheField>
    <cacheField name="Rate" numFmtId="164">
      <sharedItems containsString="0" containsBlank="1" containsNumber="1" containsInteger="1" minValue="580" maxValue="850"/>
    </cacheField>
    <cacheField name="Rent" numFmtId="164">
      <sharedItems containsString="0" containsBlank="1" containsNumber="1" containsInteger="1" minValue="53250" maxValue="53250"/>
    </cacheField>
    <cacheField name="Total" numFmtId="164">
      <sharedItems containsSemiMixedTypes="0" containsString="0" containsNumber="1" containsInteger="1" minValue="0" maxValue="207400"/>
    </cacheField>
    <cacheField name="Paid" numFmtId="164">
      <sharedItems containsString="0" containsBlank="1" containsNumber="1" containsInteger="1" minValue="0" maxValue="201000"/>
    </cacheField>
    <cacheField name="balance" numFmtId="164">
      <sharedItems containsSemiMixedTypes="0" containsString="0" containsNumber="1" containsInteger="1" minValue="-201000" maxValue="154625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22.075053125001" createdVersion="8" refreshedVersion="8" minRefreshableVersion="3" recordCount="10" xr:uid="{AC867DCC-CE64-4D1A-827D-F1F3EE10EE4E}">
  <cacheSource type="worksheet">
    <worksheetSource name="Table8"/>
  </cacheSource>
  <cacheFields count="9">
    <cacheField name="Date" numFmtId="0">
      <sharedItems containsSemiMixedTypes="0" containsNonDate="0" containsDate="1" containsString="0" minDate="2025-05-16T00:00:00" maxDate="2025-12-30T00:00:00" count="57">
        <d v="2025-12-17T00:00:00"/>
        <d v="2025-12-18T00:00:00"/>
        <d v="2025-12-22T00:00:00"/>
        <d v="2025-12-26T00:00:00"/>
        <d v="2025-12-25T00:00:00"/>
        <d v="2025-12-27T00:00:00"/>
        <d v="2025-12-29T00:00:00"/>
        <d v="2025-10-17T00:00:00" u="1"/>
        <d v="2025-11-18T00:00:00" u="1"/>
        <d v="2025-11-20T00:00:00" u="1"/>
        <d v="2025-11-22T00:00:00" u="1"/>
        <d v="2025-11-25T00:00:00" u="1"/>
        <d v="2025-11-26T00:00:00" u="1"/>
        <d v="2025-11-27T00:00:00" u="1"/>
        <d v="2025-11-29T00:00:00" u="1"/>
        <d v="2025-12-01T00:00:00" u="1"/>
        <d v="2025-12-02T00:00:00" u="1"/>
        <d v="2025-12-04T00:00:00" u="1"/>
        <d v="2025-12-11T00:00:00" u="1"/>
        <d v="2025-12-09T00:00:00" u="1"/>
        <d v="2025-12-06T00:00:00" u="1"/>
        <d v="2025-12-12T00:00:00" u="1"/>
        <d v="2025-12-16T00:00:00" u="1"/>
        <d v="2025-10-18T00:00:00" u="1"/>
        <d v="2025-10-25T00:00:00" u="1"/>
        <d v="2025-10-30T00:00:00" u="1"/>
        <d v="2025-10-31T00:00:00" u="1"/>
        <d v="2025-11-01T00:00:00" u="1"/>
        <d v="2025-11-13T00:00:00" u="1"/>
        <d v="2025-11-14T00:00:00" u="1"/>
        <d v="2025-11-17T00:00:00" u="1"/>
        <d v="2025-09-16T00:00:00" u="1"/>
        <d v="2025-09-19T00:00:00" u="1"/>
        <d v="2025-09-22T00:00:00" u="1"/>
        <d v="2025-09-26T00:00:00" u="1"/>
        <d v="2025-09-27T00:00:00" u="1"/>
        <d v="2025-10-09T00:00:00" u="1"/>
        <d v="2025-10-14T00:00:00" u="1"/>
        <d v="2025-08-16T00:00:00" u="1"/>
        <d v="2025-08-19T00:00:00" u="1"/>
        <d v="2025-08-20T00:00:00" u="1"/>
        <d v="2025-08-23T00:00:00" u="1"/>
        <d v="2025-09-10T00:00:00" u="1"/>
        <d v="2025-09-13T00:00:00" u="1"/>
        <d v="2025-08-21T00:00:00" u="1"/>
        <d v="2025-08-22T00:00:00" u="1"/>
        <d v="2025-08-24T00:00:00" u="1"/>
        <d v="2025-08-25T00:00:00" u="1"/>
        <d v="2025-08-26T00:00:00" u="1"/>
        <d v="2025-08-27T00:00:00" u="1"/>
        <d v="2025-08-28T00:00:00" u="1"/>
        <d v="2025-05-16T00:00:00" u="1"/>
        <d v="2025-07-24T00:00:00" u="1"/>
        <d v="2025-08-01T00:00:00" u="1"/>
        <d v="2025-08-05T00:00:00" u="1"/>
        <d v="2025-08-11T00:00:00" u="1"/>
        <d v="2025-08-13T00:00:00" u="1"/>
      </sharedItems>
    </cacheField>
    <cacheField name="Chemical Name" numFmtId="0">
      <sharedItems/>
    </cacheField>
    <cacheField name="Boxes" numFmtId="0">
      <sharedItems containsNonDate="0" containsString="0" containsBlank="1"/>
    </cacheField>
    <cacheField name="Rate" numFmtId="0">
      <sharedItems containsNonDate="0" containsString="0" containsBlank="1"/>
    </cacheField>
    <cacheField name="Price" numFmtId="0">
      <sharedItems containsString="0" containsBlank="1" containsNumber="1" containsInteger="1" minValue="84000" maxValue="183750"/>
    </cacheField>
    <cacheField name="Party" numFmtId="0">
      <sharedItems containsBlank="1" count="8">
        <s v="Unicolour"/>
        <s v="madina dyes"/>
        <s v="General Dyes"/>
        <s v="Shafi Dyes"/>
        <s v="usman shafiq Dyes"/>
        <m u="1"/>
        <s v="Al madina" u="1"/>
        <s v="-" u="1"/>
      </sharedItems>
    </cacheField>
    <cacheField name="Paid" numFmtId="0">
      <sharedItems containsSemiMixedTypes="0" containsString="0" containsNumber="1" containsInteger="1" minValue="0" maxValue="183750"/>
    </cacheField>
    <cacheField name="Balance" numFmtId="0">
      <sharedItems containsSemiMixedTypes="0" containsString="0" containsNumber="1" containsInteger="1" minValue="0" maxValue="34000"/>
    </cacheField>
    <cacheField name="info"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22.07505324074" createdVersion="8" refreshedVersion="8" minRefreshableVersion="3" recordCount="17" xr:uid="{C9337D87-FB7F-43A5-B835-F515E859066B}">
  <cacheSource type="worksheet">
    <worksheetSource name="Table4"/>
  </cacheSource>
  <cacheFields count="4">
    <cacheField name="Party Name" numFmtId="0">
      <sharedItems containsMixedTypes="1" containsNumber="1" containsInteger="1" minValue="0" maxValue="0" count="18">
        <s v="BSC"/>
        <s v="Ejaz Sahab"/>
        <s v="Arshad"/>
        <s v="Shehzad Kamoki"/>
        <s v="Sufi Nawaz Sahab"/>
        <s v="Sajad Khan"/>
        <s v="Raaz Fabrics"/>
        <s v="Azam"/>
        <s v="Ubaidullah"/>
        <s v="Ashraf Zia"/>
        <s v="Hafiz Qureshi"/>
        <s v="Badshah Fabrics"/>
        <s v="Reject"/>
        <s v="Amjad 7up"/>
        <s v="Hazrat Khan"/>
        <s v="Haseeb Shamsi"/>
        <s v="Faizan"/>
        <n v="0" u="1"/>
      </sharedItems>
    </cacheField>
    <cacheField name="Tiyaar" numFmtId="1">
      <sharedItems containsSemiMixedTypes="0" containsString="0" containsNumber="1" minValue="0" maxValue="200789.02926115584"/>
    </cacheField>
    <cacheField name="Rate" numFmtId="0">
      <sharedItems containsString="0" containsBlank="1" containsNumber="1" minValue="10" maxValue="12"/>
    </cacheField>
    <cacheField name="Total" numFmtId="164">
      <sharedItems containsSemiMixedTypes="0" containsString="0" containsNumber="1" minValue="0" maxValue="1579608.632040965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22.075053472225" createdVersion="8" refreshedVersion="8" minRefreshableVersion="3" recordCount="216" xr:uid="{B5BDFB73-D93A-4A7A-8149-666BC190B09B}">
  <cacheSource type="worksheet">
    <worksheetSource name="Table14"/>
  </cacheSource>
  <cacheFields count="7">
    <cacheField name="Date" numFmtId="14">
      <sharedItems containsNonDate="0" containsDate="1" containsString="0" containsBlank="1" minDate="2025-12-17T00:00:00" maxDate="2025-12-31T00:00:00"/>
    </cacheField>
    <cacheField name="Party" numFmtId="0">
      <sharedItems containsBlank="1" count="78">
        <s v="Closing CF"/>
        <s v="omer"/>
        <s v="Dasti"/>
        <s v="Loom Ac"/>
        <s v="Salary"/>
        <s v="Malik Zaheer"/>
        <s v="Arb Dasti"/>
        <s v="Madina Dyes"/>
        <s v="hafiz qureshi"/>
        <s v="Parts"/>
        <s v="irfan Punjabi"/>
        <s v="Amjad wood"/>
        <s v="Rafaqat"/>
        <s v="Kaleem ullah"/>
        <s v="Azam"/>
        <s v="Advance salary"/>
        <s v="Misc"/>
        <s v="Transport"/>
        <s v="Electricity"/>
        <s v="Arshad"/>
        <s v="Rana babar"/>
        <s v="shahid Qasayi"/>
        <s v="Sajad khan"/>
        <s v="Badshah Fabrics"/>
        <s v="Faysal Akraam"/>
        <s v="salman Zaffar"/>
        <s v="Rashan"/>
        <s v="Usman shafiq dyes"/>
        <s v="ejaz sahab"/>
        <s v="temp"/>
        <s v="shehzad kamoki"/>
        <s v="sufi nawaz sahab"/>
        <m/>
        <s v="Closing October CF" u="1"/>
        <s v="Aurangzeb" u="1"/>
        <s v="BSC" u="1"/>
        <s v="Finish" u="1"/>
        <s v="Amjad Sohail" u="1"/>
        <s v="Haseeb Shamsi" u="1"/>
        <s v="Ashraf Zia" u="1"/>
        <s v="General Dyes" u="1"/>
        <s v="Faizan" u="1"/>
        <s v="abid ghafoor" u="1"/>
        <s v="Zia-ullah karachi" u="1"/>
        <s v="Ishaq" u="1"/>
        <s v="Unicolour" u="1"/>
        <s v="ibraheem behraam" u="1"/>
        <s v="Shafi Dyes" u="1"/>
        <s v="Ubaidullah" u="1"/>
        <s v="Hameed corporation" u="1"/>
        <s v="Raaz fabrics" u="1"/>
        <s v="ZA" u="1"/>
        <s v="Zia-ullah" u="1"/>
        <s v="Closing September CF" u="1"/>
        <s v="copper" u="1"/>
        <s v="sunsuper theka" u="1"/>
        <s v="Dyes" u="1"/>
        <s v="electric bill" u="1"/>
        <s v="Shafique Ansari" u="1"/>
        <s v="Chain Acc" u="1"/>
        <s v="Amjad 7up" u="1"/>
        <s v="Hazrat khan" u="1"/>
        <s v="Al madina" u="1"/>
        <s v="Closing August CF" u="1"/>
        <s v="Cash" u="1"/>
        <s v="Shamil" u="1"/>
        <s v="AS traders" u="1"/>
        <s v="Closing July CF" u="1"/>
        <s v="Chemicals" u="1"/>
        <s v="Raaz" u="1"/>
        <s v="Diesel" u="1"/>
        <s v="Old Bill" u="1"/>
        <s v="temp (Ashfaq Sahab)" u="1"/>
        <s v="Salary " u="1"/>
        <s v="Aqib" u="1"/>
        <s v="Toll" u="1"/>
        <s v="Self" u="1"/>
        <s v="Aqib Freight" u="1"/>
      </sharedItems>
    </cacheField>
    <cacheField name="Debit" numFmtId="164">
      <sharedItems containsString="0" containsBlank="1" containsNumber="1" containsInteger="1" minValue="140" maxValue="8189253"/>
    </cacheField>
    <cacheField name="Credit" numFmtId="164">
      <sharedItems containsString="0" containsBlank="1" containsNumber="1" containsInteger="1" minValue="-610916" maxValue="7791062"/>
    </cacheField>
    <cacheField name="Description" numFmtId="0">
      <sharedItems containsBlank="1"/>
    </cacheField>
    <cacheField name="Mode" numFmtId="0">
      <sharedItems containsBlank="1"/>
    </cacheField>
    <cacheField name="Withdraw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d v="2025-11-18T00:00:00"/>
    <x v="0"/>
    <s v="November Closing CF"/>
    <s v="Chamki"/>
    <x v="0"/>
    <m/>
    <m/>
    <e v="#DIV/0!"/>
    <n v="2035507.4981711779"/>
    <n v="20355074.981711783"/>
    <m/>
  </r>
  <r>
    <d v="2025-11-18T00:00:00"/>
    <x v="1"/>
    <s v="November Closing CF"/>
    <s v="Chamki"/>
    <x v="0"/>
    <m/>
    <m/>
    <e v="#DIV/0!"/>
    <n v="148145.57425018289"/>
    <n v="1481455.7425018288"/>
    <m/>
  </r>
  <r>
    <d v="2025-11-18T00:00:00"/>
    <x v="2"/>
    <s v="November Closing CF"/>
    <s v="Chamki"/>
    <x v="0"/>
    <m/>
    <m/>
    <e v="#DIV/0!"/>
    <n v="522790.78273591812"/>
    <n v="5227907.8273591809"/>
    <m/>
  </r>
  <r>
    <d v="2025-11-18T00:00:00"/>
    <x v="3"/>
    <s v="November Closing CF"/>
    <s v="Chamki"/>
    <x v="0"/>
    <m/>
    <m/>
    <e v="#DIV/0!"/>
    <n v="123086.13752743235"/>
    <n v="1269270.3440380397"/>
    <m/>
  </r>
  <r>
    <d v="2025-11-18T00:00:00"/>
    <x v="4"/>
    <s v="November Closing CF"/>
    <s v="Chamki"/>
    <x v="0"/>
    <m/>
    <m/>
    <e v="#DIV/0!"/>
    <n v="599330.65106071695"/>
    <n v="5408917.8595464528"/>
    <m/>
  </r>
  <r>
    <d v="2025-11-18T00:00:00"/>
    <x v="5"/>
    <s v="November Closing CF"/>
    <s v="Chamki"/>
    <x v="0"/>
    <m/>
    <m/>
    <e v="#DIV/0!"/>
    <n v="785980.24871982448"/>
    <n v="7859802.4871982448"/>
    <m/>
  </r>
  <r>
    <d v="2025-11-18T00:00:00"/>
    <x v="6"/>
    <s v="November Closing CF"/>
    <s v="Chamki"/>
    <x v="0"/>
    <m/>
    <m/>
    <e v="#DIV/0!"/>
    <n v="139387.34455010976"/>
    <n v="1393873.4455010975"/>
    <m/>
  </r>
  <r>
    <d v="2025-11-18T00:00:00"/>
    <x v="7"/>
    <s v="November Closing CF"/>
    <s v="Chamki"/>
    <x v="0"/>
    <m/>
    <m/>
    <e v="#DIV/0!"/>
    <n v="305469.09290416975"/>
    <n v="3054690.9290416976"/>
    <m/>
  </r>
  <r>
    <d v="2025-11-18T00:00:00"/>
    <x v="8"/>
    <s v="November Closing CF"/>
    <s v="Chamki"/>
    <x v="0"/>
    <m/>
    <m/>
    <e v="#DIV/0!"/>
    <n v="46132.955376737387"/>
    <n v="461329.5537673739"/>
    <m/>
  </r>
  <r>
    <d v="2025-11-18T00:00:00"/>
    <x v="9"/>
    <s v="November Closing CF"/>
    <s v="Chamki"/>
    <x v="0"/>
    <m/>
    <m/>
    <e v="#DIV/0!"/>
    <n v="21310.35113386979"/>
    <n v="255724.21360643749"/>
    <m/>
  </r>
  <r>
    <d v="2025-11-18T00:00:00"/>
    <x v="10"/>
    <s v="November Closing CF"/>
    <s v="Chamki"/>
    <x v="0"/>
    <m/>
    <m/>
    <e v="#DIV/0!"/>
    <n v="185456.29114850037"/>
    <n v="1854562.9114850038"/>
    <m/>
  </r>
  <r>
    <d v="2025-11-18T00:00:00"/>
    <x v="11"/>
    <s v="November Closing CF"/>
    <s v="Chamki"/>
    <x v="0"/>
    <m/>
    <m/>
    <e v="#DIV/0!"/>
    <n v="355909.83906364307"/>
    <n v="3559098.3906364306"/>
    <m/>
  </r>
  <r>
    <d v="2025-11-18T00:00:00"/>
    <x v="12"/>
    <s v="November Closing CF"/>
    <s v="Chamki"/>
    <x v="0"/>
    <m/>
    <m/>
    <e v="#DIV/0!"/>
    <n v="0"/>
    <n v="0"/>
    <m/>
  </r>
  <r>
    <d v="2025-11-18T00:00:00"/>
    <x v="13"/>
    <s v="November Closing CF"/>
    <s v="Chamki"/>
    <x v="0"/>
    <m/>
    <m/>
    <e v="#DIV/0!"/>
    <n v="48385.149963423559"/>
    <n v="483851.49963423557"/>
    <m/>
  </r>
  <r>
    <d v="2025-11-18T00:00:00"/>
    <x v="14"/>
    <s v="November Closing CF"/>
    <s v="Chamki"/>
    <x v="0"/>
    <m/>
    <m/>
    <e v="#DIV/0!"/>
    <n v="8915.5084125822978"/>
    <n v="89155.084125822978"/>
    <m/>
  </r>
  <r>
    <d v="2025-11-18T00:00:00"/>
    <x v="15"/>
    <s v="November Closing CF"/>
    <s v="Chamki"/>
    <x v="0"/>
    <m/>
    <m/>
    <e v="#DIV/0!"/>
    <n v="47437.820043891741"/>
    <n v="474378.20043891744"/>
    <m/>
  </r>
  <r>
    <d v="2025-11-18T00:00:00"/>
    <x v="16"/>
    <s v="November Closing CF"/>
    <s v="Chamki"/>
    <x v="0"/>
    <m/>
    <m/>
    <e v="#DIV/0!"/>
    <n v="0"/>
    <n v="0"/>
    <m/>
  </r>
  <r>
    <d v="2025-11-18T00:00:00"/>
    <x v="17"/>
    <s v="November Closing CF"/>
    <s v="Chamki"/>
    <x v="0"/>
    <m/>
    <m/>
    <e v="#DIV/0!"/>
    <n v="64300.475493782011"/>
    <n v="643004.75493782014"/>
    <m/>
  </r>
  <r>
    <d v="2025-11-18T00:00:00"/>
    <x v="18"/>
    <s v="November Closing CF"/>
    <s v="Chamki"/>
    <x v="0"/>
    <m/>
    <m/>
    <e v="#DIV/0!"/>
    <n v="213946.59839063644"/>
    <n v="2139465.9839063645"/>
    <m/>
  </r>
  <r>
    <d v="2025-11-18T00:00:00"/>
    <x v="19"/>
    <s v="November Closing CF"/>
    <s v="Chamki"/>
    <x v="0"/>
    <m/>
    <m/>
    <e v="#DIV/0!"/>
    <n v="14355.340160936359"/>
    <n v="143553.40160936359"/>
    <m/>
  </r>
  <r>
    <d v="2025-11-18T00:00:00"/>
    <x v="20"/>
    <s v="November Closing CF"/>
    <s v="Chamki"/>
    <x v="0"/>
    <m/>
    <m/>
    <e v="#DIV/0!"/>
    <n v="113495.7937088515"/>
    <n v="1134957.9370885149"/>
    <m/>
  </r>
  <r>
    <d v="2025-11-18T00:00:00"/>
    <x v="21"/>
    <s v="November Closing CF"/>
    <s v="Chamki"/>
    <x v="0"/>
    <m/>
    <m/>
    <e v="#DIV/0!"/>
    <n v="42432.333577176301"/>
    <n v="424323.335771763"/>
    <m/>
  </r>
  <r>
    <d v="2025-11-18T00:00:00"/>
    <x v="22"/>
    <s v="November Closing CF"/>
    <s v="Chamki"/>
    <x v="0"/>
    <m/>
    <m/>
    <e v="#DIV/0!"/>
    <n v="0"/>
    <n v="0"/>
    <m/>
  </r>
  <r>
    <d v="2025-11-18T00:00:00"/>
    <x v="23"/>
    <s v="November Closing CF"/>
    <s v="Chamki"/>
    <x v="0"/>
    <m/>
    <m/>
    <e v="#DIV/0!"/>
    <n v="12456.108266276518"/>
    <n v="124561.08266276518"/>
    <m/>
  </r>
  <r>
    <d v="2025-11-18T00:00:00"/>
    <x v="24"/>
    <s v="November Closing CF"/>
    <s v="Chamki"/>
    <x v="0"/>
    <m/>
    <m/>
    <e v="#DIV/0!"/>
    <n v="0"/>
    <n v="0"/>
    <m/>
  </r>
  <r>
    <d v="2025-11-18T00:00:00"/>
    <x v="25"/>
    <s v="November Closing CF"/>
    <s v="Chamki"/>
    <x v="0"/>
    <m/>
    <m/>
    <e v="#DIV/0!"/>
    <n v="0"/>
    <n v="0"/>
    <m/>
  </r>
  <r>
    <d v="2025-11-18T00:00:00"/>
    <x v="0"/>
    <s v="November Closing CF"/>
    <s v="Silky"/>
    <x v="0"/>
    <m/>
    <m/>
    <e v="#DIV/0!"/>
    <n v="282468.91002194589"/>
    <n v="3583739.941477689"/>
    <m/>
  </r>
  <r>
    <d v="2025-11-18T00:00:00"/>
    <x v="1"/>
    <s v="November Closing CF"/>
    <s v="Silky"/>
    <x v="0"/>
    <m/>
    <m/>
    <e v="#DIV/0!"/>
    <n v="211578.27359180688"/>
    <n v="2691373.4455010975"/>
    <m/>
  </r>
  <r>
    <d v="2025-11-18T00:00:00"/>
    <x v="2"/>
    <s v="November Closing CF"/>
    <s v="Silky"/>
    <x v="0"/>
    <m/>
    <m/>
    <e v="#DIV/0!"/>
    <n v="78112.65544989027"/>
    <n v="1000670.2633504025"/>
    <m/>
  </r>
  <r>
    <d v="2025-11-18T00:00:00"/>
    <x v="3"/>
    <s v="November Closing CF"/>
    <s v="Silky"/>
    <x v="0"/>
    <m/>
    <m/>
    <e v="#DIV/0!"/>
    <n v="0"/>
    <n v="0"/>
    <m/>
  </r>
  <r>
    <d v="2025-11-18T00:00:00"/>
    <x v="4"/>
    <s v="November Closing CF"/>
    <s v="Silky"/>
    <x v="0"/>
    <m/>
    <m/>
    <e v="#DIV/0!"/>
    <n v="485823.88441843458"/>
    <n v="5829886.6130212145"/>
    <m/>
  </r>
  <r>
    <d v="2025-11-18T00:00:00"/>
    <x v="5"/>
    <s v="November Closing CF"/>
    <s v="Silky"/>
    <x v="0"/>
    <m/>
    <m/>
    <e v="#DIV/0!"/>
    <n v="0"/>
    <n v="0"/>
    <m/>
  </r>
  <r>
    <d v="2025-11-18T00:00:00"/>
    <x v="6"/>
    <s v="November Closing CF"/>
    <s v="Silky"/>
    <x v="0"/>
    <m/>
    <m/>
    <e v="#DIV/0!"/>
    <n v="0"/>
    <n v="0"/>
    <m/>
  </r>
  <r>
    <d v="2025-11-18T00:00:00"/>
    <x v="7"/>
    <s v="November Closing CF"/>
    <s v="Silky"/>
    <x v="0"/>
    <m/>
    <m/>
    <e v="#DIV/0!"/>
    <n v="25188.368690563279"/>
    <n v="327448.79297732259"/>
    <m/>
  </r>
  <r>
    <d v="2025-11-18T00:00:00"/>
    <x v="8"/>
    <s v="November Closing CF"/>
    <s v="Silky"/>
    <x v="0"/>
    <m/>
    <m/>
    <e v="#DIV/0!"/>
    <n v="14995.427944403806"/>
    <n v="179945.13533284568"/>
    <m/>
  </r>
  <r>
    <d v="2025-11-18T00:00:00"/>
    <x v="9"/>
    <s v="November Closing CF"/>
    <s v="Silky"/>
    <x v="0"/>
    <m/>
    <m/>
    <e v="#DIV/0!"/>
    <n v="0"/>
    <n v="0"/>
    <m/>
  </r>
  <r>
    <d v="2025-11-18T00:00:00"/>
    <x v="10"/>
    <s v="November Closing CF"/>
    <s v="Silky"/>
    <x v="0"/>
    <m/>
    <m/>
    <e v="#DIV/0!"/>
    <n v="0"/>
    <n v="0"/>
    <m/>
  </r>
  <r>
    <d v="2025-11-18T00:00:00"/>
    <x v="11"/>
    <s v="November Closing CF"/>
    <s v="Silky"/>
    <x v="0"/>
    <m/>
    <m/>
    <e v="#DIV/0!"/>
    <n v="117213.78931967814"/>
    <n v="1460624.5427944404"/>
    <m/>
  </r>
  <r>
    <d v="2025-11-18T00:00:00"/>
    <x v="12"/>
    <s v="November Closing CF"/>
    <s v="Silky"/>
    <x v="0"/>
    <m/>
    <m/>
    <e v="#DIV/0!"/>
    <n v="0"/>
    <n v="0"/>
    <m/>
  </r>
  <r>
    <d v="2025-11-18T00:00:00"/>
    <x v="13"/>
    <s v="November Closing CF"/>
    <s v="Silky"/>
    <x v="0"/>
    <m/>
    <m/>
    <e v="#DIV/0!"/>
    <n v="0"/>
    <n v="0"/>
    <m/>
  </r>
  <r>
    <d v="2025-11-18T00:00:00"/>
    <x v="14"/>
    <s v="November Closing CF"/>
    <s v="Silky"/>
    <x v="0"/>
    <m/>
    <m/>
    <e v="#DIV/0!"/>
    <n v="0"/>
    <n v="0"/>
    <m/>
  </r>
  <r>
    <d v="2025-11-18T00:00:00"/>
    <x v="15"/>
    <s v="November Closing CF"/>
    <s v="Silky"/>
    <x v="0"/>
    <m/>
    <m/>
    <e v="#DIV/0!"/>
    <n v="9232.809070958303"/>
    <n v="120026.51792245793"/>
    <m/>
  </r>
  <r>
    <d v="2025-11-18T00:00:00"/>
    <x v="16"/>
    <s v="November Closing CF"/>
    <s v="Silky"/>
    <x v="0"/>
    <m/>
    <m/>
    <e v="#DIV/0!"/>
    <n v="398433.61375274323"/>
    <n v="5179636.9787856629"/>
    <m/>
  </r>
  <r>
    <d v="2025-11-18T00:00:00"/>
    <x v="17"/>
    <s v="November Closing CF"/>
    <s v="Silky"/>
    <x v="0"/>
    <m/>
    <m/>
    <e v="#DIV/0!"/>
    <n v="7565.8376005852242"/>
    <n v="98355.888807607917"/>
    <m/>
  </r>
  <r>
    <d v="2025-11-18T00:00:00"/>
    <x v="18"/>
    <s v="November Closing CF"/>
    <s v="Silky"/>
    <x v="0"/>
    <m/>
    <m/>
    <e v="#DIV/0!"/>
    <n v="43834.125822970011"/>
    <n v="569843.63569861022"/>
    <m/>
  </r>
  <r>
    <d v="2025-11-18T00:00:00"/>
    <x v="19"/>
    <s v="November Closing CF"/>
    <s v="Silky"/>
    <x v="0"/>
    <m/>
    <m/>
    <e v="#DIV/0!"/>
    <n v="31409.107534747625"/>
    <n v="408318.39795171918"/>
    <m/>
  </r>
  <r>
    <d v="2025-11-18T00:00:00"/>
    <x v="20"/>
    <s v="November Closing CF"/>
    <s v="Silky"/>
    <x v="0"/>
    <m/>
    <m/>
    <e v="#DIV/0!"/>
    <n v="0"/>
    <n v="0"/>
    <m/>
  </r>
  <r>
    <d v="2025-11-18T00:00:00"/>
    <x v="21"/>
    <s v="November Closing CF"/>
    <s v="Silky"/>
    <x v="0"/>
    <m/>
    <m/>
    <e v="#DIV/0!"/>
    <n v="0"/>
    <n v="0"/>
    <m/>
  </r>
  <r>
    <d v="2025-11-18T00:00:00"/>
    <x v="22"/>
    <s v="November Closing CF"/>
    <s v="Silky"/>
    <x v="0"/>
    <m/>
    <m/>
    <e v="#DIV/0!"/>
    <n v="60995.793708851503"/>
    <n v="792945.31821506959"/>
    <m/>
  </r>
  <r>
    <d v="2025-11-18T00:00:00"/>
    <x v="23"/>
    <s v="November Closing CF"/>
    <s v="Silky"/>
    <x v="0"/>
    <m/>
    <m/>
    <e v="#DIV/0!"/>
    <n v="0"/>
    <n v="0"/>
    <m/>
  </r>
  <r>
    <d v="2025-11-18T00:00:00"/>
    <x v="24"/>
    <s v="November Closing CF"/>
    <s v="Silky"/>
    <x v="0"/>
    <m/>
    <m/>
    <e v="#DIV/0!"/>
    <n v="29626.005852231167"/>
    <n v="385138.07607900514"/>
    <m/>
  </r>
  <r>
    <d v="2025-11-18T00:00:00"/>
    <x v="25"/>
    <s v="November Closing CF"/>
    <s v="Silky"/>
    <x v="0"/>
    <m/>
    <m/>
    <e v="#DIV/0!"/>
    <n v="0"/>
    <n v="0"/>
    <m/>
  </r>
  <r>
    <d v="2025-11-18T00:00:00"/>
    <x v="5"/>
    <s v="November Closing CF"/>
    <s v="Slub"/>
    <x v="0"/>
    <m/>
    <m/>
    <e v="#DIV/0!"/>
    <m/>
    <n v="71359.729334308722"/>
    <m/>
  </r>
  <r>
    <d v="2025-11-18T00:00:00"/>
    <x v="16"/>
    <s v="November Closing CF"/>
    <s v="Slub"/>
    <x v="0"/>
    <m/>
    <m/>
    <e v="#DIV/0!"/>
    <m/>
    <n v="44550.109729334312"/>
    <m/>
  </r>
  <r>
    <d v="2025-11-18T00:00:00"/>
    <x v="17"/>
    <s v="November Closing CF"/>
    <s v="Satin"/>
    <x v="0"/>
    <m/>
    <m/>
    <e v="#DIV/0!"/>
    <m/>
    <n v="94656.181419166067"/>
    <m/>
  </r>
  <r>
    <d v="2025-11-18T00:00:00"/>
    <x v="19"/>
    <s v="November Closing CF"/>
    <s v="Black-Chamki"/>
    <x v="0"/>
    <m/>
    <m/>
    <e v="#DIV/0!"/>
    <m/>
    <n v="161653.2553035845"/>
    <m/>
  </r>
  <r>
    <d v="2025-11-18T00:00:00"/>
    <x v="20"/>
    <s v="November Closing CF"/>
    <s v="Kataan"/>
    <x v="0"/>
    <m/>
    <m/>
    <e v="#DIV/0!"/>
    <m/>
    <n v="523143.74542794435"/>
    <m/>
  </r>
  <r>
    <d v="2025-11-18T00:00:00"/>
    <x v="25"/>
    <s v="November Closing CF"/>
    <s v="Munaar"/>
    <x v="0"/>
    <m/>
    <m/>
    <e v="#DIV/0!"/>
    <m/>
    <n v="54170.629114850039"/>
    <m/>
  </r>
  <r>
    <d v="2025-12-18T00:00:00"/>
    <x v="7"/>
    <n v="1256"/>
    <s v="Chamki"/>
    <x v="1"/>
    <n v="50697"/>
    <n v="49746"/>
    <n v="10.274186761201378"/>
    <n v="45488.295537673745"/>
    <n v="454882.95537673746"/>
    <m/>
  </r>
  <r>
    <d v="2025-12-18T00:00:00"/>
    <x v="2"/>
    <n v="1257"/>
    <s v="Chamki"/>
    <x v="2"/>
    <n v="54197"/>
    <n v="28916"/>
    <n v="1.6396859062171956"/>
    <n v="26441.111923920998"/>
    <n v="264411.11923920998"/>
    <m/>
  </r>
  <r>
    <d v="2025-12-18T00:00:00"/>
    <x v="11"/>
    <n v="1258"/>
    <s v="Chamki"/>
    <x v="3"/>
    <n v="38741"/>
    <n v="12375"/>
    <n v="2.6934957751331297"/>
    <n v="11315.837600585224"/>
    <n v="113158.37600585225"/>
    <m/>
  </r>
  <r>
    <d v="2025-12-19T00:00:00"/>
    <x v="11"/>
    <n v="1259"/>
    <s v="Chamki"/>
    <x v="3"/>
    <n v="38741"/>
    <n v="28851"/>
    <n v="2.6934957751331297"/>
    <n v="26381.675201170448"/>
    <n v="263816.75201170449"/>
    <m/>
  </r>
  <r>
    <d v="2025-12-19T00:00:00"/>
    <x v="11"/>
    <n v="1260"/>
    <s v="Chamki"/>
    <x v="4"/>
    <n v="24876"/>
    <n v="16411"/>
    <n v="2.9237689017997326"/>
    <n v="15006.400877834676"/>
    <n v="150064.00877834676"/>
    <m/>
  </r>
  <r>
    <d v="2025-12-20T00:00:00"/>
    <x v="2"/>
    <n v="1261"/>
    <s v="Chamki"/>
    <x v="2"/>
    <n v="54197"/>
    <n v="10108"/>
    <n v="1.6396859062171956"/>
    <n v="9242.8675932699352"/>
    <n v="92428.675932699349"/>
    <m/>
  </r>
  <r>
    <d v="2025-12-20T00:00:00"/>
    <x v="11"/>
    <n v="1262"/>
    <s v="Chamki"/>
    <x v="4"/>
    <n v="24876"/>
    <n v="7846"/>
    <n v="2.9237689017997326"/>
    <n v="7174.4696415508415"/>
    <n v="71744.696415508413"/>
    <m/>
  </r>
  <r>
    <d v="2025-12-20T00:00:00"/>
    <x v="11"/>
    <n v="1263"/>
    <s v="crinkle"/>
    <x v="5"/>
    <n v="50010"/>
    <n v="25414"/>
    <n v="7.1820602960607403"/>
    <n v="23238.844184345282"/>
    <n v="232388.44184345281"/>
    <m/>
  </r>
  <r>
    <d v="2025-12-22T00:00:00"/>
    <x v="0"/>
    <n v="1264"/>
    <s v="crinkle"/>
    <x v="6"/>
    <n v="48198"/>
    <n v="10049"/>
    <n v="20.99845209954924"/>
    <n v="9188.9173372348214"/>
    <n v="91889.173372348218"/>
    <m/>
  </r>
  <r>
    <d v="2025-12-22T00:00:00"/>
    <x v="11"/>
    <n v="1265"/>
    <s v="crinkle"/>
    <x v="5"/>
    <n v="50010"/>
    <n v="25349"/>
    <n v="7.1820602960607403"/>
    <n v="23179.407461594736"/>
    <n v="231794.07461594735"/>
    <m/>
  </r>
  <r>
    <d v="2025-12-23T00:00:00"/>
    <x v="0"/>
    <n v="1266"/>
    <s v="crinkle"/>
    <x v="6"/>
    <n v="48198"/>
    <n v="2439"/>
    <n v="20.99845209954924"/>
    <n v="2230.2487198244335"/>
    <n v="22302.487198244336"/>
    <m/>
  </r>
  <r>
    <d v="2025-12-23T00:00:00"/>
    <x v="0"/>
    <n v="1267"/>
    <s v="Chamki"/>
    <x v="7"/>
    <n v="80202"/>
    <n v="43569"/>
    <n v="1.0043531815888258"/>
    <n v="39839.978054133142"/>
    <n v="398399.78054133139"/>
    <m/>
  </r>
  <r>
    <d v="2025-12-23T00:00:00"/>
    <x v="11"/>
    <n v="1268"/>
    <s v="Chamki"/>
    <x v="4"/>
    <n v="24876"/>
    <n v="2152"/>
    <n v="2.9237689017997326"/>
    <n v="1967.81272860278"/>
    <n v="19678.1272860278"/>
    <m/>
  </r>
  <r>
    <d v="2025-12-23T00:00:00"/>
    <x v="0"/>
    <n v="1269"/>
    <s v="Chamki"/>
    <x v="7"/>
    <n v="80202"/>
    <n v="43259"/>
    <n v="1.0043531815888258"/>
    <n v="39556.510607168988"/>
    <n v="395565.10607168986"/>
    <m/>
  </r>
  <r>
    <d v="2025-12-24T00:00:00"/>
    <x v="2"/>
    <n v="1270"/>
    <s v="Chamki"/>
    <x v="2"/>
    <n v="54197"/>
    <n v="19274"/>
    <n v="1.6396859062171956"/>
    <n v="17624.359912216532"/>
    <n v="176243.59912216532"/>
    <m/>
  </r>
  <r>
    <d v="2025-12-24T00:00:00"/>
    <x v="0"/>
    <n v="1271"/>
    <s v="Chamki"/>
    <x v="8"/>
    <n v="5613"/>
    <n v="1684"/>
    <n v="5.5939348656471992"/>
    <n v="1539.8683247988297"/>
    <n v="15398.683247988298"/>
    <m/>
  </r>
  <r>
    <d v="2025-12-24T00:00:00"/>
    <x v="7"/>
    <n v="1272"/>
    <s v="Chamki"/>
    <x v="9"/>
    <n v="50497"/>
    <n v="1495"/>
    <n v="2.2680901509804556"/>
    <n v="1367.0446232626191"/>
    <n v="13670.446232626191"/>
    <m/>
  </r>
  <r>
    <d v="2025-12-26T00:00:00"/>
    <x v="1"/>
    <n v="1273"/>
    <s v="Silky"/>
    <x v="10"/>
    <n v="25068"/>
    <n v="23918"/>
    <n v="1.3035676828813507"/>
    <n v="21870.885149963426"/>
    <n v="284321.50694952451"/>
    <m/>
  </r>
  <r>
    <d v="2025-12-26T00:00:00"/>
    <x v="1"/>
    <n v="1274"/>
    <s v="Silky"/>
    <x v="10"/>
    <n v="25068"/>
    <n v="3139"/>
    <n v="1.3035676828813507"/>
    <n v="2870.3365032918805"/>
    <n v="37314.374542794445"/>
    <m/>
  </r>
  <r>
    <d v="2025-12-26T00:00:00"/>
    <x v="1"/>
    <n v="1275"/>
    <s v="Silky"/>
    <x v="11"/>
    <n v="9556"/>
    <n v="10218"/>
    <n v="2.2242275388630333"/>
    <n v="9343.4528163862487"/>
    <n v="121464.88661302123"/>
    <m/>
  </r>
  <r>
    <d v="2025-12-26T00:00:00"/>
    <x v="7"/>
    <n v="1276"/>
    <s v="Chamki"/>
    <x v="9"/>
    <n v="50497"/>
    <n v="52476"/>
    <n v="2.2680901509804556"/>
    <n v="47984.637893196785"/>
    <n v="479846.37893196783"/>
    <m/>
  </r>
  <r>
    <d v="2025-12-26T00:00:00"/>
    <x v="0"/>
    <n v="1277"/>
    <s v="Chamki"/>
    <x v="12"/>
    <n v="25579"/>
    <n v="27905"/>
    <n v="0.24378481422199627"/>
    <n v="25516.642282370154"/>
    <n v="255166.42282370155"/>
    <m/>
  </r>
  <r>
    <d v="2025-12-26T00:00:00"/>
    <x v="0"/>
    <n v="1278"/>
    <s v="Chamki"/>
    <x v="8"/>
    <n v="5613"/>
    <n v="4111"/>
    <n v="5.5939348656471992"/>
    <n v="3759.1441111923923"/>
    <n v="37591.441111923923"/>
    <m/>
  </r>
  <r>
    <d v="2025-12-26T00:00:00"/>
    <x v="10"/>
    <n v="1279"/>
    <s v="Chamki"/>
    <x v="13"/>
    <n v="27113"/>
    <n v="29187"/>
    <n v="1.5641303535764166"/>
    <n v="26688.917337234823"/>
    <n v="266889.17337234825"/>
    <m/>
  </r>
  <r>
    <d v="2025-12-26T00:00:00"/>
    <x v="2"/>
    <n v="1280"/>
    <s v="Silky"/>
    <x v="14"/>
    <n v="10254"/>
    <n v="4842"/>
    <n v="56.820961192156666"/>
    <n v="4427.5786393562548"/>
    <n v="57558.522311631314"/>
    <m/>
  </r>
  <r>
    <d v="2025-12-26T00:00:00"/>
    <x v="2"/>
    <n v="1281"/>
    <s v="Silky"/>
    <x v="15"/>
    <n v="20882"/>
    <n v="3112"/>
    <n v="86.372725777835356"/>
    <n v="2845.6474030724216"/>
    <n v="36993.416239941478"/>
    <m/>
  </r>
  <r>
    <d v="2025-12-26T00:00:00"/>
    <x v="2"/>
    <n v="1282"/>
    <s v="Silky"/>
    <x v="16"/>
    <n v="11427"/>
    <n v="6074"/>
    <n v="51.394651804857254"/>
    <n v="5554.1331382589615"/>
    <n v="72203.730797366501"/>
    <m/>
  </r>
  <r>
    <d v="2025-12-26T00:00:00"/>
    <x v="20"/>
    <n v="1283"/>
    <s v="Chamki"/>
    <x v="17"/>
    <n v="28429"/>
    <n v="4538"/>
    <n v="1.0452070653406906"/>
    <n v="4149.597659107535"/>
    <n v="41495.976591075349"/>
    <m/>
  </r>
  <r>
    <d v="2025-12-27T00:00:00"/>
    <x v="20"/>
    <n v="1284"/>
    <s v="Chamki"/>
    <x v="17"/>
    <n v="28429"/>
    <n v="21699"/>
    <n v="1.0452070653406906"/>
    <n v="19841.806876371618"/>
    <n v="198418.06876371618"/>
    <m/>
  </r>
  <r>
    <d v="2025-12-27T00:00:00"/>
    <x v="20"/>
    <n v="1285"/>
    <s v="Chamki"/>
    <x v="18"/>
    <n v="24158"/>
    <n v="21623"/>
    <n v="1.378501068889733"/>
    <n v="19772.31163130944"/>
    <n v="197723.11631309439"/>
    <m/>
  </r>
  <r>
    <d v="2025-12-27T00:00:00"/>
    <x v="20"/>
    <n v="1286"/>
    <s v="Chamki"/>
    <x v="19"/>
    <n v="28662"/>
    <n v="22261"/>
    <n v="1.5178395094718695"/>
    <n v="20355.705925384056"/>
    <n v="203557.05925384056"/>
    <m/>
  </r>
  <r>
    <d v="2025-12-27T00:00:00"/>
    <x v="20"/>
    <n v="1287"/>
    <s v="Chamki"/>
    <x v="18"/>
    <n v="24158"/>
    <n v="4432"/>
    <n v="1.378501068889733"/>
    <n v="4052.6700804681786"/>
    <n v="40526.700804681786"/>
    <m/>
  </r>
  <r>
    <d v="2025-12-27T00:00:00"/>
    <x v="20"/>
    <n v="1288"/>
    <s v="Chamki"/>
    <x v="17"/>
    <n v="28429"/>
    <n v="2277"/>
    <n v="1.0452070653406906"/>
    <n v="2082.1141185076813"/>
    <n v="20821.141185076813"/>
    <m/>
  </r>
  <r>
    <d v="2025-12-27T00:00:00"/>
    <x v="0"/>
    <n v="1289"/>
    <s v="crinkle"/>
    <x v="6"/>
    <n v="48198"/>
    <n v="709.74639999999999"/>
    <n v="20.99845209954924"/>
    <n v="649"/>
    <n v="6490"/>
    <m/>
  </r>
  <r>
    <d v="2025-12-27T00:00:00"/>
    <x v="19"/>
    <n v="1290"/>
    <s v="Chamki"/>
    <x v="20"/>
    <n v="26630"/>
    <n v="8977"/>
    <n v="2.3025716688171087"/>
    <n v="8208.6686174103888"/>
    <n v="82086.686174103888"/>
    <m/>
  </r>
  <r>
    <d v="2025-12-27T00:00:00"/>
    <x v="25"/>
    <n v="1291"/>
    <s v="Munaar"/>
    <x v="21"/>
    <n v="7587"/>
    <n v="8188"/>
    <n v="1.3154310751199034"/>
    <n v="7487.1982443306515"/>
    <n v="97333.577176298466"/>
    <m/>
  </r>
  <r>
    <d v="2025-12-29T00:00:00"/>
    <x v="0"/>
    <n v="1292"/>
    <s v="crinkle"/>
    <x v="6"/>
    <n v="48198"/>
    <n v="28443.442399999996"/>
    <n v="20.99845209954924"/>
    <n v="26009"/>
    <n v="260090"/>
    <m/>
  </r>
  <r>
    <d v="2025-12-29T00:00:00"/>
    <x v="0"/>
    <n v="1293"/>
    <s v="crinkle"/>
    <x v="22"/>
    <n v="0"/>
    <n v="2700.0983999999999"/>
    <e v="#DIV/0!"/>
    <n v="2469"/>
    <n v="24690"/>
    <m/>
  </r>
  <r>
    <d v="2025-12-29T00:00:00"/>
    <x v="0"/>
    <n v="1294"/>
    <s v="crinkle"/>
    <x v="22"/>
    <n v="0"/>
    <n v="2495.5951999999997"/>
    <e v="#DIV/0!"/>
    <n v="2282"/>
    <n v="22820"/>
    <m/>
  </r>
  <r>
    <d v="2025-12-29T00:00:00"/>
    <x v="19"/>
    <n v="1295"/>
    <s v="Chamki"/>
    <x v="20"/>
    <n v="26630"/>
    <n v="19475"/>
    <n v="2.3025716688171087"/>
    <n v="17808.156547183615"/>
    <n v="178081.56547183613"/>
    <m/>
  </r>
  <r>
    <d v="2025-12-29T00:00:00"/>
    <x v="20"/>
    <s v="1296-a"/>
    <s v="Black-Chamki"/>
    <x v="19"/>
    <n v="28662"/>
    <n v="4332"/>
    <n v="1.5178395094718695"/>
    <n v="3961.2289685442579"/>
    <n v="47534.747622531097"/>
    <m/>
  </r>
  <r>
    <d v="2025-12-29T00:00:00"/>
    <x v="20"/>
    <s v="1296-b"/>
    <s v="Chamki"/>
    <x v="19"/>
    <n v="28662"/>
    <n v="4276"/>
    <n v="1.5178395094718695"/>
    <n v="3910.0219458668621"/>
    <n v="39100.219458668624"/>
    <m/>
  </r>
  <r>
    <d v="2025-12-29T00:00:00"/>
    <x v="6"/>
    <n v="1297"/>
    <s v="Chamki"/>
    <x v="23"/>
    <n v="23896"/>
    <n v="22958"/>
    <n v="2.700320016340001"/>
    <n v="20993.050475493783"/>
    <n v="209930.50475493784"/>
    <m/>
  </r>
  <r>
    <d v="2025-12-29T00:00:00"/>
    <x v="0"/>
    <n v="1298"/>
    <s v="Chamki"/>
    <x v="24"/>
    <n v="7853"/>
    <n v="8579"/>
    <n v="0.1052719730907512"/>
    <n v="7844.732991953183"/>
    <n v="78447.329919531825"/>
    <m/>
  </r>
  <r>
    <d v="2025-12-29T00:00:00"/>
    <x v="6"/>
    <n v="1299"/>
    <s v="Chamki"/>
    <x v="23"/>
    <n v="23896"/>
    <n v="2469"/>
    <n v="2.700320016340001"/>
    <n v="2257.6810534016095"/>
    <n v="22576.810534016095"/>
    <m/>
  </r>
  <r>
    <d v="2025-12-29T00:00:00"/>
    <x v="20"/>
    <n v="1300"/>
    <s v="Chamki"/>
    <x v="17"/>
    <n v="28429"/>
    <n v="2251"/>
    <n v="1.0452070653406906"/>
    <n v="2058.3394294074619"/>
    <n v="20583.39429407462"/>
    <m/>
  </r>
  <r>
    <d v="2025-12-29T00:00:00"/>
    <x v="10"/>
    <n v="1301"/>
    <s v="Chamki"/>
    <x v="25"/>
    <n v="23540"/>
    <n v="23101"/>
    <n v="1.3609109989751005"/>
    <n v="21123.811265544991"/>
    <n v="211238.11265544992"/>
    <m/>
  </r>
  <r>
    <d v="2025-12-29T00:00:00"/>
    <x v="10"/>
    <n v="1302"/>
    <s v="Chamki"/>
    <x v="26"/>
    <n v="27665"/>
    <n v="16213"/>
    <n v="4.7627979595792169"/>
    <n v="14825.347476225312"/>
    <n v="148253.47476225311"/>
    <m/>
  </r>
  <r>
    <d v="2025-12-30T00:00:00"/>
    <x v="10"/>
    <n v="1303"/>
    <s v="Chamki"/>
    <x v="26"/>
    <n v="27665"/>
    <n v="13642"/>
    <n v="4.7627979595792169"/>
    <n v="12474.396488661303"/>
    <n v="124743.96488661303"/>
    <m/>
  </r>
  <r>
    <d v="2025-12-30T00:00:00"/>
    <x v="10"/>
    <n v="1304"/>
    <s v="Chamki"/>
    <x v="25"/>
    <n v="23540"/>
    <n v="2292"/>
    <n v="1.3609109989751005"/>
    <n v="2095.8302852962693"/>
    <n v="20958.302852962694"/>
    <m/>
  </r>
  <r>
    <d v="2025-12-30T00:00:00"/>
    <x v="4"/>
    <n v="1305"/>
    <s v="Satin"/>
    <x v="27"/>
    <n v="26032"/>
    <n v="26242"/>
    <n v="7.8212331320092545"/>
    <n v="23995.976591075349"/>
    <n v="239959.76591075349"/>
    <m/>
  </r>
  <r>
    <d v="2025-12-30T00:00:00"/>
    <x v="0"/>
    <n v="1306"/>
    <s v="Chamki"/>
    <x v="28"/>
    <n v="45681"/>
    <n v="35092"/>
    <n v="29.755226469774399"/>
    <n v="32088.514996342357"/>
    <n v="320885.14996342355"/>
    <m/>
  </r>
  <r>
    <d v="2025-12-30T00:00:00"/>
    <x v="0"/>
    <n v="1307"/>
    <s v="Chamki"/>
    <x v="29"/>
    <n v="61388"/>
    <n v="8547"/>
    <n v="87.268730311889087"/>
    <n v="7815.471836137528"/>
    <n v="78154.718361375286"/>
    <m/>
  </r>
  <r>
    <d v="2025-12-30T00:00:00"/>
    <x v="3"/>
    <n v="1308"/>
    <s v="Chamki"/>
    <x v="30"/>
    <n v="8245"/>
    <n v="8850"/>
    <n v="1.8491400210186981"/>
    <n v="8092.5384052670088"/>
    <n v="84971.65325530359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d v="2025-12-17T00:00:00"/>
    <x v="0"/>
    <s v="Closing CF"/>
    <m/>
    <m/>
    <n v="0"/>
    <n v="0"/>
    <n v="0"/>
  </r>
  <r>
    <d v="2025-12-17T00:00:00"/>
    <x v="1"/>
    <s v="Closing CF"/>
    <m/>
    <m/>
    <n v="0"/>
    <n v="0"/>
    <n v="268000"/>
  </r>
  <r>
    <d v="2025-12-17T00:00:00"/>
    <x v="2"/>
    <s v="Closing CF"/>
    <m/>
    <m/>
    <n v="0"/>
    <n v="0"/>
    <n v="0"/>
  </r>
  <r>
    <d v="2025-12-17T00:00:00"/>
    <x v="3"/>
    <s v="Closing CF"/>
    <m/>
    <m/>
    <n v="0"/>
    <n v="0"/>
    <n v="0"/>
  </r>
  <r>
    <d v="2025-12-17T00:00:00"/>
    <x v="4"/>
    <s v="Closing CF"/>
    <m/>
    <m/>
    <n v="0"/>
    <n v="0"/>
    <n v="0"/>
  </r>
  <r>
    <d v="2025-12-20T00:00:00"/>
    <x v="0"/>
    <s v="Starch"/>
    <n v="45"/>
    <m/>
    <n v="351000"/>
    <n v="0"/>
    <n v="351000"/>
  </r>
  <r>
    <d v="2025-12-23T00:00:00"/>
    <x v="1"/>
    <s v="PVA"/>
    <m/>
    <m/>
    <n v="0"/>
    <n v="150000"/>
    <n v="-150000"/>
  </r>
  <r>
    <m/>
    <x v="5"/>
    <m/>
    <m/>
    <m/>
    <n v="0"/>
    <n v="0"/>
    <n v="0"/>
  </r>
  <r>
    <m/>
    <x v="5"/>
    <m/>
    <m/>
    <m/>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x v="0"/>
    <m/>
    <m/>
    <m/>
    <n v="0"/>
    <m/>
    <n v="1546255"/>
  </r>
  <r>
    <x v="0"/>
    <x v="1"/>
    <x v="0"/>
    <m/>
    <m/>
    <m/>
    <n v="0"/>
    <n v="0"/>
    <n v="0"/>
  </r>
  <r>
    <x v="0"/>
    <x v="2"/>
    <x v="0"/>
    <m/>
    <m/>
    <m/>
    <n v="0"/>
    <n v="0"/>
    <n v="136060"/>
  </r>
  <r>
    <x v="0"/>
    <x v="3"/>
    <x v="0"/>
    <m/>
    <m/>
    <m/>
    <n v="0"/>
    <m/>
    <n v="650823"/>
  </r>
  <r>
    <x v="0"/>
    <x v="4"/>
    <x v="0"/>
    <m/>
    <m/>
    <m/>
    <n v="0"/>
    <m/>
    <n v="97520"/>
  </r>
  <r>
    <x v="0"/>
    <x v="5"/>
    <x v="0"/>
    <m/>
    <m/>
    <m/>
    <n v="0"/>
    <m/>
    <n v="326400"/>
  </r>
  <r>
    <x v="0"/>
    <x v="6"/>
    <x v="0"/>
    <m/>
    <m/>
    <m/>
    <n v="0"/>
    <m/>
    <n v="457410"/>
  </r>
  <r>
    <x v="0"/>
    <x v="7"/>
    <x v="0"/>
    <m/>
    <m/>
    <m/>
    <n v="0"/>
    <m/>
    <n v="106960"/>
  </r>
  <r>
    <x v="1"/>
    <x v="0"/>
    <x v="1"/>
    <n v="250"/>
    <n v="810"/>
    <n v="53250"/>
    <n v="202500"/>
    <n v="53250"/>
    <n v="149250"/>
  </r>
  <r>
    <x v="0"/>
    <x v="3"/>
    <x v="2"/>
    <n v="140"/>
    <n v="775"/>
    <m/>
    <n v="108500"/>
    <m/>
    <n v="108500"/>
  </r>
  <r>
    <x v="1"/>
    <x v="3"/>
    <x v="2"/>
    <n v="102"/>
    <n v="775"/>
    <m/>
    <n v="79050"/>
    <m/>
    <n v="79050"/>
  </r>
  <r>
    <x v="1"/>
    <x v="3"/>
    <x v="2"/>
    <n v="33"/>
    <n v="580"/>
    <m/>
    <n v="19140"/>
    <m/>
    <n v="19140"/>
  </r>
  <r>
    <x v="2"/>
    <x v="6"/>
    <x v="3"/>
    <n v="173"/>
    <n v="810"/>
    <m/>
    <n v="140130"/>
    <n v="200025"/>
    <n v="-59895"/>
  </r>
  <r>
    <x v="2"/>
    <x v="8"/>
    <x v="4"/>
    <n v="55"/>
    <n v="720"/>
    <m/>
    <n v="39600"/>
    <m/>
    <n v="39600"/>
  </r>
  <r>
    <x v="2"/>
    <x v="8"/>
    <x v="4"/>
    <n v="47"/>
    <n v="580"/>
    <m/>
    <n v="27260"/>
    <n v="0"/>
    <n v="27260"/>
  </r>
  <r>
    <x v="2"/>
    <x v="0"/>
    <x v="5"/>
    <m/>
    <m/>
    <m/>
    <n v="0"/>
    <n v="200009"/>
    <n v="-200009"/>
  </r>
  <r>
    <x v="2"/>
    <x v="3"/>
    <x v="5"/>
    <m/>
    <m/>
    <m/>
    <n v="0"/>
    <n v="115000"/>
    <n v="-115000"/>
  </r>
  <r>
    <x v="2"/>
    <x v="7"/>
    <x v="5"/>
    <m/>
    <m/>
    <m/>
    <n v="0"/>
    <n v="40000"/>
    <n v="-40000"/>
  </r>
  <r>
    <x v="2"/>
    <x v="2"/>
    <x v="5"/>
    <m/>
    <m/>
    <m/>
    <n v="0"/>
    <n v="50000"/>
    <n v="-50000"/>
  </r>
  <r>
    <x v="3"/>
    <x v="6"/>
    <x v="6"/>
    <n v="174"/>
    <n v="810"/>
    <m/>
    <n v="140940"/>
    <n v="0"/>
    <n v="140940"/>
  </r>
  <r>
    <x v="3"/>
    <x v="3"/>
    <x v="2"/>
    <n v="100"/>
    <n v="775"/>
    <m/>
    <n v="77500"/>
    <m/>
    <n v="77500"/>
  </r>
  <r>
    <x v="3"/>
    <x v="3"/>
    <x v="2"/>
    <n v="42"/>
    <n v="580"/>
    <m/>
    <n v="24360"/>
    <n v="0"/>
    <n v="24360"/>
  </r>
  <r>
    <x v="4"/>
    <x v="8"/>
    <x v="5"/>
    <m/>
    <m/>
    <m/>
    <n v="0"/>
    <n v="10000"/>
    <n v="-10000"/>
  </r>
  <r>
    <x v="5"/>
    <x v="6"/>
    <x v="5"/>
    <m/>
    <m/>
    <m/>
    <n v="0"/>
    <n v="50000"/>
    <n v="-50000"/>
  </r>
  <r>
    <x v="5"/>
    <x v="3"/>
    <x v="2"/>
    <n v="144"/>
    <n v="580"/>
    <m/>
    <n v="83520"/>
    <m/>
    <n v="83520"/>
  </r>
  <r>
    <x v="4"/>
    <x v="3"/>
    <x v="5"/>
    <m/>
    <m/>
    <m/>
    <n v="0"/>
    <n v="100500"/>
    <n v="-100500"/>
  </r>
  <r>
    <x v="6"/>
    <x v="3"/>
    <x v="2"/>
    <n v="109"/>
    <n v="775"/>
    <m/>
    <n v="84475"/>
    <m/>
    <n v="84475"/>
  </r>
  <r>
    <x v="6"/>
    <x v="3"/>
    <x v="2"/>
    <n v="25"/>
    <n v="580"/>
    <m/>
    <n v="14500"/>
    <m/>
    <n v="14500"/>
  </r>
  <r>
    <x v="6"/>
    <x v="3"/>
    <x v="2"/>
    <n v="119"/>
    <n v="775"/>
    <m/>
    <n v="92225"/>
    <m/>
    <n v="92225"/>
  </r>
  <r>
    <x v="6"/>
    <x v="6"/>
    <x v="5"/>
    <m/>
    <m/>
    <m/>
    <n v="0"/>
    <n v="150000"/>
    <n v="-150000"/>
  </r>
  <r>
    <x v="7"/>
    <x v="6"/>
    <x v="7"/>
    <n v="212"/>
    <n v="810"/>
    <m/>
    <n v="171720"/>
    <n v="146000"/>
    <n v="25720"/>
  </r>
  <r>
    <x v="7"/>
    <x v="3"/>
    <x v="2"/>
    <n v="120"/>
    <n v="580"/>
    <m/>
    <n v="69600"/>
    <n v="150000"/>
    <n v="-80400"/>
  </r>
  <r>
    <x v="7"/>
    <x v="3"/>
    <x v="2"/>
    <n v="115"/>
    <n v="775"/>
    <m/>
    <n v="89125"/>
    <m/>
    <n v="89125"/>
  </r>
  <r>
    <x v="8"/>
    <x v="3"/>
    <x v="2"/>
    <n v="117"/>
    <n v="775"/>
    <m/>
    <n v="90675"/>
    <n v="0"/>
    <n v="90675"/>
  </r>
  <r>
    <x v="8"/>
    <x v="3"/>
    <x v="2"/>
    <n v="28"/>
    <n v="580"/>
    <m/>
    <n v="16240"/>
    <n v="0"/>
    <n v="16240"/>
  </r>
  <r>
    <x v="8"/>
    <x v="6"/>
    <x v="8"/>
    <n v="161"/>
    <n v="810"/>
    <m/>
    <n v="130410"/>
    <n v="50000"/>
    <n v="80410"/>
  </r>
  <r>
    <x v="9"/>
    <x v="9"/>
    <x v="5"/>
    <m/>
    <m/>
    <m/>
    <n v="0"/>
    <m/>
    <n v="0"/>
  </r>
  <r>
    <x v="10"/>
    <x v="3"/>
    <x v="5"/>
    <m/>
    <m/>
    <m/>
    <n v="0"/>
    <n v="200300"/>
    <n v="-200300"/>
  </r>
  <r>
    <x v="10"/>
    <x v="0"/>
    <x v="5"/>
    <m/>
    <m/>
    <m/>
    <n v="0"/>
    <n v="200566"/>
    <n v="-200566"/>
  </r>
  <r>
    <x v="10"/>
    <x v="6"/>
    <x v="5"/>
    <m/>
    <m/>
    <m/>
    <n v="0"/>
    <n v="201000"/>
    <n v="-201000"/>
  </r>
  <r>
    <x v="11"/>
    <x v="6"/>
    <x v="5"/>
    <n v="252"/>
    <n v="820"/>
    <m/>
    <n v="206640"/>
    <n v="100000"/>
    <n v="106640"/>
  </r>
  <r>
    <x v="11"/>
    <x v="6"/>
    <x v="5"/>
    <n v="244"/>
    <n v="850"/>
    <m/>
    <n v="207400"/>
    <m/>
    <n v="207400"/>
  </r>
  <r>
    <x v="11"/>
    <x v="3"/>
    <x v="9"/>
    <n v="135"/>
    <n v="580"/>
    <m/>
    <n v="78300"/>
    <m/>
    <n v="78300"/>
  </r>
  <r>
    <x v="11"/>
    <x v="6"/>
    <x v="7"/>
    <n v="201"/>
    <n v="820"/>
    <m/>
    <n v="164820"/>
    <m/>
    <n v="164820"/>
  </r>
  <r>
    <x v="11"/>
    <x v="8"/>
    <x v="5"/>
    <m/>
    <m/>
    <m/>
    <n v="0"/>
    <n v="45000"/>
    <n v="-45000"/>
  </r>
  <r>
    <x v="11"/>
    <x v="7"/>
    <x v="5"/>
    <m/>
    <m/>
    <m/>
    <n v="0"/>
    <n v="40000"/>
    <n v="-40000"/>
  </r>
  <r>
    <x v="11"/>
    <x v="3"/>
    <x v="9"/>
    <n v="128"/>
    <n v="580"/>
    <m/>
    <n v="74240"/>
    <m/>
    <n v="74240"/>
  </r>
  <r>
    <x v="12"/>
    <x v="3"/>
    <x v="5"/>
    <m/>
    <m/>
    <m/>
    <n v="0"/>
    <n v="100000"/>
    <n v="-100000"/>
  </r>
  <r>
    <x v="13"/>
    <x v="6"/>
    <x v="5"/>
    <m/>
    <m/>
    <m/>
    <n v="0"/>
    <n v="0"/>
    <n v="0"/>
  </r>
  <r>
    <x v="9"/>
    <x v="9"/>
    <x v="5"/>
    <m/>
    <m/>
    <m/>
    <n v="0"/>
    <m/>
    <n v="0"/>
  </r>
  <r>
    <x v="9"/>
    <x v="9"/>
    <x v="5"/>
    <m/>
    <m/>
    <m/>
    <n v="0"/>
    <m/>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Dyes"/>
    <m/>
    <m/>
    <m/>
    <x v="0"/>
    <n v="0"/>
    <n v="0"/>
    <s v="closing CF"/>
  </r>
  <r>
    <x v="0"/>
    <s v="Dyes"/>
    <m/>
    <m/>
    <m/>
    <x v="1"/>
    <n v="0"/>
    <n v="0"/>
    <s v="closing CF"/>
  </r>
  <r>
    <x v="0"/>
    <s v="Dyes"/>
    <m/>
    <m/>
    <m/>
    <x v="2"/>
    <n v="0"/>
    <n v="0"/>
    <s v="closing CF"/>
  </r>
  <r>
    <x v="0"/>
    <s v="Dyes"/>
    <m/>
    <m/>
    <m/>
    <x v="3"/>
    <n v="0"/>
    <n v="0"/>
    <s v="closing CF"/>
  </r>
  <r>
    <x v="1"/>
    <s v="Dyes"/>
    <m/>
    <m/>
    <n v="183750"/>
    <x v="1"/>
    <n v="183750"/>
    <n v="0"/>
    <m/>
  </r>
  <r>
    <x v="2"/>
    <s v="Dyes"/>
    <m/>
    <m/>
    <n v="111250"/>
    <x v="1"/>
    <n v="111250"/>
    <n v="0"/>
    <m/>
  </r>
  <r>
    <x v="3"/>
    <s v="Dyes"/>
    <m/>
    <m/>
    <n v="84000"/>
    <x v="1"/>
    <n v="50000"/>
    <n v="34000"/>
    <m/>
  </r>
  <r>
    <x v="4"/>
    <s v="Dyes"/>
    <m/>
    <m/>
    <n v="162500"/>
    <x v="4"/>
    <n v="162500"/>
    <n v="0"/>
    <m/>
  </r>
  <r>
    <x v="5"/>
    <s v="Dyes"/>
    <m/>
    <m/>
    <n v="111000"/>
    <x v="1"/>
    <n v="84000"/>
    <n v="27000"/>
    <m/>
  </r>
  <r>
    <x v="6"/>
    <s v="Dyes"/>
    <m/>
    <m/>
    <n v="180250"/>
    <x v="1"/>
    <n v="161000"/>
    <n v="19250"/>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n v="200789.02926115584"/>
    <n v="10"/>
    <n v="1579608.6320409658"/>
  </r>
  <r>
    <x v="1"/>
    <n v="34084.674469641555"/>
    <n v="10"/>
    <n v="409016.09363569866"/>
  </r>
  <r>
    <x v="2"/>
    <n v="66135.698610095104"/>
    <n v="10"/>
    <n v="687011.70446232636"/>
  </r>
  <r>
    <x v="3"/>
    <n v="8092.5384052670088"/>
    <n v="10.5"/>
    <n v="84971.653255303594"/>
  </r>
  <r>
    <x v="4"/>
    <n v="23995.976591075349"/>
    <n v="10"/>
    <n v="0"/>
  </r>
  <r>
    <x v="5"/>
    <n v="0"/>
    <n v="10"/>
    <n v="0"/>
  </r>
  <r>
    <x v="6"/>
    <n v="23250.731528895394"/>
    <n v="10"/>
    <n v="232507.31528895395"/>
  </r>
  <r>
    <x v="7"/>
    <n v="94839.978054133142"/>
    <n v="10"/>
    <n v="948399.78054133139"/>
  </r>
  <r>
    <x v="8"/>
    <n v="0"/>
    <n v="10"/>
    <n v="0"/>
  </r>
  <r>
    <x v="9"/>
    <n v="0"/>
    <n v="12"/>
    <n v="0"/>
  </r>
  <r>
    <x v="10"/>
    <n v="77208.302852962704"/>
    <m/>
    <n v="772083.02852962702"/>
  </r>
  <r>
    <x v="11"/>
    <n v="108264.44769568399"/>
    <m/>
    <n v="618461.96049743972"/>
  </r>
  <r>
    <x v="12"/>
    <n v="0"/>
    <m/>
    <n v="0"/>
  </r>
  <r>
    <x v="13"/>
    <n v="0"/>
    <m/>
    <n v="0"/>
  </r>
  <r>
    <x v="14"/>
    <n v="0"/>
    <m/>
    <n v="0"/>
  </r>
  <r>
    <x v="15"/>
    <n v="0"/>
    <m/>
    <n v="0"/>
  </r>
  <r>
    <x v="16"/>
    <n v="0"/>
    <m/>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d v="2025-12-17T00:00:00"/>
    <x v="0"/>
    <m/>
    <n v="7791062"/>
    <m/>
    <s v="Bank"/>
    <m/>
  </r>
  <r>
    <d v="2025-12-17T00:00:00"/>
    <x v="0"/>
    <m/>
    <n v="-610916"/>
    <m/>
    <s v="Cash"/>
    <m/>
  </r>
  <r>
    <d v="2025-12-23T00:00:00"/>
    <x v="1"/>
    <m/>
    <n v="323372"/>
    <s v="Nov Balance CF"/>
    <s v="Bank"/>
    <m/>
  </r>
  <r>
    <d v="2025-12-18T00:00:00"/>
    <x v="2"/>
    <n v="500"/>
    <m/>
    <s v="chai"/>
    <s v="Bank"/>
    <m/>
  </r>
  <r>
    <d v="2025-12-18T00:00:00"/>
    <x v="2"/>
    <n v="3600"/>
    <m/>
    <s v="mazdoor"/>
    <s v="Bank"/>
    <m/>
  </r>
  <r>
    <d v="2025-12-18T00:00:00"/>
    <x v="3"/>
    <n v="5000"/>
    <m/>
    <s v="Baba Hamid Sarning"/>
    <s v="Bank"/>
    <m/>
  </r>
  <r>
    <d v="2025-12-18T00:00:00"/>
    <x v="4"/>
    <m/>
    <m/>
    <s v="Ashfaq Sahab theka"/>
    <s v="Bank"/>
    <m/>
  </r>
  <r>
    <d v="2025-12-18T00:00:00"/>
    <x v="1"/>
    <n v="580"/>
    <m/>
    <s v="package"/>
    <s v="Bank"/>
    <m/>
  </r>
  <r>
    <d v="2025-12-18T00:00:00"/>
    <x v="5"/>
    <n v="53250"/>
    <m/>
    <s v="TKL 364"/>
    <s v="Bank"/>
    <m/>
  </r>
  <r>
    <d v="2025-12-18T00:00:00"/>
    <x v="6"/>
    <n v="8189253"/>
    <m/>
    <s v="Nov Balance CF"/>
    <s v="Bank"/>
    <m/>
  </r>
  <r>
    <d v="2025-12-18T00:00:00"/>
    <x v="6"/>
    <m/>
    <n v="66250"/>
    <m/>
    <s v="Bank"/>
    <m/>
  </r>
  <r>
    <d v="2025-12-18T00:00:00"/>
    <x v="7"/>
    <n v="183750"/>
    <m/>
    <s v="Dyes"/>
    <s v="Bank"/>
    <m/>
  </r>
  <r>
    <d v="2025-12-18T00:00:00"/>
    <x v="6"/>
    <m/>
    <n v="183750"/>
    <s v="Madina Dyes"/>
    <s v="Bank"/>
    <m/>
  </r>
  <r>
    <d v="2025-12-19T00:00:00"/>
    <x v="8"/>
    <m/>
    <n v="36500"/>
    <s v="cash"/>
    <s v="Bank"/>
    <m/>
  </r>
  <r>
    <d v="2025-12-19T00:00:00"/>
    <x v="6"/>
    <n v="26500"/>
    <m/>
    <s v="10k cash Hafiz qureshi"/>
    <s v="Bank"/>
    <m/>
  </r>
  <r>
    <d v="2025-12-19T00:00:00"/>
    <x v="2"/>
    <n v="3600"/>
    <m/>
    <s v="mazdoor"/>
    <s v="Bank"/>
    <m/>
  </r>
  <r>
    <d v="2025-12-19T00:00:00"/>
    <x v="9"/>
    <n v="2100"/>
    <m/>
    <s v="silai machine"/>
    <s v="Bank"/>
    <m/>
  </r>
  <r>
    <d v="2025-12-19T00:00:00"/>
    <x v="1"/>
    <n v="140"/>
    <m/>
    <s v="chai"/>
    <s v="Bank"/>
    <m/>
  </r>
  <r>
    <d v="2025-12-19T00:00:00"/>
    <x v="1"/>
    <n v="1230"/>
    <m/>
    <m/>
    <s v="Bank"/>
    <m/>
  </r>
  <r>
    <d v="2025-12-18T00:00:00"/>
    <x v="1"/>
    <n v="1100"/>
    <m/>
    <m/>
    <s v="Bank"/>
    <m/>
  </r>
  <r>
    <d v="2025-12-19T00:00:00"/>
    <x v="6"/>
    <m/>
    <n v="500000"/>
    <s v="cash"/>
    <s v="Bank"/>
    <m/>
  </r>
  <r>
    <d v="2025-12-19T00:00:00"/>
    <x v="6"/>
    <m/>
    <n v="53000"/>
    <m/>
    <s v="Bank"/>
    <m/>
  </r>
  <r>
    <d v="2025-12-19T00:00:00"/>
    <x v="5"/>
    <n v="200009"/>
    <m/>
    <s v="TID:508845"/>
    <s v="Bank"/>
    <m/>
  </r>
  <r>
    <d v="2025-12-19T00:00:00"/>
    <x v="10"/>
    <n v="200025"/>
    <m/>
    <m/>
    <s v="Bank"/>
    <m/>
  </r>
  <r>
    <d v="2025-12-19T00:00:00"/>
    <x v="11"/>
    <n v="40000"/>
    <m/>
    <s v="Zubair ali jc"/>
    <s v="Bank"/>
    <m/>
  </r>
  <r>
    <d v="2025-12-19T00:00:00"/>
    <x v="12"/>
    <n v="50000"/>
    <m/>
    <m/>
    <s v="Bank"/>
    <m/>
  </r>
  <r>
    <d v="2025-12-19T00:00:00"/>
    <x v="13"/>
    <n v="115000"/>
    <m/>
    <m/>
    <s v="Bank"/>
    <m/>
  </r>
  <r>
    <d v="2025-12-19T00:00:00"/>
    <x v="14"/>
    <m/>
    <n v="440000"/>
    <s v="Credit"/>
    <s v="Bank"/>
    <m/>
  </r>
  <r>
    <d v="2025-12-19T00:00:00"/>
    <x v="6"/>
    <n v="440000"/>
    <m/>
    <s v="Azam sahab cred"/>
    <s v="Bank"/>
    <m/>
  </r>
  <r>
    <d v="2025-12-19T00:00:00"/>
    <x v="6"/>
    <m/>
    <n v="100000"/>
    <m/>
    <s v="Bank"/>
    <m/>
  </r>
  <r>
    <d v="2025-12-19T00:00:00"/>
    <x v="9"/>
    <n v="1400"/>
    <m/>
    <s v="jet gutkay"/>
    <s v="Bank"/>
    <m/>
  </r>
  <r>
    <d v="2025-12-19T00:00:00"/>
    <x v="9"/>
    <n v="8575"/>
    <m/>
    <s v="jet"/>
    <s v="Bank"/>
    <m/>
  </r>
  <r>
    <d v="2025-12-19T00:00:00"/>
    <x v="15"/>
    <n v="20000"/>
    <m/>
    <s v="Imran electric"/>
    <s v="Bank"/>
    <m/>
  </r>
  <r>
    <d v="2025-12-19T00:00:00"/>
    <x v="16"/>
    <n v="1470"/>
    <m/>
    <s v="stationary"/>
    <s v="Bank"/>
    <m/>
  </r>
  <r>
    <d v="2025-12-19T00:00:00"/>
    <x v="16"/>
    <n v="1040"/>
    <m/>
    <s v="stationary"/>
    <s v="Bank"/>
    <m/>
  </r>
  <r>
    <d v="2025-12-19T00:00:00"/>
    <x v="17"/>
    <n v="3000"/>
    <m/>
    <s v="petrol"/>
    <s v="Bank"/>
    <m/>
  </r>
  <r>
    <d v="2025-12-19T00:00:00"/>
    <x v="17"/>
    <n v="13000"/>
    <m/>
    <s v="petrol"/>
    <s v="Bank"/>
    <m/>
  </r>
  <r>
    <d v="2025-12-19T00:00:00"/>
    <x v="6"/>
    <m/>
    <n v="13000"/>
    <s v="petrol"/>
    <s v="Bank"/>
    <m/>
  </r>
  <r>
    <d v="2025-12-19T00:00:00"/>
    <x v="15"/>
    <n v="7000"/>
    <m/>
    <s v="nasir"/>
    <s v="Bank"/>
    <m/>
  </r>
  <r>
    <d v="2025-12-19T00:00:00"/>
    <x v="6"/>
    <m/>
    <n v="7000"/>
    <s v="nasir opt"/>
    <s v="Bank"/>
    <m/>
  </r>
  <r>
    <d v="2025-12-19T00:00:00"/>
    <x v="4"/>
    <m/>
    <m/>
    <s v="haseen khan"/>
    <s v="Bank"/>
    <m/>
  </r>
  <r>
    <d v="2025-12-19T00:00:00"/>
    <x v="6"/>
    <m/>
    <n v="22000"/>
    <s v="haseen khan"/>
    <s v="Bank"/>
    <m/>
  </r>
  <r>
    <d v="2025-12-20T00:00:00"/>
    <x v="15"/>
    <n v="2000"/>
    <m/>
    <s v="anayat"/>
    <s v="Bank"/>
    <m/>
  </r>
  <r>
    <d v="2025-12-20T00:00:00"/>
    <x v="14"/>
    <m/>
    <n v="48000"/>
    <s v="jazzcash"/>
    <s v="Bank"/>
    <m/>
  </r>
  <r>
    <d v="2025-12-20T00:00:00"/>
    <x v="17"/>
    <n v="6530"/>
    <m/>
    <s v="workshop"/>
    <s v="Bank"/>
    <m/>
  </r>
  <r>
    <d v="2025-12-20T00:00:00"/>
    <x v="9"/>
    <n v="1100"/>
    <m/>
    <s v="db box"/>
    <s v="Bank"/>
    <m/>
  </r>
  <r>
    <d v="2025-12-20T00:00:00"/>
    <x v="4"/>
    <m/>
    <m/>
    <s v="khubaib"/>
    <s v="Bank"/>
    <m/>
  </r>
  <r>
    <d v="2025-12-20T00:00:00"/>
    <x v="2"/>
    <n v="2000"/>
    <m/>
    <s v="1000 (Qadeer drv)+1000(shave)"/>
    <s v="Bank"/>
    <m/>
  </r>
  <r>
    <d v="2025-12-21T00:00:00"/>
    <x v="6"/>
    <m/>
    <n v="700000"/>
    <s v="bill"/>
    <s v="Bank"/>
    <m/>
  </r>
  <r>
    <d v="2025-12-21T00:00:00"/>
    <x v="10"/>
    <n v="50000"/>
    <m/>
    <m/>
    <s v="Bank"/>
    <m/>
  </r>
  <r>
    <d v="2025-12-22T00:00:00"/>
    <x v="6"/>
    <m/>
    <n v="200000"/>
    <s v="UBL"/>
    <s v="Bank"/>
    <m/>
  </r>
  <r>
    <d v="2025-12-22T00:00:00"/>
    <x v="6"/>
    <m/>
    <n v="500000"/>
    <s v="235k+265K"/>
    <s v="Bank"/>
    <m/>
  </r>
  <r>
    <d v="2025-12-22T00:00:00"/>
    <x v="6"/>
    <m/>
    <n v="635000"/>
    <m/>
    <s v="Bank"/>
    <m/>
  </r>
  <r>
    <d v="2025-12-22T00:00:00"/>
    <x v="6"/>
    <m/>
    <n v="20000"/>
    <s v="khubaib"/>
    <s v="Bank"/>
    <m/>
  </r>
  <r>
    <d v="2025-12-22T00:00:00"/>
    <x v="6"/>
    <m/>
    <n v="50000"/>
    <s v="irfan punjabi"/>
    <s v="Bank"/>
    <m/>
  </r>
  <r>
    <d v="2025-12-22T00:00:00"/>
    <x v="18"/>
    <n v="2047865"/>
    <m/>
    <s v="bill"/>
    <s v="Bank"/>
    <m/>
  </r>
  <r>
    <d v="2025-12-22T00:00:00"/>
    <x v="19"/>
    <m/>
    <n v="200000"/>
    <s v="BAHL"/>
    <s v="Bank"/>
    <m/>
  </r>
  <r>
    <d v="2025-12-22T00:00:00"/>
    <x v="7"/>
    <n v="111250"/>
    <m/>
    <s v="Dyes"/>
    <s v="Bank"/>
    <m/>
  </r>
  <r>
    <d v="2025-12-22T00:00:00"/>
    <x v="6"/>
    <m/>
    <n v="48000"/>
    <s v="cash- madina dyes"/>
    <s v="Bank"/>
    <m/>
  </r>
  <r>
    <d v="2025-12-22T00:00:00"/>
    <x v="4"/>
    <m/>
    <m/>
    <s v="munawar bajwa"/>
    <s v="Bank"/>
    <m/>
  </r>
  <r>
    <d v="2025-12-22T00:00:00"/>
    <x v="2"/>
    <n v="13000"/>
    <m/>
    <s v="mazdoor"/>
    <s v="Bank"/>
    <m/>
  </r>
  <r>
    <d v="2025-12-22T00:00:00"/>
    <x v="1"/>
    <n v="4060"/>
    <m/>
    <m/>
    <s v="Bank"/>
    <m/>
  </r>
  <r>
    <d v="2025-12-22T00:00:00"/>
    <x v="20"/>
    <n v="10000"/>
    <m/>
    <m/>
    <s v="Bank"/>
    <m/>
  </r>
  <r>
    <d v="2025-12-20T00:00:00"/>
    <x v="17"/>
    <n v="5306"/>
    <m/>
    <m/>
    <s v="Bank"/>
    <m/>
  </r>
  <r>
    <d v="2025-12-20T00:00:00"/>
    <x v="1"/>
    <n v="1200"/>
    <m/>
    <s v="package"/>
    <s v="Bank"/>
    <m/>
  </r>
  <r>
    <d v="2025-12-20T00:00:00"/>
    <x v="1"/>
    <n v="1280"/>
    <m/>
    <m/>
    <s v="Bank"/>
    <m/>
  </r>
  <r>
    <d v="2025-12-20T00:00:00"/>
    <x v="21"/>
    <m/>
    <n v="85000"/>
    <m/>
    <s v="Bank"/>
    <m/>
  </r>
  <r>
    <d v="2025-12-20T00:00:00"/>
    <x v="6"/>
    <n v="85000"/>
    <m/>
    <s v="shahid qasayi"/>
    <s v="Bank"/>
    <m/>
  </r>
  <r>
    <d v="2025-12-21T00:00:00"/>
    <x v="22"/>
    <m/>
    <n v="600000"/>
    <s v="TID:828977"/>
    <s v="Bank"/>
    <m/>
  </r>
  <r>
    <d v="2025-12-21T00:00:00"/>
    <x v="6"/>
    <n v="600000"/>
    <m/>
    <s v="Sajad khan/828977"/>
    <s v="Bank"/>
    <m/>
  </r>
  <r>
    <d v="2025-12-22T00:00:00"/>
    <x v="13"/>
    <n v="100500"/>
    <m/>
    <m/>
    <s v="Bank"/>
    <m/>
  </r>
  <r>
    <d v="2025-12-22T00:00:00"/>
    <x v="16"/>
    <n v="300"/>
    <m/>
    <s v="dyes karaya"/>
    <s v="Bank"/>
    <m/>
  </r>
  <r>
    <d v="2025-12-20T00:00:00"/>
    <x v="2"/>
    <n v="2200"/>
    <m/>
    <s v="mali+200 naeem sab"/>
    <s v="Bank"/>
    <m/>
  </r>
  <r>
    <d v="2025-12-23T00:00:00"/>
    <x v="2"/>
    <n v="770"/>
    <m/>
    <s v="ghar"/>
    <s v="Bank"/>
    <m/>
  </r>
  <r>
    <d v="2025-12-23T00:00:00"/>
    <x v="2"/>
    <n v="631454"/>
    <m/>
    <s v="Nov Balance CF"/>
    <s v="Bank"/>
    <m/>
  </r>
  <r>
    <d v="2025-12-23T00:00:00"/>
    <x v="6"/>
    <m/>
    <n v="150000"/>
    <s v="irfan punjabi"/>
    <s v="Bank"/>
    <m/>
  </r>
  <r>
    <d v="2025-12-23T00:00:00"/>
    <x v="10"/>
    <n v="150000"/>
    <m/>
    <s v="TID:654505"/>
    <s v="Bank"/>
    <m/>
  </r>
  <r>
    <d v="2025-12-23T00:00:00"/>
    <x v="6"/>
    <m/>
    <n v="100000"/>
    <s v="TID:344704"/>
    <s v="Bank"/>
    <m/>
  </r>
  <r>
    <d v="2025-12-23T00:00:00"/>
    <x v="4"/>
    <m/>
    <m/>
    <s v="Master Akbar"/>
    <s v="Bank"/>
    <m/>
  </r>
  <r>
    <d v="2025-12-23T00:00:00"/>
    <x v="4"/>
    <m/>
    <m/>
    <s v="Shahid Munir"/>
    <s v="Bank"/>
    <m/>
  </r>
  <r>
    <d v="2025-12-23T00:00:00"/>
    <x v="9"/>
    <n v="3400"/>
    <m/>
    <s v="bearings"/>
    <s v="Bank"/>
    <m/>
  </r>
  <r>
    <d v="2025-12-23T00:00:00"/>
    <x v="17"/>
    <n v="5306"/>
    <m/>
    <s v="petrol"/>
    <s v="Bank"/>
    <m/>
  </r>
  <r>
    <d v="2025-12-20T00:00:00"/>
    <x v="23"/>
    <m/>
    <n v="150000"/>
    <s v="TID:329249"/>
    <s v="Bank"/>
    <m/>
  </r>
  <r>
    <d v="2025-12-20T00:00:00"/>
    <x v="6"/>
    <n v="150000"/>
    <m/>
    <s v="Badshah/329249"/>
    <s v="Bank"/>
    <m/>
  </r>
  <r>
    <d v="2025-12-20T00:00:00"/>
    <x v="23"/>
    <m/>
    <n v="100000"/>
    <s v="TID:759875"/>
    <s v="Bank"/>
    <m/>
  </r>
  <r>
    <d v="2025-12-20T00:00:00"/>
    <x v="6"/>
    <n v="100000"/>
    <m/>
    <s v="Badshah/759875"/>
    <s v="Bank"/>
    <m/>
  </r>
  <r>
    <d v="2025-12-22T00:00:00"/>
    <x v="23"/>
    <m/>
    <n v="140000"/>
    <s v="TID:726134"/>
    <s v="Bank"/>
    <m/>
  </r>
  <r>
    <d v="2025-12-22T00:00:00"/>
    <x v="6"/>
    <n v="140000"/>
    <m/>
    <s v="Badshah/726134"/>
    <s v="Bank"/>
    <m/>
  </r>
  <r>
    <d v="2025-12-23T00:00:00"/>
    <x v="23"/>
    <m/>
    <n v="150000"/>
    <s v="TID:094356"/>
    <s v="Bank"/>
    <m/>
  </r>
  <r>
    <d v="2025-12-23T00:00:00"/>
    <x v="6"/>
    <n v="150000"/>
    <m/>
    <s v="Badshah/094356"/>
    <s v="Bank"/>
    <m/>
  </r>
  <r>
    <d v="2025-12-23T00:00:00"/>
    <x v="21"/>
    <m/>
    <n v="104770"/>
    <s v="thaan+cash (BSC)"/>
    <s v="Bank"/>
    <m/>
  </r>
  <r>
    <d v="2025-12-23T00:00:00"/>
    <x v="6"/>
    <n v="104770"/>
    <m/>
    <s v="shahid qasayi (Maal/BSC)"/>
    <s v="Bank"/>
    <m/>
  </r>
  <r>
    <d v="2025-12-23T00:00:00"/>
    <x v="24"/>
    <n v="150000"/>
    <m/>
    <s v="PVA"/>
    <s v="Bank"/>
    <m/>
  </r>
  <r>
    <d v="2025-12-23T00:00:00"/>
    <x v="6"/>
    <m/>
    <n v="150000"/>
    <s v="Faysal Akraam"/>
    <s v="Bank"/>
    <m/>
  </r>
  <r>
    <d v="2025-12-23T00:00:00"/>
    <x v="6"/>
    <m/>
    <n v="80000"/>
    <s v="salary Ashfaq sahab"/>
    <s v="Bank"/>
    <m/>
  </r>
  <r>
    <d v="2025-12-23T00:00:00"/>
    <x v="6"/>
    <m/>
    <n v="52000"/>
    <s v="afzaal chakki"/>
    <s v="Bank"/>
    <m/>
  </r>
  <r>
    <d v="2025-12-23T00:00:00"/>
    <x v="25"/>
    <m/>
    <n v="713525"/>
    <s v="Against Chamki"/>
    <s v="Bank"/>
    <m/>
  </r>
  <r>
    <d v="2025-12-23T00:00:00"/>
    <x v="6"/>
    <n v="713525"/>
    <m/>
    <s v="salman Zaffar nill"/>
    <s v="Bank"/>
    <m/>
  </r>
  <r>
    <d v="2025-12-24T00:00:00"/>
    <x v="10"/>
    <n v="46000"/>
    <m/>
    <s v="freight"/>
    <s v="Bank"/>
    <m/>
  </r>
  <r>
    <d v="2025-12-24T00:00:00"/>
    <x v="15"/>
    <n v="10000"/>
    <m/>
    <s v="ghulam abbas"/>
    <s v="Bank"/>
    <m/>
  </r>
  <r>
    <d v="2025-12-24T00:00:00"/>
    <x v="17"/>
    <n v="14900"/>
    <m/>
    <s v="petrol"/>
    <s v="Bank"/>
    <m/>
  </r>
  <r>
    <d v="2025-12-24T00:00:00"/>
    <x v="2"/>
    <n v="6736"/>
    <m/>
    <s v="groccery"/>
    <s v="Bank"/>
    <m/>
  </r>
  <r>
    <d v="2025-12-24T00:00:00"/>
    <x v="19"/>
    <m/>
    <n v="130000"/>
    <s v="BAHL"/>
    <s v="Bank"/>
    <m/>
  </r>
  <r>
    <d v="2025-12-24T00:00:00"/>
    <x v="2"/>
    <n v="1880"/>
    <m/>
    <s v="engine oil 2L 697"/>
    <s v="Bank"/>
    <m/>
  </r>
  <r>
    <d v="2025-12-24T00:00:00"/>
    <x v="16"/>
    <n v="1925"/>
    <m/>
    <s v="bank charges"/>
    <s v="Bank"/>
    <m/>
  </r>
  <r>
    <d v="2025-12-24T00:00:00"/>
    <x v="9"/>
    <n v="1500"/>
    <m/>
    <m/>
    <s v="Bank"/>
    <m/>
  </r>
  <r>
    <d v="2025-12-24T00:00:00"/>
    <x v="26"/>
    <n v="16865"/>
    <m/>
    <s v="Bill Nill"/>
    <s v="Bank"/>
    <m/>
  </r>
  <r>
    <d v="2025-12-24T00:00:00"/>
    <x v="4"/>
    <m/>
    <m/>
    <s v="Ashfaq Sahab theka"/>
    <s v="Bank"/>
    <m/>
  </r>
  <r>
    <d v="2025-12-24T00:00:00"/>
    <x v="9"/>
    <n v="2500"/>
    <m/>
    <s v="boiler weld"/>
    <s v="Bank"/>
    <m/>
  </r>
  <r>
    <d v="2025-12-24T00:00:00"/>
    <x v="14"/>
    <m/>
    <n v="120000"/>
    <m/>
    <s v="Bank"/>
    <m/>
  </r>
  <r>
    <d v="2025-12-24T00:00:00"/>
    <x v="19"/>
    <m/>
    <n v="20000"/>
    <s v="Cash"/>
    <s v="Bank"/>
    <m/>
  </r>
  <r>
    <d v="2025-12-24T00:00:00"/>
    <x v="13"/>
    <n v="150000"/>
    <m/>
    <s v="BAHL"/>
    <s v="Bank"/>
    <m/>
  </r>
  <r>
    <d v="2025-12-24T00:00:00"/>
    <x v="10"/>
    <n v="100000"/>
    <m/>
    <s v="BAHL"/>
    <s v="Bank"/>
    <m/>
  </r>
  <r>
    <d v="2025-12-24T00:00:00"/>
    <x v="23"/>
    <m/>
    <n v="150000"/>
    <s v="Cash/125811"/>
    <s v="Bank"/>
    <m/>
  </r>
  <r>
    <d v="2025-12-24T00:00:00"/>
    <x v="1"/>
    <n v="1500"/>
    <m/>
    <s v="food"/>
    <s v="Bank"/>
    <m/>
  </r>
  <r>
    <d v="2025-12-25T00:00:00"/>
    <x v="2"/>
    <n v="1500"/>
    <m/>
    <s v="food"/>
    <s v="Bank"/>
    <m/>
  </r>
  <r>
    <d v="2025-12-25T00:00:00"/>
    <x v="9"/>
    <n v="1800"/>
    <m/>
    <m/>
    <s v="Bank"/>
    <m/>
  </r>
  <r>
    <d v="2025-12-25T00:00:00"/>
    <x v="17"/>
    <n v="5313"/>
    <m/>
    <s v="petrol/935"/>
    <s v="Bank"/>
    <m/>
  </r>
  <r>
    <d v="2025-12-25T00:00:00"/>
    <x v="6"/>
    <m/>
    <n v="162500"/>
    <s v="usman shafiq dyes"/>
    <s v="Bank"/>
    <m/>
  </r>
  <r>
    <d v="2025-12-25T00:00:00"/>
    <x v="27"/>
    <n v="162500"/>
    <m/>
    <m/>
    <s v="Bank"/>
    <m/>
  </r>
  <r>
    <d v="2025-12-25T00:00:00"/>
    <x v="6"/>
    <m/>
    <n v="650"/>
    <s v="bolts"/>
    <s v="Bank"/>
    <m/>
  </r>
  <r>
    <d v="2025-12-25T00:00:00"/>
    <x v="9"/>
    <n v="650"/>
    <m/>
    <s v="bolts"/>
    <s v="Bank"/>
    <m/>
  </r>
  <r>
    <d v="2025-12-25T00:00:00"/>
    <x v="9"/>
    <n v="180"/>
    <m/>
    <m/>
    <s v="Bank"/>
    <m/>
  </r>
  <r>
    <d v="2025-12-25T00:00:00"/>
    <x v="6"/>
    <m/>
    <n v="180"/>
    <s v="bolts"/>
    <s v="Bank"/>
    <m/>
  </r>
  <r>
    <d v="2025-12-25T00:00:00"/>
    <x v="16"/>
    <n v="1100"/>
    <m/>
    <s v="stationary"/>
    <s v="Bank"/>
    <m/>
  </r>
  <r>
    <d v="2025-12-25T00:00:00"/>
    <x v="26"/>
    <n v="20000"/>
    <m/>
    <s v="atta"/>
    <s v="Bank"/>
    <m/>
  </r>
  <r>
    <d v="2025-12-25T00:00:00"/>
    <x v="6"/>
    <m/>
    <n v="25000"/>
    <s v="BAHL"/>
    <s v="Bank"/>
    <m/>
  </r>
  <r>
    <d v="2025-12-25T00:00:00"/>
    <x v="10"/>
    <n v="50000"/>
    <m/>
    <s v="freight"/>
    <s v="Bank"/>
    <m/>
  </r>
  <r>
    <d v="2025-12-26T00:00:00"/>
    <x v="6"/>
    <m/>
    <n v="2600"/>
    <s v="cable"/>
    <s v="Bank"/>
    <m/>
  </r>
  <r>
    <d v="2025-12-26T00:00:00"/>
    <x v="9"/>
    <n v="2600"/>
    <m/>
    <m/>
    <s v="Bank"/>
    <m/>
  </r>
  <r>
    <d v="2025-12-26T00:00:00"/>
    <x v="14"/>
    <m/>
    <n v="300000"/>
    <s v="TID:062397"/>
    <s v="Bank"/>
    <m/>
  </r>
  <r>
    <d v="2025-12-26T00:00:00"/>
    <x v="25"/>
    <m/>
    <n v="100000"/>
    <s v="TID:062397"/>
    <s v="Bank"/>
    <m/>
  </r>
  <r>
    <d v="2025-12-26T00:00:00"/>
    <x v="5"/>
    <n v="200566"/>
    <m/>
    <s v="TID:749585"/>
    <s v="Bank"/>
    <m/>
  </r>
  <r>
    <d v="2025-12-26T00:00:00"/>
    <x v="13"/>
    <n v="200300"/>
    <m/>
    <m/>
    <s v="Bank"/>
    <m/>
  </r>
  <r>
    <d v="2025-12-26T00:00:00"/>
    <x v="7"/>
    <n v="50000"/>
    <m/>
    <s v="Dyes/34k balance"/>
    <s v="Bank"/>
    <m/>
  </r>
  <r>
    <d v="2025-12-26T00:00:00"/>
    <x v="6"/>
    <m/>
    <n v="50000"/>
    <s v="50K+34K"/>
    <s v="Bank"/>
    <m/>
  </r>
  <r>
    <d v="2025-12-26T00:00:00"/>
    <x v="6"/>
    <m/>
    <n v="200000"/>
    <m/>
    <s v="Bank"/>
    <m/>
  </r>
  <r>
    <d v="2025-12-26T00:00:00"/>
    <x v="10"/>
    <n v="201000"/>
    <m/>
    <s v="TID:480293"/>
    <s v="Bank"/>
    <m/>
  </r>
  <r>
    <d v="2025-12-26T00:00:00"/>
    <x v="1"/>
    <n v="770"/>
    <m/>
    <m/>
    <s v="Bank"/>
    <m/>
  </r>
  <r>
    <d v="2025-12-27T00:00:00"/>
    <x v="6"/>
    <m/>
    <n v="100000"/>
    <s v="Cash"/>
    <s v="Bank"/>
    <m/>
  </r>
  <r>
    <d v="2025-12-27T00:00:00"/>
    <x v="20"/>
    <n v="45000"/>
    <m/>
    <s v="Cash"/>
    <s v="Bank"/>
    <m/>
  </r>
  <r>
    <d v="2025-12-27T00:00:00"/>
    <x v="11"/>
    <n v="40000"/>
    <m/>
    <s v="Cash"/>
    <s v="Bank"/>
    <m/>
  </r>
  <r>
    <d v="2025-12-27T00:00:00"/>
    <x v="15"/>
    <n v="5000"/>
    <m/>
    <s v="stenter"/>
    <s v="Bank"/>
    <m/>
  </r>
  <r>
    <d v="2025-12-27T00:00:00"/>
    <x v="16"/>
    <n v="3440"/>
    <m/>
    <s v="medicine"/>
    <s v="Bank"/>
    <m/>
  </r>
  <r>
    <d v="2025-12-27T00:00:00"/>
    <x v="4"/>
    <m/>
    <m/>
    <s v="Usama Jet"/>
    <s v="Bank"/>
    <m/>
  </r>
  <r>
    <d v="2025-12-27T00:00:00"/>
    <x v="6"/>
    <m/>
    <n v="34000"/>
    <s v="Madina Dyes"/>
    <s v="Bank"/>
    <m/>
  </r>
  <r>
    <d v="2025-12-27T00:00:00"/>
    <x v="7"/>
    <n v="34000"/>
    <m/>
    <s v="Balance"/>
    <s v="Bank"/>
    <m/>
  </r>
  <r>
    <d v="2025-12-27T00:00:00"/>
    <x v="8"/>
    <m/>
    <n v="200000"/>
    <s v="TID:247792"/>
    <s v="Bank"/>
    <m/>
  </r>
  <r>
    <d v="2025-12-27T00:00:00"/>
    <x v="6"/>
    <n v="200000"/>
    <m/>
    <s v="Hafiz qureshi"/>
    <s v="Bank"/>
    <m/>
  </r>
  <r>
    <d v="2025-12-27T00:00:00"/>
    <x v="6"/>
    <m/>
    <n v="111000"/>
    <m/>
    <s v="Bank"/>
    <m/>
  </r>
  <r>
    <d v="2025-12-27T00:00:00"/>
    <x v="10"/>
    <n v="100000"/>
    <m/>
    <s v="TID:101964"/>
    <s v="Bank"/>
    <m/>
  </r>
  <r>
    <d v="2025-12-27T00:00:00"/>
    <x v="21"/>
    <m/>
    <n v="150000"/>
    <s v="TID:063335"/>
    <s v="Bank"/>
    <m/>
  </r>
  <r>
    <d v="2025-12-27T00:00:00"/>
    <x v="6"/>
    <n v="150000"/>
    <m/>
    <s v="shahid qasai"/>
    <s v="Bank"/>
    <m/>
  </r>
  <r>
    <d v="2025-12-27T00:00:00"/>
    <x v="6"/>
    <m/>
    <n v="50000"/>
    <m/>
    <s v="Bank"/>
    <m/>
  </r>
  <r>
    <d v="2025-12-27T00:00:00"/>
    <x v="9"/>
    <n v="4150"/>
    <m/>
    <s v="garari"/>
    <s v="Bank"/>
    <m/>
  </r>
  <r>
    <d v="2025-12-27T00:00:00"/>
    <x v="7"/>
    <n v="50000"/>
    <m/>
    <s v="61k left"/>
    <s v="Bank"/>
    <m/>
  </r>
  <r>
    <d v="2025-12-27T00:00:00"/>
    <x v="6"/>
    <m/>
    <n v="50000"/>
    <s v="Madina Dyes"/>
    <s v="Bank"/>
    <m/>
  </r>
  <r>
    <d v="2025-12-27T00:00:00"/>
    <x v="23"/>
    <m/>
    <n v="100000"/>
    <s v="reciept#749"/>
    <s v="Bank"/>
    <m/>
  </r>
  <r>
    <d v="2025-12-27T00:00:00"/>
    <x v="14"/>
    <m/>
    <n v="99920"/>
    <s v="reciept#750"/>
    <s v="Bank"/>
    <m/>
  </r>
  <r>
    <d v="2025-12-27T00:00:00"/>
    <x v="6"/>
    <n v="100000"/>
    <m/>
    <s v="badshah"/>
    <s v="Bank"/>
    <m/>
  </r>
  <r>
    <d v="2025-12-27T00:00:00"/>
    <x v="6"/>
    <n v="99920"/>
    <m/>
    <s v="azam"/>
    <s v="Bank"/>
    <m/>
  </r>
  <r>
    <d v="2025-12-27T00:00:00"/>
    <x v="28"/>
    <m/>
    <n v="148088"/>
    <s v="TID:671487"/>
    <s v="Bank"/>
    <m/>
  </r>
  <r>
    <d v="2025-12-27T00:00:00"/>
    <x v="9"/>
    <n v="590"/>
    <m/>
    <m/>
    <s v="Bank"/>
    <m/>
  </r>
  <r>
    <d v="2025-12-27T00:00:00"/>
    <x v="17"/>
    <n v="2500"/>
    <m/>
    <s v="petrol"/>
    <s v="Bank"/>
    <m/>
  </r>
  <r>
    <d v="2025-12-27T00:00:00"/>
    <x v="9"/>
    <n v="1000"/>
    <m/>
    <m/>
    <s v="Bank"/>
    <m/>
  </r>
  <r>
    <d v="2025-12-27T00:00:00"/>
    <x v="16"/>
    <n v="1000"/>
    <m/>
    <s v="chai"/>
    <s v="Bank"/>
    <m/>
  </r>
  <r>
    <d v="2025-12-28T00:00:00"/>
    <x v="9"/>
    <n v="2630"/>
    <m/>
    <s v="nut qablay"/>
    <s v="Bank"/>
    <m/>
  </r>
  <r>
    <d v="2025-12-28T00:00:00"/>
    <x v="9"/>
    <n v="21000"/>
    <m/>
    <s v="Matt Traders"/>
    <s v="Bank"/>
    <m/>
  </r>
  <r>
    <d v="2025-12-28T00:00:00"/>
    <x v="17"/>
    <n v="1000"/>
    <m/>
    <s v="petrol"/>
    <s v="Bank"/>
    <m/>
  </r>
  <r>
    <d v="2025-12-29T00:00:00"/>
    <x v="7"/>
    <n v="61000"/>
    <m/>
    <s v="Balance"/>
    <s v="Bank"/>
    <m/>
  </r>
  <r>
    <d v="2025-12-29T00:00:00"/>
    <x v="7"/>
    <n v="100000"/>
    <m/>
    <m/>
    <s v="Bank"/>
    <m/>
  </r>
  <r>
    <d v="2025-12-29T00:00:00"/>
    <x v="19"/>
    <m/>
    <n v="200000"/>
    <m/>
    <s v="Bank"/>
    <m/>
  </r>
  <r>
    <d v="2025-12-29T00:00:00"/>
    <x v="13"/>
    <n v="100000"/>
    <m/>
    <m/>
    <s v="Bank"/>
    <m/>
  </r>
  <r>
    <d v="2025-12-29T00:00:00"/>
    <x v="6"/>
    <m/>
    <n v="975000"/>
    <s v="380+100+100+100+100+50+50+95"/>
    <s v="Bank"/>
    <m/>
  </r>
  <r>
    <d v="2025-12-29T00:00:00"/>
    <x v="17"/>
    <n v="10000"/>
    <m/>
    <s v="petrol"/>
    <s v="Bank"/>
    <m/>
  </r>
  <r>
    <d v="2025-12-29T00:00:00"/>
    <x v="17"/>
    <n v="7950"/>
    <m/>
    <s v="petrol"/>
    <s v="Bank"/>
    <m/>
  </r>
  <r>
    <d v="2025-12-29T00:00:00"/>
    <x v="15"/>
    <n v="15000"/>
    <m/>
    <s v="nasir opt"/>
    <s v="Bank"/>
    <m/>
  </r>
  <r>
    <d v="2025-12-29T00:00:00"/>
    <x v="3"/>
    <n v="5000"/>
    <m/>
    <s v="Baba Hamid Sarning"/>
    <s v="Bank"/>
    <m/>
  </r>
  <r>
    <d v="2025-12-29T00:00:00"/>
    <x v="2"/>
    <n v="7200"/>
    <m/>
    <m/>
    <s v="Bank"/>
    <m/>
  </r>
  <r>
    <d v="2025-12-29T00:00:00"/>
    <x v="6"/>
    <m/>
    <n v="50000"/>
    <s v="afzaal chakki"/>
    <s v="Bank"/>
    <m/>
  </r>
  <r>
    <d v="2025-12-29T00:00:00"/>
    <x v="6"/>
    <m/>
    <n v="30000"/>
    <s v="Imran electric"/>
    <s v="Bank"/>
    <m/>
  </r>
  <r>
    <d v="2025-12-29T00:00:00"/>
    <x v="23"/>
    <m/>
    <n v="100000"/>
    <s v="BSC"/>
    <s v="Bank"/>
    <m/>
  </r>
  <r>
    <d v="2025-12-29T00:00:00"/>
    <x v="6"/>
    <n v="100000"/>
    <m/>
    <s v="Badshah Fabrics (100k)"/>
    <s v="Bank"/>
    <m/>
  </r>
  <r>
    <d v="2025-12-30T00:00:00"/>
    <x v="29"/>
    <m/>
    <n v="68900"/>
    <s v="Pending"/>
    <s v="Bank"/>
    <m/>
  </r>
  <r>
    <d v="2025-12-30T00:00:00"/>
    <x v="6"/>
    <m/>
    <n v="194000"/>
    <m/>
    <s v="Bank"/>
    <m/>
  </r>
  <r>
    <d v="2025-12-30T00:00:00"/>
    <x v="21"/>
    <m/>
    <n v="100000"/>
    <s v="TID:310854"/>
    <s v="Bank"/>
    <m/>
  </r>
  <r>
    <d v="2025-12-30T00:00:00"/>
    <x v="21"/>
    <m/>
    <n v="100000"/>
    <s v="cash"/>
    <s v="Bank"/>
    <m/>
  </r>
  <r>
    <d v="2025-12-30T00:00:00"/>
    <x v="30"/>
    <m/>
    <n v="84970"/>
    <m/>
    <s v="Bank"/>
    <m/>
  </r>
  <r>
    <d v="2025-12-30T00:00:00"/>
    <x v="1"/>
    <n v="1183"/>
    <m/>
    <m/>
    <s v="Bank"/>
    <m/>
  </r>
  <r>
    <d v="2025-12-30T00:00:00"/>
    <x v="10"/>
    <n v="200401"/>
    <m/>
    <s v="TID:618716"/>
    <s v="Bank"/>
    <m/>
  </r>
  <r>
    <d v="2025-12-30T00:00:00"/>
    <x v="31"/>
    <m/>
    <n v="239960"/>
    <m/>
    <s v="Bank"/>
    <m/>
  </r>
  <r>
    <d v="2025-12-30T00:00:00"/>
    <x v="13"/>
    <n v="250000"/>
    <m/>
    <m/>
    <s v="Bank"/>
    <m/>
  </r>
  <r>
    <d v="2025-12-30T00:00:00"/>
    <x v="28"/>
    <m/>
    <n v="60000"/>
    <s v="maal BSC"/>
    <s v="Bank"/>
    <m/>
  </r>
  <r>
    <d v="2025-12-30T00:00:00"/>
    <x v="6"/>
    <n v="60000"/>
    <m/>
    <s v="ejaz sahab maal"/>
    <s v="Bank"/>
    <m/>
  </r>
  <r>
    <d v="2025-12-30T00:00:00"/>
    <x v="20"/>
    <n v="11850"/>
    <m/>
    <s v="Bill Nill"/>
    <s v="Bank"/>
    <m/>
  </r>
  <r>
    <d v="2025-12-30T00:00:00"/>
    <x v="11"/>
    <n v="27000"/>
    <m/>
    <s v="Zubair ali jc"/>
    <s v="Bank"/>
    <m/>
  </r>
  <r>
    <d v="2025-12-30T00:00:00"/>
    <x v="15"/>
    <n v="1300"/>
    <m/>
    <s v="Farhaan"/>
    <s v="Bank"/>
    <m/>
  </r>
  <r>
    <d v="2025-12-30T00:00:00"/>
    <x v="15"/>
    <n v="60000"/>
    <m/>
    <s v="ghulam abbas"/>
    <s v="Bank"/>
    <m/>
  </r>
  <r>
    <d v="2025-12-30T00:00:00"/>
    <x v="5"/>
    <n v="1000"/>
    <m/>
    <s v="unloading"/>
    <s v="Bank"/>
    <m/>
  </r>
  <r>
    <d v="2025-12-30T00:00:00"/>
    <x v="10"/>
    <n v="5000"/>
    <m/>
    <s v="unloading"/>
    <s v="Bank"/>
    <m/>
  </r>
  <r>
    <d v="2025-12-30T00:00:00"/>
    <x v="16"/>
    <n v="1000"/>
    <m/>
    <s v="unloading"/>
    <s v="Bank"/>
    <m/>
  </r>
  <r>
    <d v="2025-12-30T00:00:00"/>
    <x v="2"/>
    <n v="3600"/>
    <m/>
    <s v="mazdoor"/>
    <s v="Bank"/>
    <m/>
  </r>
  <r>
    <d v="2025-12-30T00:00:00"/>
    <x v="6"/>
    <n v="200000"/>
    <m/>
    <s v="shahid qasai (100+100)"/>
    <s v="Bank"/>
    <m/>
  </r>
  <r>
    <d v="2025-12-30T00:00:00"/>
    <x v="9"/>
    <n v="1000"/>
    <m/>
    <s v="heaters"/>
    <s v="Bank"/>
    <m/>
  </r>
  <r>
    <d v="2025-12-30T00:00:00"/>
    <x v="9"/>
    <n v="850"/>
    <m/>
    <m/>
    <s v="Bank"/>
    <m/>
  </r>
  <r>
    <d v="2025-12-30T00:00:00"/>
    <x v="29"/>
    <n v="14000"/>
    <m/>
    <s v="Salary//unresolved sabir"/>
    <s v="Bank"/>
    <m/>
  </r>
  <r>
    <d v="2025-12-30T00:00:00"/>
    <x v="9"/>
    <n v="5250"/>
    <m/>
    <m/>
    <s v="Bank"/>
    <m/>
  </r>
  <r>
    <d v="2025-12-30T00:00:00"/>
    <x v="9"/>
    <n v="3500"/>
    <m/>
    <s v="bulbs x10"/>
    <s v="Bank"/>
    <m/>
  </r>
  <r>
    <d v="2025-12-30T00:00:00"/>
    <x v="1"/>
    <n v="100000"/>
    <m/>
    <s v="100k transfer"/>
    <s v="Bank"/>
    <m/>
  </r>
  <r>
    <d v="2025-12-30T00:00:00"/>
    <x v="32"/>
    <m/>
    <m/>
    <m/>
    <m/>
    <m/>
  </r>
  <r>
    <m/>
    <x v="32"/>
    <m/>
    <m/>
    <m/>
    <m/>
    <m/>
  </r>
  <r>
    <m/>
    <x v="32"/>
    <m/>
    <m/>
    <m/>
    <m/>
    <m/>
  </r>
  <r>
    <m/>
    <x v="32"/>
    <m/>
    <m/>
    <m/>
    <m/>
    <m/>
  </r>
  <r>
    <m/>
    <x v="32"/>
    <m/>
    <m/>
    <m/>
    <m/>
    <m/>
  </r>
  <r>
    <m/>
    <x v="32"/>
    <m/>
    <m/>
    <m/>
    <m/>
    <m/>
  </r>
  <r>
    <m/>
    <x v="3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4D32CB-E765-4B1C-8CB9-BD089352B63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7:W75" firstHeaderRow="0" firstDataRow="1" firstDataCol="1"/>
  <pivotFields count="4">
    <pivotField axis="axisRow" showAll="0" includeNewItemsInFilter="1">
      <items count="19">
        <item x="0"/>
        <item x="1"/>
        <item x="2"/>
        <item x="3"/>
        <item x="4"/>
        <item x="5"/>
        <item x="6"/>
        <item x="7"/>
        <item x="8"/>
        <item x="9"/>
        <item x="10"/>
        <item x="11"/>
        <item x="12"/>
        <item x="13"/>
        <item x="14"/>
        <item x="15"/>
        <item m="1" x="17"/>
        <item x="16"/>
        <item t="default"/>
      </items>
    </pivotField>
    <pivotField dataField="1" showAll="0"/>
    <pivotField showAll="0"/>
    <pivotField dataField="1" showAll="0"/>
  </pivotFields>
  <rowFields count="1">
    <field x="0"/>
  </rowFields>
  <rowItems count="18">
    <i>
      <x/>
    </i>
    <i>
      <x v="1"/>
    </i>
    <i>
      <x v="2"/>
    </i>
    <i>
      <x v="3"/>
    </i>
    <i>
      <x v="4"/>
    </i>
    <i>
      <x v="5"/>
    </i>
    <i>
      <x v="6"/>
    </i>
    <i>
      <x v="7"/>
    </i>
    <i>
      <x v="8"/>
    </i>
    <i>
      <x v="9"/>
    </i>
    <i>
      <x v="10"/>
    </i>
    <i>
      <x v="11"/>
    </i>
    <i>
      <x v="12"/>
    </i>
    <i>
      <x v="13"/>
    </i>
    <i>
      <x v="14"/>
    </i>
    <i>
      <x v="15"/>
    </i>
    <i>
      <x v="17"/>
    </i>
    <i t="grand">
      <x/>
    </i>
  </rowItems>
  <colFields count="1">
    <field x="-2"/>
  </colFields>
  <colItems count="2">
    <i>
      <x/>
    </i>
    <i i="1">
      <x v="1"/>
    </i>
  </colItems>
  <dataFields count="2">
    <dataField name="Sum of Tiyaar" fld="1" baseField="0" baseItem="0"/>
    <dataField name="Sum of Total" fld="3" baseField="0" baseItem="0"/>
  </dataFields>
  <formats count="4">
    <format dxfId="133">
      <pivotArea field="0" grandRow="1" outline="0" collapsedLevelsAreSubtotals="1" axis="axisRow" fieldPosition="0">
        <references count="1">
          <reference field="4294967294" count="1" selected="0">
            <x v="1"/>
          </reference>
        </references>
      </pivotArea>
    </format>
    <format dxfId="132">
      <pivotArea field="0" grandRow="1" outline="0" collapsedLevelsAreSubtotals="1" axis="axisRow" fieldPosition="0">
        <references count="1">
          <reference field="4294967294" count="1" selected="0">
            <x v="0"/>
          </reference>
        </references>
      </pivotArea>
    </format>
    <format dxfId="131">
      <pivotArea collapsedLevelsAreSubtotals="1" fieldPosition="0">
        <references count="2">
          <reference field="4294967294" count="1" selected="0">
            <x v="1"/>
          </reference>
          <reference field="0" count="0"/>
        </references>
      </pivotArea>
    </format>
    <format dxfId="130">
      <pivotArea collapsedLevelsAreSubtotals="1" fieldPosition="0">
        <references count="2">
          <reference field="4294967294" count="1" selected="0">
            <x v="0"/>
          </reference>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66807-2FAF-42B6-B070-4BF70FC56CD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ari #">
  <location ref="L8:P48" firstHeaderRow="0" firstDataRow="1" firstDataCol="1" rowPageCount="1" colPageCount="1"/>
  <pivotFields count="9">
    <pivotField axis="axisRow" numFmtId="14" showAll="0">
      <items count="149">
        <item m="1" x="132"/>
        <item m="1" x="133"/>
        <item m="1" x="134"/>
        <item m="1" x="135"/>
        <item m="1" x="136"/>
        <item m="1" x="137"/>
        <item m="1" x="138"/>
        <item m="1" x="147"/>
        <item m="1" x="128"/>
        <item m="1" x="139"/>
        <item m="1" x="140"/>
        <item m="1" x="141"/>
        <item m="1" x="142"/>
        <item m="1" x="143"/>
        <item m="1" x="144"/>
        <item m="1" x="145"/>
        <item m="1" x="99"/>
        <item m="1" x="100"/>
        <item m="1" x="146"/>
        <item m="1" x="101"/>
        <item m="1" x="98"/>
        <item m="1" x="102"/>
        <item m="1" x="104"/>
        <item m="1" x="105"/>
        <item m="1" x="106"/>
        <item m="1" x="108"/>
        <item m="1" x="109"/>
        <item m="1" x="110"/>
        <item m="1" x="103"/>
        <item m="1" x="107"/>
        <item m="1" x="111"/>
        <item m="1" x="112"/>
        <item m="1" x="113"/>
        <item m="1" x="114"/>
        <item m="1" x="97"/>
        <item m="1" x="115"/>
        <item m="1" x="129"/>
        <item m="1" x="130"/>
        <item m="1" x="131"/>
        <item m="1" x="116"/>
        <item m="1" x="117"/>
        <item m="1" x="118"/>
        <item m="1" x="119"/>
        <item m="1" x="120"/>
        <item m="1" x="121"/>
        <item m="1" x="122"/>
        <item m="1" x="123"/>
        <item m="1" x="124"/>
        <item m="1" x="125"/>
        <item m="1" x="126"/>
        <item m="1" x="127"/>
        <item m="1" x="68"/>
        <item m="1" x="69"/>
        <item m="1" x="70"/>
        <item m="1" x="71"/>
        <item m="1" x="72"/>
        <item m="1" x="73"/>
        <item m="1" x="74"/>
        <item m="1" x="75"/>
        <item m="1" x="77"/>
        <item m="1" x="78"/>
        <item m="1" x="79"/>
        <item m="1" x="76"/>
        <item m="1" x="80"/>
        <item m="1" x="81"/>
        <item m="1" x="82"/>
        <item m="1" x="83"/>
        <item m="1" x="84"/>
        <item m="1" x="85"/>
        <item m="1" x="86"/>
        <item m="1" x="87"/>
        <item m="1" x="88"/>
        <item m="1" x="89"/>
        <item m="1" x="90"/>
        <item m="1" x="91"/>
        <item m="1" x="92"/>
        <item m="1" x="93"/>
        <item m="1" x="94"/>
        <item m="1" x="95"/>
        <item m="1" x="96"/>
        <item m="1" x="14"/>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15"/>
        <item m="1" x="18"/>
        <item m="1" x="16"/>
        <item m="1" x="17"/>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x="0"/>
        <item x="1"/>
        <item x="2"/>
        <item x="3"/>
        <item x="4"/>
        <item x="5"/>
        <item x="6"/>
        <item x="7"/>
        <item x="9"/>
        <item x="8"/>
        <item x="10"/>
        <item x="11"/>
        <item x="12"/>
        <item x="13"/>
        <item t="default"/>
      </items>
    </pivotField>
    <pivotField axis="axisPage" showAll="0">
      <items count="13">
        <item x="1"/>
        <item x="0"/>
        <item x="9"/>
        <item m="1" x="11"/>
        <item x="2"/>
        <item x="3"/>
        <item x="4"/>
        <item m="1" x="10"/>
        <item x="5"/>
        <item x="6"/>
        <item x="7"/>
        <item x="8"/>
        <item t="default"/>
      </items>
    </pivotField>
    <pivotField axis="axisRow" showAll="0">
      <items count="65">
        <item m="1" x="54"/>
        <item m="1" x="38"/>
        <item m="1" x="50"/>
        <item m="1" x="20"/>
        <item m="1" x="55"/>
        <item m="1" x="56"/>
        <item m="1" x="51"/>
        <item m="1" x="52"/>
        <item m="1" x="53"/>
        <item m="1" x="31"/>
        <item m="1" x="57"/>
        <item m="1" x="58"/>
        <item m="1" x="59"/>
        <item m="1" x="60"/>
        <item m="1" x="61"/>
        <item m="1" x="62"/>
        <item m="1" x="27"/>
        <item m="1" x="28"/>
        <item m="1" x="63"/>
        <item m="1" x="29"/>
        <item x="0"/>
        <item m="1" x="30"/>
        <item m="1" x="32"/>
        <item m="1" x="33"/>
        <item m="1" x="34"/>
        <item m="1" x="35"/>
        <item m="1" x="36"/>
        <item m="1" x="37"/>
        <item m="1" x="39"/>
        <item m="1" x="40"/>
        <item m="1" x="22"/>
        <item m="1" x="41"/>
        <item m="1" x="42"/>
        <item m="1" x="43"/>
        <item m="1" x="26"/>
        <item m="1" x="44"/>
        <item m="1" x="45"/>
        <item m="1" x="24"/>
        <item m="1" x="46"/>
        <item m="1" x="47"/>
        <item m="1" x="48"/>
        <item m="1" x="49"/>
        <item m="1" x="12"/>
        <item m="1" x="13"/>
        <item m="1" x="14"/>
        <item m="1" x="15"/>
        <item m="1" x="16"/>
        <item m="1" x="17"/>
        <item m="1" x="18"/>
        <item m="1" x="19"/>
        <item m="1" x="21"/>
        <item m="1" x="23"/>
        <item m="1" x="25"/>
        <item m="1" x="11"/>
        <item x="5"/>
        <item x="1"/>
        <item x="2"/>
        <item m="1" x="10"/>
        <item x="3"/>
        <item x="4"/>
        <item x="6"/>
        <item x="7"/>
        <item x="8"/>
        <item x="9"/>
        <item t="default"/>
      </items>
    </pivotField>
    <pivotField dataField="1" numFmtId="164" showAll="0"/>
    <pivotField numFmtId="164" showAll="0"/>
    <pivotField numFmtId="164" showAll="0"/>
    <pivotField dataField="1" numFmtId="164" showAll="0"/>
    <pivotField dataField="1" numFmtId="164" showAll="0"/>
    <pivotField dataField="1" numFmtId="164" showAll="0"/>
  </pivotFields>
  <rowFields count="2">
    <field x="0"/>
    <field x="2"/>
  </rowFields>
  <rowItems count="40">
    <i>
      <x v="134"/>
    </i>
    <i r="1">
      <x v="20"/>
    </i>
    <i r="1">
      <x v="56"/>
    </i>
    <i>
      <x v="135"/>
    </i>
    <i r="1">
      <x v="55"/>
    </i>
    <i r="1">
      <x v="56"/>
    </i>
    <i>
      <x v="136"/>
    </i>
    <i r="1">
      <x v="54"/>
    </i>
    <i r="1">
      <x v="58"/>
    </i>
    <i r="1">
      <x v="59"/>
    </i>
    <i>
      <x v="137"/>
    </i>
    <i r="1">
      <x v="56"/>
    </i>
    <i r="1">
      <x v="60"/>
    </i>
    <i>
      <x v="138"/>
    </i>
    <i r="1">
      <x v="54"/>
    </i>
    <i>
      <x v="139"/>
    </i>
    <i r="1">
      <x v="54"/>
    </i>
    <i r="1">
      <x v="56"/>
    </i>
    <i>
      <x v="140"/>
    </i>
    <i r="1">
      <x v="54"/>
    </i>
    <i r="1">
      <x v="56"/>
    </i>
    <i>
      <x v="141"/>
    </i>
    <i r="1">
      <x v="56"/>
    </i>
    <i r="1">
      <x v="61"/>
    </i>
    <i>
      <x v="142"/>
    </i>
    <i r="1">
      <x v="54"/>
    </i>
    <i>
      <x v="143"/>
    </i>
    <i r="1">
      <x v="56"/>
    </i>
    <i r="1">
      <x v="62"/>
    </i>
    <i>
      <x v="144"/>
    </i>
    <i r="1">
      <x v="54"/>
    </i>
    <i>
      <x v="145"/>
    </i>
    <i r="1">
      <x v="54"/>
    </i>
    <i r="1">
      <x v="61"/>
    </i>
    <i r="1">
      <x v="63"/>
    </i>
    <i>
      <x v="146"/>
    </i>
    <i r="1">
      <x v="54"/>
    </i>
    <i>
      <x v="147"/>
    </i>
    <i r="1">
      <x v="54"/>
    </i>
    <i t="grand">
      <x/>
    </i>
  </rowItems>
  <colFields count="1">
    <field x="-2"/>
  </colFields>
  <colItems count="4">
    <i>
      <x/>
    </i>
    <i i="1">
      <x v="1"/>
    </i>
    <i i="2">
      <x v="2"/>
    </i>
    <i i="3">
      <x v="3"/>
    </i>
  </colItems>
  <pageFields count="1">
    <pageField fld="1" hier="-1"/>
  </pageFields>
  <dataFields count="4">
    <dataField name="Sum of Weight" fld="3" baseField="0" baseItem="0" numFmtId="164"/>
    <dataField name="Sum of total" fld="6" baseField="0" baseItem="0" numFmtId="164"/>
    <dataField name="Sum of Paid" fld="7" baseField="0" baseItem="0" numFmtId="164"/>
    <dataField name="Sum of balance" fld="8" baseField="0" baseItem="0" numFmtId="164"/>
  </dataFields>
  <formats count="2">
    <format dxfId="88">
      <pivotArea dataOnly="0" labelOnly="1" outline="0" fieldPosition="0">
        <references count="1">
          <reference field="1" count="1">
            <x v="1"/>
          </reference>
        </references>
      </pivotArea>
    </format>
    <format dxfId="87">
      <pivotArea dataOnly="0" labelOnly="1" outline="0"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047DD-2C16-4A8B-96A1-89F799ED19D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3:L197" firstHeaderRow="0" firstDataRow="1" firstDataCol="1"/>
  <pivotFields count="7">
    <pivotField numFmtId="14" showAll="0"/>
    <pivotField axis="axisRow" showAll="0">
      <items count="79">
        <item x="15"/>
        <item x="19"/>
        <item m="1" x="35"/>
        <item m="1" x="64"/>
        <item m="1" x="68"/>
        <item m="1" x="36"/>
        <item x="5"/>
        <item x="16"/>
        <item x="9"/>
        <item x="26"/>
        <item x="4"/>
        <item m="1" x="76"/>
        <item x="30"/>
        <item x="17"/>
        <item x="24"/>
        <item m="1" x="74"/>
        <item x="2"/>
        <item x="29"/>
        <item x="1"/>
        <item x="28"/>
        <item x="32"/>
        <item x="22"/>
        <item m="1" x="77"/>
        <item x="31"/>
        <item x="8"/>
        <item m="1" x="75"/>
        <item m="1" x="67"/>
        <item m="1" x="45"/>
        <item m="1" x="69"/>
        <item m="1" x="70"/>
        <item m="1" x="71"/>
        <item m="1" x="72"/>
        <item m="1" x="48"/>
        <item m="1" x="73"/>
        <item m="1" x="50"/>
        <item x="12"/>
        <item m="1" x="56"/>
        <item x="14"/>
        <item m="1" x="63"/>
        <item m="1" x="59"/>
        <item x="23"/>
        <item x="13"/>
        <item m="1" x="44"/>
        <item m="1" x="65"/>
        <item x="6"/>
        <item m="1" x="66"/>
        <item m="1" x="53"/>
        <item m="1" x="41"/>
        <item x="7"/>
        <item m="1" x="54"/>
        <item m="1" x="55"/>
        <item m="1" x="57"/>
        <item m="1" x="58"/>
        <item m="1" x="60"/>
        <item m="1" x="37"/>
        <item m="1" x="38"/>
        <item m="1" x="61"/>
        <item m="1" x="62"/>
        <item m="1" x="34"/>
        <item m="1" x="40"/>
        <item m="1" x="33"/>
        <item x="18"/>
        <item m="1" x="39"/>
        <item m="1" x="42"/>
        <item m="1" x="52"/>
        <item x="3"/>
        <item m="1" x="46"/>
        <item m="1" x="47"/>
        <item x="21"/>
        <item m="1" x="43"/>
        <item x="10"/>
        <item m="1" x="49"/>
        <item x="11"/>
        <item m="1" x="51"/>
        <item x="0"/>
        <item x="20"/>
        <item x="25"/>
        <item x="27"/>
        <item t="default"/>
      </items>
    </pivotField>
    <pivotField dataField="1" showAll="0"/>
    <pivotField dataField="1" showAll="0"/>
    <pivotField showAll="0"/>
    <pivotField showAll="0"/>
    <pivotField showAll="0"/>
  </pivotFields>
  <rowFields count="1">
    <field x="1"/>
  </rowFields>
  <rowItems count="34">
    <i>
      <x/>
    </i>
    <i>
      <x v="1"/>
    </i>
    <i>
      <x v="6"/>
    </i>
    <i>
      <x v="7"/>
    </i>
    <i>
      <x v="8"/>
    </i>
    <i>
      <x v="9"/>
    </i>
    <i>
      <x v="10"/>
    </i>
    <i>
      <x v="12"/>
    </i>
    <i>
      <x v="13"/>
    </i>
    <i>
      <x v="14"/>
    </i>
    <i>
      <x v="16"/>
    </i>
    <i>
      <x v="17"/>
    </i>
    <i>
      <x v="18"/>
    </i>
    <i>
      <x v="19"/>
    </i>
    <i>
      <x v="20"/>
    </i>
    <i>
      <x v="21"/>
    </i>
    <i>
      <x v="23"/>
    </i>
    <i>
      <x v="24"/>
    </i>
    <i>
      <x v="35"/>
    </i>
    <i>
      <x v="37"/>
    </i>
    <i>
      <x v="40"/>
    </i>
    <i>
      <x v="41"/>
    </i>
    <i>
      <x v="44"/>
    </i>
    <i>
      <x v="48"/>
    </i>
    <i>
      <x v="61"/>
    </i>
    <i>
      <x v="65"/>
    </i>
    <i>
      <x v="68"/>
    </i>
    <i>
      <x v="70"/>
    </i>
    <i>
      <x v="72"/>
    </i>
    <i>
      <x v="74"/>
    </i>
    <i>
      <x v="75"/>
    </i>
    <i>
      <x v="76"/>
    </i>
    <i>
      <x v="77"/>
    </i>
    <i t="grand">
      <x/>
    </i>
  </rowItems>
  <colFields count="1">
    <field x="-2"/>
  </colFields>
  <colItems count="2">
    <i>
      <x/>
    </i>
    <i i="1">
      <x v="1"/>
    </i>
  </colItems>
  <dataFields count="2">
    <dataField name="Sum of Credit" fld="3" baseField="0" baseItem="0"/>
    <dataField name="Sum of Debit" fld="2" baseField="0" baseItem="0"/>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01352D-875A-40F5-872B-61931E55FFF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M17" firstHeaderRow="0" firstDataRow="1" firstDataCol="1" rowPageCount="1" colPageCount="1"/>
  <pivotFields count="9">
    <pivotField axis="axisRow" showAll="0">
      <items count="58">
        <item m="1" x="52"/>
        <item m="1" x="53"/>
        <item m="1" x="54"/>
        <item m="1" x="55"/>
        <item m="1" x="56"/>
        <item m="1" x="51"/>
        <item m="1" x="39"/>
        <item m="1" x="40"/>
        <item m="1" x="44"/>
        <item m="1" x="45"/>
        <item m="1" x="41"/>
        <item m="1" x="46"/>
        <item m="1" x="47"/>
        <item m="1" x="48"/>
        <item m="1" x="49"/>
        <item m="1" x="50"/>
        <item m="1" x="38"/>
        <item m="1" x="42"/>
        <item m="1" x="43"/>
        <item m="1" x="31"/>
        <item m="1" x="32"/>
        <item m="1" x="33"/>
        <item m="1" x="34"/>
        <item m="1" x="35"/>
        <item m="1" x="36"/>
        <item m="1" x="37"/>
        <item m="1" x="7"/>
        <item m="1" x="23"/>
        <item m="1" x="24"/>
        <item m="1" x="25"/>
        <item m="1" x="26"/>
        <item m="1" x="27"/>
        <item m="1" x="28"/>
        <item m="1" x="29"/>
        <item m="1" x="30"/>
        <item m="1" x="8"/>
        <item m="1" x="9"/>
        <item m="1" x="10"/>
        <item m="1" x="11"/>
        <item m="1" x="12"/>
        <item m="1" x="13"/>
        <item m="1" x="14"/>
        <item m="1" x="16"/>
        <item m="1" x="17"/>
        <item m="1" x="15"/>
        <item m="1" x="18"/>
        <item m="1" x="19"/>
        <item m="1" x="20"/>
        <item m="1" x="21"/>
        <item m="1" x="22"/>
        <item x="0"/>
        <item x="1"/>
        <item x="2"/>
        <item x="3"/>
        <item x="4"/>
        <item x="5"/>
        <item x="6"/>
        <item t="default"/>
      </items>
    </pivotField>
    <pivotField showAll="0"/>
    <pivotField showAll="0"/>
    <pivotField showAll="0"/>
    <pivotField dataField="1" showAll="0"/>
    <pivotField axis="axisPage" showAll="0">
      <items count="9">
        <item x="0"/>
        <item m="1" x="5"/>
        <item m="1" x="7"/>
        <item m="1" x="6"/>
        <item x="1"/>
        <item x="2"/>
        <item x="3"/>
        <item x="4"/>
        <item t="default"/>
      </items>
    </pivotField>
    <pivotField showAll="0"/>
    <pivotField dataField="1" showAll="0"/>
    <pivotField showAll="0"/>
  </pivotFields>
  <rowFields count="1">
    <field x="0"/>
  </rowFields>
  <rowItems count="8">
    <i>
      <x v="50"/>
    </i>
    <i>
      <x v="51"/>
    </i>
    <i>
      <x v="52"/>
    </i>
    <i>
      <x v="53"/>
    </i>
    <i>
      <x v="54"/>
    </i>
    <i>
      <x v="55"/>
    </i>
    <i>
      <x v="56"/>
    </i>
    <i t="grand">
      <x/>
    </i>
  </rowItems>
  <colFields count="1">
    <field x="-2"/>
  </colFields>
  <colItems count="2">
    <i>
      <x/>
    </i>
    <i i="1">
      <x v="1"/>
    </i>
  </colItems>
  <pageFields count="1">
    <pageField fld="5" hier="-1"/>
  </pageFields>
  <dataFields count="2">
    <dataField name="Sum of Price" fld="4" baseField="0" baseItem="0"/>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051E1-B88F-4951-8A35-C5B5AE69E8E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M11" firstHeaderRow="0" firstDataRow="1" firstDataCol="1"/>
  <pivotFields count="8">
    <pivotField numFmtId="14" showAll="0"/>
    <pivotField axis="axisRow" showAll="0">
      <items count="9">
        <item m="1" x="7"/>
        <item x="5"/>
        <item x="1"/>
        <item m="1" x="6"/>
        <item x="0"/>
        <item x="2"/>
        <item x="3"/>
        <item x="4"/>
        <item t="default"/>
      </items>
    </pivotField>
    <pivotField showAll="0"/>
    <pivotField showAll="0"/>
    <pivotField showAll="0"/>
    <pivotField dataField="1" showAll="0"/>
    <pivotField dataField="1" showAll="0"/>
    <pivotField dataField="1" showAll="0"/>
  </pivotFields>
  <rowFields count="1">
    <field x="1"/>
  </rowFields>
  <rowItems count="7">
    <i>
      <x v="1"/>
    </i>
    <i>
      <x v="2"/>
    </i>
    <i>
      <x v="4"/>
    </i>
    <i>
      <x v="5"/>
    </i>
    <i>
      <x v="6"/>
    </i>
    <i>
      <x v="7"/>
    </i>
    <i t="grand">
      <x/>
    </i>
  </rowItems>
  <colFields count="1">
    <field x="-2"/>
  </colFields>
  <colItems count="3">
    <i>
      <x/>
    </i>
    <i i="1">
      <x v="1"/>
    </i>
    <i i="2">
      <x v="2"/>
    </i>
  </colItems>
  <dataFields count="3">
    <dataField name="Sum of Price" fld="5" baseField="0" baseItem="0"/>
    <dataField name="Sum of Paid" fld="6" baseField="0" baseItem="0"/>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1D3480-4DC4-4678-B47A-3C0EAA1BC1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ment number">
  <location ref="A3:C35" firstHeaderRow="0" firstDataRow="1" firstDataCol="1" rowPageCount="1" colPageCount="1"/>
  <pivotFields count="14">
    <pivotField showAll="0"/>
    <pivotField axis="axisPage" multipleItemSelectionAllowed="1" showAll="0">
      <items count="34">
        <item m="1" x="30"/>
        <item x="2"/>
        <item x="0"/>
        <item x="1"/>
        <item m="1" x="32"/>
        <item m="1" x="28"/>
        <item x="6"/>
        <item m="1" x="31"/>
        <item x="3"/>
        <item x="4"/>
        <item m="1" x="29"/>
        <item m="1" x="27"/>
        <item m="1" x="26"/>
        <item x="5"/>
        <item x="10"/>
        <item x="8"/>
        <item x="9"/>
        <item x="7"/>
        <item x="11"/>
        <item x="12"/>
        <item x="13"/>
        <item x="14"/>
        <item x="15"/>
        <item x="16"/>
        <item x="17"/>
        <item x="18"/>
        <item x="19"/>
        <item x="20"/>
        <item x="21"/>
        <item x="22"/>
        <item x="23"/>
        <item x="24"/>
        <item x="25"/>
        <item t="default"/>
      </items>
    </pivotField>
    <pivotField showAll="0"/>
    <pivotField showAll="0"/>
    <pivotField axis="axisRow" showAll="0">
      <items count="351">
        <item m="1" x="333"/>
        <item m="1" x="334"/>
        <item m="1" x="332"/>
        <item m="1" x="331"/>
        <item m="1" x="335"/>
        <item m="1" x="337"/>
        <item m="1" x="336"/>
        <item m="1" x="338"/>
        <item m="1" x="339"/>
        <item m="1" x="340"/>
        <item m="1" x="341"/>
        <item m="1" x="342"/>
        <item m="1" x="343"/>
        <item m="1" x="344"/>
        <item m="1" x="269"/>
        <item m="1" x="291"/>
        <item m="1" x="345"/>
        <item m="1" x="346"/>
        <item m="1" x="347"/>
        <item m="1" x="299"/>
        <item m="1" x="298"/>
        <item m="1" x="348"/>
        <item m="1" x="349"/>
        <item m="1" x="308"/>
        <item m="1" x="300"/>
        <item m="1" x="301"/>
        <item m="1" x="302"/>
        <item m="1" x="303"/>
        <item m="1" x="304"/>
        <item m="1" x="305"/>
        <item m="1" x="306"/>
        <item m="1" x="307"/>
        <item m="1" x="309"/>
        <item m="1" x="329"/>
        <item m="1" x="310"/>
        <item m="1" x="330"/>
        <item m="1" x="311"/>
        <item m="1" x="312"/>
        <item m="1" x="313"/>
        <item m="1" x="314"/>
        <item m="1" x="315"/>
        <item m="1" x="246"/>
        <item m="1" x="316"/>
        <item m="1" x="317"/>
        <item m="1" x="318"/>
        <item m="1" x="319"/>
        <item m="1" x="320"/>
        <item m="1" x="321"/>
        <item m="1" x="322"/>
        <item m="1" x="323"/>
        <item m="1" x="324"/>
        <item m="1" x="325"/>
        <item m="1" x="326"/>
        <item m="1" x="327"/>
        <item m="1" x="328"/>
        <item x="0"/>
        <item m="1" x="245"/>
        <item m="1" x="247"/>
        <item m="1" x="248"/>
        <item m="1" x="249"/>
        <item m="1" x="250"/>
        <item m="1" x="251"/>
        <item m="1" x="252"/>
        <item m="1" x="253"/>
        <item m="1" x="254"/>
        <item m="1" x="255"/>
        <item m="1" x="256"/>
        <item m="1" x="257"/>
        <item m="1" x="258"/>
        <item m="1" x="259"/>
        <item x="6"/>
        <item m="1" x="260"/>
        <item m="1" x="261"/>
        <item m="1" x="262"/>
        <item m="1" x="263"/>
        <item m="1" x="264"/>
        <item m="1" x="265"/>
        <item m="1" x="266"/>
        <item m="1" x="267"/>
        <item m="1" x="268"/>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2"/>
        <item m="1" x="293"/>
        <item m="1" x="294"/>
        <item m="1" x="295"/>
        <item m="1" x="296"/>
        <item m="1" x="297"/>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x="24"/>
        <item m="1" x="214"/>
        <item m="1" x="215"/>
        <item m="1" x="216"/>
        <item m="1" x="217"/>
        <item m="1" x="218"/>
        <item m="1" x="219"/>
        <item m="1" x="220"/>
        <item m="1" x="221"/>
        <item m="1" x="222"/>
        <item m="1" x="223"/>
        <item m="1" x="224"/>
        <item m="1" x="244"/>
        <item m="1" x="225"/>
        <item m="1" x="226"/>
        <item m="1" x="227"/>
        <item m="1" x="228"/>
        <item m="1" x="229"/>
        <item m="1" x="230"/>
        <item m="1" x="231"/>
        <item m="1" x="232"/>
        <item m="1" x="233"/>
        <item m="1" x="234"/>
        <item m="1" x="235"/>
        <item m="1" x="236"/>
        <item m="1" x="237"/>
        <item m="1" x="238"/>
        <item m="1" x="239"/>
        <item m="1" x="240"/>
        <item m="1" x="241"/>
        <item m="1" x="242"/>
        <item m="1" x="243"/>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40"/>
        <item m="1" x="163"/>
        <item m="1" x="31"/>
        <item m="1" x="32"/>
        <item m="1" x="33"/>
        <item m="1" x="34"/>
        <item m="1" x="35"/>
        <item m="1" x="36"/>
        <item m="1" x="37"/>
        <item m="1" x="38"/>
        <item m="1" x="39"/>
        <item m="1" x="41"/>
        <item m="1" x="42"/>
        <item m="1" x="43"/>
        <item m="1" x="44"/>
        <item m="1" x="45"/>
        <item m="1" x="46"/>
        <item m="1" x="47"/>
        <item m="1" x="48"/>
        <item m="1" x="49"/>
        <item m="1" x="50"/>
        <item m="1" x="51"/>
        <item m="1" x="52"/>
        <item m="1" x="53"/>
        <item m="1" x="54"/>
        <item x="3"/>
        <item m="1" x="55"/>
        <item m="1" x="56"/>
        <item m="1" x="57"/>
        <item m="1" x="58"/>
        <item m="1" x="59"/>
        <item m="1" x="60"/>
        <item m="1" x="61"/>
        <item m="1" x="62"/>
        <item m="1" x="63"/>
        <item m="1" x="64"/>
        <item m="1" x="65"/>
        <item m="1" x="66"/>
        <item m="1" x="67"/>
        <item m="1" x="68"/>
        <item m="1" x="69"/>
        <item m="1" x="70"/>
        <item m="1" x="71"/>
        <item m="1" x="72"/>
        <item m="1" x="73"/>
        <item m="1" x="74"/>
        <item m="1" x="75"/>
        <item m="1" x="76"/>
        <item x="7"/>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x="4"/>
        <item m="1" x="106"/>
        <item m="1" x="107"/>
        <item x="1"/>
        <item x="10"/>
        <item x="2"/>
        <item x="5"/>
        <item x="8"/>
        <item x="9"/>
        <item x="11"/>
        <item x="12"/>
        <item x="13"/>
        <item x="14"/>
        <item x="15"/>
        <item x="16"/>
        <item x="17"/>
        <item x="18"/>
        <item x="19"/>
        <item x="21"/>
        <item x="20"/>
        <item x="22"/>
        <item x="23"/>
        <item x="25"/>
        <item x="26"/>
        <item x="27"/>
        <item x="28"/>
        <item x="29"/>
        <item x="30"/>
        <item t="default"/>
      </items>
    </pivotField>
    <pivotField dataField="1" showAll="0"/>
    <pivotField dataField="1" showAll="0"/>
    <pivotField numFmtId="2" showAll="0"/>
    <pivotField numFmtId="43"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32">
    <i>
      <x v="55"/>
    </i>
    <i>
      <x v="70"/>
    </i>
    <i>
      <x v="157"/>
    </i>
    <i>
      <x v="269"/>
    </i>
    <i>
      <x v="292"/>
    </i>
    <i>
      <x v="322"/>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t="grand">
      <x/>
    </i>
  </rowItems>
  <colFields count="1">
    <field x="-2"/>
  </colFields>
  <colItems count="2">
    <i>
      <x/>
    </i>
    <i i="1">
      <x v="1"/>
    </i>
  </colItems>
  <pageFields count="1">
    <pageField fld="1" hier="-1"/>
  </pageFields>
  <dataFields count="2">
    <dataField name="Max of Kora/metre" fld="5" subtotal="max" baseField="4" baseItem="0"/>
    <dataField name="Sum of Tiyaar/gaz" fld="6" baseField="0" baseItem="0"/>
  </dataFields>
  <formats count="9">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 dxfId="19">
      <pivotArea grandRow="1" outline="0" collapsedLevelsAreSubtotals="1" fieldPosition="0"/>
    </format>
    <format dxfId="18">
      <pivotArea field="4" type="button" dataOnly="0" labelOnly="1" outline="0" axis="axisRow" fieldPosition="0"/>
    </format>
    <format dxfId="1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Number" xr10:uid="{C8A0327E-E9EF-480B-A686-7D81EA729A7A}" sourceName="Shipment Number">
  <pivotTables>
    <pivotTable tabId="2" name="PivotTable1"/>
  </pivotTables>
  <data>
    <tabular pivotCacheId="1341418871">
      <items count="350">
        <i x="6" s="1"/>
        <i x="27" s="1"/>
        <i x="22" s="1"/>
        <i x="5" s="1"/>
        <i x="4" s="1"/>
        <i x="3" s="1"/>
        <i x="23" s="1"/>
        <i x="16" s="1"/>
        <i x="15" s="1"/>
        <i x="2" s="1"/>
        <i x="14" s="1"/>
        <i x="7" s="1"/>
        <i x="1" s="1"/>
        <i x="10" s="1"/>
        <i x="9" s="1"/>
        <i x="13" s="1"/>
        <i x="11" s="1"/>
        <i x="18" s="1"/>
        <i x="19" s="1"/>
        <i x="17" s="1"/>
        <i x="12" s="1"/>
        <i x="8" s="1"/>
        <i x="29" s="1"/>
        <i x="28" s="1"/>
        <i x="26" s="1"/>
        <i x="21" s="1"/>
        <i x="25" s="1"/>
        <i x="24" s="1"/>
        <i x="30" s="1"/>
        <i x="20" s="1"/>
        <i x="304" s="1" nd="1"/>
        <i x="333" s="1" nd="1"/>
        <i x="334" s="1" nd="1"/>
        <i x="342" s="1" nd="1"/>
        <i x="332" s="1" nd="1"/>
        <i x="331" s="1" nd="1"/>
        <i x="335" s="1" nd="1"/>
        <i x="346" s="1" nd="1"/>
        <i x="338" s="1" nd="1"/>
        <i x="339" s="1" nd="1"/>
        <i x="336" s="1" nd="1"/>
        <i x="337" s="1" nd="1"/>
        <i x="347" s="1" nd="1"/>
        <i x="340" s="1" nd="1"/>
        <i x="341" s="1" nd="1"/>
        <i x="344" s="1" nd="1"/>
        <i x="345" s="1" nd="1"/>
        <i x="343" s="1" nd="1"/>
        <i x="299" s="1" nd="1"/>
        <i x="349" s="1" nd="1"/>
        <i x="298" s="1" nd="1"/>
        <i x="348" s="1" nd="1"/>
        <i x="301" s="1" nd="1"/>
        <i x="262" s="1" nd="1"/>
        <i x="300" s="1" nd="1"/>
        <i x="302" s="1" nd="1"/>
        <i x="308" s="1" nd="1"/>
        <i x="303" s="1" nd="1"/>
        <i x="305" s="1" nd="1"/>
        <i x="321" s="1" nd="1"/>
        <i x="245" s="1" nd="1"/>
        <i x="309" s="1" nd="1"/>
        <i x="250" s="1" nd="1"/>
        <i x="315" s="1" nd="1"/>
        <i x="310" s="1" nd="1"/>
        <i x="313" s="1" nd="1"/>
        <i x="318" s="1" nd="1"/>
        <i x="329" s="1" nd="1"/>
        <i x="311" s="1" nd="1"/>
        <i x="323" s="1" nd="1"/>
        <i x="326" s="1" nd="1"/>
        <i x="317" s="1" nd="1"/>
        <i x="306" s="1" nd="1"/>
        <i x="314" s="1" nd="1"/>
        <i x="307" s="1" nd="1"/>
        <i x="312" s="1" nd="1"/>
        <i x="246" s="1" nd="1"/>
        <i x="316" s="1" nd="1"/>
        <i x="322" s="1" nd="1"/>
        <i x="319" s="1" nd="1"/>
        <i x="324" s="1" nd="1"/>
        <i x="320" s="1" nd="1"/>
        <i x="286" s="1" nd="1"/>
        <i x="325" s="1" nd="1"/>
        <i x="327" s="1" nd="1"/>
        <i x="248" s="1" nd="1"/>
        <i x="255" s="1" nd="1"/>
        <i x="328" s="1" nd="1"/>
        <i x="252" s="1" nd="1"/>
        <i x="253" s="1" nd="1"/>
        <i x="247" s="1" nd="1"/>
        <i x="251" s="1" nd="1"/>
        <i x="139" s="1" nd="1"/>
        <i x="249" s="1" nd="1"/>
        <i x="258" s="1" nd="1"/>
        <i x="254" s="1" nd="1"/>
        <i x="256" s="1" nd="1"/>
        <i x="259" s="1" nd="1"/>
        <i x="266" s="1" nd="1"/>
        <i x="257" s="1" nd="1"/>
        <i x="265" s="1" nd="1"/>
        <i x="270" s="1" nd="1"/>
        <i x="264" s="1" nd="1"/>
        <i x="267" s="1" nd="1"/>
        <i x="277" s="1" nd="1"/>
        <i x="263" s="1" nd="1"/>
        <i x="260" s="1" nd="1"/>
        <i x="261" s="1" nd="1"/>
        <i x="276" s="1" nd="1"/>
        <i x="135" s="1" nd="1"/>
        <i x="269" s="1" nd="1"/>
        <i x="280" s="1" nd="1"/>
        <i x="275" s="1" nd="1"/>
        <i x="268" s="1" nd="1"/>
        <i x="292" s="1" nd="1"/>
        <i x="273" s="1" nd="1"/>
        <i x="283" s="1" nd="1"/>
        <i x="281" s="1" nd="1"/>
        <i x="271" s="1" nd="1"/>
        <i x="279" s="1" nd="1"/>
        <i x="278" s="1" nd="1"/>
        <i x="274" s="1" nd="1"/>
        <i x="284" s="1" nd="1"/>
        <i x="282" s="1" nd="1"/>
        <i x="285" s="1" nd="1"/>
        <i x="272" s="1" nd="1"/>
        <i x="214" s="1" nd="1"/>
        <i x="287" s="1" nd="1"/>
        <i x="288" s="1" nd="1"/>
        <i x="173" s="1" nd="1"/>
        <i x="175" s="1" nd="1"/>
        <i x="295" s="1" nd="1"/>
        <i x="169" s="1" nd="1"/>
        <i x="215" s="1" nd="1"/>
        <i x="289" s="1" nd="1"/>
        <i x="290" s="1" nd="1"/>
        <i x="172" s="1" nd="1"/>
        <i x="297" s="1" nd="1"/>
        <i x="171" s="1" nd="1"/>
        <i x="186" s="1" nd="1"/>
        <i x="296" s="1" nd="1"/>
        <i x="291" s="1" nd="1"/>
        <i x="190" s="1" nd="1"/>
        <i x="294" s="1" nd="1"/>
        <i x="293" s="1" nd="1"/>
        <i x="211" s="1" nd="1"/>
        <i x="164" s="1" nd="1"/>
        <i x="176" s="1" nd="1"/>
        <i x="212" s="1" nd="1"/>
        <i x="210" s="1" nd="1"/>
        <i x="168" s="1" nd="1"/>
        <i x="170" s="1" nd="1"/>
        <i x="174" s="1" nd="1"/>
        <i x="165" s="1" nd="1"/>
        <i x="200" s="1" nd="1"/>
        <i x="205" s="1" nd="1"/>
        <i x="166" s="1" nd="1"/>
        <i x="167" s="1" nd="1"/>
        <i x="177" s="1" nd="1"/>
        <i x="180" s="1" nd="1"/>
        <i x="187" s="1" nd="1"/>
        <i x="179" s="1" nd="1"/>
        <i x="182" s="1" nd="1"/>
        <i x="181" s="1" nd="1"/>
        <i x="223" s="1" nd="1"/>
        <i x="178" s="1" nd="1"/>
        <i x="203" s="1" nd="1"/>
        <i x="218" s="1" nd="1"/>
        <i x="183" s="1" nd="1"/>
        <i x="208" s="1" nd="1"/>
        <i x="220" s="1" nd="1"/>
        <i x="192" s="1" nd="1"/>
        <i x="232" s="1" nd="1"/>
        <i x="191" s="1" nd="1"/>
        <i x="188" s="1" nd="1"/>
        <i x="184" s="1" nd="1"/>
        <i x="185" s="1" nd="1"/>
        <i x="204" s="1" nd="1"/>
        <i x="193" s="1" nd="1"/>
        <i x="116" s="1" nd="1"/>
        <i x="194" s="1" nd="1"/>
        <i x="189" s="1" nd="1"/>
        <i x="196" s="1" nd="1"/>
        <i x="197" s="1" nd="1"/>
        <i x="225" s="1" nd="1"/>
        <i x="195" s="1" nd="1"/>
        <i x="213" s="1" nd="1"/>
        <i x="201" s="1" nd="1"/>
        <i x="198" s="1" nd="1"/>
        <i x="202" s="1" nd="1"/>
        <i x="199" s="1" nd="1"/>
        <i x="206" s="1" nd="1"/>
        <i x="224" s="1" nd="1"/>
        <i x="219" s="1" nd="1"/>
        <i x="238" s="1" nd="1"/>
        <i x="207" s="1" nd="1"/>
        <i x="109" s="1" nd="1"/>
        <i x="217" s="1" nd="1"/>
        <i x="209" s="1" nd="1"/>
        <i x="233" s="1" nd="1"/>
        <i x="216" s="1" nd="1"/>
        <i x="231" s="1" nd="1"/>
        <i x="117" s="1" nd="1"/>
        <i x="222" s="1" nd="1"/>
        <i x="221" s="1" nd="1"/>
        <i x="237" s="1" nd="1"/>
        <i x="234" s="1" nd="1"/>
        <i x="128" s="1" nd="1"/>
        <i x="242" s="1" nd="1"/>
        <i x="226" s="1" nd="1"/>
        <i x="235" s="1" nd="1"/>
        <i x="240" s="1" nd="1"/>
        <i x="119" s="1" nd="1"/>
        <i x="145" s="1" nd="1"/>
        <i x="244" s="1" nd="1"/>
        <i x="241" s="1" nd="1"/>
        <i x="110" s="1" nd="1"/>
        <i x="130" s="1" nd="1"/>
        <i x="236" s="1" nd="1"/>
        <i x="112" s="1" nd="1"/>
        <i x="227" s="1" nd="1"/>
        <i x="230" s="1" nd="1"/>
        <i x="127" s="1" nd="1"/>
        <i x="239" s="1" nd="1"/>
        <i x="228" s="1" nd="1"/>
        <i x="229" s="1" nd="1"/>
        <i x="114" s="1" nd="1"/>
        <i x="132" s="1" nd="1"/>
        <i x="133" s="1" nd="1"/>
        <i x="146" s="1" nd="1"/>
        <i x="243" s="1" nd="1"/>
        <i x="108" s="1" nd="1"/>
        <i x="131" s="1" nd="1"/>
        <i x="124" s="1" nd="1"/>
        <i x="111" s="1" nd="1"/>
        <i x="115" s="1" nd="1"/>
        <i x="121" s="1" nd="1"/>
        <i x="113" s="1" nd="1"/>
        <i x="137" s="1" nd="1"/>
        <i x="141" s="1" nd="1"/>
        <i x="142" s="1" nd="1"/>
        <i x="134" s="1" nd="1"/>
        <i x="118" s="1" nd="1"/>
        <i x="120" s="1" nd="1"/>
        <i x="122" s="1" nd="1"/>
        <i x="125" s="1" nd="1"/>
        <i x="138" s="1" nd="1"/>
        <i x="123" s="1" nd="1"/>
        <i x="144" s="1" nd="1"/>
        <i x="76" s="1" nd="1"/>
        <i x="55" s="1" nd="1"/>
        <i x="159" s="1" nd="1"/>
        <i x="126" s="1" nd="1"/>
        <i x="147" s="1" nd="1"/>
        <i x="143" s="1" nd="1"/>
        <i x="129" s="1" nd="1"/>
        <i x="151" s="1" nd="1"/>
        <i x="87" s="1" nd="1"/>
        <i x="50" s="1" nd="1"/>
        <i x="136" s="1" nd="1"/>
        <i x="160" s="1" nd="1"/>
        <i x="140" s="1" nd="1"/>
        <i x="163" s="1" nd="1"/>
        <i x="150" s="1" nd="1"/>
        <i x="155" s="1" nd="1"/>
        <i x="32" s="1" nd="1"/>
        <i x="152" s="1" nd="1"/>
        <i x="154" s="1" nd="1"/>
        <i x="72" s="1" nd="1"/>
        <i x="40" s="1" nd="1"/>
        <i x="149" s="1" nd="1"/>
        <i x="37" s="1" nd="1"/>
        <i x="148" s="1" nd="1"/>
        <i x="49" s="1" nd="1"/>
        <i x="33" s="1" nd="1"/>
        <i x="31" s="1" nd="1"/>
        <i x="153" s="1" nd="1"/>
        <i x="47" s="1" nd="1"/>
        <i x="41" s="1" nd="1"/>
        <i x="52" s="1" nd="1"/>
        <i x="69" s="1" nd="1"/>
        <i x="46" s="1" nd="1"/>
        <i x="57" s="1" nd="1"/>
        <i x="51" s="1" nd="1"/>
        <i x="48" s="1" nd="1"/>
        <i x="161" s="1" nd="1"/>
        <i x="105" s="1" nd="1"/>
        <i x="59" s="1" nd="1"/>
        <i x="60" s="1" nd="1"/>
        <i x="157" s="1" nd="1"/>
        <i x="156" s="1" nd="1"/>
        <i x="34" s="1" nd="1"/>
        <i x="36" s="1" nd="1"/>
        <i x="67" s="1" nd="1"/>
        <i x="43" s="1" nd="1"/>
        <i x="162" s="1" nd="1"/>
        <i x="101" s="1" nd="1"/>
        <i x="92" s="1" nd="1"/>
        <i x="80" s="1" nd="1"/>
        <i x="54" s="1" nd="1"/>
        <i x="39" s="1" nd="1"/>
        <i x="70" s="1" nd="1"/>
        <i x="89" s="1" nd="1"/>
        <i x="81" s="1" nd="1"/>
        <i x="77" s="1" nd="1"/>
        <i x="45" s="1" nd="1"/>
        <i x="65" s="1" nd="1"/>
        <i x="64" s="1" nd="1"/>
        <i x="79" s="1" nd="1"/>
        <i x="66" s="1" nd="1"/>
        <i x="158" s="1" nd="1"/>
        <i x="42" s="1" nd="1"/>
        <i x="38" s="1" nd="1"/>
        <i x="68" s="1" nd="1"/>
        <i x="35" s="1" nd="1"/>
        <i x="73" s="1" nd="1"/>
        <i x="74" s="1" nd="1"/>
        <i x="78" s="1" nd="1"/>
        <i x="58" s="1" nd="1"/>
        <i x="53" s="1" nd="1"/>
        <i x="86" s="1" nd="1"/>
        <i x="85" s="1" nd="1"/>
        <i x="90" s="1" nd="1"/>
        <i x="44" s="1" nd="1"/>
        <i x="88" s="1" nd="1"/>
        <i x="75" s="1" nd="1"/>
        <i x="56" s="1" nd="1"/>
        <i x="61" s="1" nd="1"/>
        <i x="62" s="1" nd="1"/>
        <i x="71" s="1" nd="1"/>
        <i x="63" s="1" nd="1"/>
        <i x="82" s="1" nd="1"/>
        <i x="93" s="1" nd="1"/>
        <i x="83" s="1" nd="1"/>
        <i x="99" s="1" nd="1"/>
        <i x="96" s="1" nd="1"/>
        <i x="94" s="1" nd="1"/>
        <i x="106" s="1" nd="1"/>
        <i x="100" s="1" nd="1"/>
        <i x="107" s="1" nd="1"/>
        <i x="102" s="1" nd="1"/>
        <i x="103" s="1" nd="1"/>
        <i x="84" s="1" nd="1"/>
        <i x="97" s="1" nd="1"/>
        <i x="104" s="1" nd="1"/>
        <i x="95" s="1" nd="1"/>
        <i x="98" s="1" nd="1"/>
        <i x="91" s="1" nd="1"/>
        <i x="330"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 xr10:uid="{795E221B-CA14-4E3C-BCC3-ADCBC1244CE9}" sourceName="Party Name">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D6DCB082-70B9-49F4-92EE-90FF7705BF83}" sourceName="Party">
  <extLst>
    <x:ext xmlns:x15="http://schemas.microsoft.com/office/spreadsheetml/2010/11/main" uri="{2F2917AC-EB37-4324-AD4E-5DD8C200BD13}">
      <x15:tableSlicerCache tableId="14"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1" xr10:uid="{E12585E0-B136-443F-AD68-C9C80CA7EB19}" sourceName="Party Name">
  <extLst>
    <x:ext xmlns:x15="http://schemas.microsoft.com/office/spreadsheetml/2010/11/main" uri="{2F2917AC-EB37-4324-AD4E-5DD8C200BD13}">
      <x15:tableSlicerCache tableId="3"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84AC669-07E6-46D1-B04B-5B9A432D9A10}" sourceName="Date">
  <extLst>
    <x:ext xmlns:x15="http://schemas.microsoft.com/office/spreadsheetml/2010/11/main" uri="{2F2917AC-EB37-4324-AD4E-5DD8C200BD13}">
      <x15:tableSlicerCache tableId="1"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2" xr10:uid="{B1CE111B-C03D-455C-802F-5A6E1DBFE0F5}" sourceName="Party Name">
  <extLst>
    <x:ext xmlns:x15="http://schemas.microsoft.com/office/spreadsheetml/2010/11/main" uri="{2F2917AC-EB37-4324-AD4E-5DD8C200BD13}">
      <x15:tableSlicerCache tableId="2" column="8"/>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59685556-BE76-4A00-81B3-5814BB498FE4}" sourceName="Date">
  <extLst>
    <x:ext xmlns:x15="http://schemas.microsoft.com/office/spreadsheetml/2010/11/main" uri="{2F2917AC-EB37-4324-AD4E-5DD8C200BD13}">
      <x15:tableSlicerCache tableId="14"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ADFDF2CD-C831-4FB8-BF02-B2DA1D1400C0}" sourceName="Person">
  <extLst>
    <x:ext xmlns:x15="http://schemas.microsoft.com/office/spreadsheetml/2010/11/main" uri="{2F2917AC-EB37-4324-AD4E-5DD8C200BD13}">
      <x15:tableSlicerCache tableId="16"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xr10:uid="{F2AC5779-5A53-4BA7-BEEF-73B7946A3948}" cache="Slicer_Party_Name" caption="Party Name" columnCount="4" rowHeight="247650"/>
  <slicer name="Date" xr10:uid="{A1A3D396-C797-4750-957E-CF701F9D3C93}" cache="Slicer_Date" caption="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1" xr10:uid="{663D6C72-DC00-4848-8A46-2F05DE4A2577}" cache="Slicer_Party_Name1" caption="Party 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8CB7DD44-BF59-47B2-AB64-03EC8FC8FD4A}" cache="Slicer_Party" caption="Party" columnCount="3" rowHeight="180000"/>
  <slicer name="Date 1" xr10:uid="{8E7BDD3C-DB8C-4BD4-9ACC-14DA5E7A745C}" cache="Slicer_Date1" caption="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2" xr10:uid="{684571A0-AFE3-49B8-B794-50BABDA24345}" cache="Slicer_Party_Name2" caption="Column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F4756620-6DF0-4AD4-88A3-886E9C792FF1}" cache="Slicer_Person" caption="Person"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ment Number" xr10:uid="{07A5CFB3-DECF-470C-B6C0-B5255850F5AA}" cache="Slicer_Shipment_Number" caption="Shipment Number" startItem="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6F66F6-6434-425A-A910-C3CBF3339B20}" name="Table4" displayName="Table4" ref="B1:E18" totalsRowShown="0">
  <autoFilter ref="B1:E18" xr:uid="{726F66F6-6434-425A-A910-C3CBF3339B20}"/>
  <tableColumns count="4">
    <tableColumn id="1" xr3:uid="{7A2445A9-BF1B-49FB-84BB-52F6CB270F38}" name="Party Name" dataDxfId="129">
      <calculatedColumnFormula>B49</calculatedColumnFormula>
    </tableColumn>
    <tableColumn id="2" xr3:uid="{7EDCC2ED-0339-42B3-9633-FFEA7A3DD9F3}" name="Tiyaar" dataDxfId="128">
      <calculatedColumnFormula>SUMIFS(ledger!G:G, ledger!B:B, B2, ledger!E:E, "&lt;&gt;*RD*") / 1.0936</calculatedColumnFormula>
    </tableColumn>
    <tableColumn id="3" xr3:uid="{CC1535DD-3FE7-4F55-8040-E7643388A78E}" name="Rate"/>
    <tableColumn id="4" xr3:uid="{059CB70B-ADAD-4985-84AA-0D530BAC5567}" name="Total" dataDxfId="127">
      <calculatedColumnFormula>(SUMIFS(ledger!G:G, ledger!B:B, B2, ledger!E:E, "&lt;&gt;*RD*",ledger!D:D, "Silky") / 1.0936)*12 + (SUMIFS(ledger!G:G, ledger!B:B, B2, ledger!E:E, "&lt;&gt;*RD*",ledger!D:D, "Chamki") / 1.0936)*10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49E5D32-DF9C-4018-96AB-CA98E118D910}" name="Table21" displayName="Table21" ref="B7:E20" totalsRowShown="0" headerRowDxfId="126" dataDxfId="125">
  <autoFilter ref="B7:E20" xr:uid="{449E5D32-DF9C-4018-96AB-CA98E118D910}"/>
  <tableColumns count="4">
    <tableColumn id="1" xr3:uid="{F663704C-91DD-4BB9-B7EB-EEB0C5EDED6C}" name="Description" dataDxfId="124"/>
    <tableColumn id="2" xr3:uid="{6D94D495-CD0B-4FD3-9771-81D731982A97}" name="Rate" dataDxfId="123" dataCellStyle="Comma"/>
    <tableColumn id="3" xr3:uid="{2D14CEAD-3602-40E7-A488-3584EBC9141E}" name="gazana" dataDxfId="122" dataCellStyle="Comma"/>
    <tableColumn id="4" xr3:uid="{06FEE63C-6480-4079-8426-51BC26B38B34}" name="sum" dataDxfId="121" dataCellStyle="Comma">
      <calculatedColumnFormula>Table21[[#This Row],[gazana]]*Table21[[#This Row],[Rate]]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0D0749A-70DE-4EC8-A4EE-00E713C72289}" name="Table12" displayName="Table12" ref="B3:E14" totalsRowCount="1">
  <autoFilter ref="B3:E13" xr:uid="{40D0749A-70DE-4EC8-A4EE-00E713C72289}"/>
  <tableColumns count="4">
    <tableColumn id="1" xr3:uid="{1EA52ED7-9CB7-4573-9DD3-268050EECEA4}" name="Type"/>
    <tableColumn id="2" xr3:uid="{8DE1A7AC-456D-429D-A522-6C6D0DAD1C74}" name="Amount" totalsRowFunction="custom" dataDxfId="120" totalsRowDxfId="119" dataCellStyle="Comma">
      <totalsRowFormula>SUM(Table12[Amount])</totalsRowFormula>
    </tableColumn>
    <tableColumn id="3" xr3:uid="{12F975D1-A51D-47BD-82DF-F0C35A709016}" name="Description"/>
    <tableColumn id="4" xr3:uid="{96712812-B120-49C2-B905-59FC86A743E8}" name="cost per meter" dataDxfId="118">
      <calculatedColumnFormula>Table12[[#This Row],[Amount]]/Table1[[#Totals],[tiyar/meters]]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9E47AE5-DECF-4AE8-B09E-D2B6BE4574A8}" name="Table20" displayName="Table20" ref="B18:D22" totalsRowShown="0">
  <autoFilter ref="B18:D22" xr:uid="{B9E47AE5-DECF-4AE8-B09E-D2B6BE4574A8}"/>
  <tableColumns count="3">
    <tableColumn id="1" xr3:uid="{A1241CCD-0076-43C0-B909-5B2E7BC5D1EE}" name="Stock"/>
    <tableColumn id="2" xr3:uid="{6CC6073F-DD16-46A3-9F83-C1DB83B8F18B}" name="quantity"/>
    <tableColumn id="3" xr3:uid="{C5BC1FD9-364F-45F2-BB32-96F9E454C99A}" name="Column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6E8F7F-D03F-4198-8335-91A003EA9E45}" name="Table6" displayName="Table6" ref="B2:C5" totalsRowShown="0" headerRowDxfId="117" dataDxfId="116" headerRowCellStyle="Comma" dataCellStyle="Comma">
  <autoFilter ref="B2:C5" xr:uid="{136E8F7F-D03F-4198-8335-91A003EA9E45}"/>
  <tableColumns count="2">
    <tableColumn id="1" xr3:uid="{279FA697-9952-479A-AC05-0D4992B41374}" name="Column1" dataDxfId="115" dataCellStyle="Comma"/>
    <tableColumn id="2" xr3:uid="{8A64998B-65EF-41CD-BCB0-3DDB7B359C54}" name="Column2" dataDxfId="114"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B0C9E74-2F66-4C26-94CA-FD4A0A4B2ACA}" name="Table19" displayName="Table19" ref="B10:C21" totalsRowShown="0">
  <autoFilter ref="B10:C21" xr:uid="{2B0C9E74-2F66-4C26-94CA-FD4A0A4B2ACA}"/>
  <tableColumns count="2">
    <tableColumn id="1" xr3:uid="{4311E5F0-1C85-4B10-9FF6-5ACB13038079}" name="Column1" dataDxfId="113"/>
    <tableColumn id="2" xr3:uid="{51D27FA2-8DDF-4369-BAF7-7D1FE90E16A0}" name="Column2" dataDxfId="11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F58B95-D9E6-473F-8BE5-C4A8DDED103B}" name="Table13" displayName="Table13" ref="B2:F38" totalsRowCount="1">
  <autoFilter ref="B2:F37" xr:uid="{A0F58B95-D9E6-473F-8BE5-C4A8DDED103B}"/>
  <tableColumns count="5">
    <tableColumn id="1" xr3:uid="{8D801E24-A4A4-436D-ACAE-08E5208293FB}" name="Date" dataDxfId="111" totalsRowDxfId="110"/>
    <tableColumn id="2" xr3:uid="{8A25A580-75B6-436A-86F0-A6F6FD45C9B8}" name="Type"/>
    <tableColumn id="3" xr3:uid="{D0F39D34-97FE-4856-BF51-811617A1CC29}" name="Debit" totalsRowFunction="sum">
      <calculatedColumnFormula>SUMIFS(Table14[Debit], Table14[Date], Table13[[#This Row],[Date]], Table14[Party], "Transport")</calculatedColumnFormula>
    </tableColumn>
    <tableColumn id="4" xr3:uid="{920800CF-A78E-443D-8B14-2DF96850B1AA}" name="Credit" totalsRowFunction="sum" dataDxfId="109">
      <calculatedColumnFormula>SUMIFS(Table14[Credit], Table14[Date], Table13[[#This Row],[Date]], Table14[Party], "Transport")</calculatedColumnFormula>
    </tableColumn>
    <tableColumn id="5" xr3:uid="{3EAACA7A-7CB5-4CE5-AAFF-541AAE704336}" name="Diff" totalsRowFunction="custom">
      <totalsRowFormula>Table13[[#Totals],[Debit]]-Table13[[#Totals],[Credit]]</totalsRow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DACEC6-751B-4B1D-817F-5C5BCD38EF6D}" name="Table1" displayName="Table1" ref="A1:K114" totalsRowCount="1" headerRowDxfId="108" dataDxfId="107" headerRowCellStyle="Comma" dataCellStyle="Comma">
  <autoFilter ref="A1:K113" xr:uid="{11DACEC6-751B-4B1D-817F-5C5BCD38EF6D}"/>
  <tableColumns count="11">
    <tableColumn id="1" xr3:uid="{2FCE3FA8-A48C-4685-8919-AE44C6C71FD9}" name="Date" dataDxfId="106" dataCellStyle="Comma"/>
    <tableColumn id="2" xr3:uid="{5780FD5F-0890-44E6-B59C-8E37A559FE36}" name="Party Name" dataDxfId="105" dataCellStyle="Comma"/>
    <tableColumn id="3" xr3:uid="{5B3ECD85-9174-40AC-BFBD-49CAC97A83D3}" name="Bill Number" dataDxfId="104" dataCellStyle="Comma"/>
    <tableColumn id="4" xr3:uid="{11B50761-04B6-4262-AD4D-7182450037D1}" name="Quality" dataDxfId="103" dataCellStyle="Comma"/>
    <tableColumn id="5" xr3:uid="{2C556969-B713-4967-BD24-466AACCBE5F5}" name="Shipment Number" dataDxfId="102" totalsRowDxfId="101" dataCellStyle="Comma"/>
    <tableColumn id="6" xr3:uid="{F4E1FD2B-9017-4DEB-B772-BF447ECE56F7}" name="Kora/metre" dataDxfId="100" totalsRowDxfId="99" dataCellStyle="Comma"/>
    <tableColumn id="7" xr3:uid="{52ACC1DA-7A76-4A90-B809-3A1AE728E7EA}" name="Tiyaar/gaz" dataDxfId="98" totalsRowDxfId="97" dataCellStyle="Comma"/>
    <tableColumn id="8" xr3:uid="{31A0FF5E-56F0-44D1-9865-73256B964660}" name="shortage %" dataDxfId="96" totalsRowDxfId="95" dataCellStyle="Comma">
      <calculatedColumnFormula>_xlfn.XLOOKUP(Table1[[#This Row],[Shipment Number]], 'pivot '!A:A,'pivot '!G:G, "NF")</calculatedColumnFormula>
    </tableColumn>
    <tableColumn id="9" xr3:uid="{F99075E0-AC8E-094D-BB85-272AD2C6C568}" name="tiyar/meters" totalsRowFunction="custom" dataDxfId="94" totalsRowDxfId="93" dataCellStyle="Comma">
      <totalsRowFormula array="1">SUMPRODUCT( SUBTOTAL(109, OFFSET(Table1[tiyar/meters], ROW(Table1[tiyar/meters])-MIN(ROW(Table1[tiyar/meters])), 0, 1)), --(Table1[Bill Number]&lt;&gt;"November Closing CF") )</totalsRowFormula>
    </tableColumn>
    <tableColumn id="10" xr3:uid="{4B2AF87E-7D86-A946-B130-EA2852096C91}" name="billing" totalsRowFunction="custom" dataDxfId="92" totalsRowDxfId="91" dataCellStyle="Comma">
      <totalsRowFormula array="1">SUMPRODUCT( SUBTOTAL(109, OFFSET(Table1[billing], ROW(Table1[billing])-MIN(ROW(Table1[billing])), 0, 1)), --(Table1[Bill Number]&lt;&gt;"November Closing CF") )</totalsRowFormula>
    </tableColumn>
    <tableColumn id="11" xr3:uid="{0D198F0C-D2D3-4F75-9F3B-25A393B5D570}" name="Total Billing" totalsRowFunction="custom" dataDxfId="90" totalsRowDxfId="89" dataCellStyle="Comma">
      <totalsRowFormula>SUMIFS(Table1[billing], Table1[Bill Number], "&lt;&gt;November Closing CF")</totalsRow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E8C957-ABE7-4E4F-8D4E-7D44E26B334F}" name="Table3" displayName="Table3" ref="A1:I60" totalsRowCount="1" headerRowDxfId="86" headerRowBorderDxfId="85" tableBorderDxfId="84">
  <autoFilter ref="A1:I59" xr:uid="{F8E8C957-ABE7-4E4F-8D4E-7D44E26B334F}"/>
  <tableColumns count="9">
    <tableColumn id="1" xr3:uid="{C2E817D6-AB98-4DDD-8890-736B27F261CD}" name="Date" dataDxfId="83" totalsRowDxfId="82"/>
    <tableColumn id="2" xr3:uid="{CFB51890-CCDC-463C-81C9-3F8BD7469CB9}" name="Party Name"/>
    <tableColumn id="3" xr3:uid="{A113D971-1C9D-4733-99C4-BD0CC4333209}" name="Vehicle Number"/>
    <tableColumn id="4" xr3:uid="{49780304-3DD1-4AE9-98EE-2BC7EB8F3B57}" name="Weight" dataDxfId="81" totalsRowDxfId="80" dataCellStyle="Comma"/>
    <tableColumn id="5" xr3:uid="{FCAF1BC6-1D8C-42AD-8BBC-F924BF2DC7FE}" name="Rate" dataDxfId="79" totalsRowDxfId="78" dataCellStyle="Comma"/>
    <tableColumn id="6" xr3:uid="{8C70A624-4134-410C-9C45-9FDEB51D51BF}" name="Rent" dataDxfId="77" totalsRowDxfId="76" dataCellStyle="Comma"/>
    <tableColumn id="7" xr3:uid="{EBCE10AE-9634-4982-9C95-37ABC8A7078C}" name="Total" totalsRowFunction="sum" dataDxfId="75" totalsRowDxfId="74" dataCellStyle="Comma">
      <calculatedColumnFormula>D2*E2</calculatedColumnFormula>
    </tableColumn>
    <tableColumn id="9" xr3:uid="{D4788559-C94A-44D9-B9AE-E72B214355AC}" name="Paid" totalsRowFunction="sum" dataDxfId="73" totalsRowDxfId="72" dataCellStyle="Comma"/>
    <tableColumn id="8" xr3:uid="{E26F5BF0-1875-4FC6-994D-49F202ED562B}" name="balance" totalsRowFunction="sum" dataDxfId="71" totalsRowDxfId="70" dataCellStyle="Comma">
      <calculatedColumnFormula>(D2*E2)-Table3[[#This Row],[Paid]]</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B032221-B416-47A8-9A76-693DE76CFD04}" name="Table14" displayName="Table14" ref="A1:G243" totalsRowCount="1">
  <autoFilter ref="A1:G242" xr:uid="{CB032221-B416-47A8-9A76-693DE76CFD04}"/>
  <tableColumns count="7">
    <tableColumn id="1" xr3:uid="{554B1EED-65B6-4E9A-B646-82727FAC40DE}" name="Date" dataDxfId="68" totalsRowDxfId="3"/>
    <tableColumn id="2" xr3:uid="{32259059-42CF-4947-83DE-115AA430BE2B}" name="Party"/>
    <tableColumn id="3" xr3:uid="{A1320223-D55D-483C-91C3-AB19B95CC9D8}" name="Debit" totalsRowFunction="sum" dataDxfId="67" totalsRowDxfId="2" dataCellStyle="Comma"/>
    <tableColumn id="4" xr3:uid="{E9745767-9FF0-4B1C-9052-FF335D1D7588}" name="Credit" totalsRowFunction="sum" dataDxfId="66" totalsRowDxfId="1" dataCellStyle="Comma"/>
    <tableColumn id="5" xr3:uid="{5C88A48E-2467-4E6D-B626-2442B7FD0BE4}" name="Description"/>
    <tableColumn id="6" xr3:uid="{63CA4666-144E-4BE6-8B7C-7CB992BD3041}" name="Mode" totalsRowFunction="custom" dataDxfId="65" totalsRowDxfId="0">
      <totalsRowFormula>(Table14[[#Totals],[Credit]]-Table14[[#Totals],[Debit]])</totalsRowFormula>
    </tableColumn>
    <tableColumn id="7" xr3:uid="{949C7305-E4C4-48D6-B5DE-F5966AE105DD}" name="Withdrawa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CE01694-23ED-48BF-8B92-4186B9ED10A8}" name="Table17" displayName="Table17" ref="J3:K6" totalsRowShown="0" headerRowBorderDxfId="64" tableBorderDxfId="63" totalsRowBorderDxfId="62">
  <autoFilter ref="J3:K6" xr:uid="{DCE01694-23ED-48BF-8B92-4186B9ED10A8}"/>
  <tableColumns count="2">
    <tableColumn id="1" xr3:uid="{C8484DAF-2989-4C2F-9AEC-A6917E1C57F6}" name="Type" dataDxfId="61"/>
    <tableColumn id="2" xr3:uid="{B07B7A2A-4D4E-4654-BED6-FE2F0A7BEC34}" name="Amount" dataDxfId="6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66BDD1-ACD7-45D7-8AE9-7350373F8CEB}" name="Table18" displayName="Table18" ref="M3:O7" totalsRowCount="1" headerRowDxfId="59" headerRowBorderDxfId="58" tableBorderDxfId="57" totalsRowBorderDxfId="56">
  <autoFilter ref="M3:O6" xr:uid="{D166BDD1-ACD7-45D7-8AE9-7350373F8CEB}"/>
  <tableColumns count="3">
    <tableColumn id="1" xr3:uid="{64F0205E-DEA7-4571-BA86-E4374A5FEE28}" name="Type" totalsRowLabel="Total" dataDxfId="55" totalsRowDxfId="54"/>
    <tableColumn id="2" xr3:uid="{15FA05F9-789C-4459-9BE0-5C1EC84D3365}" name="amount" totalsRowFunction="custom" dataDxfId="53" totalsRowDxfId="52">
      <totalsRowFormula>SUM(N5:N6)</totalsRowFormula>
    </tableColumn>
    <tableColumn id="3" xr3:uid="{3681D409-90C6-44D0-BDE2-4B5943A516F0}" name="Actual" totalsRowFunction="custom" totalsRowDxfId="51">
      <totalsRowFormula>SUM(O5,O6)</totalsRow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E0731B-E176-4C4A-A6F7-CD6C16273723}" name="Table7" displayName="Table7" ref="K2:N5" totalsRowCount="1">
  <autoFilter ref="K2:N4" xr:uid="{77E0731B-E176-4C4A-A6F7-CD6C16273723}"/>
  <tableColumns count="4">
    <tableColumn id="1" xr3:uid="{ED2EE743-D65D-40B8-B1D2-9A3999DB9021}" name="Date" dataDxfId="50" totalsRowDxfId="49"/>
    <tableColumn id="2" xr3:uid="{5B9D0FEE-4304-4C5C-A05C-5B27CF7841D3}" name="Type"/>
    <tableColumn id="3" xr3:uid="{6A91CA0D-C802-4C6F-9F39-CA53687E8EDE}" name="Description"/>
    <tableColumn id="4" xr3:uid="{A251D40C-AB87-4BB4-85F8-444B20E32FDF}" name="Total" totalsRowFunction="custom" dataDxfId="48" totalsRowDxfId="47" dataCellStyle="Comma">
      <totalsRowFormula>SUM(Table7[Total])</totalsRow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76AC52-D856-4F5C-BAC5-B41503DDA11B}" name="Table8" displayName="Table8" ref="A1:I12" totalsRowCount="1" headerRowDxfId="46" headerRowBorderDxfId="45">
  <autoFilter ref="A1:I11" xr:uid="{B276AC52-D856-4F5C-BAC5-B41503DDA11B}"/>
  <tableColumns count="9">
    <tableColumn id="1" xr3:uid="{1A00B993-AF25-45A2-BFF9-E0DD747BB444}" name="Date"/>
    <tableColumn id="2" xr3:uid="{0A3FC504-E40A-4FB2-9B51-E79A4BC1EC63}" name="Chemical Name"/>
    <tableColumn id="3" xr3:uid="{216C88B1-47EE-4EC2-975B-32C391B36543}" name="Boxes"/>
    <tableColumn id="5" xr3:uid="{124DE3CE-AA7A-4822-99BD-69CE8547DD00}" name="Rate" dataDxfId="44"/>
    <tableColumn id="4" xr3:uid="{1889A312-9B41-4EC4-BD8F-05252F27084A}" name="Price" totalsRowFunction="sum"/>
    <tableColumn id="6" xr3:uid="{8B974B20-F003-4E67-8660-024FA4F324A9}" name="Party"/>
    <tableColumn id="7" xr3:uid="{0A5A5C21-FD61-47DA-9F54-66A6479FA557}" name="Paid" dataDxfId="43">
      <calculatedColumnFormula>SUMIFS(Table14[Debit], Table14[Date], Table8[[#This Row],[Date]], Table14[Party], Table8[[#This Row],[Party]])</calculatedColumnFormula>
    </tableColumn>
    <tableColumn id="8" xr3:uid="{8DCB3B43-2161-4081-82EC-CDB0F4DE4E6F}" name="Balance" totalsRowFunction="sum" dataDxfId="42">
      <calculatedColumnFormula>Table8[[#This Row],[Price]]-Table8[[#This Row],[Paid]]</calculatedColumnFormula>
    </tableColumn>
    <tableColumn id="9" xr3:uid="{774991E8-E731-4369-B42A-6867C4E08D5A}" name="info"/>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3C87E4-120A-4395-90A1-466202120EC6}" name="Table23" displayName="Table23" ref="L33:P56" totalsRowShown="0">
  <autoFilter ref="L33:P56" xr:uid="{3D3C87E4-120A-4395-90A1-466202120EC6}"/>
  <tableColumns count="5">
    <tableColumn id="1" xr3:uid="{3790A6D0-5CFF-413F-A3F3-4DC22D4BF461}" name="Stock"/>
    <tableColumn id="2" xr3:uid="{D41F9BA4-5950-4E87-AFB4-4300ED9B7EC7}" name="boxes"/>
    <tableColumn id="3" xr3:uid="{8FD2097B-B76F-4506-8A7C-680AAA414EF4}" name="kgs"/>
    <tableColumn id="4" xr3:uid="{2DE2F906-CF4C-457D-A4F8-CE5A4953DA02}" name="Rate"/>
    <tableColumn id="5" xr3:uid="{CCDBF5A6-50E5-44F0-89C8-65E15A59CF7C}" name="total"/>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8ECE447-7C3E-4E68-93A1-CFBC40F77258}" name="Table2325" displayName="Table2325" ref="A14:E41" totalsRowCount="1">
  <autoFilter ref="A14:E40" xr:uid="{18ECE447-7C3E-4E68-93A1-CFBC40F77258}"/>
  <tableColumns count="5">
    <tableColumn id="1" xr3:uid="{14FC11FB-D9C7-464F-BC0D-00D0DBE7D387}" name="Stock"/>
    <tableColumn id="2" xr3:uid="{08852A10-B253-4125-923F-8339BB6E494E}" name="boxes"/>
    <tableColumn id="3" xr3:uid="{337A4ADE-F0D9-4AED-B032-9EBD8AEF8401}" name="kgs"/>
    <tableColumn id="4" xr3:uid="{9C1C0875-C9E7-4E5B-AB3E-0C5189D43AEC}" name="Rate"/>
    <tableColumn id="5" xr3:uid="{B957BF57-E4E7-4F92-8ABA-5B0CD4B0B740}" name="total" totalsRowFunction="custom">
      <totalsRowFormula>SUM(Table2325[total])</totalsRow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C80688-A8BA-4BA7-90B4-791CD99446B4}" name="Table2" displayName="Table2" ref="A4:H14" totalsRowCount="1" headerRowDxfId="41" headerRowBorderDxfId="40">
  <autoFilter ref="A4:H13" xr:uid="{A4C80688-A8BA-4BA7-90B4-791CD99446B4}">
    <filterColumn colId="1">
      <filters>
        <filter val="Faysal Akraam"/>
      </filters>
    </filterColumn>
  </autoFilter>
  <sortState xmlns:xlrd2="http://schemas.microsoft.com/office/spreadsheetml/2017/richdata2" ref="A5:H6">
    <sortCondition ref="A4:A6"/>
  </sortState>
  <tableColumns count="8">
    <tableColumn id="1" xr3:uid="{4A818912-918E-4111-ACFC-BC93FEF7C1AD}" name="Date" dataDxfId="39" totalsRowDxfId="38"/>
    <tableColumn id="8" xr3:uid="{477ACFD5-62AF-4F69-974B-E9B974C11D7D}" name="Party Name" dataDxfId="37"/>
    <tableColumn id="2" xr3:uid="{5B0EA59B-2D3B-4B7B-BA56-6C615D2F6506}" name="Item"/>
    <tableColumn id="3" xr3:uid="{6300FCFD-553D-4800-9CD0-2405B6C4D56F}" name="Boxes"/>
    <tableColumn id="4" xr3:uid="{9FBD2AB3-9F7F-4D27-86AD-36F05B132D6A}" name="Quantity"/>
    <tableColumn id="5" xr3:uid="{F5590721-CD26-461E-BC7A-3AC6FD6C8D07}" name="Price" totalsRowFunction="sum" dataDxfId="36">
      <calculatedColumnFormula>Table2[[#This Row],[Quantity]]*200*Table2[[#This Row],[Boxes]]</calculatedColumnFormula>
    </tableColumn>
    <tableColumn id="6" xr3:uid="{30432929-CBD4-4BA8-B63F-CD0F6CF6405F}" name="Paid" totalsRowFunction="sum" dataDxfId="35">
      <calculatedColumnFormula>SUMIFS(Table14[Debit], Table14[Date], Table2[[#This Row],[Date]], Table14[Party], Table2[[#This Row],[Party Name]],Table14[Description],Table2[[#This Row],[Item]])</calculatedColumnFormula>
    </tableColumn>
    <tableColumn id="7" xr3:uid="{BB689DF2-5D1E-436D-84C4-9745D88E8F3D}" name="Balance" totalsRowFunction="sum" dataDxfId="34">
      <calculatedColumnFormula>Table2[[#This Row],[Price]]-Table2[[#This Row],[Paid]]</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B357E87-68FF-4AC2-8066-39F0E529CFC4}" name="Table10" displayName="Table10" ref="B2:E7" totalsRowShown="0">
  <autoFilter ref="B2:E7" xr:uid="{1B357E87-68FF-4AC2-8066-39F0E529CFC4}"/>
  <tableColumns count="4">
    <tableColumn id="1" xr3:uid="{787B6E2D-E4E4-408D-8699-000441F05577}" name="Date"/>
    <tableColumn id="2" xr3:uid="{8AC4085A-53BD-4DCC-AABB-BDA934F378A3}" name="Bill number"/>
    <tableColumn id="3" xr3:uid="{69AD0C13-F4F5-48D9-A785-CD628CA35526}" name="Units"/>
    <tableColumn id="4" xr3:uid="{9C0851DF-D6F1-4E88-AC04-06EE93955F1C}" name="Total"/>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88DB1B-6B38-4D3F-A584-F50B092833D5}" name="Table210" displayName="Table210" ref="B2:E6" totalsRowCount="1">
  <autoFilter ref="B2:E5" xr:uid="{2288DB1B-6B38-4D3F-A584-F50B092833D5}"/>
  <sortState xmlns:xlrd2="http://schemas.microsoft.com/office/spreadsheetml/2017/richdata2" ref="B3:E3">
    <sortCondition ref="B3"/>
  </sortState>
  <tableColumns count="4">
    <tableColumn id="11" xr3:uid="{98DE5394-4EDB-4DDA-8F3F-AA0DF0DC98BB}" name="Date" totalsRowLabel="Total"/>
    <tableColumn id="1" xr3:uid="{72BAEFE6-C0F7-4E56-9269-EAE763B50636}" name="Type"/>
    <tableColumn id="2" xr3:uid="{5CD13227-2772-4576-B38D-C6906BDDB84D}" name="Amount" totalsRowFunction="sum" dataDxfId="33" totalsRowDxfId="32" dataCellStyle="Comma"/>
    <tableColumn id="6" xr3:uid="{8816813F-07CA-42C2-B1D6-851406F94D6E}" name="Column1" totalsRowFunction="count"/>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2116EC9-BBDE-41BB-A2D7-8BCF3AB6260F}" name="Table11" displayName="Table11" ref="B2:E43" totalsRowCount="1">
  <autoFilter ref="B2:E42" xr:uid="{62116EC9-BBDE-41BB-A2D7-8BCF3AB6260F}"/>
  <tableColumns count="4">
    <tableColumn id="1" xr3:uid="{7DB097C9-B24B-4164-AE75-219BA075790F}" name="Date" dataDxfId="31" totalsRowDxfId="30"/>
    <tableColumn id="2" xr3:uid="{053BFC14-4828-417C-9F9F-95B6E232A945}" name="Amount" totalsRowFunction="custom" dataDxfId="29" totalsRowDxfId="28" dataCellStyle="Comma">
      <calculatedColumnFormula>Cashbook!#REF!</calculatedColumnFormula>
      <totalsRowFormula>SUM(Table11[Amount])</totalsRowFormula>
    </tableColumn>
    <tableColumn id="3" xr3:uid="{2E55C6E1-AD6B-4BC4-97B3-79E57921B815}" name="Column1"/>
    <tableColumn id="4" xr3:uid="{7EA13E0F-23E7-454D-8FB4-1534C59EB376}" name="Column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7B203B0-1AB7-490A-A749-F34A78C46DF4}" name="Table16" displayName="Table16" ref="H2:J37" totalsRowCount="1">
  <autoFilter ref="H2:J36" xr:uid="{A7B203B0-1AB7-490A-A749-F34A78C46DF4}"/>
  <tableColumns count="3">
    <tableColumn id="1" xr3:uid="{B4CDCF07-E9DA-48C6-997D-76B3FCF36D4E}" name="Date" dataDxfId="27" totalsRowDxfId="26"/>
    <tableColumn id="2" xr3:uid="{EC66B9BB-B8FA-42B5-8213-88EBD296FC5F}" name="Advance" totalsRowFunction="sum">
      <calculatedColumnFormula>SUMIFS(Table14[Debit], Table14[Date], Table16[[#This Row],[Date]], Table14[Party], "Advance Salary", Table14[Description], Table16[[#This Row],[Person]] )</calculatedColumnFormula>
    </tableColumn>
    <tableColumn id="3" xr3:uid="{BC0CDAC8-9BF5-4D1D-BC37-F21C6DCD121A}" name="Perso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94C645-BA0B-477E-AE5E-02046C12E841}" name="Table5" displayName="Table5" ref="B2:E38" totalsRowCount="1">
  <autoFilter ref="B2:E37" xr:uid="{4694C645-BA0B-477E-AE5E-02046C12E841}"/>
  <tableColumns count="4">
    <tableColumn id="1" xr3:uid="{1D391A77-9D14-4B37-AD91-EEEDC97B6A4E}" name="Date" dataDxfId="16" totalsRowDxfId="15"/>
    <tableColumn id="2" xr3:uid="{B579509C-6B30-4107-AD5D-29484D2620F7}" name="Type"/>
    <tableColumn id="3" xr3:uid="{4563E1C4-DFFB-47FA-BCFB-33EA270AD884}" name="Amount" totalsRowFunction="custom">
      <calculatedColumnFormula>SUMIFS(Table14[Debit], Table14[Date], Table5[[#This Row],[Date]], Table14[Party], "Rashan")</calculatedColumnFormula>
      <totalsRowFormula>SUM(Table5[Amount])</totalsRowFormula>
    </tableColumn>
    <tableColumn id="4" xr3:uid="{7D5F88DD-337D-497A-A5B0-AF06B47BEDD2}" name="Column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7265B0E-A50D-4BC5-9C1C-E62AF5B48CAF}" name="Table15" displayName="Table15" ref="H2:J37" totalsRowCount="1">
  <autoFilter ref="H2:J36" xr:uid="{A7265B0E-A50D-4BC5-9C1C-E62AF5B48CAF}"/>
  <tableColumns count="3">
    <tableColumn id="1" xr3:uid="{AB5830E5-ECCF-4406-AB96-EB98EE86F300}" name="Date" dataDxfId="14" totalsRowDxfId="13"/>
    <tableColumn id="2" xr3:uid="{4EBD2B2B-3B34-41C2-ABCE-6323AB3BD2BC}" name="Type"/>
    <tableColumn id="3" xr3:uid="{D68E9581-5913-4B55-8149-35CB7814F997}" name="Amount" totalsRowFunction="custom">
      <calculatedColumnFormula>SUMIFS(Table14[Debit], Table14[Date], Table15[[#This Row],[Date]], Table14[Party], "Parts")</calculatedColumnFormula>
      <totalsRowFormula>SUM(Table15[Amount])</totalsRow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2993807-B770-4023-98E3-8834035352C5}" name="Table22" displayName="Table22" ref="A1:C28" totalsRowShown="0">
  <autoFilter ref="A1:C28" xr:uid="{12993807-B770-4023-98E3-8834035352C5}"/>
  <tableColumns count="3">
    <tableColumn id="1" xr3:uid="{DF7536DF-F3D0-48F5-83DE-312320C1F7F4}" name="Party Name" dataDxfId="12">
      <calculatedColumnFormula>Billing!Q5</calculatedColumnFormula>
    </tableColumn>
    <tableColumn id="2" xr3:uid="{7093A59E-B58F-487D-888A-9AA8156B5F9A}" name="Amount Paid" dataDxfId="11">
      <calculatedColumnFormula>Billing!AD5</calculatedColumnFormula>
    </tableColumn>
    <tableColumn id="3" xr3:uid="{82D37DD3-FDA4-4C89-BBC6-89947894747E}" name="Balanc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FFCFD9F-93FF-4AFC-90E2-CE42E8512CA2}" name="Table25" displayName="Table25" ref="A1:B27" totalsRowShown="0">
  <autoFilter ref="A1:B27" xr:uid="{EFFCFD9F-93FF-4AFC-90E2-CE42E8512CA2}"/>
  <tableColumns count="2">
    <tableColumn id="1" xr3:uid="{31AA849F-784A-4EE5-9A44-4DB4BC5751A0}" name="Party Names" dataDxfId="10"/>
    <tableColumn id="2" xr3:uid="{F72CFEEB-BA11-4A49-BD19-88592EB6A27C}" name="Credit" dataDxfId="9" dataCellStyle="Comma">
      <calculatedColumnFormula>_xlfn.XLOOKUP($A2,[1]Billing!$Q$5:$Q$40,[1]Billing!$AD$5:$AD$40)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7" Type="http://schemas.microsoft.com/office/2007/relationships/slicer" Target="../slicers/slicer3.xml"/><Relationship Id="rId2" Type="http://schemas.openxmlformats.org/officeDocument/2006/relationships/printerSettings" Target="../printerSettings/printerSettings7.bin"/><Relationship Id="rId1" Type="http://schemas.openxmlformats.org/officeDocument/2006/relationships/pivotTable" Target="../pivotTables/pivotTable3.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ivotTable" Target="../pivotTables/pivotTable4.xml"/><Relationship Id="rId5" Type="http://schemas.openxmlformats.org/officeDocument/2006/relationships/table" Target="../tables/table16.xml"/><Relationship Id="rId4"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4.xml"/><Relationship Id="rId1" Type="http://schemas.openxmlformats.org/officeDocument/2006/relationships/pivotTable" Target="../pivotTables/pivotTable5.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microsoft.com/office/2007/relationships/slicer" Target="../slicers/slicer5.xml"/><Relationship Id="rId4"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3788-DC3D-4686-B6D6-08186A86599F}">
  <dimension ref="A1:AG115"/>
  <sheetViews>
    <sheetView topLeftCell="O46" zoomScale="109" zoomScaleNormal="80" workbookViewId="0">
      <selection activeCell="P49" sqref="P49"/>
    </sheetView>
  </sheetViews>
  <sheetFormatPr defaultRowHeight="14.4" x14ac:dyDescent="0.3"/>
  <cols>
    <col min="2" max="2" width="12.88671875" bestFit="1" customWidth="1"/>
    <col min="3" max="3" width="13.6640625" customWidth="1"/>
    <col min="4" max="4" width="12.5546875" customWidth="1"/>
    <col min="5" max="5" width="11" customWidth="1"/>
    <col min="6" max="6" width="13.33203125" customWidth="1"/>
    <col min="7" max="7" width="15.88671875" bestFit="1" customWidth="1"/>
    <col min="8" max="8" width="12.33203125" bestFit="1" customWidth="1"/>
    <col min="9" max="10" width="12.33203125" customWidth="1"/>
    <col min="11" max="11" width="15.33203125" bestFit="1" customWidth="1"/>
    <col min="12" max="12" width="12" bestFit="1" customWidth="1"/>
    <col min="13" max="13" width="11.109375" bestFit="1" customWidth="1"/>
    <col min="14" max="15" width="16.21875" customWidth="1"/>
    <col min="16" max="16" width="11.44140625" customWidth="1"/>
    <col min="17" max="17" width="16.21875" customWidth="1"/>
    <col min="18" max="18" width="19.109375" customWidth="1"/>
    <col min="19" max="19" width="11.109375" customWidth="1"/>
    <col min="20" max="20" width="13.88671875" customWidth="1"/>
    <col min="21" max="21" width="15.5546875" bestFit="1" customWidth="1"/>
    <col min="22" max="22" width="12.33203125" bestFit="1" customWidth="1"/>
    <col min="23" max="23" width="11.33203125" bestFit="1" customWidth="1"/>
    <col min="24" max="24" width="15.5546875" bestFit="1" customWidth="1"/>
    <col min="25" max="25" width="12.33203125" bestFit="1" customWidth="1"/>
    <col min="26" max="28" width="12.33203125" customWidth="1"/>
    <col min="29" max="29" width="11.33203125" bestFit="1" customWidth="1"/>
    <col min="30" max="30" width="15.5546875" customWidth="1"/>
    <col min="31" max="31" width="13.6640625" customWidth="1"/>
    <col min="33" max="33" width="15.88671875" customWidth="1"/>
    <col min="36" max="36" width="12.109375" customWidth="1"/>
    <col min="37" max="37" width="11.44140625" customWidth="1"/>
  </cols>
  <sheetData>
    <row r="1" spans="2:33" ht="28.8" x14ac:dyDescent="0.55000000000000004">
      <c r="B1" t="s">
        <v>2</v>
      </c>
      <c r="C1" t="s">
        <v>3</v>
      </c>
      <c r="D1" t="s">
        <v>4</v>
      </c>
      <c r="E1" t="s">
        <v>5</v>
      </c>
      <c r="G1" s="9" t="s">
        <v>0</v>
      </c>
    </row>
    <row r="2" spans="2:33" x14ac:dyDescent="0.3">
      <c r="B2" t="str">
        <f t="shared" ref="B2:B18" si="0">B49</f>
        <v>BSC</v>
      </c>
      <c r="C2" s="18">
        <f>SUMIFS(ledger!G:G, ledger!B:B, B2, ledger!E:E, "&lt;&gt;*RD*") / 1.0936</f>
        <v>200789.02926115584</v>
      </c>
      <c r="D2">
        <v>10</v>
      </c>
      <c r="E2" s="14">
        <f>(SUMIFS(ledger!G:G, ledger!B:B, B2, ledger!E:E, "&lt;&gt;*RD*",ledger!D:D, "Silky") / 1.0936)*12 + (SUMIFS(ledger!G:G, ledger!B:B, B2, ledger!E:E, "&lt;&gt;*RD*",ledger!D:D, "Chamki") / 1.0936)*10</f>
        <v>1579608.6320409658</v>
      </c>
      <c r="I2" t="s">
        <v>21</v>
      </c>
      <c r="Q2" t="s">
        <v>1</v>
      </c>
    </row>
    <row r="3" spans="2:33" x14ac:dyDescent="0.3">
      <c r="B3" t="str">
        <f t="shared" si="0"/>
        <v>Ejaz Sahab</v>
      </c>
      <c r="C3" s="18">
        <f>SUMIFS(ledger!G:G, ledger!B:B, B3, ledger!E:E, "&lt;&gt;*RD*") / 1.0936</f>
        <v>34084.674469641555</v>
      </c>
      <c r="D3">
        <v>10</v>
      </c>
      <c r="E3" s="14">
        <f>(SUMIFS(ledger!G:G, ledger!B:B, B3, ledger!E:E, "&lt;&gt;*RD*",ledger!D:D, "Silky") / 1.0936)*12 + (SUMIFS(ledger!G:G, ledger!B:B, B3, ledger!E:E, "&lt;&gt;*RD*",ledger!D:D, "Chamki") / 1.0936)*10</f>
        <v>409016.09363569866</v>
      </c>
      <c r="I3" t="s">
        <v>22</v>
      </c>
    </row>
    <row r="4" spans="2:33" x14ac:dyDescent="0.3">
      <c r="B4" t="str">
        <f t="shared" si="0"/>
        <v>Arshad</v>
      </c>
      <c r="C4" s="18">
        <f>SUMIFS(ledger!G:G, ledger!B:B, B4, ledger!E:E, "&lt;&gt;*RD*") / 1.0936</f>
        <v>66135.698610095104</v>
      </c>
      <c r="D4">
        <v>10</v>
      </c>
      <c r="E4" s="14">
        <f>(SUMIFS(ledger!G:G, ledger!B:B, B4, ledger!E:E, "&lt;&gt;*RD*",ledger!D:D, "Silky") / 1.0936)*12 + (SUMIFS(ledger!G:G, ledger!B:B, B4, ledger!E:E, "&lt;&gt;*RD*",ledger!D:D, "Chamki") / 1.0936)*10</f>
        <v>687011.70446232636</v>
      </c>
      <c r="I4" t="s">
        <v>9</v>
      </c>
      <c r="Q4" s="21"/>
      <c r="R4" s="23" t="s">
        <v>10</v>
      </c>
      <c r="S4" s="23" t="s">
        <v>11</v>
      </c>
      <c r="T4" s="23" t="s">
        <v>12</v>
      </c>
      <c r="U4" s="23" t="s">
        <v>13</v>
      </c>
      <c r="V4" s="23" t="s">
        <v>14</v>
      </c>
      <c r="W4" s="23" t="s">
        <v>15</v>
      </c>
      <c r="X4" s="23" t="s">
        <v>180</v>
      </c>
      <c r="Y4" s="23" t="s">
        <v>181</v>
      </c>
      <c r="Z4" s="23" t="s">
        <v>204</v>
      </c>
      <c r="AA4" s="23" t="s">
        <v>205</v>
      </c>
      <c r="AB4" s="23" t="s">
        <v>210</v>
      </c>
      <c r="AC4" s="23" t="s">
        <v>16</v>
      </c>
      <c r="AD4" s="23" t="s">
        <v>17</v>
      </c>
      <c r="AE4" s="23" t="s">
        <v>18</v>
      </c>
      <c r="AF4" s="23" t="s">
        <v>19</v>
      </c>
      <c r="AG4" s="23" t="s">
        <v>20</v>
      </c>
    </row>
    <row r="5" spans="2:33" x14ac:dyDescent="0.3">
      <c r="B5" t="str">
        <f t="shared" si="0"/>
        <v>Shehzad Kamoki</v>
      </c>
      <c r="C5" s="18">
        <f>SUMIFS(ledger!G:G, ledger!B:B, B5, ledger!E:E, "&lt;&gt;*RD*") / 1.0936</f>
        <v>8092.5384052670088</v>
      </c>
      <c r="D5">
        <v>10.5</v>
      </c>
      <c r="E5" s="14">
        <f>(SUMIFS(ledger!G:G, ledger!B:B, B5, ledger!E:E, "&lt;&gt;*RD*",ledger!D:D, "Silky") / 1.0936)*12 + (SUMIFS(ledger!G:G, ledger!B:B, B5, ledger!E:E, "&lt;&gt;*RD*",ledger!D:D, "Chamki") / 1.0936)*10.5</f>
        <v>84971.653255303594</v>
      </c>
      <c r="I5" t="s">
        <v>23</v>
      </c>
      <c r="Q5" s="24" t="str" cm="1">
        <f t="array" ref="Q5:Q30">_xlfn.UNIQUE(Table1[Party Name])</f>
        <v>BSC</v>
      </c>
      <c r="R5" s="22" cm="1">
        <f t="array" ref="R5">_xlfn.BYROW(B49,_xlfn.LAMBDA(_xlpm.party,SUMIFS(ledger!G:G,ledger!B:B,_xlpm.party,ledger!E:E,"&lt;&gt;*RD*")))+_xlfn.IFNA(C84,0)</f>
        <v>2754521.8824</v>
      </c>
      <c r="S5" s="22" cm="1">
        <f t="array" ref="S5">_xlfn.BYROW(B49, _xlfn.LAMBDA(_xlpm.party, SUMIFS(ledger!G:G, ledger!B:B, _xlpm.party, ledger!E:E, "&lt;&gt;*RD*") / 1.0936 ))+_xlfn.IFNA(D84,0)</f>
        <v>2518765.43745428</v>
      </c>
      <c r="T5" s="22" cm="1">
        <f t="array" ref="T5">(_xlfn.BYROW(B49,_xlfn.LAMBDA(_xlpm.party,SUMIFS(ledger!G:G,ledger!B:B,_xlpm.party,ledger!E:E,"&lt;&gt;*RD*",ledger!D:D,"Chamki")+SUMIFS(ledger!G:G, ledger!B:B, _xlpm.party, ledger!E:E, "&lt;&gt;*RD*", ledger!D:D, "Crinkle")))/1.0936)+_xlfn.IFNA(E84,0)</f>
        <v>2236296.5274323337</v>
      </c>
      <c r="U5" s="70" cm="1">
        <f t="array" ref="U5">(_xlfn.BYROW(B49,_xlfn.LAMBDA(_xlpm.party,SUMIFS(ledger!G:G,ledger!B:B,_xlpm.party,ledger!E:E,"&lt;&gt;*RD*",ledger!D:D,"Silky")))/1.0936)+_xlfn.IFNA(F84,0)</f>
        <v>282468.91002194589</v>
      </c>
      <c r="V5" s="22" cm="1">
        <f t="array" ref="V5">(_xlfn.BYROW(B49,_xlfn.LAMBDA(_xlpm.party,
(SUMIFS(ledger!J:J,ledger!B:B,_xlpm.party,ledger!E:E,"&lt;&gt;*RD*",ledger!D:D,"Chamki",ledger!C:C,"&lt;&gt;November Closing CF")+
SUMIFS(ledger!J:J,ledger!B:B,_xlpm.party,ledger!E:E,"&lt;&gt;*RD*",ledger!D:D,"Crinkle",ledger!C:C,"&lt;&gt;November Closing CF")
)+_xlfn.IFNA(G84,0))))</f>
        <v>22362965.274323341</v>
      </c>
      <c r="W5" s="70" cm="1">
        <f t="array" ref="W5">_xlfn.BYROW(B49, _xlfn.LAMBDA(_xlpm.party,
   SUMIFS(ledger!J:J, ledger!B:B, _xlpm.party, ledger!E:E, "&lt;&gt;*RD*", ledger!D:D, "Silky", ledger!C:C, "&lt;&gt;November Closing CF")
)) + _xlfn.IFNA(H84, 0)</f>
        <v>3583739.941477689</v>
      </c>
      <c r="X5" s="70" cm="1">
        <f t="array" ref="X5">_xlfn.BYROW(B49, _xlfn.LAMBDA(_xlpm.party,
   SUMIFS(ledger!J:J, ledger!B:B, _xlpm.party, ledger!E:E, "&lt;&gt;*RD*", ledger!D:D, "Slub", ledger!C:C, "&lt;&gt;November Closing CF")
))+ _xlfn.IFNA(I84, 0)</f>
        <v>0</v>
      </c>
      <c r="Y5" s="70" cm="1">
        <f t="array" ref="Y5">_xlfn.BYROW(B49, _xlfn.LAMBDA(_xlpm.party,
   SUMIFS(ledger!J:J, ledger!B:B, _xlpm.party, ledger!E:E, "&lt;&gt;*RD*", ledger!D:D, "Satin", ledger!C:C, "&lt;&gt;November Closing CF")
))+ _xlfn.IFNA(J84, 0)</f>
        <v>0</v>
      </c>
      <c r="Z5" s="70" cm="1">
        <f t="array" ref="Z5">_xlfn.BYROW(B49, _xlfn.LAMBDA(_xlpm.party,
   SUMIFS(ledger!J:J, ledger!B:B, _xlpm.party, ledger!E:E, "&lt;&gt;*RD*", ledger!D:D, "Black-Chamki", ledger!C:C, "&lt;&gt;November Closing CF")
))+ _xlfn.IFNA(K84, 0)</f>
        <v>0</v>
      </c>
      <c r="AA5" s="70" cm="1">
        <f t="array" ref="AA5">_xlfn.BYROW(B49, _xlfn.LAMBDA(_xlpm.party,
   SUMIFS(ledger!J:J, ledger!B:B, _xlpm.party, ledger!E:E, "&lt;&gt;*RD*", ledger!D:D, "Kataan", ledger!C:C, "&lt;&gt;November Closing CF")
))+ _xlfn.IFNA(L84, 0)</f>
        <v>0</v>
      </c>
      <c r="AB5" s="70" cm="1">
        <f t="array" ref="AB5">_xlfn.BYROW(B49, _xlfn.LAMBDA(_xlpm.party,
   SUMIFS(ledger!J:J, ledger!B:B, _xlpm.party, ledger!E:E, "&lt;&gt;*RD*", ledger!D:D, "Munaar", ledger!C:C, "&lt;&gt;November Closing CF")
))+ _xlfn.IFNA(M84, 0)</f>
        <v>0</v>
      </c>
      <c r="AC5" s="39">
        <f>V5+W5+X5+Y5+Z5+AA5+AB5</f>
        <v>25946705.21580103</v>
      </c>
      <c r="AD5" s="22">
        <f>(SUMIF(Table14[Party],Q5,Table14[Credit]))+_xlfn.IFNA(O84,0)</f>
        <v>19750734</v>
      </c>
      <c r="AE5" s="33">
        <f>AC5-AD5</f>
        <v>6195971.2158010304</v>
      </c>
      <c r="AF5" s="21">
        <v>10</v>
      </c>
      <c r="AG5" s="21">
        <v>13</v>
      </c>
    </row>
    <row r="6" spans="2:33" x14ac:dyDescent="0.3">
      <c r="B6" t="str">
        <f t="shared" si="0"/>
        <v>Sufi Nawaz Sahab</v>
      </c>
      <c r="C6" s="18">
        <f>SUMIFS(ledger!G:G, ledger!B:B, B6, ledger!E:E, "&lt;&gt;*RD*") / 1.0936</f>
        <v>23995.976591075349</v>
      </c>
      <c r="D6">
        <v>10</v>
      </c>
      <c r="E6" s="14">
        <f>((SUMIFS(ledger!G:G, ledger!B:B, B6, ledger!E:E, "&lt;&gt;*RD*",ledger!D:D, "Silky") / 1.0936) *12) + ((SUMIFS(ledger!G:G, ledger!B:B, B6, ledger!E:E, "&lt;&gt;*RD*",ledger!D:D, "Chamki") / 1.0936)* 9)</f>
        <v>0</v>
      </c>
      <c r="I6" t="s">
        <v>24</v>
      </c>
      <c r="Q6" s="24" t="str">
        <v>Ejaz Sahab</v>
      </c>
      <c r="R6" s="22" cm="1">
        <f t="array" ref="R6">_xlfn.BYROW(B50,_xlfn.LAMBDA(_xlpm.party,SUMIFS(ledger!G:G,ledger!B:B,_xlpm.party,ledger!E:E,"&lt;&gt;*RD*")))+_xlfn.IFNA(C85,0)</f>
        <v>430669</v>
      </c>
      <c r="S6" s="22" cm="1">
        <f t="array" ref="S6">_xlfn.BYROW(B50, _xlfn.LAMBDA(_xlpm.party, SUMIFS(ledger!G:G, ledger!B:B, _xlpm.party, ledger!E:E, "&lt;&gt;*RD*") / 1.0936 ))+_xlfn.IFNA(D85,0)</f>
        <v>393808.52231163136</v>
      </c>
      <c r="T6" s="22" cm="1">
        <f t="array" ref="T6">(_xlfn.BYROW(B50,_xlfn.LAMBDA(_xlpm.party,SUMIFS(ledger!G:G,ledger!B:B,_xlpm.party,ledger!E:E,"&lt;&gt;*RD*",ledger!D:D,"Chamki")+SUMIFS(ledger!G:G, ledger!B:B, _xlpm.party, ledger!E:E, "&lt;&gt;*RD*", ledger!D:D, "Crinkle")))/1.0936)+_xlfn.IFNA(E85,0)</f>
        <v>148145.57425018289</v>
      </c>
      <c r="U6" s="70" cm="1">
        <f t="array" ref="U6">(_xlfn.BYROW(B50,_xlfn.LAMBDA(_xlpm.party,SUMIFS(ledger!G:G,ledger!B:B,_xlpm.party,ledger!E:E,"&lt;&gt;*RD*",ledger!D:D,"Silky")))/1.0936)+_xlfn.IFNA(F85,0)</f>
        <v>245662.94806144843</v>
      </c>
      <c r="V6" s="22" cm="1">
        <f t="array" ref="V6">(_xlfn.BYROW(B50,_xlfn.LAMBDA(_xlpm.party,
(SUMIFS(ledger!J:J,ledger!B:B,_xlpm.party,ledger!E:E,"&lt;&gt;*RD*",ledger!D:D,"Chamki",ledger!C:C,"&lt;&gt;November Closing CF")+
SUMIFS(ledger!J:J,ledger!B:B,_xlpm.party,ledger!E:E,"&lt;&gt;*RD*",ledger!D:D,"Crinkle",ledger!C:C,"&lt;&gt;November Closing CF")
)+_xlfn.IFNA(G85,0))))</f>
        <v>1481455.7425018288</v>
      </c>
      <c r="W6" s="70" cm="1">
        <f t="array" ref="W6">_xlfn.BYROW(B50, _xlfn.LAMBDA(_xlpm.party,
   SUMIFS(ledger!J:J, ledger!B:B, _xlpm.party, ledger!E:E, "&lt;&gt;*RD*", ledger!D:D, "Silky", ledger!C:C, "&lt;&gt;November Closing CF")
)) + _xlfn.IFNA(H85, 0)</f>
        <v>3134474.2136064377</v>
      </c>
      <c r="X6" s="70" cm="1">
        <f t="array" ref="X6">_xlfn.BYROW(B50, _xlfn.LAMBDA(_xlpm.party,
   SUMIFS(ledger!J:J, ledger!B:B, _xlpm.party, ledger!E:E, "&lt;&gt;*RD*", ledger!D:D, "Slub", ledger!C:C, "&lt;&gt;November Closing CF")
))+ _xlfn.IFNA(I85, 0)</f>
        <v>0</v>
      </c>
      <c r="Y6" s="70" cm="1">
        <f t="array" ref="Y6">_xlfn.BYROW(B50, _xlfn.LAMBDA(_xlpm.party,
   SUMIFS(ledger!J:J, ledger!B:B, _xlpm.party, ledger!E:E, "&lt;&gt;*RD*", ledger!D:D, "Satin", ledger!C:C, "&lt;&gt;November Closing CF")
))+ _xlfn.IFNA(J85, 0)</f>
        <v>0</v>
      </c>
      <c r="Z6" s="70" cm="1">
        <f t="array" ref="Z6">_xlfn.BYROW(B50, _xlfn.LAMBDA(_xlpm.party,
   SUMIFS(ledger!J:J, ledger!B:B, _xlpm.party, ledger!E:E, "&lt;&gt;*RD*", ledger!D:D, "Black-Chamki", ledger!C:C, "&lt;&gt;November Closing CF")
))+ _xlfn.IFNA(K85, 0)</f>
        <v>0</v>
      </c>
      <c r="AA6" s="70" cm="1">
        <f t="array" ref="AA6">_xlfn.BYROW(B50, _xlfn.LAMBDA(_xlpm.party,
   SUMIFS(ledger!J:J, ledger!B:B, _xlpm.party, ledger!E:E, "&lt;&gt;*RD*", ledger!D:D, "Kataan", ledger!C:C, "&lt;&gt;November Closing CF")
))+ _xlfn.IFNA(L85, 0)</f>
        <v>0</v>
      </c>
      <c r="AB6" s="70" cm="1">
        <f t="array" ref="AB6">_xlfn.BYROW(B50, _xlfn.LAMBDA(_xlpm.party,
   SUMIFS(ledger!J:J, ledger!B:B, _xlpm.party, ledger!E:E, "&lt;&gt;*RD*", ledger!D:D, "Munaar", ledger!C:C, "&lt;&gt;November Closing CF")
))+ _xlfn.IFNA(M85, 0)</f>
        <v>0</v>
      </c>
      <c r="AC6" s="39">
        <f t="shared" ref="AC6:AC36" si="1">V6+W6+X6+Y6+Z6+AA6+AB6</f>
        <v>4615929.9561082665</v>
      </c>
      <c r="AD6" s="22">
        <f>(SUMIF(Table14[Party],Q6,Table14[Credit]))+_xlfn.IFNA(O85,0)</f>
        <v>4371992</v>
      </c>
      <c r="AE6" s="33">
        <f t="shared" ref="AE6:AE31" si="2">AC6-AD6</f>
        <v>243937.95610826649</v>
      </c>
      <c r="AF6" s="21">
        <v>10</v>
      </c>
      <c r="AG6" s="21">
        <v>13</v>
      </c>
    </row>
    <row r="7" spans="2:33" x14ac:dyDescent="0.3">
      <c r="B7" t="str">
        <f t="shared" si="0"/>
        <v>Sajad Khan</v>
      </c>
      <c r="C7" s="18">
        <f>SUMIFS(ledger!G:G, ledger!B:B, B7, ledger!E:E, "&lt;&gt;*RD*") / 1.0936</f>
        <v>0</v>
      </c>
      <c r="D7">
        <v>10</v>
      </c>
      <c r="E7" s="14" cm="1">
        <f t="array" ref="E7">(SUMIFS(ledger!G:G, ledger!B:B, B7, ledger!E:E, "&lt;&gt;*RD*",ledger!D:D, "Silky") / 1.0936)*12 + (SUMIFS(ledger!G:G, ledger!B:B, B7, ledger!E:E, "&lt;&gt;*RD*",ledger!D:D, "Chamki") / 1.0936)*10 +(SUMIFS(ledger!G:G, ledger!B:B, party, ledger!E:E, "&lt;&gt;*RD*", ledger!D:D, "Crinkle")/ 1.0936)*10</f>
        <v>0</v>
      </c>
      <c r="I7" t="s">
        <v>25</v>
      </c>
      <c r="Q7" s="24" t="str">
        <v>Arshad</v>
      </c>
      <c r="R7" s="22" cm="1">
        <f t="array" ref="R7">_xlfn.BYROW(B51,_xlfn.LAMBDA(_xlpm.party,SUMIFS(ledger!G:G,ledger!B:B,_xlpm.party,ledger!E:E,"&lt;&gt;*RD*")))+_xlfn.IFNA(C86,0)</f>
        <v>729474</v>
      </c>
      <c r="S7" s="22" cm="1">
        <f t="array" ref="S7">_xlfn.BYROW(B51, _xlfn.LAMBDA(_xlpm.party, SUMIFS(ledger!G:G, ledger!B:B, _xlpm.party, ledger!E:E, "&lt;&gt;*RD*") / 1.0936 ))+_xlfn.IFNA(D86,0)</f>
        <v>667039.13679590344</v>
      </c>
      <c r="T7" s="22" cm="1">
        <f t="array" ref="T7">(_xlfn.BYROW(B51,_xlfn.LAMBDA(_xlpm.party,SUMIFS(ledger!G:G,ledger!B:B,_xlpm.party,ledger!E:E,"&lt;&gt;*RD*",ledger!D:D,"Chamki")+SUMIFS(ledger!G:G, ledger!B:B, _xlpm.party, ledger!E:E, "&lt;&gt;*RD*", ledger!D:D, "Crinkle")))/1.0936)+_xlfn.IFNA(E86,0)</f>
        <v>576099.12216532556</v>
      </c>
      <c r="U7" s="70" cm="1">
        <f t="array" ref="U7">(_xlfn.BYROW(B51,_xlfn.LAMBDA(_xlpm.party,SUMIFS(ledger!G:G,ledger!B:B,_xlpm.party,ledger!E:E,"&lt;&gt;*RD*",ledger!D:D,"Silky")))/1.0936)+_xlfn.IFNA(F86,0)</f>
        <v>90940.014630577905</v>
      </c>
      <c r="V7" s="22" cm="1">
        <f t="array" ref="V7">(_xlfn.BYROW(B51,_xlfn.LAMBDA(_xlpm.party,
(SUMIFS(ledger!J:J,ledger!B:B,_xlpm.party,ledger!E:E,"&lt;&gt;*RD*",ledger!D:D,"Chamki",ledger!C:C,"&lt;&gt;November Closing CF")+
SUMIFS(ledger!J:J,ledger!B:B,_xlpm.party,ledger!E:E,"&lt;&gt;*RD*",ledger!D:D,"Crinkle",ledger!C:C,"&lt;&gt;November Closing CF")
)+_xlfn.IFNA(G86,0))))</f>
        <v>5760991.2216532556</v>
      </c>
      <c r="W7" s="70" cm="1">
        <f t="array" ref="W7">_xlfn.BYROW(B51, _xlfn.LAMBDA(_xlpm.party,
   SUMIFS(ledger!J:J, ledger!B:B, _xlpm.party, ledger!E:E, "&lt;&gt;*RD*", ledger!D:D, "Silky", ledger!C:C, "&lt;&gt;November Closing CF")
)) + _xlfn.IFNA(H86, 0)</f>
        <v>1167425.9326993418</v>
      </c>
      <c r="X7" s="70" cm="1">
        <f t="array" ref="X7">_xlfn.BYROW(B51, _xlfn.LAMBDA(_xlpm.party,
   SUMIFS(ledger!J:J, ledger!B:B, _xlpm.party, ledger!E:E, "&lt;&gt;*RD*", ledger!D:D, "Slub", ledger!C:C, "&lt;&gt;November Closing CF")
))+ _xlfn.IFNA(I86, 0)</f>
        <v>0</v>
      </c>
      <c r="Y7" s="70" cm="1">
        <f t="array" ref="Y7">_xlfn.BYROW(B51, _xlfn.LAMBDA(_xlpm.party,
   SUMIFS(ledger!J:J, ledger!B:B, _xlpm.party, ledger!E:E, "&lt;&gt;*RD*", ledger!D:D, "Satin", ledger!C:C, "&lt;&gt;November Closing CF")
))+ _xlfn.IFNA(J86, 0)</f>
        <v>0</v>
      </c>
      <c r="Z7" s="70" cm="1">
        <f t="array" ref="Z7">_xlfn.BYROW(B51, _xlfn.LAMBDA(_xlpm.party,
   SUMIFS(ledger!J:J, ledger!B:B, _xlpm.party, ledger!E:E, "&lt;&gt;*RD*", ledger!D:D, "Black-Chamki", ledger!C:C, "&lt;&gt;November Closing CF")
))+ _xlfn.IFNA(K86, 0)</f>
        <v>0</v>
      </c>
      <c r="AA7" s="70" cm="1">
        <f t="array" ref="AA7">_xlfn.BYROW(B51, _xlfn.LAMBDA(_xlpm.party,
   SUMIFS(ledger!J:J, ledger!B:B, _xlpm.party, ledger!E:E, "&lt;&gt;*RD*", ledger!D:D, "Kataan", ledger!C:C, "&lt;&gt;November Closing CF")
))+ _xlfn.IFNA(L86, 0)</f>
        <v>0</v>
      </c>
      <c r="AB7" s="70" cm="1">
        <f t="array" ref="AB7">_xlfn.BYROW(B51, _xlfn.LAMBDA(_xlpm.party,
   SUMIFS(ledger!J:J, ledger!B:B, _xlpm.party, ledger!E:E, "&lt;&gt;*RD*", ledger!D:D, "Munaar", ledger!C:C, "&lt;&gt;November Closing CF")
))+ _xlfn.IFNA(M86, 0)</f>
        <v>0</v>
      </c>
      <c r="AC7" s="39">
        <f t="shared" si="1"/>
        <v>6928417.1543525979</v>
      </c>
      <c r="AD7" s="22">
        <f>(SUMIF(Table14[Party],Q7,Table14[Credit]))+_xlfn.IFNA(O86,0)</f>
        <v>6705301</v>
      </c>
      <c r="AE7" s="33">
        <f t="shared" si="2"/>
        <v>223116.15435259789</v>
      </c>
      <c r="AF7" s="21">
        <v>10</v>
      </c>
      <c r="AG7" s="21">
        <v>13</v>
      </c>
    </row>
    <row r="8" spans="2:33" x14ac:dyDescent="0.3">
      <c r="B8" t="str">
        <f t="shared" si="0"/>
        <v>Raaz Fabrics</v>
      </c>
      <c r="C8" s="18">
        <f>SUMIFS(ledger!G:G, ledger!B:B, B8, ledger!E:E, "&lt;&gt;*RD*") / 1.0936</f>
        <v>23250.731528895394</v>
      </c>
      <c r="D8">
        <v>10</v>
      </c>
      <c r="E8" s="14">
        <f>(SUMIFS(ledger!G:G, ledger!B:B, B8, ledger!E:E, "&lt;&gt;*RD*",ledger!D:D, "Silky") / 1.0936)*12 + (SUMIFS(ledger!G:G, ledger!B:B, B8, ledger!E:E, "&lt;&gt;*RD*",ledger!D:D, "chamki") / 1.0936)*10 +(SUMIFS(ledger!G:G, ledger!B:B, B8, ledger!E:E, "&lt;&gt;*RD*",ledger!D:D, "Crinkle") / 1.0936)*10</f>
        <v>232507.31528895395</v>
      </c>
      <c r="I8" t="s">
        <v>26</v>
      </c>
      <c r="Q8" s="24" t="str">
        <v>Shehzad Kamoki</v>
      </c>
      <c r="R8" s="22" cm="1">
        <f t="array" ref="R8">_xlfn.BYROW(B52,_xlfn.LAMBDA(_xlpm.party,SUMIFS(ledger!G:G,ledger!B:B,_xlpm.party,ledger!E:E,"&lt;&gt;*RD*")))+_xlfn.IFNA(C87,0)</f>
        <v>143457</v>
      </c>
      <c r="S8" s="22" cm="1">
        <f t="array" ref="S8">_xlfn.BYROW(B52, _xlfn.LAMBDA(_xlpm.party, SUMIFS(ledger!G:G, ledger!B:B, _xlpm.party, ledger!E:E, "&lt;&gt;*RD*") / 1.0936 ))+_xlfn.IFNA(D87,0)</f>
        <v>131178.67593269935</v>
      </c>
      <c r="T8" s="22" cm="1">
        <f t="array" ref="T8">(_xlfn.BYROW(B52,_xlfn.LAMBDA(_xlpm.party,SUMIFS(ledger!G:G,ledger!B:B,_xlpm.party,ledger!E:E,"&lt;&gt;*RD*",ledger!D:D,"Chamki")+SUMIFS(ledger!G:G, ledger!B:B, _xlpm.party, ledger!E:E, "&lt;&gt;*RD*", ledger!D:D, "Crinkle")))/1.0936)+_xlfn.IFNA(E87,0)</f>
        <v>131178.67593269935</v>
      </c>
      <c r="U8" s="70" cm="1">
        <f t="array" ref="U8">(_xlfn.BYROW(B52,_xlfn.LAMBDA(_xlpm.party,SUMIFS(ledger!G:G,ledger!B:B,_xlpm.party,ledger!E:E,"&lt;&gt;*RD*",ledger!D:D,"Silky")))/1.0936)+_xlfn.IFNA(F87,0)</f>
        <v>0</v>
      </c>
      <c r="V8" s="22" cm="1">
        <f t="array" ref="V8">(_xlfn.BYROW(B52,_xlfn.LAMBDA(_xlpm.party,
(SUMIFS(ledger!J:J,ledger!B:B,_xlpm.party,ledger!E:E,"&lt;&gt;*RD*",ledger!D:D,"Chamki",ledger!C:C,"&lt;&gt;November Closing CF")+
SUMIFS(ledger!J:J,ledger!B:B,_xlpm.party,ledger!E:E,"&lt;&gt;*RD*",ledger!D:D,"Crinkle",ledger!C:C,"&lt;&gt;November Closing CF")
)+_xlfn.IFNA(G87,0))))</f>
        <v>1354241.9972933433</v>
      </c>
      <c r="W8" s="70" cm="1">
        <f t="array" ref="W8">_xlfn.BYROW(B52, _xlfn.LAMBDA(_xlpm.party,
   SUMIFS(ledger!J:J, ledger!B:B, _xlpm.party, ledger!E:E, "&lt;&gt;*RD*", ledger!D:D, "Silky", ledger!C:C, "&lt;&gt;November Closing CF")
)) + _xlfn.IFNA(H87, 0)</f>
        <v>0</v>
      </c>
      <c r="X8" s="70" cm="1">
        <f t="array" ref="X8">_xlfn.BYROW(B52, _xlfn.LAMBDA(_xlpm.party,
   SUMIFS(ledger!J:J, ledger!B:B, _xlpm.party, ledger!E:E, "&lt;&gt;*RD*", ledger!D:D, "Slub", ledger!C:C, "&lt;&gt;November Closing CF")
))+ _xlfn.IFNA(I87, 0)</f>
        <v>0</v>
      </c>
      <c r="Y8" s="70" cm="1">
        <f t="array" ref="Y8">_xlfn.BYROW(B52, _xlfn.LAMBDA(_xlpm.party,
   SUMIFS(ledger!J:J, ledger!B:B, _xlpm.party, ledger!E:E, "&lt;&gt;*RD*", ledger!D:D, "Satin", ledger!C:C, "&lt;&gt;November Closing CF")
))+ _xlfn.IFNA(J87, 0)</f>
        <v>0</v>
      </c>
      <c r="Z8" s="70" cm="1">
        <f t="array" ref="Z8">_xlfn.BYROW(B52, _xlfn.LAMBDA(_xlpm.party,
   SUMIFS(ledger!J:J, ledger!B:B, _xlpm.party, ledger!E:E, "&lt;&gt;*RD*", ledger!D:D, "Black-Chamki", ledger!C:C, "&lt;&gt;November Closing CF")
))+ _xlfn.IFNA(K87, 0)</f>
        <v>0</v>
      </c>
      <c r="AA8" s="70" cm="1">
        <f t="array" ref="AA8">_xlfn.BYROW(B52, _xlfn.LAMBDA(_xlpm.party,
   SUMIFS(ledger!J:J, ledger!B:B, _xlpm.party, ledger!E:E, "&lt;&gt;*RD*", ledger!D:D, "Kataan", ledger!C:C, "&lt;&gt;November Closing CF")
))+ _xlfn.IFNA(L87, 0)</f>
        <v>0</v>
      </c>
      <c r="AB8" s="70" cm="1">
        <f t="array" ref="AB8">_xlfn.BYROW(B52, _xlfn.LAMBDA(_xlpm.party,
   SUMIFS(ledger!J:J, ledger!B:B, _xlpm.party, ledger!E:E, "&lt;&gt;*RD*", ledger!D:D, "Munaar", ledger!C:C, "&lt;&gt;November Closing CF")
))+ _xlfn.IFNA(M87, 0)</f>
        <v>0</v>
      </c>
      <c r="AC8" s="39">
        <f t="shared" si="1"/>
        <v>1354241.9972933433</v>
      </c>
      <c r="AD8" s="22">
        <f>(SUMIF(Table14[Party],Q8,Table14[Credit]))+_xlfn.IFNA(O87,0)</f>
        <v>1353710</v>
      </c>
      <c r="AE8" s="33">
        <f t="shared" si="2"/>
        <v>531.99729334330186</v>
      </c>
      <c r="AF8" s="21">
        <v>10.5</v>
      </c>
      <c r="AG8" s="21">
        <v>13</v>
      </c>
    </row>
    <row r="9" spans="2:33" x14ac:dyDescent="0.3">
      <c r="B9" t="str">
        <f t="shared" si="0"/>
        <v>Azam</v>
      </c>
      <c r="C9" s="18">
        <f>SUMIFS(ledger!G:G, ledger!B:B, B9, ledger!E:E, "&lt;&gt;*RD*") / 1.0936</f>
        <v>94839.978054133142</v>
      </c>
      <c r="D9">
        <v>10</v>
      </c>
      <c r="E9" s="14">
        <f>(SUMIFS(ledger!G:G, ledger!B:B, B9, ledger!E:E, "&lt;&gt;*RD*",ledger!D:D, "Silky") / 1.0936)*12 + (SUMIFS(ledger!G:G, ledger!B:B, B9, ledger!E:E, "&lt;&gt;*RD*",ledger!D:D, "Chamki") / 1.0936)*10</f>
        <v>948399.78054133139</v>
      </c>
      <c r="I9" t="s">
        <v>152</v>
      </c>
      <c r="Q9" s="24" t="str">
        <v>Sufi Nawaz Sahab</v>
      </c>
      <c r="R9" s="22" cm="1">
        <f t="array" ref="R9">_xlfn.BYROW(B53,_xlfn.LAMBDA(_xlpm.party,SUMIFS(ledger!G:G,ledger!B:B,_xlpm.party,ledger!E:E,"&lt;&gt;*RD*")))+_xlfn.IFNA(C88,0)</f>
        <v>1212967</v>
      </c>
      <c r="S9" s="22" cm="1">
        <f t="array" ref="S9">_xlfn.BYROW(B53, _xlfn.LAMBDA(_xlpm.party, SUMIFS(ledger!G:G, ledger!B:B, _xlpm.party, ledger!E:E, "&lt;&gt;*RD*") / 1.0936 ))+_xlfn.IFNA(D88,0)</f>
        <v>1109150.5120702267</v>
      </c>
      <c r="T9" s="22" cm="1">
        <f t="array" ref="T9">(_xlfn.BYROW(B53,_xlfn.LAMBDA(_xlpm.party,SUMIFS(ledger!G:G,ledger!B:B,_xlpm.party,ledger!E:E,"&lt;&gt;*RD*",ledger!D:D,"Chamki")+SUMIFS(ledger!G:G, ledger!B:B, _xlpm.party, ledger!E:E, "&lt;&gt;*RD*", ledger!D:D, "Crinkle")))/1.0936)+_xlfn.IFNA(E88,0)</f>
        <v>599330.65106071695</v>
      </c>
      <c r="U9" s="70" cm="1">
        <f t="array" ref="U9">(_xlfn.BYROW(B53,_xlfn.LAMBDA(_xlpm.party,SUMIFS(ledger!G:G,ledger!B:B,_xlpm.party,ledger!E:E,"&lt;&gt;*RD*",ledger!D:D,"Silky")))/1.0936)+_xlfn.IFNA(F88,0)</f>
        <v>485823.88441843458</v>
      </c>
      <c r="V9" s="22" cm="1">
        <f t="array" ref="V9">(_xlfn.BYROW(B53,_xlfn.LAMBDA(_xlpm.party,
(SUMIFS(ledger!J:J,ledger!B:B,_xlpm.party,ledger!E:E,"&lt;&gt;*RD*",ledger!D:D,"Chamki",ledger!C:C,"&lt;&gt;November Closing CF")+
SUMIFS(ledger!J:J,ledger!B:B,_xlpm.party,ledger!E:E,"&lt;&gt;*RD*",ledger!D:D,"Crinkle",ledger!C:C,"&lt;&gt;November Closing CF")
)+_xlfn.IFNA(G88,0))))</f>
        <v>5408917.8595464528</v>
      </c>
      <c r="W9" s="70" cm="1">
        <f t="array" ref="W9">_xlfn.BYROW(B53, _xlfn.LAMBDA(_xlpm.party,
   SUMIFS(ledger!J:J, ledger!B:B, _xlpm.party, ledger!E:E, "&lt;&gt;*RD*", ledger!D:D, "Silky", ledger!C:C, "&lt;&gt;November Closing CF")
)) + _xlfn.IFNA(H88, 0)</f>
        <v>5829886.6130212145</v>
      </c>
      <c r="X9" s="70" cm="1">
        <f t="array" ref="X9">_xlfn.BYROW(B53, _xlfn.LAMBDA(_xlpm.party,
   SUMIFS(ledger!J:J, ledger!B:B, _xlpm.party, ledger!E:E, "&lt;&gt;*RD*", ledger!D:D, "Slub", ledger!C:C, "&lt;&gt;November Closing CF")
))+ _xlfn.IFNA(I88, 0)</f>
        <v>0</v>
      </c>
      <c r="Y9" s="70" cm="1">
        <f t="array" ref="Y9">_xlfn.BYROW(B53, _xlfn.LAMBDA(_xlpm.party,
   SUMIFS(ledger!J:J, ledger!B:B, _xlpm.party, ledger!E:E, "&lt;&gt;*RD*", ledger!D:D, "Satin", ledger!C:C, "&lt;&gt;November Closing CF")
))+ _xlfn.IFNA(J88, 0)</f>
        <v>239959.76591075349</v>
      </c>
      <c r="Z9" s="70" cm="1">
        <f t="array" ref="Z9">_xlfn.BYROW(B53, _xlfn.LAMBDA(_xlpm.party,
   SUMIFS(ledger!J:J, ledger!B:B, _xlpm.party, ledger!E:E, "&lt;&gt;*RD*", ledger!D:D, "Black-Chamki", ledger!C:C, "&lt;&gt;November Closing CF")
))+ _xlfn.IFNA(K88, 0)</f>
        <v>0</v>
      </c>
      <c r="AA9" s="70" cm="1">
        <f t="array" ref="AA9">_xlfn.BYROW(B53, _xlfn.LAMBDA(_xlpm.party,
   SUMIFS(ledger!J:J, ledger!B:B, _xlpm.party, ledger!E:E, "&lt;&gt;*RD*", ledger!D:D, "Kataan", ledger!C:C, "&lt;&gt;November Closing CF")
))+ _xlfn.IFNA(L88, 0)</f>
        <v>0</v>
      </c>
      <c r="AB9" s="70" cm="1">
        <f t="array" ref="AB9">_xlfn.BYROW(B53, _xlfn.LAMBDA(_xlpm.party,
   SUMIFS(ledger!J:J, ledger!B:B, _xlpm.party, ledger!E:E, "&lt;&gt;*RD*", ledger!D:D, "Munaar", ledger!C:C, "&lt;&gt;November Closing CF")
))+ _xlfn.IFNA(M88, 0)</f>
        <v>0</v>
      </c>
      <c r="AC9" s="39">
        <f t="shared" si="1"/>
        <v>11478764.23847842</v>
      </c>
      <c r="AD9" s="22">
        <f>(SUMIF(Table14[Party],Q9,Table14[Credit]))+_xlfn.IFNA(O88,0)</f>
        <v>11478764</v>
      </c>
      <c r="AE9" s="33">
        <f t="shared" si="2"/>
        <v>0.23847842030227184</v>
      </c>
      <c r="AF9" s="21">
        <v>10</v>
      </c>
      <c r="AG9" s="21">
        <v>13</v>
      </c>
    </row>
    <row r="10" spans="2:33" x14ac:dyDescent="0.3">
      <c r="B10" t="str">
        <f t="shared" si="0"/>
        <v>Ubaidullah</v>
      </c>
      <c r="C10" s="18">
        <f>SUMIFS(ledger!G:G, ledger!B:B, B10, ledger!E:E, "&lt;&gt;*RD*") / 1.0936</f>
        <v>0</v>
      </c>
      <c r="D10">
        <v>10</v>
      </c>
      <c r="E10" s="14">
        <f>(SUMIFS(ledger!G:G, ledger!B:B, B10, ledger!E:E, "&lt;&gt;*RD*",ledger!D:D, "Silky") / 1.0936)*12 + (SUMIFS(ledger!G:G, ledger!B:B, B10, ledger!E:E, "&lt;&gt;*RD*",ledger!D:D, "Chamki") / 1.0936)*10</f>
        <v>0</v>
      </c>
      <c r="I10" t="s">
        <v>35</v>
      </c>
      <c r="Q10" s="24" t="str">
        <v>Sajad Khan</v>
      </c>
      <c r="R10" s="22" cm="1">
        <f t="array" ref="R10">_xlfn.BYROW(B54,_xlfn.LAMBDA(_xlpm.party,SUMIFS(ledger!G:G,ledger!B:B,_xlpm.party,ledger!E:E,"&lt;&gt;*RD*")))+_xlfn.IFNA(C89,0)</f>
        <v>865551</v>
      </c>
      <c r="S10" s="22" cm="1">
        <f t="array" ref="S10">_xlfn.BYROW(B54, _xlfn.LAMBDA(_xlpm.party, SUMIFS(ledger!G:G, ledger!B:B, _xlpm.party, ledger!E:E, "&lt;&gt;*RD*") / 1.0936 ))+_xlfn.IFNA(D89,0)</f>
        <v>791469.45866861753</v>
      </c>
      <c r="T10" s="22" cm="1">
        <f t="array" ref="T10">(_xlfn.BYROW(B54,_xlfn.LAMBDA(_xlpm.party,SUMIFS(ledger!G:G,ledger!B:B,_xlpm.party,ledger!E:E,"&lt;&gt;*RD*",ledger!D:D,"Chamki")+SUMIFS(ledger!G:G, ledger!B:B, _xlpm.party, ledger!E:E, "&lt;&gt;*RD*", ledger!D:D, "Crinkle")))/1.0936)+_xlfn.IFNA(E89,0)</f>
        <v>785980.24871982448</v>
      </c>
      <c r="U10" s="70" cm="1">
        <f t="array" ref="U10">(_xlfn.BYROW(B54,_xlfn.LAMBDA(_xlpm.party,SUMIFS(ledger!G:G,ledger!B:B,_xlpm.party,ledger!E:E,"&lt;&gt;*RD*",ledger!D:D,"Silky")))/1.0936)+_xlfn.IFNA(F89,0)</f>
        <v>0</v>
      </c>
      <c r="V10" s="22" cm="1">
        <f t="array" ref="V10">(_xlfn.BYROW(B54,_xlfn.LAMBDA(_xlpm.party,
(SUMIFS(ledger!J:J,ledger!B:B,_xlpm.party,ledger!E:E,"&lt;&gt;*RD*",ledger!D:D,"Chamki",ledger!C:C,"&lt;&gt;November Closing CF")+
SUMIFS(ledger!J:J,ledger!B:B,_xlpm.party,ledger!E:E,"&lt;&gt;*RD*",ledger!D:D,"Crinkle",ledger!C:C,"&lt;&gt;November Closing CF")
)+_xlfn.IFNA(G89,0))))</f>
        <v>7859802.4871982448</v>
      </c>
      <c r="W10" s="70" cm="1">
        <f t="array" ref="W10">_xlfn.BYROW(B54, _xlfn.LAMBDA(_xlpm.party,
   SUMIFS(ledger!J:J, ledger!B:B, _xlpm.party, ledger!E:E, "&lt;&gt;*RD*", ledger!D:D, "Silky", ledger!C:C, "&lt;&gt;November Closing CF")
)) + _xlfn.IFNA(H89, 0)</f>
        <v>0</v>
      </c>
      <c r="X10" s="70" cm="1">
        <f t="array" ref="X10">_xlfn.BYROW(B54, _xlfn.LAMBDA(_xlpm.party,
   SUMIFS(ledger!J:J, ledger!B:B, _xlpm.party, ledger!E:E, "&lt;&gt;*RD*", ledger!D:D, "Slub", ledger!C:C, "&lt;&gt;November Closing CF")
))+ _xlfn.IFNA(I89, 0)</f>
        <v>71359.729334308722</v>
      </c>
      <c r="Y10" s="70" cm="1">
        <f t="array" ref="Y10">_xlfn.BYROW(B54, _xlfn.LAMBDA(_xlpm.party,
   SUMIFS(ledger!J:J, ledger!B:B, _xlpm.party, ledger!E:E, "&lt;&gt;*RD*", ledger!D:D, "Satin", ledger!C:C, "&lt;&gt;November Closing CF")
))+ _xlfn.IFNA(J89, 0)</f>
        <v>0</v>
      </c>
      <c r="Z10" s="70" cm="1">
        <f t="array" ref="Z10">_xlfn.BYROW(B54, _xlfn.LAMBDA(_xlpm.party,
   SUMIFS(ledger!J:J, ledger!B:B, _xlpm.party, ledger!E:E, "&lt;&gt;*RD*", ledger!D:D, "Black-Chamki", ledger!C:C, "&lt;&gt;November Closing CF")
))+ _xlfn.IFNA(K89, 0)</f>
        <v>0</v>
      </c>
      <c r="AA10" s="70" cm="1">
        <f t="array" ref="AA10">_xlfn.BYROW(B54, _xlfn.LAMBDA(_xlpm.party,
   SUMIFS(ledger!J:J, ledger!B:B, _xlpm.party, ledger!E:E, "&lt;&gt;*RD*", ledger!D:D, "Kataan", ledger!C:C, "&lt;&gt;November Closing CF")
))+ _xlfn.IFNA(L89, 0)</f>
        <v>0</v>
      </c>
      <c r="AB10" s="70" cm="1">
        <f t="array" ref="AB10">_xlfn.BYROW(B54, _xlfn.LAMBDA(_xlpm.party,
   SUMIFS(ledger!J:J, ledger!B:B, _xlpm.party, ledger!E:E, "&lt;&gt;*RD*", ledger!D:D, "Munaar", ledger!C:C, "&lt;&gt;November Closing CF")
))+ _xlfn.IFNA(M89, 0)</f>
        <v>0</v>
      </c>
      <c r="AC10" s="39">
        <f t="shared" si="1"/>
        <v>7931162.2165325535</v>
      </c>
      <c r="AD10" s="22">
        <f>(SUMIF(Table14[Party],Q10,Table14[Credit]))+_xlfn.IFNA(O89,0)</f>
        <v>7997871</v>
      </c>
      <c r="AE10" s="33">
        <f t="shared" si="2"/>
        <v>-66708.783467446454</v>
      </c>
      <c r="AF10" s="21">
        <v>10</v>
      </c>
      <c r="AG10" s="21">
        <v>13</v>
      </c>
    </row>
    <row r="11" spans="2:33" x14ac:dyDescent="0.3">
      <c r="B11" t="str">
        <f t="shared" si="0"/>
        <v>Ashraf Zia</v>
      </c>
      <c r="C11" s="18">
        <f>SUMIFS(ledger!G:G, ledger!B:B, B11, ledger!E:E, "&lt;&gt;*RD*") / 1.0936</f>
        <v>0</v>
      </c>
      <c r="D11">
        <v>12</v>
      </c>
      <c r="E11" s="14">
        <f>(SUMIFS(ledger!G:G, ledger!B:B, B11, ledger!E:E, "&lt;&gt;*RD*",ledger!D:D, "Silky") / 1.0936)*12 + (SUMIFS(ledger!G:G, ledger!B:B, B11, ledger!E:E, "&lt;&gt;*RD*",ledger!D:D, "Chamki") / 1.0936)*10</f>
        <v>0</v>
      </c>
      <c r="I11" t="s">
        <v>148</v>
      </c>
      <c r="Q11" s="24" t="str">
        <v>Raaz Fabrics</v>
      </c>
      <c r="R11" s="22" cm="1">
        <f t="array" ref="R11">_xlfn.BYROW(B55,_xlfn.LAMBDA(_xlpm.party,SUMIFS(ledger!G:G,ledger!B:B,_xlpm.party,ledger!E:E,"&lt;&gt;*RD*")))+_xlfn.IFNA(C90,0)</f>
        <v>177861</v>
      </c>
      <c r="S11" s="22" cm="1">
        <f t="array" ref="S11">_xlfn.BYROW(B55, _xlfn.LAMBDA(_xlpm.party, SUMIFS(ledger!G:G, ledger!B:B, _xlpm.party, ledger!E:E, "&lt;&gt;*RD*") / 1.0936 ))+_xlfn.IFNA(D90,0)</f>
        <v>162638.07607900514</v>
      </c>
      <c r="T11" s="22" cm="1">
        <f t="array" ref="T11">(_xlfn.BYROW(B55,_xlfn.LAMBDA(_xlpm.party,SUMIFS(ledger!G:G,ledger!B:B,_xlpm.party,ledger!E:E,"&lt;&gt;*RD*",ledger!D:D,"Chamki")+SUMIFS(ledger!G:G, ledger!B:B, _xlpm.party, ledger!E:E, "&lt;&gt;*RD*", ledger!D:D, "Crinkle")))/1.0936)+_xlfn.IFNA(E90,0)</f>
        <v>162638.07607900514</v>
      </c>
      <c r="U11" s="70" cm="1">
        <f t="array" ref="U11">(_xlfn.BYROW(B55,_xlfn.LAMBDA(_xlpm.party,SUMIFS(ledger!G:G,ledger!B:B,_xlpm.party,ledger!E:E,"&lt;&gt;*RD*",ledger!D:D,"Silky")))/1.0936)+_xlfn.IFNA(F90,0)</f>
        <v>0</v>
      </c>
      <c r="V11" s="22" cm="1">
        <f t="array" ref="V11">(_xlfn.BYROW(B55,_xlfn.LAMBDA(_xlpm.party,
(SUMIFS(ledger!J:J,ledger!B:B,_xlpm.party,ledger!E:E,"&lt;&gt;*RD*",ledger!D:D,"Chamki",ledger!C:C,"&lt;&gt;November Closing CF")+
SUMIFS(ledger!J:J,ledger!B:B,_xlpm.party,ledger!E:E,"&lt;&gt;*RD*",ledger!D:D,"Crinkle",ledger!C:C,"&lt;&gt;November Closing CF")
)+_xlfn.IFNA(G90,0))))</f>
        <v>1626380.7607900514</v>
      </c>
      <c r="W11" s="70" cm="1">
        <f t="array" ref="W11">_xlfn.BYROW(B55, _xlfn.LAMBDA(_xlpm.party,
   SUMIFS(ledger!J:J, ledger!B:B, _xlpm.party, ledger!E:E, "&lt;&gt;*RD*", ledger!D:D, "Silky", ledger!C:C, "&lt;&gt;November Closing CF")
)) + _xlfn.IFNA(H90, 0)</f>
        <v>0</v>
      </c>
      <c r="X11" s="70" cm="1">
        <f t="array" ref="X11">_xlfn.BYROW(B55, _xlfn.LAMBDA(_xlpm.party,
   SUMIFS(ledger!J:J, ledger!B:B, _xlpm.party, ledger!E:E, "&lt;&gt;*RD*", ledger!D:D, "Slub", ledger!C:C, "&lt;&gt;November Closing CF")
))+ _xlfn.IFNA(I90, 0)</f>
        <v>0</v>
      </c>
      <c r="Y11" s="70" cm="1">
        <f t="array" ref="Y11">_xlfn.BYROW(B55, _xlfn.LAMBDA(_xlpm.party,
   SUMIFS(ledger!J:J, ledger!B:B, _xlpm.party, ledger!E:E, "&lt;&gt;*RD*", ledger!D:D, "Satin", ledger!C:C, "&lt;&gt;November Closing CF")
))+ _xlfn.IFNA(J90, 0)</f>
        <v>0</v>
      </c>
      <c r="Z11" s="70" cm="1">
        <f t="array" ref="Z11">_xlfn.BYROW(B55, _xlfn.LAMBDA(_xlpm.party,
   SUMIFS(ledger!J:J, ledger!B:B, _xlpm.party, ledger!E:E, "&lt;&gt;*RD*", ledger!D:D, "Black-Chamki", ledger!C:C, "&lt;&gt;November Closing CF")
))+ _xlfn.IFNA(K90, 0)</f>
        <v>0</v>
      </c>
      <c r="AA11" s="70" cm="1">
        <f t="array" ref="AA11">_xlfn.BYROW(B55, _xlfn.LAMBDA(_xlpm.party,
   SUMIFS(ledger!J:J, ledger!B:B, _xlpm.party, ledger!E:E, "&lt;&gt;*RD*", ledger!D:D, "Kataan", ledger!C:C, "&lt;&gt;November Closing CF")
))+ _xlfn.IFNA(L90, 0)</f>
        <v>0</v>
      </c>
      <c r="AB11" s="70" cm="1">
        <f t="array" ref="AB11">_xlfn.BYROW(B55, _xlfn.LAMBDA(_xlpm.party,
   SUMIFS(ledger!J:J, ledger!B:B, _xlpm.party, ledger!E:E, "&lt;&gt;*RD*", ledger!D:D, "Munaar", ledger!C:C, "&lt;&gt;November Closing CF")
))+ _xlfn.IFNA(M90, 0)</f>
        <v>0</v>
      </c>
      <c r="AC11" s="39">
        <f t="shared" si="1"/>
        <v>1626380.7607900514</v>
      </c>
      <c r="AD11" s="22">
        <f>(SUMIF(Table14[Party],Q11,Table14[Credit]))+_xlfn.IFNA(O90,0)</f>
        <v>1300000</v>
      </c>
      <c r="AE11" s="33">
        <f t="shared" si="2"/>
        <v>326380.76079005143</v>
      </c>
      <c r="AF11" s="21">
        <v>10</v>
      </c>
      <c r="AG11" s="21">
        <v>13</v>
      </c>
    </row>
    <row r="12" spans="2:33" x14ac:dyDescent="0.3">
      <c r="B12" t="str">
        <f t="shared" si="0"/>
        <v>Hafiz Qureshi</v>
      </c>
      <c r="C12" s="18">
        <f>SUMIFS(ledger!G:G, ledger!B:B, B12, ledger!E:E, "&lt;&gt;*RD*") / 1.0936</f>
        <v>77208.302852962704</v>
      </c>
      <c r="E12" s="14">
        <f>(SUMIFS(ledger!G:G, ledger!B:B, B12, ledger!E:E, "&lt;&gt;*RD*",ledger!D:D, "Silky") / 1.0936)*12 + (SUMIFS(ledger!G:G, ledger!B:B, B12, ledger!E:E, "&lt;&gt;*RD*",ledger!D:D, "Chamki") / 1.0936)*10</f>
        <v>772083.02852962702</v>
      </c>
      <c r="I12" t="s">
        <v>27</v>
      </c>
      <c r="O12" s="28"/>
      <c r="P12" s="28"/>
      <c r="Q12" s="24" t="str">
        <v>Azam</v>
      </c>
      <c r="R12" s="22" cm="1">
        <f t="array" ref="R12">_xlfn.BYROW(B56,_xlfn.LAMBDA(_xlpm.party,SUMIFS(ledger!G:G,ledger!B:B,_xlpm.party,ledger!E:E,"&lt;&gt;*RD*")))+_xlfn.IFNA(C91,0)</f>
        <v>465324</v>
      </c>
      <c r="S12" s="22" cm="1">
        <f t="array" ref="S12">_xlfn.BYROW(B56, _xlfn.LAMBDA(_xlpm.party, SUMIFS(ledger!G:G, ledger!B:B, _xlpm.party, ledger!E:E, "&lt;&gt;*RD*") / 1.0936 ))+_xlfn.IFNA(D91,0)</f>
        <v>425497.43964886619</v>
      </c>
      <c r="T12" s="22" cm="1">
        <f t="array" ref="T12">(_xlfn.BYROW(B56,_xlfn.LAMBDA(_xlpm.party,SUMIFS(ledger!G:G,ledger!B:B,_xlpm.party,ledger!E:E,"&lt;&gt;*RD*",ledger!D:D,"Chamki")+SUMIFS(ledger!G:G, ledger!B:B, _xlpm.party, ledger!E:E, "&lt;&gt;*RD*", ledger!D:D, "Crinkle")))/1.0936)+_xlfn.IFNA(E91,0)</f>
        <v>400309.07095830288</v>
      </c>
      <c r="U12" s="70" cm="1">
        <f t="array" ref="U12">(_xlfn.BYROW(B56,_xlfn.LAMBDA(_xlpm.party,SUMIFS(ledger!G:G,ledger!B:B,_xlpm.party,ledger!E:E,"&lt;&gt;*RD*",ledger!D:D,"Silky")))/1.0936)+_xlfn.IFNA(F91,0)</f>
        <v>25188.368690563279</v>
      </c>
      <c r="V12" s="22" cm="1">
        <f t="array" ref="V12">(_xlfn.BYROW(B56,_xlfn.LAMBDA(_xlpm.party,
(SUMIFS(ledger!J:J,ledger!B:B,_xlpm.party,ledger!E:E,"&lt;&gt;*RD*",ledger!D:D,"Chamki",ledger!C:C,"&lt;&gt;November Closing CF")+
SUMIFS(ledger!J:J,ledger!B:B,_xlpm.party,ledger!E:E,"&lt;&gt;*RD*",ledger!D:D,"Crinkle",ledger!C:C,"&lt;&gt;November Closing CF")
)+_xlfn.IFNA(G91,0))))</f>
        <v>4003090.7095830292</v>
      </c>
      <c r="W12" s="70" cm="1">
        <f t="array" ref="W12">_xlfn.BYROW(B56, _xlfn.LAMBDA(_xlpm.party,
   SUMIFS(ledger!J:J, ledger!B:B, _xlpm.party, ledger!E:E, "&lt;&gt;*RD*", ledger!D:D, "Silky", ledger!C:C, "&lt;&gt;November Closing CF")
)) + _xlfn.IFNA(H91, 0)</f>
        <v>327448.79297732259</v>
      </c>
      <c r="X12" s="70" cm="1">
        <f t="array" ref="X12">_xlfn.BYROW(B56, _xlfn.LAMBDA(_xlpm.party,
   SUMIFS(ledger!J:J, ledger!B:B, _xlpm.party, ledger!E:E, "&lt;&gt;*RD*", ledger!D:D, "Slub", ledger!C:C, "&lt;&gt;November Closing CF")
))+ _xlfn.IFNA(I91, 0)</f>
        <v>0</v>
      </c>
      <c r="Y12" s="70" cm="1">
        <f t="array" ref="Y12">_xlfn.BYROW(B56, _xlfn.LAMBDA(_xlpm.party,
   SUMIFS(ledger!J:J, ledger!B:B, _xlpm.party, ledger!E:E, "&lt;&gt;*RD*", ledger!D:D, "Satin", ledger!C:C, "&lt;&gt;November Closing CF")
))+ _xlfn.IFNA(J91, 0)</f>
        <v>0</v>
      </c>
      <c r="Z12" s="70" cm="1">
        <f t="array" ref="Z12">_xlfn.BYROW(B56, _xlfn.LAMBDA(_xlpm.party,
   SUMIFS(ledger!J:J, ledger!B:B, _xlpm.party, ledger!E:E, "&lt;&gt;*RD*", ledger!D:D, "Black-Chamki", ledger!C:C, "&lt;&gt;November Closing CF")
))+ _xlfn.IFNA(K91, 0)</f>
        <v>0</v>
      </c>
      <c r="AA12" s="70" cm="1">
        <f t="array" ref="AA12">_xlfn.BYROW(B56, _xlfn.LAMBDA(_xlpm.party,
   SUMIFS(ledger!J:J, ledger!B:B, _xlpm.party, ledger!E:E, "&lt;&gt;*RD*", ledger!D:D, "Kataan", ledger!C:C, "&lt;&gt;November Closing CF")
))+ _xlfn.IFNA(L91, 0)</f>
        <v>0</v>
      </c>
      <c r="AB12" s="70" cm="1">
        <f t="array" ref="AB12">_xlfn.BYROW(B56, _xlfn.LAMBDA(_xlpm.party,
   SUMIFS(ledger!J:J, ledger!B:B, _xlpm.party, ledger!E:E, "&lt;&gt;*RD*", ledger!D:D, "Munaar", ledger!C:C, "&lt;&gt;November Closing CF")
))+ _xlfn.IFNA(M91, 0)</f>
        <v>0</v>
      </c>
      <c r="AC12" s="39">
        <f t="shared" si="1"/>
        <v>4330539.502560352</v>
      </c>
      <c r="AD12" s="22">
        <f>(SUMIF(Table14[Party],Q12,Table14[Credit]))+_xlfn.IFNA(O91,0)</f>
        <v>4330540</v>
      </c>
      <c r="AE12" s="33">
        <f t="shared" si="2"/>
        <v>-0.49743964802473783</v>
      </c>
      <c r="AF12" s="21">
        <v>10</v>
      </c>
      <c r="AG12" s="21">
        <v>13</v>
      </c>
    </row>
    <row r="13" spans="2:33" x14ac:dyDescent="0.3">
      <c r="B13" t="str">
        <f t="shared" si="0"/>
        <v>Badshah Fabrics</v>
      </c>
      <c r="C13" s="18">
        <f>SUMIFS(ledger!G:G, ledger!B:B, B13, ledger!E:E, "&lt;&gt;*RD*") / 1.0936</f>
        <v>108264.44769568399</v>
      </c>
      <c r="E13" s="14">
        <f>(SUMIFS(ledger!G:G, ledger!B:B, B13, ledger!E:E, "&lt;&gt;*RD*",ledger!D:D, "Silky") / 1.0936)*12 + (SUMIFS(ledger!G:G, ledger!B:B, B13, ledger!E:E, "&lt;&gt;*RD*",ledger!D:D, "Chamki") / 1.0936)*10</f>
        <v>618461.96049743972</v>
      </c>
      <c r="I13" t="s">
        <v>166</v>
      </c>
      <c r="Q13" s="24" t="str">
        <v>Ubaidullah</v>
      </c>
      <c r="R13" s="22" cm="1">
        <f t="array" ref="R13">_xlfn.BYROW(B57,_xlfn.LAMBDA(_xlpm.party,SUMIFS(ledger!G:G,ledger!B:B,_xlpm.party,ledger!E:E,"&lt;&gt;*RD*")))+_xlfn.IFNA(C92,0)</f>
        <v>66850</v>
      </c>
      <c r="S13" s="22" cm="1">
        <f t="array" ref="S13">_xlfn.BYROW(B57, _xlfn.LAMBDA(_xlpm.party, SUMIFS(ledger!G:G, ledger!B:B, _xlpm.party, ledger!E:E, "&lt;&gt;*RD*") / 1.0936 ))+_xlfn.IFNA(D92,0)</f>
        <v>61128.383321141191</v>
      </c>
      <c r="T13" s="22" cm="1">
        <f t="array" ref="T13">(_xlfn.BYROW(B57,_xlfn.LAMBDA(_xlpm.party,SUMIFS(ledger!G:G,ledger!B:B,_xlpm.party,ledger!E:E,"&lt;&gt;*RD*",ledger!D:D,"Chamki")+SUMIFS(ledger!G:G, ledger!B:B, _xlpm.party, ledger!E:E, "&lt;&gt;*RD*", ledger!D:D, "Crinkle")))/1.0936)+_xlfn.IFNA(E92,0)</f>
        <v>46132.955376737387</v>
      </c>
      <c r="U13" s="70" cm="1">
        <f t="array" ref="U13">(_xlfn.BYROW(B57,_xlfn.LAMBDA(_xlpm.party,SUMIFS(ledger!G:G,ledger!B:B,_xlpm.party,ledger!E:E,"&lt;&gt;*RD*",ledger!D:D,"Silky")))/1.0936)+_xlfn.IFNA(F92,0)</f>
        <v>14995.427944403806</v>
      </c>
      <c r="V13" s="22" cm="1">
        <f t="array" ref="V13">(_xlfn.BYROW(B57,_xlfn.LAMBDA(_xlpm.party,
(SUMIFS(ledger!J:J,ledger!B:B,_xlpm.party,ledger!E:E,"&lt;&gt;*RD*",ledger!D:D,"Chamki",ledger!C:C,"&lt;&gt;November Closing CF")+
SUMIFS(ledger!J:J,ledger!B:B,_xlpm.party,ledger!E:E,"&lt;&gt;*RD*",ledger!D:D,"Crinkle",ledger!C:C,"&lt;&gt;November Closing CF")
)+_xlfn.IFNA(G92,0))))</f>
        <v>461329.5537673739</v>
      </c>
      <c r="W13" s="70" cm="1">
        <f t="array" ref="W13">_xlfn.BYROW(B57, _xlfn.LAMBDA(_xlpm.party,
   SUMIFS(ledger!J:J, ledger!B:B, _xlpm.party, ledger!E:E, "&lt;&gt;*RD*", ledger!D:D, "Silky", ledger!C:C, "&lt;&gt;November Closing CF")
)) + _xlfn.IFNA(H92, 0)</f>
        <v>179945.13533284568</v>
      </c>
      <c r="X13" s="70" cm="1">
        <f t="array" ref="X13">_xlfn.BYROW(B57, _xlfn.LAMBDA(_xlpm.party,
   SUMIFS(ledger!J:J, ledger!B:B, _xlpm.party, ledger!E:E, "&lt;&gt;*RD*", ledger!D:D, "Slub", ledger!C:C, "&lt;&gt;November Closing CF")
))+ _xlfn.IFNA(I92, 0)</f>
        <v>0</v>
      </c>
      <c r="Y13" s="70" cm="1">
        <f t="array" ref="Y13">_xlfn.BYROW(B57, _xlfn.LAMBDA(_xlpm.party,
   SUMIFS(ledger!J:J, ledger!B:B, _xlpm.party, ledger!E:E, "&lt;&gt;*RD*", ledger!D:D, "Satin", ledger!C:C, "&lt;&gt;November Closing CF")
))+ _xlfn.IFNA(J92, 0)</f>
        <v>0</v>
      </c>
      <c r="Z13" s="70" cm="1">
        <f t="array" ref="Z13">_xlfn.BYROW(B57, _xlfn.LAMBDA(_xlpm.party,
   SUMIFS(ledger!J:J, ledger!B:B, _xlpm.party, ledger!E:E, "&lt;&gt;*RD*", ledger!D:D, "Black-Chamki", ledger!C:C, "&lt;&gt;November Closing CF")
))+ _xlfn.IFNA(K92, 0)</f>
        <v>0</v>
      </c>
      <c r="AA13" s="70" cm="1">
        <f t="array" ref="AA13">_xlfn.BYROW(B57, _xlfn.LAMBDA(_xlpm.party,
   SUMIFS(ledger!J:J, ledger!B:B, _xlpm.party, ledger!E:E, "&lt;&gt;*RD*", ledger!D:D, "Kataan", ledger!C:C, "&lt;&gt;November Closing CF")
))+ _xlfn.IFNA(L92, 0)</f>
        <v>0</v>
      </c>
      <c r="AB13" s="70" cm="1">
        <f t="array" ref="AB13">_xlfn.BYROW(B57, _xlfn.LAMBDA(_xlpm.party,
   SUMIFS(ledger!J:J, ledger!B:B, _xlpm.party, ledger!E:E, "&lt;&gt;*RD*", ledger!D:D, "Munaar", ledger!C:C, "&lt;&gt;November Closing CF")
))+ _xlfn.IFNA(M92, 0)</f>
        <v>0</v>
      </c>
      <c r="AC13" s="39">
        <f t="shared" si="1"/>
        <v>641274.68910021964</v>
      </c>
      <c r="AD13" s="22">
        <f>(SUMIF(Table14[Party],Q13,Table14[Credit]))+_xlfn.IFNA(O92,0)</f>
        <v>640190</v>
      </c>
      <c r="AE13" s="33">
        <f t="shared" si="2"/>
        <v>1084.6891002196353</v>
      </c>
      <c r="AF13" s="21">
        <v>10</v>
      </c>
      <c r="AG13" s="21">
        <v>13</v>
      </c>
    </row>
    <row r="14" spans="2:33" x14ac:dyDescent="0.3">
      <c r="B14" t="str">
        <f t="shared" si="0"/>
        <v>Reject</v>
      </c>
      <c r="C14" s="18">
        <f>SUMIFS(ledger!G:G, ledger!B:B, B14, ledger!E:E, "&lt;&gt;*RD*") / 1.0936</f>
        <v>0</v>
      </c>
      <c r="E14" s="14">
        <f>(SUMIFS(ledger!G:G, ledger!B:B, B14, ledger!E:E, "&lt;&gt;*RD*",ledger!D:D, "Silky") / 1.0936)*12 + (SUMIFS(ledger!G:G, ledger!B:B, B14, ledger!E:E, "&lt;&gt;*RD*",ledger!D:D, "Chamki") / 1.0936)*10</f>
        <v>0</v>
      </c>
      <c r="I14" t="s">
        <v>168</v>
      </c>
      <c r="Q14" s="24" t="str">
        <v>Ashraf Zia</v>
      </c>
      <c r="R14" s="22" cm="1">
        <f t="array" ref="R14">_xlfn.BYROW(B58,_xlfn.LAMBDA(_xlpm.party,SUMIFS(ledger!G:G,ledger!B:B,_xlpm.party,ledger!E:E,"&lt;&gt;*RD*")))+_xlfn.IFNA(C93,0)</f>
        <v>23305</v>
      </c>
      <c r="S14" s="22" cm="1">
        <f t="array" ref="S14">_xlfn.BYROW(B58, _xlfn.LAMBDA(_xlpm.party, SUMIFS(ledger!G:G, ledger!B:B, _xlpm.party, ledger!E:E, "&lt;&gt;*RD*") / 1.0936 ))+_xlfn.IFNA(D93,0)</f>
        <v>21310.35113386979</v>
      </c>
      <c r="T14" s="22" cm="1">
        <f t="array" ref="T14">(_xlfn.BYROW(B58,_xlfn.LAMBDA(_xlpm.party,SUMIFS(ledger!G:G,ledger!B:B,_xlpm.party,ledger!E:E,"&lt;&gt;*RD*",ledger!D:D,"Chamki")+SUMIFS(ledger!G:G, ledger!B:B, _xlpm.party, ledger!E:E, "&lt;&gt;*RD*", ledger!D:D, "Crinkle")))/1.0936)+_xlfn.IFNA(E93,0)</f>
        <v>21310.35113386979</v>
      </c>
      <c r="U14" s="70" cm="1">
        <f t="array" ref="U14">(_xlfn.BYROW(B58,_xlfn.LAMBDA(_xlpm.party,SUMIFS(ledger!G:G,ledger!B:B,_xlpm.party,ledger!E:E,"&lt;&gt;*RD*",ledger!D:D,"Silky")))/1.0936)+_xlfn.IFNA(F93,0)</f>
        <v>0</v>
      </c>
      <c r="V14" s="22" cm="1">
        <f t="array" ref="V14">(_xlfn.BYROW(B58,_xlfn.LAMBDA(_xlpm.party,
(SUMIFS(ledger!J:J,ledger!B:B,_xlpm.party,ledger!E:E,"&lt;&gt;*RD*",ledger!D:D,"Chamki",ledger!C:C,"&lt;&gt;November Closing CF")+
SUMIFS(ledger!J:J,ledger!B:B,_xlpm.party,ledger!E:E,"&lt;&gt;*RD*",ledger!D:D,"Crinkle",ledger!C:C,"&lt;&gt;November Closing CF")
)+_xlfn.IFNA(G93,0))))</f>
        <v>255724.21360643749</v>
      </c>
      <c r="W14" s="70" cm="1">
        <f t="array" ref="W14">_xlfn.BYROW(B58, _xlfn.LAMBDA(_xlpm.party,
   SUMIFS(ledger!J:J, ledger!B:B, _xlpm.party, ledger!E:E, "&lt;&gt;*RD*", ledger!D:D, "Silky", ledger!C:C, "&lt;&gt;November Closing CF")
)) + _xlfn.IFNA(H93, 0)</f>
        <v>0</v>
      </c>
      <c r="X14" s="70" cm="1">
        <f t="array" ref="X14">_xlfn.BYROW(B58, _xlfn.LAMBDA(_xlpm.party,
   SUMIFS(ledger!J:J, ledger!B:B, _xlpm.party, ledger!E:E, "&lt;&gt;*RD*", ledger!D:D, "Slub", ledger!C:C, "&lt;&gt;November Closing CF")
))+ _xlfn.IFNA(I93, 0)</f>
        <v>0</v>
      </c>
      <c r="Y14" s="70" cm="1">
        <f t="array" ref="Y14">_xlfn.BYROW(B58, _xlfn.LAMBDA(_xlpm.party,
   SUMIFS(ledger!J:J, ledger!B:B, _xlpm.party, ledger!E:E, "&lt;&gt;*RD*", ledger!D:D, "Satin", ledger!C:C, "&lt;&gt;November Closing CF")
))+ _xlfn.IFNA(J93, 0)</f>
        <v>0</v>
      </c>
      <c r="Z14" s="70" cm="1">
        <f t="array" ref="Z14">_xlfn.BYROW(B58, _xlfn.LAMBDA(_xlpm.party,
   SUMIFS(ledger!J:J, ledger!B:B, _xlpm.party, ledger!E:E, "&lt;&gt;*RD*", ledger!D:D, "Black-Chamki", ledger!C:C, "&lt;&gt;November Closing CF")
))+ _xlfn.IFNA(K93, 0)</f>
        <v>0</v>
      </c>
      <c r="AA14" s="70" cm="1">
        <f t="array" ref="AA14">_xlfn.BYROW(B58, _xlfn.LAMBDA(_xlpm.party,
   SUMIFS(ledger!J:J, ledger!B:B, _xlpm.party, ledger!E:E, "&lt;&gt;*RD*", ledger!D:D, "Kataan", ledger!C:C, "&lt;&gt;November Closing CF")
))+ _xlfn.IFNA(L93, 0)</f>
        <v>0</v>
      </c>
      <c r="AB14" s="70" cm="1">
        <f t="array" ref="AB14">_xlfn.BYROW(B58, _xlfn.LAMBDA(_xlpm.party,
   SUMIFS(ledger!J:J, ledger!B:B, _xlpm.party, ledger!E:E, "&lt;&gt;*RD*", ledger!D:D, "Munaar", ledger!C:C, "&lt;&gt;November Closing CF")
))+ _xlfn.IFNA(M93, 0)</f>
        <v>0</v>
      </c>
      <c r="AC14" s="39">
        <f t="shared" si="1"/>
        <v>255724.21360643749</v>
      </c>
      <c r="AD14" s="22">
        <f>(SUMIF(Table14[Party],Q14,Table14[Credit]))+_xlfn.IFNA(O93,0)</f>
        <v>130000</v>
      </c>
      <c r="AE14" s="33">
        <f t="shared" si="2"/>
        <v>125724.21360643749</v>
      </c>
      <c r="AF14" s="21">
        <v>12</v>
      </c>
      <c r="AG14" s="21">
        <v>13</v>
      </c>
    </row>
    <row r="15" spans="2:33" x14ac:dyDescent="0.3">
      <c r="B15" t="str">
        <f t="shared" si="0"/>
        <v>Amjad 7up</v>
      </c>
      <c r="C15" s="18">
        <f>SUMIFS(ledger!G:G, ledger!B:B, B15, ledger!E:E, "&lt;&gt;*RD*") / 1.0936</f>
        <v>0</v>
      </c>
      <c r="E15" s="14">
        <f>(SUMIFS(ledger!G:G, ledger!B:B, B15, ledger!E:E, "&lt;&gt;*RD*",ledger!D:D, "Silky") / 1.0936)*12 + (SUMIFS(ledger!G:G, ledger!B:B, B15, ledger!E:E, "&lt;&gt;*RD*",ledger!D:D, "Chamki") / 1.0936)*10</f>
        <v>0</v>
      </c>
      <c r="I15" t="s">
        <v>170</v>
      </c>
      <c r="Q15" s="24" t="str">
        <v>Hafiz Qureshi</v>
      </c>
      <c r="R15" s="22" cm="1">
        <f t="array" ref="R15">_xlfn.BYROW(B59,_xlfn.LAMBDA(_xlpm.party,SUMIFS(ledger!G:G,ledger!B:B,_xlpm.party,ledger!E:E,"&lt;&gt;*RD*")))+_xlfn.IFNA(C94,0)</f>
        <v>287250</v>
      </c>
      <c r="S15" s="22" cm="1">
        <f t="array" ref="S15">_xlfn.BYROW(B59, _xlfn.LAMBDA(_xlpm.party, SUMIFS(ledger!G:G, ledger!B:B, _xlpm.party, ledger!E:E, "&lt;&gt;*RD*") / 1.0936 ))+_xlfn.IFNA(D94,0)</f>
        <v>262664.59400146309</v>
      </c>
      <c r="T15" s="22" cm="1">
        <f t="array" ref="T15">(_xlfn.BYROW(B59,_xlfn.LAMBDA(_xlpm.party,SUMIFS(ledger!G:G,ledger!B:B,_xlpm.party,ledger!E:E,"&lt;&gt;*RD*",ledger!D:D,"Chamki")+SUMIFS(ledger!G:G, ledger!B:B, _xlpm.party, ledger!E:E, "&lt;&gt;*RD*", ledger!D:D, "Crinkle")))/1.0936)+_xlfn.IFNA(E94,0)</f>
        <v>262664.59400146309</v>
      </c>
      <c r="U15" s="70" cm="1">
        <f t="array" ref="U15">(_xlfn.BYROW(B59,_xlfn.LAMBDA(_xlpm.party,SUMIFS(ledger!G:G,ledger!B:B,_xlpm.party,ledger!E:E,"&lt;&gt;*RD*",ledger!D:D,"Silky")))/1.0936)+_xlfn.IFNA(F94,0)</f>
        <v>0</v>
      </c>
      <c r="V15" s="22" cm="1">
        <f t="array" ref="V15">(_xlfn.BYROW(B59,_xlfn.LAMBDA(_xlpm.party,
(SUMIFS(ledger!J:J,ledger!B:B,_xlpm.party,ledger!E:E,"&lt;&gt;*RD*",ledger!D:D,"Chamki",ledger!C:C,"&lt;&gt;November Closing CF")+
SUMIFS(ledger!J:J,ledger!B:B,_xlpm.party,ledger!E:E,"&lt;&gt;*RD*",ledger!D:D,"Crinkle",ledger!C:C,"&lt;&gt;November Closing CF")
)+_xlfn.IFNA(G94,0))))</f>
        <v>2626645.940014631</v>
      </c>
      <c r="W15" s="70" cm="1">
        <f t="array" ref="W15">_xlfn.BYROW(B59, _xlfn.LAMBDA(_xlpm.party,
   SUMIFS(ledger!J:J, ledger!B:B, _xlpm.party, ledger!E:E, "&lt;&gt;*RD*", ledger!D:D, "Silky", ledger!C:C, "&lt;&gt;November Closing CF")
)) + _xlfn.IFNA(H94, 0)</f>
        <v>0</v>
      </c>
      <c r="X15" s="70" cm="1">
        <f t="array" ref="X15">_xlfn.BYROW(B59, _xlfn.LAMBDA(_xlpm.party,
   SUMIFS(ledger!J:J, ledger!B:B, _xlpm.party, ledger!E:E, "&lt;&gt;*RD*", ledger!D:D, "Slub", ledger!C:C, "&lt;&gt;November Closing CF")
))+ _xlfn.IFNA(I94, 0)</f>
        <v>0</v>
      </c>
      <c r="Y15" s="70" cm="1">
        <f t="array" ref="Y15">_xlfn.BYROW(B59, _xlfn.LAMBDA(_xlpm.party,
   SUMIFS(ledger!J:J, ledger!B:B, _xlpm.party, ledger!E:E, "&lt;&gt;*RD*", ledger!D:D, "Satin", ledger!C:C, "&lt;&gt;November Closing CF")
))+ _xlfn.IFNA(J94, 0)</f>
        <v>0</v>
      </c>
      <c r="Z15" s="70" cm="1">
        <f t="array" ref="Z15">_xlfn.BYROW(B59, _xlfn.LAMBDA(_xlpm.party,
   SUMIFS(ledger!J:J, ledger!B:B, _xlpm.party, ledger!E:E, "&lt;&gt;*RD*", ledger!D:D, "Black-Chamki", ledger!C:C, "&lt;&gt;November Closing CF")
))+ _xlfn.IFNA(K94, 0)</f>
        <v>0</v>
      </c>
      <c r="AA15" s="70" cm="1">
        <f t="array" ref="AA15">_xlfn.BYROW(B59, _xlfn.LAMBDA(_xlpm.party,
   SUMIFS(ledger!J:J, ledger!B:B, _xlpm.party, ledger!E:E, "&lt;&gt;*RD*", ledger!D:D, "Kataan", ledger!C:C, "&lt;&gt;November Closing CF")
))+ _xlfn.IFNA(L94, 0)</f>
        <v>0</v>
      </c>
      <c r="AB15" s="70" cm="1">
        <f t="array" ref="AB15">_xlfn.BYROW(B59, _xlfn.LAMBDA(_xlpm.party,
   SUMIFS(ledger!J:J, ledger!B:B, _xlpm.party, ledger!E:E, "&lt;&gt;*RD*", ledger!D:D, "Munaar", ledger!C:C, "&lt;&gt;November Closing CF")
))+ _xlfn.IFNA(M94, 0)</f>
        <v>0</v>
      </c>
      <c r="AC15" s="39">
        <f t="shared" si="1"/>
        <v>2626645.940014631</v>
      </c>
      <c r="AD15" s="22">
        <f>(SUMIF(Table14[Party],Q15,Table14[Credit]))+_xlfn.IFNA(O94,0)</f>
        <v>2261380</v>
      </c>
      <c r="AE15" s="33">
        <f t="shared" si="2"/>
        <v>365265.94001463102</v>
      </c>
      <c r="AF15" s="21">
        <v>10</v>
      </c>
      <c r="AG15" s="21">
        <v>13</v>
      </c>
    </row>
    <row r="16" spans="2:33" x14ac:dyDescent="0.3">
      <c r="B16" t="str">
        <f t="shared" si="0"/>
        <v>Hazrat Khan</v>
      </c>
      <c r="C16" s="18">
        <f>SUMIFS(ledger!G:G, ledger!B:B, B16, ledger!E:E, "&lt;&gt;*RD*") / 1.0936</f>
        <v>0</v>
      </c>
      <c r="E16" s="14">
        <f>(SUMIFS(ledger!G:G, ledger!B:B, B16, ledger!E:E, "&lt;&gt;*RD*",ledger!D:D, "Silky") / 1.0936)*12 + (SUMIFS(ledger!G:G, ledger!B:B, B16, ledger!E:E, "&lt;&gt;*RD*",ledger!D:D, "Chamki") / 1.0936)*10</f>
        <v>0</v>
      </c>
      <c r="I16" t="s">
        <v>171</v>
      </c>
      <c r="Q16" s="24" t="str">
        <v>Badshah Fabrics</v>
      </c>
      <c r="R16" s="22" cm="1">
        <f t="array" ref="R16">_xlfn.BYROW(B60,_xlfn.LAMBDA(_xlpm.party,SUMIFS(ledger!G:G,ledger!B:B,_xlpm.party,ledger!E:E,"&lt;&gt;*RD*")))+_xlfn.IFNA(C95,0)</f>
        <v>635806</v>
      </c>
      <c r="S16" s="22" cm="1">
        <f t="array" ref="S16">_xlfn.BYROW(B60, _xlfn.LAMBDA(_xlpm.party, SUMIFS(ledger!G:G, ledger!B:B, _xlpm.party, ledger!E:E, "&lt;&gt;*RD*") / 1.0936 ))+_xlfn.IFNA(D95,0)</f>
        <v>581388.07607900514</v>
      </c>
      <c r="T16" s="22" cm="1">
        <f t="array" ref="T16">(_xlfn.BYROW(B60,_xlfn.LAMBDA(_xlpm.party,SUMIFS(ledger!G:G,ledger!B:B,_xlpm.party,ledger!E:E,"&lt;&gt;*RD*",ledger!D:D,"Chamki")+SUMIFS(ledger!G:G, ledger!B:B, _xlpm.party, ledger!E:E, "&lt;&gt;*RD*", ledger!D:D, "Crinkle")))/1.0936)+_xlfn.IFNA(E95,0)</f>
        <v>464174.28675932705</v>
      </c>
      <c r="U16" s="70" cm="1">
        <f t="array" ref="U16">(_xlfn.BYROW(B60,_xlfn.LAMBDA(_xlpm.party,SUMIFS(ledger!G:G,ledger!B:B,_xlpm.party,ledger!E:E,"&lt;&gt;*RD*",ledger!D:D,"Silky")))/1.0936)+_xlfn.IFNA(F95,0)</f>
        <v>117213.78931967814</v>
      </c>
      <c r="V16" s="22" cm="1">
        <f t="array" ref="V16">(_xlfn.BYROW(B60,_xlfn.LAMBDA(_xlpm.party,
(SUMIFS(ledger!J:J,ledger!B:B,_xlpm.party,ledger!E:E,"&lt;&gt;*RD*",ledger!D:D,"Chamki",ledger!C:C,"&lt;&gt;November Closing CF")+
SUMIFS(ledger!J:J,ledger!B:B,_xlpm.party,ledger!E:E,"&lt;&gt;*RD*",ledger!D:D,"Crinkle",ledger!C:C,"&lt;&gt;November Closing CF")
)+_xlfn.IFNA(G95,0))))</f>
        <v>4641742.8675932707</v>
      </c>
      <c r="W16" s="70" cm="1">
        <f t="array" ref="W16">_xlfn.BYROW(B60, _xlfn.LAMBDA(_xlpm.party,
   SUMIFS(ledger!J:J, ledger!B:B, _xlpm.party, ledger!E:E, "&lt;&gt;*RD*", ledger!D:D, "Silky", ledger!C:C, "&lt;&gt;November Closing CF")
)) + _xlfn.IFNA(H95, 0)</f>
        <v>1460624.5427944404</v>
      </c>
      <c r="X16" s="70" cm="1">
        <f t="array" ref="X16">_xlfn.BYROW(B60, _xlfn.LAMBDA(_xlpm.party,
   SUMIFS(ledger!J:J, ledger!B:B, _xlpm.party, ledger!E:E, "&lt;&gt;*RD*", ledger!D:D, "Slub", ledger!C:C, "&lt;&gt;November Closing CF")
))+ _xlfn.IFNA(I95, 0)</f>
        <v>0</v>
      </c>
      <c r="Y16" s="70" cm="1">
        <f t="array" ref="Y16">_xlfn.BYROW(B60, _xlfn.LAMBDA(_xlpm.party,
   SUMIFS(ledger!J:J, ledger!B:B, _xlpm.party, ledger!E:E, "&lt;&gt;*RD*", ledger!D:D, "Satin", ledger!C:C, "&lt;&gt;November Closing CF")
))+ _xlfn.IFNA(J95, 0)</f>
        <v>0</v>
      </c>
      <c r="Z16" s="70" cm="1">
        <f t="array" ref="Z16">_xlfn.BYROW(B60, _xlfn.LAMBDA(_xlpm.party,
   SUMIFS(ledger!J:J, ledger!B:B, _xlpm.party, ledger!E:E, "&lt;&gt;*RD*", ledger!D:D, "Black-Chamki", ledger!C:C, "&lt;&gt;November Closing CF")
))+ _xlfn.IFNA(K95, 0)</f>
        <v>0</v>
      </c>
      <c r="AA16" s="70" cm="1">
        <f t="array" ref="AA16">_xlfn.BYROW(B60, _xlfn.LAMBDA(_xlpm.party,
   SUMIFS(ledger!J:J, ledger!B:B, _xlpm.party, ledger!E:E, "&lt;&gt;*RD*", ledger!D:D, "Kataan", ledger!C:C, "&lt;&gt;November Closing CF")
))+ _xlfn.IFNA(L95, 0)</f>
        <v>0</v>
      </c>
      <c r="AB16" s="70" cm="1">
        <f t="array" ref="AB16">_xlfn.BYROW(B60, _xlfn.LAMBDA(_xlpm.party,
   SUMIFS(ledger!J:J, ledger!B:B, _xlpm.party, ledger!E:E, "&lt;&gt;*RD*", ledger!D:D, "Munaar", ledger!C:C, "&lt;&gt;November Closing CF")
))+ _xlfn.IFNA(M95, 0)</f>
        <v>0</v>
      </c>
      <c r="AC16" s="39">
        <f t="shared" si="1"/>
        <v>6102367.4103877116</v>
      </c>
      <c r="AD16" s="22">
        <f>(SUMIF(Table14[Party],Q16,Table14[Credit]))+_xlfn.IFNA(O95,0)</f>
        <v>6015761</v>
      </c>
      <c r="AE16" s="33">
        <f t="shared" si="2"/>
        <v>86606.410387711599</v>
      </c>
      <c r="AF16" s="21">
        <v>10</v>
      </c>
      <c r="AG16" s="21">
        <v>13</v>
      </c>
    </row>
    <row r="17" spans="2:33" x14ac:dyDescent="0.3">
      <c r="B17" t="str">
        <f t="shared" si="0"/>
        <v>Haseeb Shamsi</v>
      </c>
      <c r="C17" s="18">
        <f>SUMIFS(ledger!G:G, ledger!B:B, B17, ledger!E:E, "&lt;&gt;*RD*") / 1.0936</f>
        <v>0</v>
      </c>
      <c r="E17" s="14">
        <f>(SUMIFS(ledger!G:G, ledger!B:B, B17, ledger!E:E, "&lt;&gt;*RD*",ledger!D:D, "Silky") / 1.0936)*12 + (SUMIFS(ledger!G:G, ledger!B:B, B17, ledger!E:E, "&lt;&gt;*RD*",ledger!D:D, "Chamki") / 1.0936)*10</f>
        <v>0</v>
      </c>
      <c r="I17" t="s">
        <v>173</v>
      </c>
      <c r="Q17" s="24" t="str">
        <v>Reject</v>
      </c>
      <c r="R17" s="22" cm="1">
        <f t="array" ref="R17">_xlfn.BYROW(B61,_xlfn.LAMBDA(_xlpm.party,SUMIFS(ledger!G:G,ledger!B:B,_xlpm.party,ledger!E:E,"&lt;&gt;*RD*")))+_xlfn.IFNA(C96,0)</f>
        <v>0</v>
      </c>
      <c r="S17" s="22" cm="1">
        <f t="array" ref="S17">_xlfn.BYROW(B61, _xlfn.LAMBDA(_xlpm.party, SUMIFS(ledger!G:G, ledger!B:B, _xlpm.party, ledger!E:E, "&lt;&gt;*RD*") / 1.0936 ))+_xlfn.IFNA(D96,0)</f>
        <v>0</v>
      </c>
      <c r="T17" s="22" cm="1">
        <f t="array" ref="T17">(_xlfn.BYROW(B61,_xlfn.LAMBDA(_xlpm.party,SUMIFS(ledger!G:G,ledger!B:B,_xlpm.party,ledger!E:E,"&lt;&gt;*RD*",ledger!D:D,"Chamki")+SUMIFS(ledger!G:G, ledger!B:B, _xlpm.party, ledger!E:E, "&lt;&gt;*RD*", ledger!D:D, "Crinkle")))/1.0936)+_xlfn.IFNA(E96,0)</f>
        <v>0</v>
      </c>
      <c r="U17" s="70" cm="1">
        <f t="array" ref="U17">(_xlfn.BYROW(B61,_xlfn.LAMBDA(_xlpm.party,SUMIFS(ledger!G:G,ledger!B:B,_xlpm.party,ledger!E:E,"&lt;&gt;*RD*",ledger!D:D,"Silky")))/1.0936)+_xlfn.IFNA(F96,0)</f>
        <v>0</v>
      </c>
      <c r="V17" s="22" cm="1">
        <f t="array" ref="V17">(_xlfn.BYROW(B61,_xlfn.LAMBDA(_xlpm.party,
(SUMIFS(ledger!J:J,ledger!B:B,_xlpm.party,ledger!E:E,"&lt;&gt;*RD*",ledger!D:D,"Chamki",ledger!C:C,"&lt;&gt;November Closing CF")+
SUMIFS(ledger!J:J,ledger!B:B,_xlpm.party,ledger!E:E,"&lt;&gt;*RD*",ledger!D:D,"Crinkle",ledger!C:C,"&lt;&gt;November Closing CF")
)+_xlfn.IFNA(G96,0))))</f>
        <v>0</v>
      </c>
      <c r="W17" s="70" cm="1">
        <f t="array" ref="W17">_xlfn.BYROW(B61, _xlfn.LAMBDA(_xlpm.party,
   SUMIFS(ledger!J:J, ledger!B:B, _xlpm.party, ledger!E:E, "&lt;&gt;*RD*", ledger!D:D, "Silky", ledger!C:C, "&lt;&gt;November Closing CF")
)) + _xlfn.IFNA(H96, 0)</f>
        <v>0</v>
      </c>
      <c r="X17" s="70" cm="1">
        <f t="array" ref="X17">_xlfn.BYROW(B61, _xlfn.LAMBDA(_xlpm.party,
   SUMIFS(ledger!J:J, ledger!B:B, _xlpm.party, ledger!E:E, "&lt;&gt;*RD*", ledger!D:D, "Slub", ledger!C:C, "&lt;&gt;November Closing CF")
))+ _xlfn.IFNA(I96, 0)</f>
        <v>0</v>
      </c>
      <c r="Y17" s="70" cm="1">
        <f t="array" ref="Y17">_xlfn.BYROW(B61, _xlfn.LAMBDA(_xlpm.party,
   SUMIFS(ledger!J:J, ledger!B:B, _xlpm.party, ledger!E:E, "&lt;&gt;*RD*", ledger!D:D, "Satin", ledger!C:C, "&lt;&gt;November Closing CF")
))+ _xlfn.IFNA(J96, 0)</f>
        <v>0</v>
      </c>
      <c r="Z17" s="70" cm="1">
        <f t="array" ref="Z17">_xlfn.BYROW(B61, _xlfn.LAMBDA(_xlpm.party,
   SUMIFS(ledger!J:J, ledger!B:B, _xlpm.party, ledger!E:E, "&lt;&gt;*RD*", ledger!D:D, "Black-Chamki", ledger!C:C, "&lt;&gt;November Closing CF")
))+ _xlfn.IFNA(K96, 0)</f>
        <v>0</v>
      </c>
      <c r="AA17" s="70" cm="1">
        <f t="array" ref="AA17">_xlfn.BYROW(B61, _xlfn.LAMBDA(_xlpm.party,
   SUMIFS(ledger!J:J, ledger!B:B, _xlpm.party, ledger!E:E, "&lt;&gt;*RD*", ledger!D:D, "Kataan", ledger!C:C, "&lt;&gt;November Closing CF")
))+ _xlfn.IFNA(L96, 0)</f>
        <v>0</v>
      </c>
      <c r="AB17" s="70" cm="1">
        <f t="array" ref="AB17">_xlfn.BYROW(B61, _xlfn.LAMBDA(_xlpm.party,
   SUMIFS(ledger!J:J, ledger!B:B, _xlpm.party, ledger!E:E, "&lt;&gt;*RD*", ledger!D:D, "Munaar", ledger!C:C, "&lt;&gt;November Closing CF")
))+ _xlfn.IFNA(M96, 0)</f>
        <v>0</v>
      </c>
      <c r="AC17" s="39">
        <f t="shared" si="1"/>
        <v>0</v>
      </c>
      <c r="AD17" s="22">
        <f>(SUMIF(Table14[Party],Q17,Table14[Credit]))+_xlfn.IFNA(O96,0)</f>
        <v>0</v>
      </c>
      <c r="AE17" s="33">
        <f t="shared" si="2"/>
        <v>0</v>
      </c>
      <c r="AF17" s="21">
        <v>10</v>
      </c>
      <c r="AG17" s="21">
        <v>13</v>
      </c>
    </row>
    <row r="18" spans="2:33" x14ac:dyDescent="0.3">
      <c r="B18" t="str">
        <f t="shared" si="0"/>
        <v>Faizan</v>
      </c>
      <c r="C18" s="18">
        <f>SUMIFS(ledger!G:G, ledger!B:B, B18, ledger!E:E, "&lt;&gt;*RD*") / 1.0936</f>
        <v>0</v>
      </c>
      <c r="E18" s="14">
        <f>(SUMIFS(ledger!G:G, ledger!B:B, B18, ledger!E:E, "&lt;&gt;*RD*",ledger!D:D, "Silky") / 1.0936)*12 + (SUMIFS(ledger!G:G, ledger!B:B, B18, ledger!E:E, "&lt;&gt;*RD*",ledger!D:D, "Chamki") / 1.0936)*10</f>
        <v>0</v>
      </c>
      <c r="I18" t="s">
        <v>175</v>
      </c>
      <c r="Q18" s="98" t="str">
        <v>Amjad 7up</v>
      </c>
      <c r="R18" s="22" cm="1">
        <f t="array" ref="R18">_xlfn.BYROW(B62,_xlfn.LAMBDA(_xlpm.party,SUMIFS(ledger!G:G,ledger!B:B,_xlpm.party,ledger!E:E,"&lt;&gt;*RD*")))+_xlfn.IFNA(C97,0)</f>
        <v>52914</v>
      </c>
      <c r="S18" s="22" cm="1">
        <f t="array" ref="S18">_xlfn.BYROW(B62, _xlfn.LAMBDA(_xlpm.party, SUMIFS(ledger!G:G, ledger!B:B, _xlpm.party, ledger!E:E, "&lt;&gt;*RD*") / 1.0936 ))+_xlfn.IFNA(D97,0)</f>
        <v>48385.149963423559</v>
      </c>
      <c r="T18" s="22" cm="1">
        <f t="array" ref="T18">(_xlfn.BYROW(B62,_xlfn.LAMBDA(_xlpm.party,SUMIFS(ledger!G:G,ledger!B:B,_xlpm.party,ledger!E:E,"&lt;&gt;*RD*",ledger!D:D,"Chamki")+SUMIFS(ledger!G:G, ledger!B:B, _xlpm.party, ledger!E:E, "&lt;&gt;*RD*", ledger!D:D, "Crinkle")))/1.0936)+_xlfn.IFNA(E97,0)</f>
        <v>48385.149963423559</v>
      </c>
      <c r="U18" s="70" cm="1">
        <f t="array" ref="U18">(_xlfn.BYROW(B62,_xlfn.LAMBDA(_xlpm.party,SUMIFS(ledger!G:G,ledger!B:B,_xlpm.party,ledger!E:E,"&lt;&gt;*RD*",ledger!D:D,"Silky")))/1.0936)+_xlfn.IFNA(F97,0)</f>
        <v>0</v>
      </c>
      <c r="V18" s="22" cm="1">
        <f t="array" ref="V18">(_xlfn.BYROW(B62,_xlfn.LAMBDA(_xlpm.party,
(SUMIFS(ledger!J:J,ledger!B:B,_xlpm.party,ledger!E:E,"&lt;&gt;*RD*",ledger!D:D,"Chamki",ledger!C:C,"&lt;&gt;November Closing CF")+
SUMIFS(ledger!J:J,ledger!B:B,_xlpm.party,ledger!E:E,"&lt;&gt;*RD*",ledger!D:D,"Crinkle",ledger!C:C,"&lt;&gt;November Closing CF")
)+_xlfn.IFNA(G97,0))))</f>
        <v>483851.49963423557</v>
      </c>
      <c r="W18" s="70" cm="1">
        <f t="array" ref="W18">_xlfn.BYROW(B62, _xlfn.LAMBDA(_xlpm.party,
   SUMIFS(ledger!J:J, ledger!B:B, _xlpm.party, ledger!E:E, "&lt;&gt;*RD*", ledger!D:D, "Silky", ledger!C:C, "&lt;&gt;November Closing CF")
)) + _xlfn.IFNA(H97, 0)</f>
        <v>0</v>
      </c>
      <c r="X18" s="70" cm="1">
        <f t="array" ref="X18">_xlfn.BYROW(B62, _xlfn.LAMBDA(_xlpm.party,
   SUMIFS(ledger!J:J, ledger!B:B, _xlpm.party, ledger!E:E, "&lt;&gt;*RD*", ledger!D:D, "Slub", ledger!C:C, "&lt;&gt;November Closing CF")
))+ _xlfn.IFNA(I97, 0)</f>
        <v>0</v>
      </c>
      <c r="Y18" s="70" cm="1">
        <f t="array" ref="Y18">_xlfn.BYROW(B62, _xlfn.LAMBDA(_xlpm.party,
   SUMIFS(ledger!J:J, ledger!B:B, _xlpm.party, ledger!E:E, "&lt;&gt;*RD*", ledger!D:D, "Satin", ledger!C:C, "&lt;&gt;November Closing CF")
))+ _xlfn.IFNA(J97, 0)</f>
        <v>0</v>
      </c>
      <c r="Z18" s="70" cm="1">
        <f t="array" ref="Z18">_xlfn.BYROW(B62, _xlfn.LAMBDA(_xlpm.party,
   SUMIFS(ledger!J:J, ledger!B:B, _xlpm.party, ledger!E:E, "&lt;&gt;*RD*", ledger!D:D, "Black-Chamki", ledger!C:C, "&lt;&gt;November Closing CF")
))+ _xlfn.IFNA(K97, 0)</f>
        <v>0</v>
      </c>
      <c r="AA18" s="70" cm="1">
        <f t="array" ref="AA18">_xlfn.BYROW(B62, _xlfn.LAMBDA(_xlpm.party,
   SUMIFS(ledger!J:J, ledger!B:B, _xlpm.party, ledger!E:E, "&lt;&gt;*RD*", ledger!D:D, "Kataan", ledger!C:C, "&lt;&gt;November Closing CF")
))+ _xlfn.IFNA(L97, 0)</f>
        <v>0</v>
      </c>
      <c r="AB18" s="70" cm="1">
        <f t="array" ref="AB18">_xlfn.BYROW(B62, _xlfn.LAMBDA(_xlpm.party,
   SUMIFS(ledger!J:J, ledger!B:B, _xlpm.party, ledger!E:E, "&lt;&gt;*RD*", ledger!D:D, "Munaar", ledger!C:C, "&lt;&gt;November Closing CF")
))+ _xlfn.IFNA(M97, 0)</f>
        <v>0</v>
      </c>
      <c r="AC18" s="39">
        <f t="shared" si="1"/>
        <v>483851.49963423557</v>
      </c>
      <c r="AD18" s="22">
        <f>(SUMIF(Table14[Party],Q18,Table14[Credit]))+_xlfn.IFNA(O97,0)</f>
        <v>480000</v>
      </c>
      <c r="AE18" s="33">
        <f t="shared" si="2"/>
        <v>3851.4996342355735</v>
      </c>
      <c r="AF18" s="21">
        <v>10</v>
      </c>
      <c r="AG18" s="21">
        <v>13</v>
      </c>
    </row>
    <row r="19" spans="2:33" x14ac:dyDescent="0.3">
      <c r="I19" t="s">
        <v>178</v>
      </c>
      <c r="Q19" s="98" t="str">
        <v>Hazrat Khan</v>
      </c>
      <c r="R19" s="22" cm="1">
        <f t="array" ref="R19">_xlfn.BYROW(B63,_xlfn.LAMBDA(_xlpm.party,SUMIFS(ledger!G:G,ledger!B:B,_xlpm.party,ledger!E:E,"&lt;&gt;*RD*")))+_xlfn.IFNA(C98,0)</f>
        <v>9750</v>
      </c>
      <c r="S19" s="22" cm="1">
        <f t="array" ref="S19">_xlfn.BYROW(B63, _xlfn.LAMBDA(_xlpm.party, SUMIFS(ledger!G:G, ledger!B:B, _xlpm.party, ledger!E:E, "&lt;&gt;*RD*") / 1.0936 ))+_xlfn.IFNA(D98,0)</f>
        <v>8915.5084125822978</v>
      </c>
      <c r="T19" s="22" cm="1">
        <f t="array" ref="T19">(_xlfn.BYROW(B63,_xlfn.LAMBDA(_xlpm.party,SUMIFS(ledger!G:G,ledger!B:B,_xlpm.party,ledger!E:E,"&lt;&gt;*RD*",ledger!D:D,"Chamki")+SUMIFS(ledger!G:G, ledger!B:B, _xlpm.party, ledger!E:E, "&lt;&gt;*RD*", ledger!D:D, "Crinkle")))/1.0936)+_xlfn.IFNA(E98,0)</f>
        <v>8915.5084125822978</v>
      </c>
      <c r="U19" s="70" cm="1">
        <f t="array" ref="U19">(_xlfn.BYROW(B63,_xlfn.LAMBDA(_xlpm.party,SUMIFS(ledger!G:G,ledger!B:B,_xlpm.party,ledger!E:E,"&lt;&gt;*RD*",ledger!D:D,"Silky")))/1.0936)+_xlfn.IFNA(F98,0)</f>
        <v>0</v>
      </c>
      <c r="V19" s="22" cm="1">
        <f t="array" ref="V19">(_xlfn.BYROW(B63,_xlfn.LAMBDA(_xlpm.party,
(SUMIFS(ledger!J:J,ledger!B:B,_xlpm.party,ledger!E:E,"&lt;&gt;*RD*",ledger!D:D,"Chamki",ledger!C:C,"&lt;&gt;November Closing CF")+
SUMIFS(ledger!J:J,ledger!B:B,_xlpm.party,ledger!E:E,"&lt;&gt;*RD*",ledger!D:D,"Crinkle",ledger!C:C,"&lt;&gt;November Closing CF")
)+_xlfn.IFNA(G98,0))))</f>
        <v>89155.084125822978</v>
      </c>
      <c r="W19" s="70" cm="1">
        <f t="array" ref="W19">_xlfn.BYROW(B63, _xlfn.LAMBDA(_xlpm.party,
   SUMIFS(ledger!J:J, ledger!B:B, _xlpm.party, ledger!E:E, "&lt;&gt;*RD*", ledger!D:D, "Silky", ledger!C:C, "&lt;&gt;November Closing CF")
)) + _xlfn.IFNA(H98, 0)</f>
        <v>0</v>
      </c>
      <c r="X19" s="70" cm="1">
        <f t="array" ref="X19">_xlfn.BYROW(B63, _xlfn.LAMBDA(_xlpm.party,
   SUMIFS(ledger!J:J, ledger!B:B, _xlpm.party, ledger!E:E, "&lt;&gt;*RD*", ledger!D:D, "Slub", ledger!C:C, "&lt;&gt;November Closing CF")
))+ _xlfn.IFNA(I98, 0)</f>
        <v>0</v>
      </c>
      <c r="Y19" s="70" cm="1">
        <f t="array" ref="Y19">_xlfn.BYROW(B63, _xlfn.LAMBDA(_xlpm.party,
   SUMIFS(ledger!J:J, ledger!B:B, _xlpm.party, ledger!E:E, "&lt;&gt;*RD*", ledger!D:D, "Satin", ledger!C:C, "&lt;&gt;November Closing CF")
))+ _xlfn.IFNA(J98, 0)</f>
        <v>0</v>
      </c>
      <c r="Z19" s="70" cm="1">
        <f t="array" ref="Z19">_xlfn.BYROW(B63, _xlfn.LAMBDA(_xlpm.party,
   SUMIFS(ledger!J:J, ledger!B:B, _xlpm.party, ledger!E:E, "&lt;&gt;*RD*", ledger!D:D, "Black-Chamki", ledger!C:C, "&lt;&gt;November Closing CF")
))+ _xlfn.IFNA(K98, 0)</f>
        <v>0</v>
      </c>
      <c r="AA19" s="70" cm="1">
        <f t="array" ref="AA19">_xlfn.BYROW(B63, _xlfn.LAMBDA(_xlpm.party,
   SUMIFS(ledger!J:J, ledger!B:B, _xlpm.party, ledger!E:E, "&lt;&gt;*RD*", ledger!D:D, "Kataan", ledger!C:C, "&lt;&gt;November Closing CF")
))+ _xlfn.IFNA(L98, 0)</f>
        <v>0</v>
      </c>
      <c r="AB19" s="70" cm="1">
        <f t="array" ref="AB19">_xlfn.BYROW(B63, _xlfn.LAMBDA(_xlpm.party,
   SUMIFS(ledger!J:J, ledger!B:B, _xlpm.party, ledger!E:E, "&lt;&gt;*RD*", ledger!D:D, "Munaar", ledger!C:C, "&lt;&gt;November Closing CF")
))+ _xlfn.IFNA(M98, 0)</f>
        <v>0</v>
      </c>
      <c r="AC19" s="39">
        <f t="shared" si="1"/>
        <v>89155.084125822978</v>
      </c>
      <c r="AD19" s="22">
        <f>(SUMIF(Table14[Party],Q19,Table14[Credit]))+_xlfn.IFNA(O98,0)</f>
        <v>95000</v>
      </c>
      <c r="AE19" s="33">
        <f t="shared" si="2"/>
        <v>-5844.9158741770225</v>
      </c>
      <c r="AF19" s="21">
        <v>10</v>
      </c>
      <c r="AG19" s="21">
        <v>13</v>
      </c>
    </row>
    <row r="20" spans="2:33" x14ac:dyDescent="0.3">
      <c r="I20" t="s">
        <v>179</v>
      </c>
      <c r="Q20" s="98" t="str">
        <v>Haseeb Shamsi</v>
      </c>
      <c r="R20" s="22" cm="1">
        <f t="array" ref="R20">_xlfn.BYROW(B64,_xlfn.LAMBDA(_xlpm.party,SUMIFS(ledger!G:G,ledger!B:B,_xlpm.party,ledger!E:E,"&lt;&gt;*RD*")))+_xlfn.IFNA(C99,0)</f>
        <v>61975</v>
      </c>
      <c r="S20" s="22" cm="1">
        <f t="array" ref="S20">_xlfn.BYROW(B64, _xlfn.LAMBDA(_xlpm.party, SUMIFS(ledger!G:G, ledger!B:B, _xlpm.party, ledger!E:E, "&lt;&gt;*RD*") / 1.0936 ))+_xlfn.IFNA(D99,0)</f>
        <v>56670.629114850046</v>
      </c>
      <c r="T20" s="22" cm="1">
        <f t="array" ref="T20">(_xlfn.BYROW(B64,_xlfn.LAMBDA(_xlpm.party,SUMIFS(ledger!G:G,ledger!B:B,_xlpm.party,ledger!E:E,"&lt;&gt;*RD*",ledger!D:D,"Chamki")+SUMIFS(ledger!G:G, ledger!B:B, _xlpm.party, ledger!E:E, "&lt;&gt;*RD*", ledger!D:D, "Crinkle")))/1.0936)+_xlfn.IFNA(E99,0)</f>
        <v>47437.820043891741</v>
      </c>
      <c r="U20" s="70" cm="1">
        <f t="array" ref="U20">(_xlfn.BYROW(B64,_xlfn.LAMBDA(_xlpm.party,SUMIFS(ledger!G:G,ledger!B:B,_xlpm.party,ledger!E:E,"&lt;&gt;*RD*",ledger!D:D,"Silky")))/1.0936)+_xlfn.IFNA(F99,0)</f>
        <v>9232.809070958303</v>
      </c>
      <c r="V20" s="22" cm="1">
        <f t="array" ref="V20">(_xlfn.BYROW(B64,_xlfn.LAMBDA(_xlpm.party,
(SUMIFS(ledger!J:J,ledger!B:B,_xlpm.party,ledger!E:E,"&lt;&gt;*RD*",ledger!D:D,"Chamki",ledger!C:C,"&lt;&gt;November Closing CF")+
SUMIFS(ledger!J:J,ledger!B:B,_xlpm.party,ledger!E:E,"&lt;&gt;*RD*",ledger!D:D,"Crinkle",ledger!C:C,"&lt;&gt;November Closing CF")
)+_xlfn.IFNA(G99,0))))</f>
        <v>474378.20043891744</v>
      </c>
      <c r="W20" s="70" cm="1">
        <f t="array" ref="W20">_xlfn.BYROW(B64, _xlfn.LAMBDA(_xlpm.party,
   SUMIFS(ledger!J:J, ledger!B:B, _xlpm.party, ledger!E:E, "&lt;&gt;*RD*", ledger!D:D, "Silky", ledger!C:C, "&lt;&gt;November Closing CF")
)) + _xlfn.IFNA(H99, 0)</f>
        <v>120026.51792245793</v>
      </c>
      <c r="X20" s="70" cm="1">
        <f t="array" ref="X20">_xlfn.BYROW(B64, _xlfn.LAMBDA(_xlpm.party,
   SUMIFS(ledger!J:J, ledger!B:B, _xlpm.party, ledger!E:E, "&lt;&gt;*RD*", ledger!D:D, "Slub", ledger!C:C, "&lt;&gt;November Closing CF")
))+ _xlfn.IFNA(I99, 0)</f>
        <v>0</v>
      </c>
      <c r="Y20" s="70" cm="1">
        <f t="array" ref="Y20">_xlfn.BYROW(B64, _xlfn.LAMBDA(_xlpm.party,
   SUMIFS(ledger!J:J, ledger!B:B, _xlpm.party, ledger!E:E, "&lt;&gt;*RD*", ledger!D:D, "Satin", ledger!C:C, "&lt;&gt;November Closing CF")
))+ _xlfn.IFNA(J99, 0)</f>
        <v>0</v>
      </c>
      <c r="Z20" s="70" cm="1">
        <f t="array" ref="Z20">_xlfn.BYROW(B64, _xlfn.LAMBDA(_xlpm.party,
   SUMIFS(ledger!J:J, ledger!B:B, _xlpm.party, ledger!E:E, "&lt;&gt;*RD*", ledger!D:D, "Black-Chamki", ledger!C:C, "&lt;&gt;November Closing CF")
))+ _xlfn.IFNA(K99, 0)</f>
        <v>0</v>
      </c>
      <c r="AA20" s="70" cm="1">
        <f t="array" ref="AA20">_xlfn.BYROW(B64, _xlfn.LAMBDA(_xlpm.party,
   SUMIFS(ledger!J:J, ledger!B:B, _xlpm.party, ledger!E:E, "&lt;&gt;*RD*", ledger!D:D, "Kataan", ledger!C:C, "&lt;&gt;November Closing CF")
))+ _xlfn.IFNA(L99, 0)</f>
        <v>0</v>
      </c>
      <c r="AB20" s="70" cm="1">
        <f t="array" ref="AB20">_xlfn.BYROW(B64, _xlfn.LAMBDA(_xlpm.party,
   SUMIFS(ledger!J:J, ledger!B:B, _xlpm.party, ledger!E:E, "&lt;&gt;*RD*", ledger!D:D, "Munaar", ledger!C:C, "&lt;&gt;November Closing CF")
))+ _xlfn.IFNA(M99, 0)</f>
        <v>0</v>
      </c>
      <c r="AC20" s="39">
        <f t="shared" si="1"/>
        <v>594404.71836137539</v>
      </c>
      <c r="AD20" s="22">
        <f>(SUMIF(Table14[Party],Q20,Table14[Credit]))+_xlfn.IFNA(O99,0)</f>
        <v>594405</v>
      </c>
      <c r="AE20" s="33">
        <f t="shared" si="2"/>
        <v>-0.28163862461224198</v>
      </c>
      <c r="AF20" s="21">
        <v>10</v>
      </c>
      <c r="AG20" s="21">
        <v>13</v>
      </c>
    </row>
    <row r="21" spans="2:33" x14ac:dyDescent="0.3">
      <c r="B21" s="40" t="s">
        <v>29</v>
      </c>
      <c r="C21" s="41">
        <f>SUM(N49:N78)</f>
        <v>7678658.3979517203</v>
      </c>
      <c r="D21" t="s">
        <v>30</v>
      </c>
      <c r="I21" t="s">
        <v>184</v>
      </c>
      <c r="Q21" s="99" t="str">
        <v>Faizan</v>
      </c>
      <c r="R21" s="22" cm="1">
        <f t="array" ref="R21">_xlfn.BYROW(B65,_xlfn.LAMBDA(_xlpm.party,SUMIFS(ledger!G:G,ledger!B:B,_xlpm.party,ledger!E:E,"&lt;&gt;*RD*")))+_xlfn.IFNA(C100,0)</f>
        <v>438975</v>
      </c>
      <c r="S21" s="22" cm="1">
        <f t="array" ref="S21">_xlfn.BYROW(B65, _xlfn.LAMBDA(_xlpm.party, SUMIFS(ledger!G:G, ledger!B:B, _xlpm.party, ledger!E:E, "&lt;&gt;*RD*") / 1.0936 ))+_xlfn.IFNA(D100,0)</f>
        <v>401403.62106803223</v>
      </c>
      <c r="T21" s="22" cm="1">
        <f t="array" ref="T21">(_xlfn.BYROW(B65,_xlfn.LAMBDA(_xlpm.party,SUMIFS(ledger!G:G,ledger!B:B,_xlpm.party,ledger!E:E,"&lt;&gt;*RD*",ledger!D:D,"Chamki")+SUMIFS(ledger!G:G, ledger!B:B, _xlpm.party, ledger!E:E, "&lt;&gt;*RD*", ledger!D:D, "Crinkle")))/1.0936)+_xlfn.IFNA(E100,0)</f>
        <v>0</v>
      </c>
      <c r="U21" s="70" cm="1">
        <f t="array" ref="U21">(_xlfn.BYROW(B65,_xlfn.LAMBDA(_xlpm.party,SUMIFS(ledger!G:G,ledger!B:B,_xlpm.party,ledger!E:E,"&lt;&gt;*RD*",ledger!D:D,"Silky")))/1.0936)+_xlfn.IFNA(F100,0)</f>
        <v>398433.61375274323</v>
      </c>
      <c r="V21" s="22" cm="1">
        <f t="array" ref="V21">(_xlfn.BYROW(B65,_xlfn.LAMBDA(_xlpm.party,
(SUMIFS(ledger!J:J,ledger!B:B,_xlpm.party,ledger!E:E,"&lt;&gt;*RD*",ledger!D:D,"Chamki",ledger!C:C,"&lt;&gt;November Closing CF")+
SUMIFS(ledger!J:J,ledger!B:B,_xlpm.party,ledger!E:E,"&lt;&gt;*RD*",ledger!D:D,"Crinkle",ledger!C:C,"&lt;&gt;November Closing CF")
)+_xlfn.IFNA(G100,0))))</f>
        <v>0</v>
      </c>
      <c r="W21" s="70" cm="1">
        <f t="array" ref="W21">_xlfn.BYROW(B65, _xlfn.LAMBDA(_xlpm.party,
   SUMIFS(ledger!J:J, ledger!B:B, _xlpm.party, ledger!E:E, "&lt;&gt;*RD*", ledger!D:D, "Silky", ledger!C:C, "&lt;&gt;November Closing CF")
)) + _xlfn.IFNA(H100, 0)</f>
        <v>5179636.9787856629</v>
      </c>
      <c r="X21" s="70" cm="1">
        <f t="array" ref="X21">_xlfn.BYROW(B65, _xlfn.LAMBDA(_xlpm.party,
   SUMIFS(ledger!J:J, ledger!B:B, _xlpm.party, ledger!E:E, "&lt;&gt;*RD*", ledger!D:D, "Slub", ledger!C:C, "&lt;&gt;November Closing CF")
))+ _xlfn.IFNA(I100, 0)</f>
        <v>44550.109729334312</v>
      </c>
      <c r="Y21" s="70" cm="1">
        <f t="array" ref="Y21">_xlfn.BYROW(B65, _xlfn.LAMBDA(_xlpm.party,
   SUMIFS(ledger!J:J, ledger!B:B, _xlpm.party, ledger!E:E, "&lt;&gt;*RD*", ledger!D:D, "Satin", ledger!C:C, "&lt;&gt;November Closing CF")
))+ _xlfn.IFNA(J100, 0)</f>
        <v>0</v>
      </c>
      <c r="Z21" s="70" cm="1">
        <f t="array" ref="Z21">_xlfn.BYROW(B65, _xlfn.LAMBDA(_xlpm.party,
   SUMIFS(ledger!J:J, ledger!B:B, _xlpm.party, ledger!E:E, "&lt;&gt;*RD*", ledger!D:D, "Black-Chamki", ledger!C:C, "&lt;&gt;November Closing CF")
))+ _xlfn.IFNA(K100, 0)</f>
        <v>0</v>
      </c>
      <c r="AA21" s="70" cm="1">
        <f t="array" ref="AA21">_xlfn.BYROW(B65, _xlfn.LAMBDA(_xlpm.party,
   SUMIFS(ledger!J:J, ledger!B:B, _xlpm.party, ledger!E:E, "&lt;&gt;*RD*", ledger!D:D, "Kataan", ledger!C:C, "&lt;&gt;November Closing CF")
))+ _xlfn.IFNA(L100, 0)</f>
        <v>0</v>
      </c>
      <c r="AB21" s="70" cm="1">
        <f t="array" ref="AB21">_xlfn.BYROW(B65, _xlfn.LAMBDA(_xlpm.party,
   SUMIFS(ledger!J:J, ledger!B:B, _xlpm.party, ledger!E:E, "&lt;&gt;*RD*", ledger!D:D, "Munaar", ledger!C:C, "&lt;&gt;November Closing CF")
))+ _xlfn.IFNA(M100, 0)</f>
        <v>0</v>
      </c>
      <c r="AC21" s="39">
        <f t="shared" si="1"/>
        <v>5224187.0885149976</v>
      </c>
      <c r="AD21" s="22">
        <f>(SUMIF(Table14[Party],Q21,Table14[Credit]))+_xlfn.IFNA(O100,0)</f>
        <v>4915571</v>
      </c>
      <c r="AE21" s="33">
        <f t="shared" si="2"/>
        <v>308616.08851499762</v>
      </c>
      <c r="AF21" s="21">
        <v>10</v>
      </c>
      <c r="AG21" s="21">
        <v>13</v>
      </c>
    </row>
    <row r="22" spans="2:33" x14ac:dyDescent="0.3">
      <c r="C22" s="18"/>
      <c r="I22" t="s">
        <v>193</v>
      </c>
      <c r="Q22" s="21" t="str">
        <v>Shafique Ansari</v>
      </c>
      <c r="R22" s="22" cm="1">
        <f t="array" ref="R22">_xlfn.BYROW(B66,_xlfn.LAMBDA(_xlpm.party,SUMIFS(ledger!G:G,ledger!B:B,_xlpm.party,ledger!E:E,"&lt;&gt;*RD*")))+_xlfn.IFNA(C101,0)</f>
        <v>82290</v>
      </c>
      <c r="S22" s="22" cm="1">
        <f t="array" ref="S22">_xlfn.BYROW(B66, _xlfn.LAMBDA(_xlpm.party, SUMIFS(ledger!G:G, ledger!B:B, _xlpm.party, ledger!E:E, "&lt;&gt;*RD*") / 1.0936 ))+_xlfn.IFNA(D101,0)</f>
        <v>75246.891002194592</v>
      </c>
      <c r="T22" s="22" cm="1">
        <f t="array" ref="T22">(_xlfn.BYROW(B66,_xlfn.LAMBDA(_xlpm.party,SUMIFS(ledger!G:G,ledger!B:B,_xlpm.party,ledger!E:E,"&lt;&gt;*RD*",ledger!D:D,"Chamki")+SUMIFS(ledger!G:G, ledger!B:B, _xlpm.party, ledger!E:E, "&lt;&gt;*RD*", ledger!D:D, "Crinkle")))/1.0936)+_xlfn.IFNA(E101,0)</f>
        <v>64300.475493782011</v>
      </c>
      <c r="U22" s="70" cm="1">
        <f t="array" ref="U22">(_xlfn.BYROW(B66,_xlfn.LAMBDA(_xlpm.party,SUMIFS(ledger!G:G,ledger!B:B,_xlpm.party,ledger!E:E,"&lt;&gt;*RD*",ledger!D:D,"Silky")))/1.0936)+_xlfn.IFNA(F101,0)</f>
        <v>7565.8376005852242</v>
      </c>
      <c r="V22" s="22" cm="1">
        <f t="array" ref="V22">(_xlfn.BYROW(B66,_xlfn.LAMBDA(_xlpm.party,
(SUMIFS(ledger!J:J,ledger!B:B,_xlpm.party,ledger!E:E,"&lt;&gt;*RD*",ledger!D:D,"Chamki",ledger!C:C,"&lt;&gt;November Closing CF")+
SUMIFS(ledger!J:J,ledger!B:B,_xlpm.party,ledger!E:E,"&lt;&gt;*RD*",ledger!D:D,"Crinkle",ledger!C:C,"&lt;&gt;November Closing CF")
)+_xlfn.IFNA(G101,0))))</f>
        <v>643004.75493782014</v>
      </c>
      <c r="W22" s="70" cm="1">
        <f t="array" ref="W22">_xlfn.BYROW(B66, _xlfn.LAMBDA(_xlpm.party,
   SUMIFS(ledger!J:J, ledger!B:B, _xlpm.party, ledger!E:E, "&lt;&gt;*RD*", ledger!D:D, "Silky", ledger!C:C, "&lt;&gt;November Closing CF")
)) + _xlfn.IFNA(H101, 0)</f>
        <v>98355.888807607917</v>
      </c>
      <c r="X22" s="70" cm="1">
        <f t="array" ref="X22">_xlfn.BYROW(B66, _xlfn.LAMBDA(_xlpm.party,
   SUMIFS(ledger!J:J, ledger!B:B, _xlpm.party, ledger!E:E, "&lt;&gt;*RD*", ledger!D:D, "Slub", ledger!C:C, "&lt;&gt;November Closing CF")
))+ _xlfn.IFNA(I101, 0)</f>
        <v>0</v>
      </c>
      <c r="Y22" s="70" cm="1">
        <f t="array" ref="Y22">_xlfn.BYROW(B66, _xlfn.LAMBDA(_xlpm.party,
   SUMIFS(ledger!J:J, ledger!B:B, _xlpm.party, ledger!E:E, "&lt;&gt;*RD*", ledger!D:D, "Satin", ledger!C:C, "&lt;&gt;November Closing CF")
))+ _xlfn.IFNA(J101, 0)</f>
        <v>94656.181419166067</v>
      </c>
      <c r="Z22" s="70" cm="1">
        <f t="array" ref="Z22">_xlfn.BYROW(B66, _xlfn.LAMBDA(_xlpm.party,
   SUMIFS(ledger!J:J, ledger!B:B, _xlpm.party, ledger!E:E, "&lt;&gt;*RD*", ledger!D:D, "Black-Chamki", ledger!C:C, "&lt;&gt;November Closing CF")
))+ _xlfn.IFNA(K101, 0)</f>
        <v>0</v>
      </c>
      <c r="AA22" s="70" cm="1">
        <f t="array" ref="AA22">_xlfn.BYROW(B66, _xlfn.LAMBDA(_xlpm.party,
   SUMIFS(ledger!J:J, ledger!B:B, _xlpm.party, ledger!E:E, "&lt;&gt;*RD*", ledger!D:D, "Kataan", ledger!C:C, "&lt;&gt;November Closing CF")
))+ _xlfn.IFNA(L101, 0)</f>
        <v>0</v>
      </c>
      <c r="AB22" s="70" cm="1">
        <f t="array" ref="AB22">_xlfn.BYROW(B66, _xlfn.LAMBDA(_xlpm.party,
   SUMIFS(ledger!J:J, ledger!B:B, _xlpm.party, ledger!E:E, "&lt;&gt;*RD*", ledger!D:D, "Munaar", ledger!C:C, "&lt;&gt;November Closing CF")
))+ _xlfn.IFNA(M101, 0)</f>
        <v>0</v>
      </c>
      <c r="AC22" s="39">
        <f t="shared" si="1"/>
        <v>836016.82516459411</v>
      </c>
      <c r="AD22" s="22">
        <f>(SUMIF(Table14[Party],Q22,Table14[Credit]))+_xlfn.IFNA(O101,0)</f>
        <v>835660</v>
      </c>
      <c r="AE22" s="33">
        <f t="shared" si="2"/>
        <v>356.82516459410544</v>
      </c>
      <c r="AF22" s="21">
        <v>10</v>
      </c>
      <c r="AG22" s="21">
        <v>13</v>
      </c>
    </row>
    <row r="23" spans="2:33" x14ac:dyDescent="0.3">
      <c r="B23" s="24" t="s">
        <v>31</v>
      </c>
      <c r="C23" s="37">
        <f>SUM(N49:N81)</f>
        <v>7678658.3979517203</v>
      </c>
      <c r="D23" t="s">
        <v>32</v>
      </c>
      <c r="I23" t="s">
        <v>196</v>
      </c>
      <c r="Q23" s="21" t="str">
        <v>Amjad sohail</v>
      </c>
      <c r="R23" s="22" cm="1">
        <f t="array" ref="R23">_xlfn.BYROW(B67,_xlfn.LAMBDA(_xlpm.party,SUMIFS(ledger!G:G,ledger!B:B,_xlpm.party,ledger!E:E,"&lt;&gt;*RD*")))+_xlfn.IFNA(C102,0)</f>
        <v>281909</v>
      </c>
      <c r="S23" s="22" cm="1">
        <f t="array" ref="S23">_xlfn.BYROW(B67, _xlfn.LAMBDA(_xlpm.party, SUMIFS(ledger!G:G, ledger!B:B, _xlpm.party, ledger!E:E, "&lt;&gt;*RD*") / 1.0936 ))+_xlfn.IFNA(D102,0)</f>
        <v>257780.72421360645</v>
      </c>
      <c r="T23" s="22" cm="1">
        <f t="array" ref="T23">(_xlfn.BYROW(B67,_xlfn.LAMBDA(_xlpm.party,SUMIFS(ledger!G:G,ledger!B:B,_xlpm.party,ledger!E:E,"&lt;&gt;*RD*",ledger!D:D,"Chamki")+SUMIFS(ledger!G:G, ledger!B:B, _xlpm.party, ledger!E:E, "&lt;&gt;*RD*", ledger!D:D, "Crinkle")))/1.0936)+_xlfn.IFNA(E102,0)</f>
        <v>213946.59839063644</v>
      </c>
      <c r="U23" s="70" cm="1">
        <f t="array" ref="U23">(_xlfn.BYROW(B67,_xlfn.LAMBDA(_xlpm.party,SUMIFS(ledger!G:G,ledger!B:B,_xlpm.party,ledger!E:E,"&lt;&gt;*RD*",ledger!D:D,"Silky")))/1.0936)+_xlfn.IFNA(F102,0)</f>
        <v>43834.125822970011</v>
      </c>
      <c r="V23" s="22" cm="1">
        <f t="array" ref="V23">(_xlfn.BYROW(B67,_xlfn.LAMBDA(_xlpm.party,
(SUMIFS(ledger!J:J,ledger!B:B,_xlpm.party,ledger!E:E,"&lt;&gt;*RD*",ledger!D:D,"Chamki",ledger!C:C,"&lt;&gt;November Closing CF")+
SUMIFS(ledger!J:J,ledger!B:B,_xlpm.party,ledger!E:E,"&lt;&gt;*RD*",ledger!D:D,"Crinkle",ledger!C:C,"&lt;&gt;November Closing CF")
)+_xlfn.IFNA(G102,0))))</f>
        <v>2139465.9839063645</v>
      </c>
      <c r="W23" s="70" cm="1">
        <f t="array" ref="W23">_xlfn.BYROW(B67, _xlfn.LAMBDA(_xlpm.party,
   SUMIFS(ledger!J:J, ledger!B:B, _xlpm.party, ledger!E:E, "&lt;&gt;*RD*", ledger!D:D, "Silky", ledger!C:C, "&lt;&gt;November Closing CF")
)) + _xlfn.IFNA(H102, 0)</f>
        <v>569843.63569861022</v>
      </c>
      <c r="X23" s="70" cm="1">
        <f t="array" ref="X23">_xlfn.BYROW(B67, _xlfn.LAMBDA(_xlpm.party,
   SUMIFS(ledger!J:J, ledger!B:B, _xlpm.party, ledger!E:E, "&lt;&gt;*RD*", ledger!D:D, "Slub", ledger!C:C, "&lt;&gt;November Closing CF")
))+ _xlfn.IFNA(I102, 0)</f>
        <v>0</v>
      </c>
      <c r="Y23" s="70" cm="1">
        <f t="array" ref="Y23">_xlfn.BYROW(B67, _xlfn.LAMBDA(_xlpm.party,
   SUMIFS(ledger!J:J, ledger!B:B, _xlpm.party, ledger!E:E, "&lt;&gt;*RD*", ledger!D:D, "Satin", ledger!C:C, "&lt;&gt;November Closing CF")
))+ _xlfn.IFNA(J102, 0)</f>
        <v>0</v>
      </c>
      <c r="Z23" s="70" cm="1">
        <f t="array" ref="Z23">_xlfn.BYROW(B67, _xlfn.LAMBDA(_xlpm.party,
   SUMIFS(ledger!J:J, ledger!B:B, _xlpm.party, ledger!E:E, "&lt;&gt;*RD*", ledger!D:D, "Black-Chamki", ledger!C:C, "&lt;&gt;November Closing CF")
))+ _xlfn.IFNA(K102, 0)</f>
        <v>0</v>
      </c>
      <c r="AA23" s="70" cm="1">
        <f t="array" ref="AA23">_xlfn.BYROW(B67, _xlfn.LAMBDA(_xlpm.party,
   SUMIFS(ledger!J:J, ledger!B:B, _xlpm.party, ledger!E:E, "&lt;&gt;*RD*", ledger!D:D, "Kataan", ledger!C:C, "&lt;&gt;November Closing CF")
))+ _xlfn.IFNA(L102, 0)</f>
        <v>0</v>
      </c>
      <c r="AB23" s="70" cm="1">
        <f t="array" ref="AB23">_xlfn.BYROW(B67, _xlfn.LAMBDA(_xlpm.party,
   SUMIFS(ledger!J:J, ledger!B:B, _xlpm.party, ledger!E:E, "&lt;&gt;*RD*", ledger!D:D, "Munaar", ledger!C:C, "&lt;&gt;November Closing CF")
))+ _xlfn.IFNA(M102, 0)</f>
        <v>0</v>
      </c>
      <c r="AC23" s="39">
        <f t="shared" si="1"/>
        <v>2709309.619604975</v>
      </c>
      <c r="AD23" s="22">
        <f>(SUMIF(Table14[Party],Q23,Table14[Credit]))+_xlfn.IFNA(O102,0)</f>
        <v>2709310</v>
      </c>
      <c r="AE23" s="33">
        <f t="shared" si="2"/>
        <v>-0.38039502501487732</v>
      </c>
      <c r="AF23" s="21">
        <v>10</v>
      </c>
      <c r="AG23" s="21">
        <v>13</v>
      </c>
    </row>
    <row r="24" spans="2:33" x14ac:dyDescent="0.3">
      <c r="I24" t="s">
        <v>195</v>
      </c>
      <c r="Q24" t="str">
        <v>Salman Zaffar</v>
      </c>
      <c r="R24" s="22" cm="1">
        <f t="array" ref="R24">_xlfn.BYROW(B68,_xlfn.LAMBDA(_xlpm.party,SUMIFS(ledger!G:G,ledger!B:B,_xlpm.party,ledger!E:E,"&lt;&gt;*RD*")))+_xlfn.IFNA(C103,0)</f>
        <v>93232</v>
      </c>
      <c r="S24" s="22" cm="1">
        <f t="array" ref="S24">_xlfn.BYROW(B68, _xlfn.LAMBDA(_xlpm.party, SUMIFS(ledger!G:G, ledger!B:B, _xlpm.party, ledger!E:E, "&lt;&gt;*RD*") / 1.0936 ))+_xlfn.IFNA(D103,0)</f>
        <v>85252.377468910039</v>
      </c>
      <c r="T24" s="22" cm="1">
        <f t="array" ref="T24">(_xlfn.BYROW(B68,_xlfn.LAMBDA(_xlpm.party,SUMIFS(ledger!G:G,ledger!B:B,_xlpm.party,ledger!E:E,"&lt;&gt;*RD*",ledger!D:D,"Chamki")+SUMIFS(ledger!G:G, ledger!B:B, _xlpm.party, ledger!E:E, "&lt;&gt;*RD*", ledger!D:D, "Crinkle")))/1.0936)+_xlfn.IFNA(E103,0)</f>
        <v>40372.165325530361</v>
      </c>
      <c r="U24" s="70" cm="1">
        <f t="array" ref="U24">(_xlfn.BYROW(B68,_xlfn.LAMBDA(_xlpm.party,SUMIFS(ledger!G:G,ledger!B:B,_xlpm.party,ledger!E:E,"&lt;&gt;*RD*",ledger!D:D,"Silky")))/1.0936)+_xlfn.IFNA(F103,0)</f>
        <v>31409.107534747625</v>
      </c>
      <c r="V24" s="22" cm="1">
        <f t="array" ref="V24">(_xlfn.BYROW(B68,_xlfn.LAMBDA(_xlpm.party,
(SUMIFS(ledger!J:J,ledger!B:B,_xlpm.party,ledger!E:E,"&lt;&gt;*RD*",ledger!D:D,"Chamki",ledger!C:C,"&lt;&gt;November Closing CF")+
SUMIFS(ledger!J:J,ledger!B:B,_xlpm.party,ledger!E:E,"&lt;&gt;*RD*",ledger!D:D,"Crinkle",ledger!C:C,"&lt;&gt;November Closing CF")
)+_xlfn.IFNA(G103,0))))</f>
        <v>403721.65325530362</v>
      </c>
      <c r="W24" s="70" cm="1">
        <f t="array" ref="W24">_xlfn.BYROW(B68, _xlfn.LAMBDA(_xlpm.party,
   SUMIFS(ledger!J:J, ledger!B:B, _xlpm.party, ledger!E:E, "&lt;&gt;*RD*", ledger!D:D, "Silky", ledger!C:C, "&lt;&gt;November Closing CF")
)) + _xlfn.IFNA(H103, 0)</f>
        <v>408318.39795171918</v>
      </c>
      <c r="X24" s="70" cm="1">
        <f t="array" ref="X24">_xlfn.BYROW(B68, _xlfn.LAMBDA(_xlpm.party,
   SUMIFS(ledger!J:J, ledger!B:B, _xlpm.party, ledger!E:E, "&lt;&gt;*RD*", ledger!D:D, "Slub", ledger!C:C, "&lt;&gt;November Closing CF")
))+ _xlfn.IFNA(I103, 0)</f>
        <v>0</v>
      </c>
      <c r="Y24" s="70" cm="1">
        <f t="array" ref="Y24">_xlfn.BYROW(B68, _xlfn.LAMBDA(_xlpm.party,
   SUMIFS(ledger!J:J, ledger!B:B, _xlpm.party, ledger!E:E, "&lt;&gt;*RD*", ledger!D:D, "Satin", ledger!C:C, "&lt;&gt;November Closing CF")
))+ _xlfn.IFNA(J103, 0)</f>
        <v>0</v>
      </c>
      <c r="Z24" s="70" cm="1">
        <f t="array" ref="Z24">_xlfn.BYROW(B68, _xlfn.LAMBDA(_xlpm.party,
   SUMIFS(ledger!J:J, ledger!B:B, _xlpm.party, ledger!E:E, "&lt;&gt;*RD*", ledger!D:D, "Black-Chamki", ledger!C:C, "&lt;&gt;November Closing CF")
))+ _xlfn.IFNA(K103, 0)</f>
        <v>161653.2553035845</v>
      </c>
      <c r="AA24" s="70" cm="1">
        <f t="array" ref="AA24">_xlfn.BYROW(B68, _xlfn.LAMBDA(_xlpm.party,
   SUMIFS(ledger!J:J, ledger!B:B, _xlpm.party, ledger!E:E, "&lt;&gt;*RD*", ledger!D:D, "Kataan", ledger!C:C, "&lt;&gt;November Closing CF")
))+ _xlfn.IFNA(L103, 0)</f>
        <v>0</v>
      </c>
      <c r="AB24" s="70" cm="1">
        <f t="array" ref="AB24">_xlfn.BYROW(B68, _xlfn.LAMBDA(_xlpm.party,
   SUMIFS(ledger!J:J, ledger!B:B, _xlpm.party, ledger!E:E, "&lt;&gt;*RD*", ledger!D:D, "Munaar", ledger!C:C, "&lt;&gt;November Closing CF")
))+ _xlfn.IFNA(M103, 0)</f>
        <v>0</v>
      </c>
      <c r="AC24" s="39">
        <f t="shared" si="1"/>
        <v>973693.30651060725</v>
      </c>
      <c r="AD24" s="22">
        <f>(SUMIF(Table14[Party],Q24,Table14[Credit]))+_xlfn.IFNA(O103,0)</f>
        <v>973525</v>
      </c>
      <c r="AE24" s="33">
        <f t="shared" si="2"/>
        <v>168.30651060724631</v>
      </c>
      <c r="AF24" s="21">
        <v>10</v>
      </c>
      <c r="AG24" s="21">
        <v>13</v>
      </c>
    </row>
    <row r="25" spans="2:33" x14ac:dyDescent="0.3">
      <c r="I25" t="s">
        <v>201</v>
      </c>
      <c r="Q25" t="str">
        <v>Shahid Qasayi</v>
      </c>
      <c r="R25" s="22" cm="1">
        <f t="array" ref="R25">_xlfn.BYROW(B69,_xlfn.LAMBDA(_xlpm.party,SUMIFS(ledger!G:G,ledger!B:B,_xlpm.party,ledger!E:E,"&lt;&gt;*RD*")))+_xlfn.IFNA(C104,0)</f>
        <v>263818</v>
      </c>
      <c r="S25" s="22" cm="1">
        <f t="array" ref="S25">_xlfn.BYROW(B69, _xlfn.LAMBDA(_xlpm.party, SUMIFS(ledger!G:G, ledger!B:B, _xlpm.party, ledger!E:E, "&lt;&gt;*RD*") / 1.0936 ))+_xlfn.IFNA(D104,0)</f>
        <v>241238.11265544992</v>
      </c>
      <c r="T25" s="22" cm="1">
        <f t="array" ref="T25">(_xlfn.BYROW(B69,_xlfn.LAMBDA(_xlpm.party,SUMIFS(ledger!G:G,ledger!B:B,_xlpm.party,ledger!E:E,"&lt;&gt;*RD*",ledger!D:D,"Chamki")+SUMIFS(ledger!G:G, ledger!B:B, _xlpm.party, ledger!E:E, "&lt;&gt;*RD*", ledger!D:D, "Crinkle")))/1.0936)+_xlfn.IFNA(E104,0)</f>
        <v>189718.36137527431</v>
      </c>
      <c r="U25" s="70" cm="1">
        <f t="array" ref="U25">(_xlfn.BYROW(B69,_xlfn.LAMBDA(_xlpm.party,SUMIFS(ledger!G:G,ledger!B:B,_xlpm.party,ledger!E:E,"&lt;&gt;*RD*",ledger!D:D,"Silky")))/1.0936)+_xlfn.IFNA(F104,0)</f>
        <v>0</v>
      </c>
      <c r="V25" s="22" cm="1">
        <f t="array" ref="V25">(_xlfn.BYROW(B69,_xlfn.LAMBDA(_xlpm.party,
(SUMIFS(ledger!J:J,ledger!B:B,_xlpm.party,ledger!E:E,"&lt;&gt;*RD*",ledger!D:D,"Chamki",ledger!C:C,"&lt;&gt;November Closing CF")+
SUMIFS(ledger!J:J,ledger!B:B,_xlpm.party,ledger!E:E,"&lt;&gt;*RD*",ledger!D:D,"Crinkle",ledger!C:C,"&lt;&gt;November Closing CF")
)+_xlfn.IFNA(G104,0))))</f>
        <v>1897183.6137527432</v>
      </c>
      <c r="W25" s="70" cm="1">
        <f t="array" ref="W25">_xlfn.BYROW(B69, _xlfn.LAMBDA(_xlpm.party,
   SUMIFS(ledger!J:J, ledger!B:B, _xlpm.party, ledger!E:E, "&lt;&gt;*RD*", ledger!D:D, "Silky", ledger!C:C, "&lt;&gt;November Closing CF")
)) + _xlfn.IFNA(H104, 0)</f>
        <v>0</v>
      </c>
      <c r="X25" s="70" cm="1">
        <f t="array" ref="X25">_xlfn.BYROW(B69, _xlfn.LAMBDA(_xlpm.party,
   SUMIFS(ledger!J:J, ledger!B:B, _xlpm.party, ledger!E:E, "&lt;&gt;*RD*", ledger!D:D, "Slub", ledger!C:C, "&lt;&gt;November Closing CF")
))+ _xlfn.IFNA(I104, 0)</f>
        <v>0</v>
      </c>
      <c r="Y25" s="70" cm="1">
        <f t="array" ref="Y25">_xlfn.BYROW(B69, _xlfn.LAMBDA(_xlpm.party,
   SUMIFS(ledger!J:J, ledger!B:B, _xlpm.party, ledger!E:E, "&lt;&gt;*RD*", ledger!D:D, "Satin", ledger!C:C, "&lt;&gt;November Closing CF")
))+ _xlfn.IFNA(J104, 0)</f>
        <v>0</v>
      </c>
      <c r="Z25" s="70" cm="1">
        <f t="array" ref="Z25">_xlfn.BYROW(B69, _xlfn.LAMBDA(_xlpm.party,
   SUMIFS(ledger!J:J, ledger!B:B, _xlpm.party, ledger!E:E, "&lt;&gt;*RD*", ledger!D:D, "Black-Chamki", ledger!C:C, "&lt;&gt;November Closing CF")
))+ _xlfn.IFNA(K104, 0)</f>
        <v>47534.747622531097</v>
      </c>
      <c r="AA25" s="70" cm="1">
        <f t="array" ref="AA25">_xlfn.BYROW(B69, _xlfn.LAMBDA(_xlpm.party,
   SUMIFS(ledger!J:J, ledger!B:B, _xlpm.party, ledger!E:E, "&lt;&gt;*RD*", ledger!D:D, "Kataan", ledger!C:C, "&lt;&gt;November Closing CF")
))+ _xlfn.IFNA(L104, 0)</f>
        <v>523143.74542794435</v>
      </c>
      <c r="AB25" s="70" cm="1">
        <f t="array" ref="AB25">_xlfn.BYROW(B69, _xlfn.LAMBDA(_xlpm.party,
   SUMIFS(ledger!J:J, ledger!B:B, _xlpm.party, ledger!E:E, "&lt;&gt;*RD*", ledger!D:D, "Munaar", ledger!C:C, "&lt;&gt;November Closing CF")
))+ _xlfn.IFNA(M104, 0)</f>
        <v>0</v>
      </c>
      <c r="AC25" s="39">
        <f>V25+W25+X25+Y25+Z25+AA25+AB25</f>
        <v>2467862.1068032188</v>
      </c>
      <c r="AD25" s="22">
        <f>(SUMIF(Table14[Party],Q25,Table14[Credit]))+_xlfn.IFNA(O104,0)</f>
        <v>2333095</v>
      </c>
      <c r="AE25" s="33">
        <f t="shared" si="2"/>
        <v>134767.10680321883</v>
      </c>
      <c r="AF25" s="21">
        <v>10</v>
      </c>
      <c r="AG25" s="21">
        <v>13</v>
      </c>
    </row>
    <row r="26" spans="2:33" x14ac:dyDescent="0.3">
      <c r="I26" t="s">
        <v>206</v>
      </c>
      <c r="Q26" t="str">
        <v>Hameed corporation</v>
      </c>
      <c r="R26" s="22" cm="1">
        <f t="array" ref="R26">_xlfn.BYROW(B70,_xlfn.LAMBDA(_xlpm.party,SUMIFS(ledger!G:G,ledger!B:B,_xlpm.party,ledger!E:E,"&lt;&gt;*RD*")))+_xlfn.IFNA(C105,0)</f>
        <v>46404</v>
      </c>
      <c r="S26" s="22" cm="1">
        <f t="array" ref="S26">_xlfn.BYROW(B70, _xlfn.LAMBDA(_xlpm.party, SUMIFS(ledger!G:G, ledger!B:B, _xlpm.party, ledger!E:E, "&lt;&gt;*RD*") / 1.0936 ))+_xlfn.IFNA(D105,0)</f>
        <v>42432.333577176301</v>
      </c>
      <c r="T26" s="22" cm="1">
        <f t="array" ref="T26">(_xlfn.BYROW(B70,_xlfn.LAMBDA(_xlpm.party,SUMIFS(ledger!G:G,ledger!B:B,_xlpm.party,ledger!E:E,"&lt;&gt;*RD*",ledger!D:D,"Chamki")+SUMIFS(ledger!G:G, ledger!B:B, _xlpm.party, ledger!E:E, "&lt;&gt;*RD*", ledger!D:D, "Crinkle")))/1.0936)+_xlfn.IFNA(E105,0)</f>
        <v>42432.333577176301</v>
      </c>
      <c r="U26" s="70" cm="1">
        <f t="array" ref="U26">(_xlfn.BYROW(B70,_xlfn.LAMBDA(_xlpm.party,SUMIFS(ledger!G:G,ledger!B:B,_xlpm.party,ledger!E:E,"&lt;&gt;*RD*",ledger!D:D,"Silky")))/1.0936)+_xlfn.IFNA(F105,0)</f>
        <v>0</v>
      </c>
      <c r="V26" s="22" cm="1">
        <f t="array" ref="V26">(_xlfn.BYROW(B70,_xlfn.LAMBDA(_xlpm.party,
(SUMIFS(ledger!J:J,ledger!B:B,_xlpm.party,ledger!E:E,"&lt;&gt;*RD*",ledger!D:D,"Chamki",ledger!C:C,"&lt;&gt;November Closing CF")+
SUMIFS(ledger!J:J,ledger!B:B,_xlpm.party,ledger!E:E,"&lt;&gt;*RD*",ledger!D:D,"Crinkle",ledger!C:C,"&lt;&gt;November Closing CF")
)+_xlfn.IFNA(G105,0))))</f>
        <v>424323.335771763</v>
      </c>
      <c r="W26" s="70" cm="1">
        <f t="array" ref="W26">_xlfn.BYROW(B70, _xlfn.LAMBDA(_xlpm.party,
   SUMIFS(ledger!J:J, ledger!B:B, _xlpm.party, ledger!E:E, "&lt;&gt;*RD*", ledger!D:D, "Silky", ledger!C:C, "&lt;&gt;November Closing CF")
)) + _xlfn.IFNA(H105, 0)</f>
        <v>0</v>
      </c>
      <c r="X26" s="70" cm="1">
        <f t="array" ref="X26">_xlfn.BYROW(B70, _xlfn.LAMBDA(_xlpm.party,
   SUMIFS(ledger!J:J, ledger!B:B, _xlpm.party, ledger!E:E, "&lt;&gt;*RD*", ledger!D:D, "Slub", ledger!C:C, "&lt;&gt;November Closing CF")
))+ _xlfn.IFNA(I105, 0)</f>
        <v>0</v>
      </c>
      <c r="Y26" s="70" cm="1">
        <f t="array" ref="Y26">_xlfn.BYROW(B70, _xlfn.LAMBDA(_xlpm.party,
   SUMIFS(ledger!J:J, ledger!B:B, _xlpm.party, ledger!E:E, "&lt;&gt;*RD*", ledger!D:D, "Satin", ledger!C:C, "&lt;&gt;November Closing CF")
))+ _xlfn.IFNA(J105, 0)</f>
        <v>0</v>
      </c>
      <c r="Z26" s="70" cm="1">
        <f t="array" ref="Z26">_xlfn.BYROW(B70, _xlfn.LAMBDA(_xlpm.party,
   SUMIFS(ledger!J:J, ledger!B:B, _xlpm.party, ledger!E:E, "&lt;&gt;*RD*", ledger!D:D, "Black-Chamki", ledger!C:C, "&lt;&gt;November Closing CF")
))+ _xlfn.IFNA(K105, 0)</f>
        <v>0</v>
      </c>
      <c r="AA26" s="70" cm="1">
        <f t="array" ref="AA26">_xlfn.BYROW(B70, _xlfn.LAMBDA(_xlpm.party,
   SUMIFS(ledger!J:J, ledger!B:B, _xlpm.party, ledger!E:E, "&lt;&gt;*RD*", ledger!D:D, "Kataan", ledger!C:C, "&lt;&gt;November Closing CF")
))+ _xlfn.IFNA(L105, 0)</f>
        <v>0</v>
      </c>
      <c r="AB26" s="70" cm="1">
        <f t="array" ref="AB26">_xlfn.BYROW(B70, _xlfn.LAMBDA(_xlpm.party,
   SUMIFS(ledger!J:J, ledger!B:B, _xlpm.party, ledger!E:E, "&lt;&gt;*RD*", ledger!D:D, "Munaar", ledger!C:C, "&lt;&gt;November Closing CF")
))+ _xlfn.IFNA(M105, 0)</f>
        <v>0</v>
      </c>
      <c r="AC26" s="39">
        <f t="shared" si="1"/>
        <v>424323.335771763</v>
      </c>
      <c r="AD26" s="22">
        <f>(SUMIF(Table14[Party],Q26,Table14[Credit]))+_xlfn.IFNA(O105,0)</f>
        <v>424323</v>
      </c>
      <c r="AE26" s="33">
        <f t="shared" si="2"/>
        <v>0.33577176299877465</v>
      </c>
      <c r="AF26" s="21">
        <v>10</v>
      </c>
      <c r="AG26" s="21">
        <v>13</v>
      </c>
    </row>
    <row r="27" spans="2:33" x14ac:dyDescent="0.3">
      <c r="I27" t="s">
        <v>208</v>
      </c>
      <c r="Q27" t="str">
        <v>ibraheem behraam</v>
      </c>
      <c r="R27" s="22" cm="1">
        <f t="array" ref="R27">_xlfn.BYROW(B71,_xlfn.LAMBDA(_xlpm.party,SUMIFS(ledger!G:G,ledger!B:B,_xlpm.party,ledger!E:E,"&lt;&gt;*RD*")))+_xlfn.IFNA(C106,0)</f>
        <v>66705</v>
      </c>
      <c r="S27" s="22" cm="1">
        <f t="array" ref="S27">_xlfn.BYROW(B71, _xlfn.LAMBDA(_xlpm.party, SUMIFS(ledger!G:G, ledger!B:B, _xlpm.party, ledger!E:E, "&lt;&gt;*RD*") / 1.0936 ))+_xlfn.IFNA(D106,0)</f>
        <v>60995.793708851503</v>
      </c>
      <c r="T27" s="22" cm="1">
        <f t="array" ref="T27">(_xlfn.BYROW(B71,_xlfn.LAMBDA(_xlpm.party,SUMIFS(ledger!G:G,ledger!B:B,_xlpm.party,ledger!E:E,"&lt;&gt;*RD*",ledger!D:D,"Chamki")+SUMIFS(ledger!G:G, ledger!B:B, _xlpm.party, ledger!E:E, "&lt;&gt;*RD*", ledger!D:D, "Crinkle")))/1.0936)+_xlfn.IFNA(E106,0)</f>
        <v>0</v>
      </c>
      <c r="U27" s="70" cm="1">
        <f t="array" ref="U27">(_xlfn.BYROW(B71,_xlfn.LAMBDA(_xlpm.party,SUMIFS(ledger!G:G,ledger!B:B,_xlpm.party,ledger!E:E,"&lt;&gt;*RD*",ledger!D:D,"Silky")))/1.0936)+_xlfn.IFNA(F106,0)</f>
        <v>60995.793708851503</v>
      </c>
      <c r="V27" s="22" cm="1">
        <f t="array" ref="V27">(_xlfn.BYROW(B71,_xlfn.LAMBDA(_xlpm.party,
(SUMIFS(ledger!J:J,ledger!B:B,_xlpm.party,ledger!E:E,"&lt;&gt;*RD*",ledger!D:D,"Chamki",ledger!C:C,"&lt;&gt;November Closing CF")+
SUMIFS(ledger!J:J,ledger!B:B,_xlpm.party,ledger!E:E,"&lt;&gt;*RD*",ledger!D:D,"Crinkle",ledger!C:C,"&lt;&gt;November Closing CF")
)+_xlfn.IFNA(G106,0))))</f>
        <v>0</v>
      </c>
      <c r="W27" s="70" cm="1">
        <f t="array" ref="W27">_xlfn.BYROW(B71, _xlfn.LAMBDA(_xlpm.party,
   SUMIFS(ledger!J:J, ledger!B:B, _xlpm.party, ledger!E:E, "&lt;&gt;*RD*", ledger!D:D, "Silky", ledger!C:C, "&lt;&gt;November Closing CF")
)) + _xlfn.IFNA(H106, 0)</f>
        <v>792945.31821506959</v>
      </c>
      <c r="X27" s="70" cm="1">
        <f t="array" ref="X27">_xlfn.BYROW(B71, _xlfn.LAMBDA(_xlpm.party,
   SUMIFS(ledger!J:J, ledger!B:B, _xlpm.party, ledger!E:E, "&lt;&gt;*RD*", ledger!D:D, "Slub", ledger!C:C, "&lt;&gt;November Closing CF")
))+ _xlfn.IFNA(I106, 0)</f>
        <v>0</v>
      </c>
      <c r="Y27" s="70" cm="1">
        <f t="array" ref="Y27">_xlfn.BYROW(B71, _xlfn.LAMBDA(_xlpm.party,
   SUMIFS(ledger!J:J, ledger!B:B, _xlpm.party, ledger!E:E, "&lt;&gt;*RD*", ledger!D:D, "Satin", ledger!C:C, "&lt;&gt;November Closing CF")
))+ _xlfn.IFNA(J106, 0)</f>
        <v>0</v>
      </c>
      <c r="Z27" s="70" cm="1">
        <f t="array" ref="Z27">_xlfn.BYROW(B71, _xlfn.LAMBDA(_xlpm.party,
   SUMIFS(ledger!J:J, ledger!B:B, _xlpm.party, ledger!E:E, "&lt;&gt;*RD*", ledger!D:D, "Black-Chamki", ledger!C:C, "&lt;&gt;November Closing CF")
))+ _xlfn.IFNA(K106, 0)</f>
        <v>0</v>
      </c>
      <c r="AA27" s="70" cm="1">
        <f t="array" ref="AA27">_xlfn.BYROW(B71, _xlfn.LAMBDA(_xlpm.party,
   SUMIFS(ledger!J:J, ledger!B:B, _xlpm.party, ledger!E:E, "&lt;&gt;*RD*", ledger!D:D, "Kataan", ledger!C:C, "&lt;&gt;November Closing CF")
))+ _xlfn.IFNA(L106, 0)</f>
        <v>0</v>
      </c>
      <c r="AB27" s="70" cm="1">
        <f t="array" ref="AB27">_xlfn.BYROW(B71, _xlfn.LAMBDA(_xlpm.party,
   SUMIFS(ledger!J:J, ledger!B:B, _xlpm.party, ledger!E:E, "&lt;&gt;*RD*", ledger!D:D, "Munaar", ledger!C:C, "&lt;&gt;November Closing CF")
))+ _xlfn.IFNA(M106, 0)</f>
        <v>0</v>
      </c>
      <c r="AC27" s="39">
        <f t="shared" si="1"/>
        <v>792945.31821506959</v>
      </c>
      <c r="AD27" s="22">
        <f>(SUMIF(Table14[Party],Q27,Table14[Credit]))+_xlfn.IFNA(O106,0)</f>
        <v>790500</v>
      </c>
      <c r="AE27" s="33">
        <f t="shared" si="2"/>
        <v>2445.3182150695939</v>
      </c>
      <c r="AF27" s="21">
        <v>10</v>
      </c>
      <c r="AG27" s="21">
        <v>13</v>
      </c>
    </row>
    <row r="28" spans="2:33" x14ac:dyDescent="0.3">
      <c r="Q28" t="str">
        <v>Zia-ullah karachi</v>
      </c>
      <c r="R28" s="22" cm="1">
        <f t="array" ref="R28">_xlfn.BYROW(B72,_xlfn.LAMBDA(_xlpm.party,SUMIFS(ledger!G:G,ledger!B:B,_xlpm.party,ledger!E:E,"&lt;&gt;*RD*")))+_xlfn.IFNA(C107,0)</f>
        <v>13622</v>
      </c>
      <c r="S28" s="22" cm="1">
        <f t="array" ref="S28">_xlfn.BYROW(B72, _xlfn.LAMBDA(_xlpm.party, SUMIFS(ledger!G:G, ledger!B:B, _xlpm.party, ledger!E:E, "&lt;&gt;*RD*") / 1.0936 ))+_xlfn.IFNA(D107,0)</f>
        <v>12456.108266276518</v>
      </c>
      <c r="T28" s="22" cm="1">
        <f t="array" ref="T28">(_xlfn.BYROW(B72,_xlfn.LAMBDA(_xlpm.party,SUMIFS(ledger!G:G,ledger!B:B,_xlpm.party,ledger!E:E,"&lt;&gt;*RD*",ledger!D:D,"Chamki")+SUMIFS(ledger!G:G, ledger!B:B, _xlpm.party, ledger!E:E, "&lt;&gt;*RD*", ledger!D:D, "Crinkle")))/1.0936)+_xlfn.IFNA(E107,0)</f>
        <v>12456.108266276518</v>
      </c>
      <c r="U28" s="70" cm="1">
        <f t="array" ref="U28">(_xlfn.BYROW(B72,_xlfn.LAMBDA(_xlpm.party,SUMIFS(ledger!G:G,ledger!B:B,_xlpm.party,ledger!E:E,"&lt;&gt;*RD*",ledger!D:D,"Silky")))/1.0936)+_xlfn.IFNA(F107,0)</f>
        <v>0</v>
      </c>
      <c r="V28" s="22" cm="1">
        <f t="array" ref="V28">(_xlfn.BYROW(B72,_xlfn.LAMBDA(_xlpm.party,
(SUMIFS(ledger!J:J,ledger!B:B,_xlpm.party,ledger!E:E,"&lt;&gt;*RD*",ledger!D:D,"Chamki",ledger!C:C,"&lt;&gt;November Closing CF")+
SUMIFS(ledger!J:J,ledger!B:B,_xlpm.party,ledger!E:E,"&lt;&gt;*RD*",ledger!D:D,"Crinkle",ledger!C:C,"&lt;&gt;November Closing CF")
)+_xlfn.IFNA(G107,0))))</f>
        <v>124561.08266276518</v>
      </c>
      <c r="W28" s="70" cm="1">
        <f t="array" ref="W28">_xlfn.BYROW(B72, _xlfn.LAMBDA(_xlpm.party,
   SUMIFS(ledger!J:J, ledger!B:B, _xlpm.party, ledger!E:E, "&lt;&gt;*RD*", ledger!D:D, "Silky", ledger!C:C, "&lt;&gt;November Closing CF")
)) + _xlfn.IFNA(H107, 0)</f>
        <v>0</v>
      </c>
      <c r="X28" s="70" cm="1">
        <f t="array" ref="X28">_xlfn.BYROW(B72, _xlfn.LAMBDA(_xlpm.party,
   SUMIFS(ledger!J:J, ledger!B:B, _xlpm.party, ledger!E:E, "&lt;&gt;*RD*", ledger!D:D, "Slub", ledger!C:C, "&lt;&gt;November Closing CF")
))+ _xlfn.IFNA(I107, 0)</f>
        <v>0</v>
      </c>
      <c r="Y28" s="70" cm="1">
        <f t="array" ref="Y28">_xlfn.BYROW(B72, _xlfn.LAMBDA(_xlpm.party,
   SUMIFS(ledger!J:J, ledger!B:B, _xlpm.party, ledger!E:E, "&lt;&gt;*RD*", ledger!D:D, "Satin", ledger!C:C, "&lt;&gt;November Closing CF")
))+ _xlfn.IFNA(J107, 0)</f>
        <v>0</v>
      </c>
      <c r="Z28" s="70" cm="1">
        <f t="array" ref="Z28">_xlfn.BYROW(B72, _xlfn.LAMBDA(_xlpm.party,
   SUMIFS(ledger!J:J, ledger!B:B, _xlpm.party, ledger!E:E, "&lt;&gt;*RD*", ledger!D:D, "Black-Chamki", ledger!C:C, "&lt;&gt;November Closing CF")
))+ _xlfn.IFNA(K107, 0)</f>
        <v>0</v>
      </c>
      <c r="AA28" s="70" cm="1">
        <f t="array" ref="AA28">_xlfn.BYROW(B72, _xlfn.LAMBDA(_xlpm.party,
   SUMIFS(ledger!J:J, ledger!B:B, _xlpm.party, ledger!E:E, "&lt;&gt;*RD*", ledger!D:D, "Kataan", ledger!C:C, "&lt;&gt;November Closing CF")
))+ _xlfn.IFNA(L107, 0)</f>
        <v>0</v>
      </c>
      <c r="AB28" s="70" cm="1">
        <f t="array" ref="AB28">_xlfn.BYROW(B72, _xlfn.LAMBDA(_xlpm.party,
   SUMIFS(ledger!J:J, ledger!B:B, _xlpm.party, ledger!E:E, "&lt;&gt;*RD*", ledger!D:D, "Munaar", ledger!C:C, "&lt;&gt;November Closing CF")
))+ _xlfn.IFNA(M107, 0)</f>
        <v>0</v>
      </c>
      <c r="AC28" s="39">
        <f t="shared" si="1"/>
        <v>124561.08266276518</v>
      </c>
      <c r="AD28" s="22">
        <f>(SUMIF(Table14[Party],Q28,Table14[Credit]))+_xlfn.IFNA(O107,0)</f>
        <v>124560</v>
      </c>
      <c r="AE28" s="33">
        <f t="shared" si="2"/>
        <v>1.0826627651840681</v>
      </c>
      <c r="AF28" s="21">
        <v>10</v>
      </c>
      <c r="AG28" s="21">
        <v>13</v>
      </c>
    </row>
    <row r="29" spans="2:33" x14ac:dyDescent="0.3">
      <c r="Q29" t="str">
        <v>ZA</v>
      </c>
      <c r="R29" s="22" cm="1">
        <f t="array" ref="R29">_xlfn.BYROW(B73,_xlfn.LAMBDA(_xlpm.party,SUMIFS(ledger!G:G,ledger!B:B,_xlpm.party,ledger!E:E,"&lt;&gt;*RD*")))+_xlfn.IFNA(C108,0)</f>
        <v>32399</v>
      </c>
      <c r="S29" s="22" cm="1">
        <f t="array" ref="S29">_xlfn.BYROW(B73, _xlfn.LAMBDA(_xlpm.party, SUMIFS(ledger!G:G, ledger!B:B, _xlpm.party, ledger!E:E, "&lt;&gt;*RD*") / 1.0936 ))+_xlfn.IFNA(D108,0)</f>
        <v>29626.005852231167</v>
      </c>
      <c r="T29" s="22" cm="1">
        <f t="array" ref="T29">(_xlfn.BYROW(B73,_xlfn.LAMBDA(_xlpm.party,SUMIFS(ledger!G:G,ledger!B:B,_xlpm.party,ledger!E:E,"&lt;&gt;*RD*",ledger!D:D,"Chamki")+SUMIFS(ledger!G:G, ledger!B:B, _xlpm.party, ledger!E:E, "&lt;&gt;*RD*", ledger!D:D, "Crinkle")))/1.0936)+_xlfn.IFNA(E108,0)</f>
        <v>0</v>
      </c>
      <c r="U29" s="70" cm="1">
        <f t="array" ref="U29">(_xlfn.BYROW(B73,_xlfn.LAMBDA(_xlpm.party,SUMIFS(ledger!G:G,ledger!B:B,_xlpm.party,ledger!E:E,"&lt;&gt;*RD*",ledger!D:D,"Silky")))/1.0936)+_xlfn.IFNA(F108,0)</f>
        <v>29626.005852231167</v>
      </c>
      <c r="V29" s="22" cm="1">
        <f t="array" ref="V29">(_xlfn.BYROW(B73,_xlfn.LAMBDA(_xlpm.party,
(SUMIFS(ledger!J:J,ledger!B:B,_xlpm.party,ledger!E:E,"&lt;&gt;*RD*",ledger!D:D,"Chamki",ledger!C:C,"&lt;&gt;November Closing CF")+
SUMIFS(ledger!J:J,ledger!B:B,_xlpm.party,ledger!E:E,"&lt;&gt;*RD*",ledger!D:D,"Crinkle",ledger!C:C,"&lt;&gt;November Closing CF")
)+_xlfn.IFNA(G108,0))))</f>
        <v>0</v>
      </c>
      <c r="W29" s="70" cm="1">
        <f t="array" ref="W29">_xlfn.BYROW(B73, _xlfn.LAMBDA(_xlpm.party,
   SUMIFS(ledger!J:J, ledger!B:B, _xlpm.party, ledger!E:E, "&lt;&gt;*RD*", ledger!D:D, "Silky", ledger!C:C, "&lt;&gt;November Closing CF")
)) + _xlfn.IFNA(H108, 0)</f>
        <v>385138.07607900514</v>
      </c>
      <c r="X29" s="70" cm="1">
        <f t="array" ref="X29">_xlfn.BYROW(B73, _xlfn.LAMBDA(_xlpm.party,
   SUMIFS(ledger!J:J, ledger!B:B, _xlpm.party, ledger!E:E, "&lt;&gt;*RD*", ledger!D:D, "Slub", ledger!C:C, "&lt;&gt;November Closing CF")
))+ _xlfn.IFNA(I108, 0)</f>
        <v>0</v>
      </c>
      <c r="Y29" s="70" cm="1">
        <f t="array" ref="Y29">_xlfn.BYROW(B73, _xlfn.LAMBDA(_xlpm.party,
   SUMIFS(ledger!J:J, ledger!B:B, _xlpm.party, ledger!E:E, "&lt;&gt;*RD*", ledger!D:D, "Satin", ledger!C:C, "&lt;&gt;November Closing CF")
))+ _xlfn.IFNA(J108, 0)</f>
        <v>0</v>
      </c>
      <c r="Z29" s="70" cm="1">
        <f t="array" ref="Z29">_xlfn.BYROW(B73, _xlfn.LAMBDA(_xlpm.party,
   SUMIFS(ledger!J:J, ledger!B:B, _xlpm.party, ledger!E:E, "&lt;&gt;*RD*", ledger!D:D, "Black-Chamki", ledger!C:C, "&lt;&gt;November Closing CF")
))+ _xlfn.IFNA(K108, 0)</f>
        <v>0</v>
      </c>
      <c r="AA29" s="70" cm="1">
        <f t="array" ref="AA29">_xlfn.BYROW(B73, _xlfn.LAMBDA(_xlpm.party,
   SUMIFS(ledger!J:J, ledger!B:B, _xlpm.party, ledger!E:E, "&lt;&gt;*RD*", ledger!D:D, "Kataan", ledger!C:C, "&lt;&gt;November Closing CF")
))+ _xlfn.IFNA(L108, 0)</f>
        <v>0</v>
      </c>
      <c r="AB29" s="70" cm="1">
        <f t="array" ref="AB29">_xlfn.BYROW(B73, _xlfn.LAMBDA(_xlpm.party,
   SUMIFS(ledger!J:J, ledger!B:B, _xlpm.party, ledger!E:E, "&lt;&gt;*RD*", ledger!D:D, "Munaar", ledger!C:C, "&lt;&gt;November Closing CF")
))+ _xlfn.IFNA(M108, 0)</f>
        <v>0</v>
      </c>
      <c r="AC29" s="39">
        <f t="shared" si="1"/>
        <v>385138.07607900514</v>
      </c>
      <c r="AD29" s="22">
        <f>(SUMIF(Table14[Party],Q29,Table14[Credit]))+_xlfn.IFNA(O108,0)</f>
        <v>250000</v>
      </c>
      <c r="AE29" s="33">
        <f t="shared" si="2"/>
        <v>135138.07607900514</v>
      </c>
      <c r="AF29" s="21">
        <v>10</v>
      </c>
      <c r="AG29" s="21">
        <v>13</v>
      </c>
    </row>
    <row r="30" spans="2:33" x14ac:dyDescent="0.3">
      <c r="Q30" t="str">
        <v>Ahmad Javaid</v>
      </c>
      <c r="R30" s="22" cm="1">
        <f t="array" ref="R30">_xlfn.BYROW(B74,_xlfn.LAMBDA(_xlpm.party,SUMIFS(ledger!G:G,ledger!B:B,_xlpm.party,ledger!E:E,"&lt;&gt;*RD*")))+_xlfn.IFNA(C109,0)</f>
        <v>12745</v>
      </c>
      <c r="S30" s="22" cm="1">
        <f t="array" ref="S30">_xlfn.BYROW(B74, _xlfn.LAMBDA(_xlpm.party, SUMIFS(ledger!G:G, ledger!B:B, _xlpm.party, ledger!E:E, "&lt;&gt;*RD*") / 1.0936 ))+_xlfn.IFNA(D109,0)</f>
        <v>11654.16971470373</v>
      </c>
      <c r="T30" s="22" cm="1">
        <f t="array" ref="T30">(_xlfn.BYROW(B74,_xlfn.LAMBDA(_xlpm.party,SUMIFS(ledger!G:G,ledger!B:B,_xlpm.party,ledger!E:E,"&lt;&gt;*RD*",ledger!D:D,"Chamki")+SUMIFS(ledger!G:G, ledger!B:B, _xlpm.party, ledger!E:E, "&lt;&gt;*RD*", ledger!D:D, "Crinkle")))/1.0936)+_xlfn.IFNA(E109,0)</f>
        <v>0</v>
      </c>
      <c r="U30" s="70" cm="1">
        <f t="array" ref="U30">(_xlfn.BYROW(B74,_xlfn.LAMBDA(_xlpm.party,SUMIFS(ledger!G:G,ledger!B:B,_xlpm.party,ledger!E:E,"&lt;&gt;*RD*",ledger!D:D,"Silky")))/1.0936)+_xlfn.IFNA(F109,0)</f>
        <v>0</v>
      </c>
      <c r="V30" s="22" cm="1">
        <f t="array" ref="V30">(_xlfn.BYROW(B74,_xlfn.LAMBDA(_xlpm.party,
(SUMIFS(ledger!J:J,ledger!B:B,_xlpm.party,ledger!E:E,"&lt;&gt;*RD*",ledger!D:D,"Chamki",ledger!C:C,"&lt;&gt;November Closing CF")+
SUMIFS(ledger!J:J,ledger!B:B,_xlpm.party,ledger!E:E,"&lt;&gt;*RD*",ledger!D:D,"Crinkle",ledger!C:C,"&lt;&gt;November Closing CF")
)+_xlfn.IFNA(G109,0))))</f>
        <v>0</v>
      </c>
      <c r="W30" s="70" cm="1">
        <f t="array" ref="W30">_xlfn.BYROW(B74, _xlfn.LAMBDA(_xlpm.party,
   SUMIFS(ledger!J:J, ledger!B:B, _xlpm.party, ledger!E:E, "&lt;&gt;*RD*", ledger!D:D, "Silky", ledger!C:C, "&lt;&gt;November Closing CF")
)) + _xlfn.IFNA(H109, 0)</f>
        <v>0</v>
      </c>
      <c r="X30" s="70" cm="1">
        <f t="array" ref="X30">_xlfn.BYROW(B74, _xlfn.LAMBDA(_xlpm.party,
   SUMIFS(ledger!J:J, ledger!B:B, _xlpm.party, ledger!E:E, "&lt;&gt;*RD*", ledger!D:D, "Slub", ledger!C:C, "&lt;&gt;November Closing CF")
))+ _xlfn.IFNA(I109, 0)</f>
        <v>0</v>
      </c>
      <c r="Y30" s="70" cm="1">
        <f t="array" ref="Y30">_xlfn.BYROW(B74, _xlfn.LAMBDA(_xlpm.party,
   SUMIFS(ledger!J:J, ledger!B:B, _xlpm.party, ledger!E:E, "&lt;&gt;*RD*", ledger!D:D, "Satin", ledger!C:C, "&lt;&gt;November Closing CF")
))+ _xlfn.IFNA(J109, 0)</f>
        <v>0</v>
      </c>
      <c r="Z30" s="70" cm="1">
        <f t="array" ref="Z30">_xlfn.BYROW(B74, _xlfn.LAMBDA(_xlpm.party,
   SUMIFS(ledger!J:J, ledger!B:B, _xlpm.party, ledger!E:E, "&lt;&gt;*RD*", ledger!D:D, "Black-Chamki", ledger!C:C, "&lt;&gt;November Closing CF")
))+ _xlfn.IFNA(K109, 0)</f>
        <v>0</v>
      </c>
      <c r="AA30" s="70" cm="1">
        <f t="array" ref="AA30">_xlfn.BYROW(B74, _xlfn.LAMBDA(_xlpm.party,
   SUMIFS(ledger!J:J, ledger!B:B, _xlpm.party, ledger!E:E, "&lt;&gt;*RD*", ledger!D:D, "Kataan", ledger!C:C, "&lt;&gt;November Closing CF")
))+ _xlfn.IFNA(L109, 0)</f>
        <v>0</v>
      </c>
      <c r="AB30" s="70" cm="1">
        <f t="array" ref="AB30">_xlfn.BYROW(B74, _xlfn.LAMBDA(_xlpm.party,
   SUMIFS(ledger!J:J, ledger!B:B, _xlpm.party, ledger!E:E, "&lt;&gt;*RD*", ledger!D:D, "Munaar", ledger!C:C, "&lt;&gt;November Closing CF")
))+ _xlfn.IFNA(M109, 0)</f>
        <v>151504.2062911485</v>
      </c>
      <c r="AC30" s="39">
        <f t="shared" si="1"/>
        <v>151504.2062911485</v>
      </c>
      <c r="AD30" s="22">
        <f>(SUMIF(Table14[Party],Q30,Table14[Credit]))+_xlfn.IFNA(O109,0)</f>
        <v>0</v>
      </c>
      <c r="AE30" s="33">
        <f t="shared" si="2"/>
        <v>151504.2062911485</v>
      </c>
      <c r="AF30" s="21">
        <v>10</v>
      </c>
      <c r="AG30" s="21">
        <v>13</v>
      </c>
    </row>
    <row r="31" spans="2:33" x14ac:dyDescent="0.3">
      <c r="R31" s="22" cm="1">
        <f t="array" ref="R31">_xlfn.BYROW(B75,_xlfn.LAMBDA(_xlpm.party,SUMIFS(ledger!G:G,ledger!B:B,_xlpm.party,ledger!E:E,"&lt;&gt;*RD*")))+_xlfn.IFNA(C110,0)</f>
        <v>0</v>
      </c>
      <c r="S31" s="22" cm="1">
        <f t="array" ref="S31">_xlfn.BYROW(B75, _xlfn.LAMBDA(_xlpm.party, SUMIFS(ledger!G:G, ledger!B:B, _xlpm.party, ledger!E:E, "&lt;&gt;*RD*") / 1.0936 ))+_xlfn.IFNA(D110,0)</f>
        <v>0</v>
      </c>
      <c r="T31" s="22" cm="1">
        <f t="array" ref="T31">(_xlfn.BYROW(B75,_xlfn.LAMBDA(_xlpm.party,SUMIFS(ledger!G:G,ledger!B:B,_xlpm.party,ledger!E:E,"&lt;&gt;*RD*",ledger!D:D,"Chamki")+SUMIFS(ledger!G:G, ledger!B:B, _xlpm.party, ledger!E:E, "&lt;&gt;*RD*", ledger!D:D, "Crinkle")))/1.0936)+_xlfn.IFNA(E110,0)</f>
        <v>0</v>
      </c>
      <c r="U31" s="70" cm="1">
        <f t="array" ref="U31">(_xlfn.BYROW(B75,_xlfn.LAMBDA(_xlpm.party,SUMIFS(ledger!G:G,ledger!B:B,_xlpm.party,ledger!E:E,"&lt;&gt;*RD*",ledger!D:D,"Silky")))/1.0936)+_xlfn.IFNA(F110,0)</f>
        <v>0</v>
      </c>
      <c r="V31" s="22" cm="1">
        <f t="array" ref="V31">(_xlfn.BYROW(B75,_xlfn.LAMBDA(_xlpm.party,
(SUMIFS(ledger!J:J,ledger!B:B,_xlpm.party,ledger!E:E,"&lt;&gt;*RD*",ledger!D:D,"Chamki",ledger!C:C,"&lt;&gt;November Closing CF")+
SUMIFS(ledger!J:J,ledger!B:B,_xlpm.party,ledger!E:E,"&lt;&gt;*RD*",ledger!D:D,"Crinkle",ledger!C:C,"&lt;&gt;November Closing CF")
)+_xlfn.IFNA(G110,0))))</f>
        <v>0</v>
      </c>
      <c r="W31" s="70" cm="1">
        <f t="array" ref="W31">_xlfn.BYROW(B75, _xlfn.LAMBDA(_xlpm.party,
   SUMIFS(ledger!J:J, ledger!B:B, _xlpm.party, ledger!E:E, "&lt;&gt;*RD*", ledger!D:D, "Silky", ledger!C:C, "&lt;&gt;November Closing CF")
)) + _xlfn.IFNA(H110, 0)</f>
        <v>0</v>
      </c>
      <c r="X31" s="70" cm="1">
        <f t="array" ref="X31">_xlfn.BYROW(B75, _xlfn.LAMBDA(_xlpm.party,
   SUMIFS(ledger!J:J, ledger!B:B, _xlpm.party, ledger!E:E, "&lt;&gt;*RD*", ledger!D:D, "Slub", ledger!C:C, "&lt;&gt;November Closing CF")
))+ _xlfn.IFNA(I110, 0)</f>
        <v>0</v>
      </c>
      <c r="Y31" s="70" cm="1">
        <f t="array" ref="Y31">_xlfn.BYROW(B75, _xlfn.LAMBDA(_xlpm.party,
   SUMIFS(ledger!J:J, ledger!B:B, _xlpm.party, ledger!E:E, "&lt;&gt;*RD*", ledger!D:D, "Satin", ledger!C:C, "&lt;&gt;November Closing CF")
))+ _xlfn.IFNA(J110, 0)</f>
        <v>0</v>
      </c>
      <c r="Z31" s="70" cm="1">
        <f t="array" ref="Z31">_xlfn.BYROW(B75, _xlfn.LAMBDA(_xlpm.party,
   SUMIFS(ledger!J:J, ledger!B:B, _xlpm.party, ledger!E:E, "&lt;&gt;*RD*", ledger!D:D, "Black-Chamki", ledger!C:C, "&lt;&gt;November Closing CF")
))+ _xlfn.IFNA(K110, 0)</f>
        <v>0</v>
      </c>
      <c r="AA31" s="70" cm="1">
        <f t="array" ref="AA31">_xlfn.BYROW(B75, _xlfn.LAMBDA(_xlpm.party,
   SUMIFS(ledger!J:J, ledger!B:B, _xlpm.party, ledger!E:E, "&lt;&gt;*RD*", ledger!D:D, "Kataan", ledger!C:C, "&lt;&gt;November Closing CF")
))+ _xlfn.IFNA(L110, 0)</f>
        <v>0</v>
      </c>
      <c r="AB31" s="70" cm="1">
        <f t="array" ref="AB31">_xlfn.BYROW(B75, _xlfn.LAMBDA(_xlpm.party,
   SUMIFS(ledger!J:J, ledger!B:B, _xlpm.party, ledger!E:E, "&lt;&gt;*RD*", ledger!D:D, "Munaar", ledger!C:C, "&lt;&gt;November Closing CF")
))+ _xlfn.IFNA(M110, 0)</f>
        <v>0</v>
      </c>
      <c r="AC31" s="39">
        <f t="shared" si="1"/>
        <v>0</v>
      </c>
      <c r="AD31" s="22">
        <f>(SUMIF(Table14[Party],Q31,Table14[Credit]))+_xlfn.IFNA(O110,0)</f>
        <v>0</v>
      </c>
      <c r="AE31" s="33">
        <f t="shared" si="2"/>
        <v>0</v>
      </c>
      <c r="AF31" s="21">
        <v>10</v>
      </c>
      <c r="AG31" s="21">
        <v>13</v>
      </c>
    </row>
    <row r="32" spans="2:33" x14ac:dyDescent="0.3">
      <c r="R32" s="22" cm="1">
        <f t="array" ref="R32">_xlfn.BYROW(B76,_xlfn.LAMBDA(_xlpm.party,SUMIFS(ledger!G:G,ledger!B:B,_xlpm.party,ledger!E:E,"&lt;&gt;*RD*")))+_xlfn.IFNA(C111,0)</f>
        <v>0</v>
      </c>
      <c r="S32" s="22" cm="1">
        <f t="array" ref="S32">_xlfn.BYROW(B76, _xlfn.LAMBDA(_xlpm.party, SUMIFS(ledger!G:G, ledger!B:B, _xlpm.party, ledger!E:E, "&lt;&gt;*RD*") / 1.0936 ))+_xlfn.IFNA(D111,0)</f>
        <v>0</v>
      </c>
      <c r="T32" s="22" cm="1">
        <f t="array" ref="T32">(_xlfn.BYROW(B76,_xlfn.LAMBDA(_xlpm.party,SUMIFS(ledger!G:G,ledger!B:B,_xlpm.party,ledger!E:E,"&lt;&gt;*RD*",ledger!D:D,"Chamki")+SUMIFS(ledger!G:G, ledger!B:B, _xlpm.party, ledger!E:E, "&lt;&gt;*RD*", ledger!D:D, "Crinkle")))/1.0936)+_xlfn.IFNA(E111,0)</f>
        <v>0</v>
      </c>
      <c r="U32" s="70" cm="1">
        <f t="array" ref="U32">(_xlfn.BYROW(B76,_xlfn.LAMBDA(_xlpm.party,SUMIFS(ledger!G:G,ledger!B:B,_xlpm.party,ledger!E:E,"&lt;&gt;*RD*",ledger!D:D,"Silky")))/1.0936)+_xlfn.IFNA(F111,0)</f>
        <v>0</v>
      </c>
      <c r="V32" s="22" cm="1">
        <f t="array" ref="V32">(_xlfn.BYROW(B76,_xlfn.LAMBDA(_xlpm.party,
(SUMIFS(ledger!J:J,ledger!B:B,_xlpm.party,ledger!E:E,"&lt;&gt;*RD*",ledger!D:D,"Chamki",ledger!C:C,"&lt;&gt;November Closing CF")+
SUMIFS(ledger!J:J,ledger!B:B,_xlpm.party,ledger!E:E,"&lt;&gt;*RD*",ledger!D:D,"Crinkle",ledger!C:C,"&lt;&gt;November Closing CF")
)+_xlfn.IFNA(G111,0))))</f>
        <v>0</v>
      </c>
      <c r="W32" s="70" cm="1">
        <f t="array" ref="W32">_xlfn.BYROW(B76, _xlfn.LAMBDA(_xlpm.party,
   SUMIFS(ledger!J:J, ledger!B:B, _xlpm.party, ledger!E:E, "&lt;&gt;*RD*", ledger!D:D, "Silky", ledger!C:C, "&lt;&gt;November Closing CF")
)) + _xlfn.IFNA(H111, 0)</f>
        <v>0</v>
      </c>
      <c r="X32" s="70" cm="1">
        <f t="array" ref="X32">_xlfn.BYROW(B76, _xlfn.LAMBDA(_xlpm.party,
   SUMIFS(ledger!J:J, ledger!B:B, _xlpm.party, ledger!E:E, "&lt;&gt;*RD*", ledger!D:D, "Slub", ledger!C:C, "&lt;&gt;November Closing CF")
))+ _xlfn.IFNA(I111, 0)</f>
        <v>0</v>
      </c>
      <c r="Y32" s="70" cm="1">
        <f t="array" ref="Y32">_xlfn.BYROW(B76, _xlfn.LAMBDA(_xlpm.party,
   SUMIFS(ledger!J:J, ledger!B:B, _xlpm.party, ledger!E:E, "&lt;&gt;*RD*", ledger!D:D, "Satin", ledger!C:C, "&lt;&gt;November Closing CF")
))+ _xlfn.IFNA(J111, 0)</f>
        <v>0</v>
      </c>
      <c r="Z32" s="70" cm="1">
        <f t="array" ref="Z32">_xlfn.BYROW(B76, _xlfn.LAMBDA(_xlpm.party,
   SUMIFS(ledger!J:J, ledger!B:B, _xlpm.party, ledger!E:E, "&lt;&gt;*RD*", ledger!D:D, "Black-Chamki", ledger!C:C, "&lt;&gt;November Closing CF")
))+ _xlfn.IFNA(K111, 0)</f>
        <v>0</v>
      </c>
      <c r="AA32" s="70" cm="1">
        <f t="array" ref="AA32">_xlfn.BYROW(B76, _xlfn.LAMBDA(_xlpm.party,
   SUMIFS(ledger!J:J, ledger!B:B, _xlpm.party, ledger!E:E, "&lt;&gt;*RD*", ledger!D:D, "Kataan", ledger!C:C, "&lt;&gt;November Closing CF")
))+ _xlfn.IFNA(L111, 0)</f>
        <v>0</v>
      </c>
      <c r="AB32" s="70" cm="1">
        <f t="array" ref="AB32">_xlfn.BYROW(B76, _xlfn.LAMBDA(_xlpm.party,
   SUMIFS(ledger!J:J, ledger!B:B, _xlpm.party, ledger!E:E, "&lt;&gt;*RD*", ledger!D:D, "Munaar", ledger!C:C, "&lt;&gt;November Closing CF")
))+ _xlfn.IFNA(M111, 0)</f>
        <v>0</v>
      </c>
      <c r="AC32" s="39">
        <f t="shared" si="1"/>
        <v>0</v>
      </c>
      <c r="AD32" s="22">
        <f>(SUMIF(Table14[Party],Q32,Table14[Credit]))+_xlfn.IFNA(O111,0)</f>
        <v>0</v>
      </c>
      <c r="AE32" s="33">
        <f t="shared" ref="AE32:AE35" si="3">AC32-AD32</f>
        <v>0</v>
      </c>
      <c r="AF32" s="21">
        <v>10</v>
      </c>
      <c r="AG32" s="21">
        <v>13</v>
      </c>
    </row>
    <row r="33" spans="2:33" x14ac:dyDescent="0.3">
      <c r="R33" s="22" cm="1">
        <f t="array" ref="R33">_xlfn.BYROW(B77,_xlfn.LAMBDA(_xlpm.party,SUMIFS(ledger!G:G,ledger!B:B,_xlpm.party,ledger!E:E,"&lt;&gt;*RD*")))+_xlfn.IFNA(C112,0)</f>
        <v>0</v>
      </c>
      <c r="S33" s="22" cm="1">
        <f t="array" ref="S33">_xlfn.BYROW(B77, _xlfn.LAMBDA(_xlpm.party, SUMIFS(ledger!G:G, ledger!B:B, _xlpm.party, ledger!E:E, "&lt;&gt;*RD*") / 1.0936 ))+_xlfn.IFNA(D112,0)</f>
        <v>0</v>
      </c>
      <c r="T33" s="22" cm="1">
        <f t="array" ref="T33">(_xlfn.BYROW(B77,_xlfn.LAMBDA(_xlpm.party,SUMIFS(ledger!G:G,ledger!B:B,_xlpm.party,ledger!E:E,"&lt;&gt;*RD*",ledger!D:D,"Chamki")+SUMIFS(ledger!G:G, ledger!B:B, _xlpm.party, ledger!E:E, "&lt;&gt;*RD*", ledger!D:D, "Crinkle")))/1.0936)+_xlfn.IFNA(E112,0)</f>
        <v>0</v>
      </c>
      <c r="U33" s="70" cm="1">
        <f t="array" ref="U33">(_xlfn.BYROW(B77,_xlfn.LAMBDA(_xlpm.party,SUMIFS(ledger!G:G,ledger!B:B,_xlpm.party,ledger!E:E,"&lt;&gt;*RD*",ledger!D:D,"Silky")))/1.0936)+_xlfn.IFNA(F112,0)</f>
        <v>0</v>
      </c>
      <c r="V33" s="22" cm="1">
        <f t="array" ref="V33">(_xlfn.BYROW(B77,_xlfn.LAMBDA(_xlpm.party,
(SUMIFS(ledger!J:J,ledger!B:B,_xlpm.party,ledger!E:E,"&lt;&gt;*RD*",ledger!D:D,"Chamki",ledger!C:C,"&lt;&gt;November Closing CF")+
SUMIFS(ledger!J:J,ledger!B:B,_xlpm.party,ledger!E:E,"&lt;&gt;*RD*",ledger!D:D,"Crinkle",ledger!C:C,"&lt;&gt;November Closing CF")
)+_xlfn.IFNA(G112,0))))</f>
        <v>0</v>
      </c>
      <c r="W33" s="70" cm="1">
        <f t="array" ref="W33">_xlfn.BYROW(B77, _xlfn.LAMBDA(_xlpm.party,
   SUMIFS(ledger!J:J, ledger!B:B, _xlpm.party, ledger!E:E, "&lt;&gt;*RD*", ledger!D:D, "Silky", ledger!C:C, "&lt;&gt;November Closing CF")
)) + _xlfn.IFNA(H112, 0)</f>
        <v>0</v>
      </c>
      <c r="X33" s="70" cm="1">
        <f t="array" ref="X33">_xlfn.BYROW(B77, _xlfn.LAMBDA(_xlpm.party,
   SUMIFS(ledger!J:J, ledger!B:B, _xlpm.party, ledger!E:E, "&lt;&gt;*RD*", ledger!D:D, "Slub", ledger!C:C, "&lt;&gt;November Closing CF")
))+ _xlfn.IFNA(I112, 0)</f>
        <v>0</v>
      </c>
      <c r="Y33" s="70" cm="1">
        <f t="array" ref="Y33">_xlfn.BYROW(B77, _xlfn.LAMBDA(_xlpm.party,
   SUMIFS(ledger!J:J, ledger!B:B, _xlpm.party, ledger!E:E, "&lt;&gt;*RD*", ledger!D:D, "Satin", ledger!C:C, "&lt;&gt;November Closing CF")
))+ _xlfn.IFNA(J112, 0)</f>
        <v>0</v>
      </c>
      <c r="Z33" s="70" cm="1">
        <f t="array" ref="Z33">_xlfn.BYROW(B77, _xlfn.LAMBDA(_xlpm.party,
   SUMIFS(ledger!J:J, ledger!B:B, _xlpm.party, ledger!E:E, "&lt;&gt;*RD*", ledger!D:D, "Black-Chamki", ledger!C:C, "&lt;&gt;November Closing CF")
))+ _xlfn.IFNA(K112, 0)</f>
        <v>0</v>
      </c>
      <c r="AA33" s="70" cm="1">
        <f t="array" ref="AA33">_xlfn.BYROW(B77, _xlfn.LAMBDA(_xlpm.party,
   SUMIFS(ledger!J:J, ledger!B:B, _xlpm.party, ledger!E:E, "&lt;&gt;*RD*", ledger!D:D, "Kataan", ledger!C:C, "&lt;&gt;November Closing CF")
))+ _xlfn.IFNA(L112, 0)</f>
        <v>0</v>
      </c>
      <c r="AB33" s="70" cm="1">
        <f t="array" ref="AB33">_xlfn.BYROW(B77, _xlfn.LAMBDA(_xlpm.party,
   SUMIFS(ledger!J:J, ledger!B:B, _xlpm.party, ledger!E:E, "&lt;&gt;*RD*", ledger!D:D, "Munaar", ledger!C:C, "&lt;&gt;November Closing CF")
))+ _xlfn.IFNA(M112, 0)</f>
        <v>0</v>
      </c>
      <c r="AC33" s="39">
        <f t="shared" si="1"/>
        <v>0</v>
      </c>
      <c r="AD33" s="22">
        <f>(SUMIF(Table14[Party],Q33,Table14[Credit]))+_xlfn.IFNA(O112,0)</f>
        <v>0</v>
      </c>
      <c r="AE33" s="33">
        <f t="shared" si="3"/>
        <v>0</v>
      </c>
      <c r="AF33" s="21">
        <v>10</v>
      </c>
      <c r="AG33" s="21">
        <v>13</v>
      </c>
    </row>
    <row r="34" spans="2:33" x14ac:dyDescent="0.3">
      <c r="R34" s="22" cm="1">
        <f t="array" ref="R34">_xlfn.BYROW(B78,_xlfn.LAMBDA(_xlpm.party,SUMIFS(ledger!G:G,ledger!B:B,_xlpm.party,ledger!E:E,"&lt;&gt;*RD*")))+_xlfn.IFNA(C113,0)</f>
        <v>0</v>
      </c>
      <c r="S34" s="22" cm="1">
        <f t="array" ref="S34">_xlfn.BYROW(B78, _xlfn.LAMBDA(_xlpm.party, SUMIFS(ledger!G:G, ledger!B:B, _xlpm.party, ledger!E:E, "&lt;&gt;*RD*") / 1.0936 ))+_xlfn.IFNA(D113,0)</f>
        <v>0</v>
      </c>
      <c r="T34" s="22" cm="1">
        <f t="array" ref="T34">(_xlfn.BYROW(B78,_xlfn.LAMBDA(_xlpm.party,SUMIFS(ledger!G:G,ledger!B:B,_xlpm.party,ledger!E:E,"&lt;&gt;*RD*",ledger!D:D,"Chamki")+SUMIFS(ledger!G:G, ledger!B:B, _xlpm.party, ledger!E:E, "&lt;&gt;*RD*", ledger!D:D, "Crinkle")))/1.0936)+_xlfn.IFNA(E113,0)</f>
        <v>0</v>
      </c>
      <c r="U34" s="70" cm="1">
        <f t="array" ref="U34">(_xlfn.BYROW(B78,_xlfn.LAMBDA(_xlpm.party,SUMIFS(ledger!G:G,ledger!B:B,_xlpm.party,ledger!E:E,"&lt;&gt;*RD*",ledger!D:D,"Silky")))/1.0936)+_xlfn.IFNA(F113,0)</f>
        <v>0</v>
      </c>
      <c r="V34" s="22" cm="1">
        <f t="array" ref="V34">(_xlfn.BYROW(B78,_xlfn.LAMBDA(_xlpm.party,
(SUMIFS(ledger!J:J,ledger!B:B,_xlpm.party,ledger!E:E,"&lt;&gt;*RD*",ledger!D:D,"Chamki",ledger!C:C,"&lt;&gt;November Closing CF")+
SUMIFS(ledger!J:J,ledger!B:B,_xlpm.party,ledger!E:E,"&lt;&gt;*RD*",ledger!D:D,"Crinkle",ledger!C:C,"&lt;&gt;November Closing CF")
)+_xlfn.IFNA(G113,0))))</f>
        <v>0</v>
      </c>
      <c r="W34" s="70" cm="1">
        <f t="array" ref="W34">_xlfn.BYROW(B78, _xlfn.LAMBDA(_xlpm.party,
   SUMIFS(ledger!J:J, ledger!B:B, _xlpm.party, ledger!E:E, "&lt;&gt;*RD*", ledger!D:D, "Silky", ledger!C:C, "&lt;&gt;November Closing CF")
)) + _xlfn.IFNA(H113, 0)</f>
        <v>0</v>
      </c>
      <c r="X34" s="70" cm="1">
        <f t="array" ref="X34">_xlfn.BYROW(B78, _xlfn.LAMBDA(_xlpm.party,
   SUMIFS(ledger!J:J, ledger!B:B, _xlpm.party, ledger!E:E, "&lt;&gt;*RD*", ledger!D:D, "Slub", ledger!C:C, "&lt;&gt;November Closing CF")
))+ _xlfn.IFNA(I113, 0)</f>
        <v>0</v>
      </c>
      <c r="Y34" s="70" cm="1">
        <f t="array" ref="Y34">_xlfn.BYROW(B78, _xlfn.LAMBDA(_xlpm.party,
   SUMIFS(ledger!J:J, ledger!B:B, _xlpm.party, ledger!E:E, "&lt;&gt;*RD*", ledger!D:D, "Satin", ledger!C:C, "&lt;&gt;November Closing CF")
))+ _xlfn.IFNA(J113, 0)</f>
        <v>0</v>
      </c>
      <c r="Z34" s="70" cm="1">
        <f t="array" ref="Z34">_xlfn.BYROW(B78, _xlfn.LAMBDA(_xlpm.party,
   SUMIFS(ledger!J:J, ledger!B:B, _xlpm.party, ledger!E:E, "&lt;&gt;*RD*", ledger!D:D, "Black-Chamki", ledger!C:C, "&lt;&gt;November Closing CF")
))+ _xlfn.IFNA(K113, 0)</f>
        <v>0</v>
      </c>
      <c r="AA34" s="70" cm="1">
        <f t="array" ref="AA34">_xlfn.BYROW(B78, _xlfn.LAMBDA(_xlpm.party,
   SUMIFS(ledger!J:J, ledger!B:B, _xlpm.party, ledger!E:E, "&lt;&gt;*RD*", ledger!D:D, "Kataan", ledger!C:C, "&lt;&gt;November Closing CF")
))+ _xlfn.IFNA(L113, 0)</f>
        <v>0</v>
      </c>
      <c r="AB34" s="70" cm="1">
        <f t="array" ref="AB34">_xlfn.BYROW(B78, _xlfn.LAMBDA(_xlpm.party,
   SUMIFS(ledger!J:J, ledger!B:B, _xlpm.party, ledger!E:E, "&lt;&gt;*RD*", ledger!D:D, "Munaar", ledger!C:C, "&lt;&gt;November Closing CF")
))+ _xlfn.IFNA(M113, 0)</f>
        <v>0</v>
      </c>
      <c r="AC34" s="39">
        <f t="shared" si="1"/>
        <v>0</v>
      </c>
      <c r="AD34" s="22">
        <f>(SUMIF(Table14[Party],Q34,Table14[Credit]))+_xlfn.IFNA(O113,0)</f>
        <v>0</v>
      </c>
      <c r="AE34" s="33">
        <f t="shared" si="3"/>
        <v>0</v>
      </c>
      <c r="AF34" s="21">
        <v>10</v>
      </c>
      <c r="AG34" s="21">
        <v>13</v>
      </c>
    </row>
    <row r="35" spans="2:33" x14ac:dyDescent="0.3">
      <c r="R35" s="22" cm="1">
        <f t="array" ref="R35">_xlfn.BYROW(B79,_xlfn.LAMBDA(_xlpm.party,SUMIFS(ledger!G:G,ledger!B:B,_xlpm.party,ledger!E:E,"&lt;&gt;*RD*")))+_xlfn.IFNA(C114,0)</f>
        <v>0</v>
      </c>
      <c r="S35" s="22" cm="1">
        <f t="array" ref="S35">_xlfn.BYROW(B79, _xlfn.LAMBDA(_xlpm.party, SUMIFS(ledger!G:G, ledger!B:B, _xlpm.party, ledger!E:E, "&lt;&gt;*RD*") / 1.0936 ))+_xlfn.IFNA(D114,0)</f>
        <v>0</v>
      </c>
      <c r="T35" s="22" cm="1">
        <f t="array" ref="T35">(_xlfn.BYROW(B79,_xlfn.LAMBDA(_xlpm.party,SUMIFS(ledger!G:G,ledger!B:B,_xlpm.party,ledger!E:E,"&lt;&gt;*RD*",ledger!D:D,"Chamki")+SUMIFS(ledger!G:G, ledger!B:B, _xlpm.party, ledger!E:E, "&lt;&gt;*RD*", ledger!D:D, "Crinkle")))/1.0936)+_xlfn.IFNA(E114,0)</f>
        <v>0</v>
      </c>
      <c r="U35" s="70" cm="1">
        <f t="array" ref="U35">(_xlfn.BYROW(B79,_xlfn.LAMBDA(_xlpm.party,SUMIFS(ledger!G:G,ledger!B:B,_xlpm.party,ledger!E:E,"&lt;&gt;*RD*",ledger!D:D,"Silky")))/1.0936)+_xlfn.IFNA(F114,0)</f>
        <v>0</v>
      </c>
      <c r="V35" s="22" cm="1">
        <f t="array" ref="V35">(_xlfn.BYROW(B79,_xlfn.LAMBDA(_xlpm.party,
(SUMIFS(ledger!J:J,ledger!B:B,_xlpm.party,ledger!E:E,"&lt;&gt;*RD*",ledger!D:D,"Chamki",ledger!C:C,"&lt;&gt;November Closing CF")+
SUMIFS(ledger!J:J,ledger!B:B,_xlpm.party,ledger!E:E,"&lt;&gt;*RD*",ledger!D:D,"Crinkle",ledger!C:C,"&lt;&gt;November Closing CF")
)+_xlfn.IFNA(G114,0))))</f>
        <v>0</v>
      </c>
      <c r="W35" s="70" cm="1">
        <f t="array" ref="W35">_xlfn.BYROW(B79, _xlfn.LAMBDA(_xlpm.party,
   SUMIFS(ledger!J:J, ledger!B:B, _xlpm.party, ledger!E:E, "&lt;&gt;*RD*", ledger!D:D, "Silky", ledger!C:C, "&lt;&gt;November Closing CF")
)) + _xlfn.IFNA(H114, 0)</f>
        <v>0</v>
      </c>
      <c r="X35" s="70" cm="1">
        <f t="array" ref="X35">_xlfn.BYROW(B79, _xlfn.LAMBDA(_xlpm.party,
   SUMIFS(ledger!J:J, ledger!B:B, _xlpm.party, ledger!E:E, "&lt;&gt;*RD*", ledger!D:D, "Slub", ledger!C:C, "&lt;&gt;November Closing CF")
))+ _xlfn.IFNA(I114, 0)</f>
        <v>0</v>
      </c>
      <c r="Y35" s="70" cm="1">
        <f t="array" ref="Y35">_xlfn.BYROW(B79, _xlfn.LAMBDA(_xlpm.party,
   SUMIFS(ledger!J:J, ledger!B:B, _xlpm.party, ledger!E:E, "&lt;&gt;*RD*", ledger!D:D, "Satin", ledger!C:C, "&lt;&gt;November Closing CF")
))+ _xlfn.IFNA(J114, 0)</f>
        <v>0</v>
      </c>
      <c r="Z35" s="70" cm="1">
        <f t="array" ref="Z35">_xlfn.BYROW(B79, _xlfn.LAMBDA(_xlpm.party,
   SUMIFS(ledger!J:J, ledger!B:B, _xlpm.party, ledger!E:E, "&lt;&gt;*RD*", ledger!D:D, "Black-Chamki", ledger!C:C, "&lt;&gt;November Closing CF")
))+ _xlfn.IFNA(K114, 0)</f>
        <v>0</v>
      </c>
      <c r="AA35" s="70" cm="1">
        <f t="array" ref="AA35">_xlfn.BYROW(B79, _xlfn.LAMBDA(_xlpm.party,
   SUMIFS(ledger!J:J, ledger!B:B, _xlpm.party, ledger!E:E, "&lt;&gt;*RD*", ledger!D:D, "Kataan", ledger!C:C, "&lt;&gt;November Closing CF")
))+ _xlfn.IFNA(L114, 0)</f>
        <v>0</v>
      </c>
      <c r="AB35" s="70" cm="1">
        <f t="array" ref="AB35">_xlfn.BYROW(B79, _xlfn.LAMBDA(_xlpm.party,
   SUMIFS(ledger!J:J, ledger!B:B, _xlpm.party, ledger!E:E, "&lt;&gt;*RD*", ledger!D:D, "Munaar", ledger!C:C, "&lt;&gt;November Closing CF")
))+ _xlfn.IFNA(M114, 0)</f>
        <v>0</v>
      </c>
      <c r="AC35" s="39">
        <f t="shared" si="1"/>
        <v>0</v>
      </c>
      <c r="AD35" s="22">
        <f>(SUMIF(Table14[Party],Q35,Table14[Credit]))+_xlfn.IFNA(O114,0)</f>
        <v>0</v>
      </c>
      <c r="AE35" s="33">
        <f t="shared" si="3"/>
        <v>0</v>
      </c>
      <c r="AF35" s="21">
        <v>10</v>
      </c>
      <c r="AG35" s="21">
        <v>13</v>
      </c>
    </row>
    <row r="36" spans="2:33" x14ac:dyDescent="0.3">
      <c r="V36" s="22" cm="1">
        <f t="array" ref="V36">(_xlfn.BYROW(B80,_xlfn.LAMBDA(_xlpm.party,
(SUMIFS(ledger!J:J,ledger!B:B,_xlpm.party,ledger!E:E,"&lt;&gt;*RD*",ledger!D:D,"Chamki",ledger!C:C,"&lt;&gt;November Closing CF")+
SUMIFS(ledger!J:J,ledger!B:B,_xlpm.party,ledger!E:E,"&lt;&gt;*RD*",ledger!D:D,"Crinkle",ledger!C:C,"&lt;&gt;November Closing CF")
)+_xlfn.IFNA(G115,0))))</f>
        <v>0</v>
      </c>
      <c r="W36" s="70" cm="1">
        <f t="array" ref="W36">_xlfn.BYROW(B80, _xlfn.LAMBDA(_xlpm.party,
   SUMIFS(ledger!J:J, ledger!B:B, _xlpm.party, ledger!E:E, "&lt;&gt;*RD*", ledger!D:D, "Silky", ledger!C:C, "&lt;&gt;November Closing CF")
)) + _xlfn.IFNA(H115, 0)</f>
        <v>0</v>
      </c>
      <c r="X36" s="70" cm="1">
        <f t="array" ref="X36">_xlfn.BYROW(B80, _xlfn.LAMBDA(_xlpm.party,
   SUMIFS(ledger!J:J, ledger!B:B, _xlpm.party, ledger!E:E, "&lt;&gt;*RD*", ledger!D:D, "Slub", ledger!C:C, "&lt;&gt;November Closing CF")
))+ _xlfn.IFNA(I115, 0)</f>
        <v>0</v>
      </c>
      <c r="Y36" s="70" cm="1">
        <f t="array" ref="Y36">_xlfn.BYROW(B80, _xlfn.LAMBDA(_xlpm.party,
   SUMIFS(ledger!J:J, ledger!B:B, _xlpm.party, ledger!E:E, "&lt;&gt;*RD*", ledger!D:D, "Satin", ledger!C:C, "&lt;&gt;November Closing CF")
))+ _xlfn.IFNA(J115, 0)</f>
        <v>0</v>
      </c>
      <c r="Z36" s="70" cm="1">
        <f t="array" ref="Z36">_xlfn.BYROW(B80, _xlfn.LAMBDA(_xlpm.party,
   SUMIFS(ledger!J:J, ledger!B:B, _xlpm.party, ledger!E:E, "&lt;&gt;*RD*", ledger!D:D, "Black-Chamki", ledger!C:C, "&lt;&gt;November Closing CF")
))+ _xlfn.IFNA(K115, 0)</f>
        <v>0</v>
      </c>
      <c r="AA36" s="70" cm="1">
        <f t="array" ref="AA36">_xlfn.BYROW(B80, _xlfn.LAMBDA(_xlpm.party,
   SUMIFS(ledger!J:J, ledger!B:B, _xlpm.party, ledger!E:E, "&lt;&gt;*RD*", ledger!D:D, "Kataan", ledger!C:C, "&lt;&gt;November Closing CF")
))+ _xlfn.IFNA(L115, 0)</f>
        <v>0</v>
      </c>
      <c r="AB36" s="70" cm="1">
        <f t="array" ref="AB36">_xlfn.BYROW(B80, _xlfn.LAMBDA(_xlpm.party,
   SUMIFS(ledger!J:J, ledger!B:B, _xlpm.party, ledger!E:E, "&lt;&gt;*RD*", ledger!D:D, "Munaar", ledger!C:C, "&lt;&gt;November Closing CF")
))+ _xlfn.IFNA(M115, 0)</f>
        <v>0</v>
      </c>
      <c r="AC36" s="39">
        <f t="shared" si="1"/>
        <v>0</v>
      </c>
      <c r="AD36" s="22">
        <f>(SUMIF(Table14[Party],Q36,Table14[Credit]))+_xlfn.IFNA(O115,0)</f>
        <v>0</v>
      </c>
    </row>
    <row r="47" spans="2:33" x14ac:dyDescent="0.3">
      <c r="B47" t="s">
        <v>155</v>
      </c>
    </row>
    <row r="48" spans="2:33" x14ac:dyDescent="0.3">
      <c r="B48" s="21"/>
      <c r="C48" s="23" t="s">
        <v>10</v>
      </c>
      <c r="D48" s="23" t="s">
        <v>11</v>
      </c>
      <c r="E48" s="23" t="s">
        <v>12</v>
      </c>
      <c r="F48" s="23" t="s">
        <v>13</v>
      </c>
      <c r="G48" s="23" t="s">
        <v>14</v>
      </c>
      <c r="H48" s="23" t="s">
        <v>15</v>
      </c>
      <c r="I48" s="23" t="s">
        <v>180</v>
      </c>
      <c r="J48" s="23" t="s">
        <v>181</v>
      </c>
      <c r="K48" s="23" t="s">
        <v>204</v>
      </c>
      <c r="L48" s="23" t="s">
        <v>205</v>
      </c>
      <c r="M48" s="23" t="s">
        <v>210</v>
      </c>
      <c r="N48" s="23" t="s">
        <v>16</v>
      </c>
      <c r="O48" s="23" t="s">
        <v>17</v>
      </c>
      <c r="P48" s="23" t="s">
        <v>18</v>
      </c>
      <c r="Q48" s="23" t="s">
        <v>19</v>
      </c>
      <c r="R48" s="23" t="s">
        <v>20</v>
      </c>
    </row>
    <row r="49" spans="1:23" x14ac:dyDescent="0.3">
      <c r="A49" t="s">
        <v>33</v>
      </c>
      <c r="B49" s="24" t="str" cm="1">
        <f t="array" ref="B49:B74">_xlfn.UNIQUE(Table1[Party Name])</f>
        <v>BSC</v>
      </c>
      <c r="C49" s="22" cm="1">
        <f t="array" ref="C49:C74">_xlfn.BYROW(_xlfn.ANCHORARRAY(B49),_xlfn.LAMBDA(_xlpm.party,SUMIFS(ledger!G:G,ledger!B:B,_xlpm.party,ledger!E:E,"&lt;&gt;*RD*")))</f>
        <v>219582.8824</v>
      </c>
      <c r="D49" s="22" cm="1">
        <f t="array" ref="D49:D74">_xlfn.BYROW(_xlfn.ANCHORARRAY(B49), _xlfn.LAMBDA(_xlpm.party, SUMIFS(ledger!G:G, ledger!B:B, _xlpm.party, ledger!E:E, "&lt;&gt;*RD*") / 1.0936 ))</f>
        <v>200789.02926115584</v>
      </c>
      <c r="E49" s="63" cm="1">
        <f t="array" ref="E49:E74">(_xlfn.BYROW(_xlfn.ANCHORARRAY(B49),_xlfn.LAMBDA(_xlpm.party,SUMIFS(ledger!G:G,ledger!B:B,_xlpm.party,ledger!E:E,"&lt;&gt;*RD*",ledger!D:D,"Chamki")+SUMIFS(ledger!G:G, ledger!B:B, _xlpm.party, ledger!E:E, "&lt;&gt;*RD*", ledger!D:D, "Crinkle")))/1.0936)</f>
        <v>200789.02926115584</v>
      </c>
      <c r="F49" s="63" cm="1">
        <f t="array" ref="F49:F74">(_xlfn.BYROW(_xlfn.ANCHORARRAY(B49),_xlfn.LAMBDA(_xlpm.party,SUMIFS(ledger!G:G,ledger!B:B,_xlpm.party,ledger!E:E,"&lt;&gt;*RD*",ledger!D:D,"Silky")))/1.0936)</f>
        <v>0</v>
      </c>
      <c r="G49" s="22" cm="1">
        <f t="array" ref="G49">(_xlfn.BYROW(B49,_xlfn.LAMBDA(_xlpm.party,
(SUMIFS(ledger!J:J,ledger!B:B,_xlpm.party,ledger!E:E,"&lt;&gt;*RD*",ledger!D:D,"Chamki",ledger!C:C,"&lt;&gt;November Closing CF")+
SUMIFS(ledger!J:J,ledger!B:B,_xlpm.party,ledger!E:E,"&lt;&gt;*RD*",ledger!D:D,"Crinkle",ledger!C:C,"&lt;&gt;November Closing CF")
))))</f>
        <v>2007890.2926115585</v>
      </c>
      <c r="H49" s="22" cm="1">
        <f t="array" ref="H49">_xlfn.BYROW(B49, _xlfn.LAMBDA(_xlpm.party,
   SUMIFS(ledger!J:J, ledger!B:B, _xlpm.party, ledger!E:E, "&lt;&gt;*RD*", ledger!D:D, "Silky", ledger!C:C, "&lt;&gt;November Closing CF")
))</f>
        <v>0</v>
      </c>
      <c r="I49" s="22" cm="1">
        <f t="array" ref="I49">_xlfn.BYROW(B49, _xlfn.LAMBDA(_xlpm.party,
   SUMIFS(ledger!J:J, ledger!B:B, _xlpm.party, ledger!E:E, "&lt;&gt;*RD*", ledger!D:D, "Slub", ledger!C:C, "&lt;&gt;November Closing CF")
))</f>
        <v>0</v>
      </c>
      <c r="J49" s="22" cm="1">
        <f t="array" ref="J49">_xlfn.BYROW(B49, _xlfn.LAMBDA(_xlpm.party,
   SUMIFS(ledger!J:J, ledger!B:B, _xlpm.party, ledger!E:E, "&lt;&gt;*RD*", ledger!D:D, "Satin", ledger!C:C, "&lt;&gt;November Closing CF")
))</f>
        <v>0</v>
      </c>
      <c r="K49" s="70" cm="1">
        <f t="array" ref="K49">_xlfn.BYROW(B49, _xlfn.LAMBDA(_xlpm.party,
   SUMIFS(ledger!J:J, ledger!B:B, _xlpm.party, ledger!E:E, "&lt;&gt;*RD*", ledger!D:D, "Black-chamki", ledger!C:C, "&lt;&gt;November Closing CF")
))</f>
        <v>0</v>
      </c>
      <c r="L49" s="70" cm="1">
        <f t="array" ref="L49">_xlfn.BYROW(B49, _xlfn.LAMBDA(_xlpm.party,
   SUMIFS(ledger!J:J, ledger!B:B, _xlpm.party, ledger!E:E, "&lt;&gt;*RD*", ledger!D:D, "Kataan", ledger!C:C, "&lt;&gt;November Closing CF")
))</f>
        <v>0</v>
      </c>
      <c r="M49" s="70" cm="1">
        <f t="array" ref="M49">_xlfn.BYROW(B49, _xlfn.LAMBDA(_xlpm.party,
   SUMIFS(ledger!J:J, ledger!B:B, _xlpm.party, ledger!E:E, "&lt;&gt;*RD*", ledger!D:D, "Munaar", ledger!C:C, "&lt;&gt;November Closing CF")
))</f>
        <v>0</v>
      </c>
      <c r="N49" s="39">
        <f>SUM(G49:M49)</f>
        <v>2007890.2926115585</v>
      </c>
      <c r="O49" s="22">
        <f>(SUMIF(Table14[Party],B49,Table14[Credit]))</f>
        <v>0</v>
      </c>
      <c r="P49" s="37">
        <f>N49-O49</f>
        <v>2007890.2926115585</v>
      </c>
      <c r="Q49" s="21">
        <v>10</v>
      </c>
      <c r="R49" s="21">
        <v>12</v>
      </c>
    </row>
    <row r="50" spans="1:23" x14ac:dyDescent="0.3">
      <c r="B50" s="24" t="str">
        <v>Ejaz Sahab</v>
      </c>
      <c r="C50" s="22">
        <v>37275</v>
      </c>
      <c r="D50" s="22">
        <v>34084.674469641555</v>
      </c>
      <c r="E50" s="63">
        <v>0</v>
      </c>
      <c r="F50" s="63">
        <v>34084.674469641555</v>
      </c>
      <c r="G50" s="22" cm="1">
        <f t="array" ref="G50">(_xlfn.BYROW(B50,_xlfn.LAMBDA(_xlpm.party,
(SUMIFS(ledger!J:J,ledger!B:B,_xlpm.party,ledger!E:E,"&lt;&gt;*RD*",ledger!D:D,"Chamki",ledger!C:C,"&lt;&gt;November Closing CF")+
SUMIFS(ledger!J:J,ledger!B:B,_xlpm.party,ledger!E:E,"&lt;&gt;*RD*",ledger!D:D,"Crinkle",ledger!C:C,"&lt;&gt;November Closing CF")
))))</f>
        <v>0</v>
      </c>
      <c r="H50" s="22" cm="1">
        <f t="array" ref="H50">_xlfn.BYROW(B50, _xlfn.LAMBDA(_xlpm.party,
   SUMIFS(ledger!J:J, ledger!B:B, _xlpm.party, ledger!E:E, "&lt;&gt;*RD*", ledger!D:D, "Silky", ledger!C:C, "&lt;&gt;November Closing CF")
))</f>
        <v>443100.76810534019</v>
      </c>
      <c r="I50" s="22" cm="1">
        <f t="array" ref="I50">_xlfn.BYROW(B50, _xlfn.LAMBDA(_xlpm.party,
   SUMIFS(ledger!J:J, ledger!B:B, _xlpm.party, ledger!E:E, "&lt;&gt;*RD*", ledger!D:D, "Slub", ledger!C:C, "&lt;&gt;November Closing CF")
))</f>
        <v>0</v>
      </c>
      <c r="J50" s="22" cm="1">
        <f t="array" ref="J50">_xlfn.BYROW(B50, _xlfn.LAMBDA(_xlpm.party,
   SUMIFS(ledger!J:J, ledger!B:B, _xlpm.party, ledger!E:E, "&lt;&gt;*RD*", ledger!D:D, "Satin", ledger!C:C, "&lt;&gt;November Closing CF")
))</f>
        <v>0</v>
      </c>
      <c r="K50" s="70" cm="1">
        <f t="array" ref="K50">_xlfn.BYROW(B50, _xlfn.LAMBDA(_xlpm.party,
   SUMIFS(ledger!J:J, ledger!B:B, _xlpm.party, ledger!E:E, "&lt;&gt;*RD*", ledger!D:D, "Black-chamki", ledger!C:C, "&lt;&gt;November Closing CF")
))</f>
        <v>0</v>
      </c>
      <c r="L50" s="70" cm="1">
        <f t="array" ref="L50">_xlfn.BYROW(B50, _xlfn.LAMBDA(_xlpm.party,
   SUMIFS(ledger!J:J, ledger!B:B, _xlpm.party, ledger!E:E, "&lt;&gt;*RD*", ledger!D:D, "Kataan", ledger!C:C, "&lt;&gt;November Closing CF")
))</f>
        <v>0</v>
      </c>
      <c r="M50" s="70" cm="1">
        <f t="array" ref="M50">_xlfn.BYROW(B50, _xlfn.LAMBDA(_xlpm.party,
   SUMIFS(ledger!J:J, ledger!B:B, _xlpm.party, ledger!E:E, "&lt;&gt;*RD*", ledger!D:D, "Munaar", ledger!C:C, "&lt;&gt;November Closing CF")
))</f>
        <v>0</v>
      </c>
      <c r="N50" s="39">
        <f t="shared" ref="N50:N79" si="4">SUM(G50:M50)</f>
        <v>443100.76810534019</v>
      </c>
      <c r="O50" s="22">
        <f>(SUMIF(Table14[Party],B50,Table14[Credit]))</f>
        <v>408088</v>
      </c>
      <c r="P50" s="37">
        <f>N50-O50</f>
        <v>35012.76810534019</v>
      </c>
      <c r="Q50" s="21">
        <v>10</v>
      </c>
      <c r="R50" s="21">
        <v>12</v>
      </c>
    </row>
    <row r="51" spans="1:23" x14ac:dyDescent="0.3">
      <c r="B51" s="24" t="str">
        <v>Arshad</v>
      </c>
      <c r="C51" s="22">
        <v>72326</v>
      </c>
      <c r="D51" s="22">
        <v>66135.698610095104</v>
      </c>
      <c r="E51" s="63">
        <v>53308.339429407468</v>
      </c>
      <c r="F51" s="63">
        <v>12827.359180687637</v>
      </c>
      <c r="G51" s="22" cm="1">
        <f t="array" ref="G51">(_xlfn.BYROW(B51,_xlfn.LAMBDA(_xlpm.party,
(SUMIFS(ledger!J:J,ledger!B:B,_xlpm.party,ledger!E:E,"&lt;&gt;*RD*",ledger!D:D,"Chamki",ledger!C:C,"&lt;&gt;November Closing CF")+
SUMIFS(ledger!J:J,ledger!B:B,_xlpm.party,ledger!E:E,"&lt;&gt;*RD*",ledger!D:D,"Crinkle",ledger!C:C,"&lt;&gt;November Closing CF")
))))</f>
        <v>533083.39429407462</v>
      </c>
      <c r="H51" s="22" cm="1">
        <f t="array" ref="H51">_xlfn.BYROW(B51, _xlfn.LAMBDA(_xlpm.party,
   SUMIFS(ledger!J:J, ledger!B:B, _xlpm.party, ledger!E:E, "&lt;&gt;*RD*", ledger!D:D, "Silky", ledger!C:C, "&lt;&gt;November Closing CF")
))</f>
        <v>166755.66934893929</v>
      </c>
      <c r="I51" s="22" cm="1">
        <f t="array" ref="I51">_xlfn.BYROW(B51, _xlfn.LAMBDA(_xlpm.party,
   SUMIFS(ledger!J:J, ledger!B:B, _xlpm.party, ledger!E:E, "&lt;&gt;*RD*", ledger!D:D, "Slub", ledger!C:C, "&lt;&gt;November Closing CF")
))</f>
        <v>0</v>
      </c>
      <c r="J51" s="22" cm="1">
        <f t="array" ref="J51">_xlfn.BYROW(B51, _xlfn.LAMBDA(_xlpm.party,
   SUMIFS(ledger!J:J, ledger!B:B, _xlpm.party, ledger!E:E, "&lt;&gt;*RD*", ledger!D:D, "Satin", ledger!C:C, "&lt;&gt;November Closing CF")
))</f>
        <v>0</v>
      </c>
      <c r="K51" s="70" cm="1">
        <f t="array" ref="K51">_xlfn.BYROW(B51, _xlfn.LAMBDA(_xlpm.party,
   SUMIFS(ledger!J:J, ledger!B:B, _xlpm.party, ledger!E:E, "&lt;&gt;*RD*", ledger!D:D, "Black-chamki", ledger!C:C, "&lt;&gt;November Closing CF")
))</f>
        <v>0</v>
      </c>
      <c r="L51" s="70" cm="1">
        <f t="array" ref="L51">_xlfn.BYROW(B51, _xlfn.LAMBDA(_xlpm.party,
   SUMIFS(ledger!J:J, ledger!B:B, _xlpm.party, ledger!E:E, "&lt;&gt;*RD*", ledger!D:D, "Kataan", ledger!C:C, "&lt;&gt;November Closing CF")
))</f>
        <v>0</v>
      </c>
      <c r="M51" s="70" cm="1">
        <f t="array" ref="M51">_xlfn.BYROW(B51, _xlfn.LAMBDA(_xlpm.party,
   SUMIFS(ledger!J:J, ledger!B:B, _xlpm.party, ledger!E:E, "&lt;&gt;*RD*", ledger!D:D, "Munaar", ledger!C:C, "&lt;&gt;November Closing CF")
))</f>
        <v>0</v>
      </c>
      <c r="N51" s="39">
        <f t="shared" si="4"/>
        <v>699839.06364301394</v>
      </c>
      <c r="O51" s="22">
        <f>(SUMIF(Table14[Party],B51,Table14[Credit]))</f>
        <v>702366</v>
      </c>
      <c r="P51" s="37">
        <f>N51-O51</f>
        <v>-2526.9363569860579</v>
      </c>
      <c r="Q51" s="21">
        <v>10</v>
      </c>
      <c r="R51" s="21">
        <v>12</v>
      </c>
    </row>
    <row r="52" spans="1:23" x14ac:dyDescent="0.3">
      <c r="B52" s="24" t="str">
        <v>Shehzad Kamoki</v>
      </c>
      <c r="C52" s="22">
        <v>8850</v>
      </c>
      <c r="D52" s="22">
        <v>8092.5384052670088</v>
      </c>
      <c r="E52" s="63">
        <v>8092.5384052670088</v>
      </c>
      <c r="F52" s="63">
        <v>0</v>
      </c>
      <c r="G52" s="22" cm="1">
        <f t="array" ref="G52">(_xlfn.BYROW(B52,_xlfn.LAMBDA(_xlpm.party,
(SUMIFS(ledger!J:J,ledger!B:B,_xlpm.party,ledger!E:E,"&lt;&gt;*RD*",ledger!D:D,"Chamki",ledger!C:C,"&lt;&gt;November Closing CF")+
SUMIFS(ledger!J:J,ledger!B:B,_xlpm.party,ledger!E:E,"&lt;&gt;*RD*",ledger!D:D,"Crinkle",ledger!C:C,"&lt;&gt;November Closing CF")
))))</f>
        <v>84971.653255303594</v>
      </c>
      <c r="H52" s="22" cm="1">
        <f t="array" ref="H52">_xlfn.BYROW(B52, _xlfn.LAMBDA(_xlpm.party,
   SUMIFS(ledger!J:J, ledger!B:B, _xlpm.party, ledger!E:E, "&lt;&gt;*RD*", ledger!D:D, "Silky", ledger!C:C, "&lt;&gt;November Closing CF")
))</f>
        <v>0</v>
      </c>
      <c r="I52" s="22" cm="1">
        <f t="array" ref="I52">_xlfn.BYROW(B52, _xlfn.LAMBDA(_xlpm.party,
   SUMIFS(ledger!J:J, ledger!B:B, _xlpm.party, ledger!E:E, "&lt;&gt;*RD*", ledger!D:D, "Slub", ledger!C:C, "&lt;&gt;November Closing CF")
))</f>
        <v>0</v>
      </c>
      <c r="J52" s="22" cm="1">
        <f t="array" ref="J52">_xlfn.BYROW(B52, _xlfn.LAMBDA(_xlpm.party,
   SUMIFS(ledger!J:J, ledger!B:B, _xlpm.party, ledger!E:E, "&lt;&gt;*RD*", ledger!D:D, "Satin", ledger!C:C, "&lt;&gt;November Closing CF")
))</f>
        <v>0</v>
      </c>
      <c r="K52" s="70" cm="1">
        <f t="array" ref="K52">_xlfn.BYROW(B52, _xlfn.LAMBDA(_xlpm.party,
   SUMIFS(ledger!J:J, ledger!B:B, _xlpm.party, ledger!E:E, "&lt;&gt;*RD*", ledger!D:D, "Black-chamki", ledger!C:C, "&lt;&gt;November Closing CF")
))</f>
        <v>0</v>
      </c>
      <c r="L52" s="70" cm="1">
        <f t="array" ref="L52">_xlfn.BYROW(B52, _xlfn.LAMBDA(_xlpm.party,
   SUMIFS(ledger!J:J, ledger!B:B, _xlpm.party, ledger!E:E, "&lt;&gt;*RD*", ledger!D:D, "Kataan", ledger!C:C, "&lt;&gt;November Closing CF")
))</f>
        <v>0</v>
      </c>
      <c r="M52" s="70" cm="1">
        <f t="array" ref="M52">_xlfn.BYROW(B52, _xlfn.LAMBDA(_xlpm.party,
   SUMIFS(ledger!J:J, ledger!B:B, _xlpm.party, ledger!E:E, "&lt;&gt;*RD*", ledger!D:D, "Munaar", ledger!C:C, "&lt;&gt;November Closing CF")
))</f>
        <v>0</v>
      </c>
      <c r="N52" s="39">
        <f t="shared" si="4"/>
        <v>84971.653255303594</v>
      </c>
      <c r="O52" s="22">
        <f>(SUMIF(Table14[Party],B52,Table14[Credit]))</f>
        <v>84970</v>
      </c>
      <c r="P52" s="37">
        <f t="shared" ref="P52:P55" si="5">N52-O52</f>
        <v>1.6532553035940509</v>
      </c>
      <c r="Q52" s="21">
        <v>10.5</v>
      </c>
      <c r="R52" s="21">
        <v>13</v>
      </c>
    </row>
    <row r="53" spans="1:23" x14ac:dyDescent="0.3">
      <c r="B53" s="24" t="str">
        <v>Sufi Nawaz Sahab</v>
      </c>
      <c r="C53" s="22">
        <v>26242</v>
      </c>
      <c r="D53" s="22">
        <v>23995.976591075349</v>
      </c>
      <c r="E53" s="63">
        <v>0</v>
      </c>
      <c r="F53" s="63">
        <v>0</v>
      </c>
      <c r="G53" s="22" cm="1">
        <f t="array" ref="G53">(_xlfn.BYROW(B53,_xlfn.LAMBDA(_xlpm.party,
(SUMIFS(ledger!J:J,ledger!B:B,_xlpm.party,ledger!E:E,"&lt;&gt;*RD*",ledger!D:D,"Chamki",ledger!C:C,"&lt;&gt;November Closing CF")+
SUMIFS(ledger!J:J,ledger!B:B,_xlpm.party,ledger!E:E,"&lt;&gt;*RD*",ledger!D:D,"Crinkle",ledger!C:C,"&lt;&gt;November Closing CF")
))))</f>
        <v>0</v>
      </c>
      <c r="H53" s="22" cm="1">
        <f t="array" ref="H53">_xlfn.BYROW(B53, _xlfn.LAMBDA(_xlpm.party,
   SUMIFS(ledger!J:J, ledger!B:B, _xlpm.party, ledger!E:E, "&lt;&gt;*RD*", ledger!D:D, "Silky", ledger!C:C, "&lt;&gt;November Closing CF")
))</f>
        <v>0</v>
      </c>
      <c r="I53" s="22" cm="1">
        <f t="array" ref="I53">_xlfn.BYROW(B53, _xlfn.LAMBDA(_xlpm.party,
   SUMIFS(ledger!J:J, ledger!B:B, _xlpm.party, ledger!E:E, "&lt;&gt;*RD*", ledger!D:D, "Slub", ledger!C:C, "&lt;&gt;November Closing CF")
))</f>
        <v>0</v>
      </c>
      <c r="J53" s="22" cm="1">
        <f t="array" ref="J53">_xlfn.BYROW(B53, _xlfn.LAMBDA(_xlpm.party,
   SUMIFS(ledger!J:J, ledger!B:B, _xlpm.party, ledger!E:E, "&lt;&gt;*RD*", ledger!D:D, "Satin", ledger!C:C, "&lt;&gt;November Closing CF")
))</f>
        <v>239959.76591075349</v>
      </c>
      <c r="K53" s="70" cm="1">
        <f t="array" ref="K53">_xlfn.BYROW(B53, _xlfn.LAMBDA(_xlpm.party,
   SUMIFS(ledger!J:J, ledger!B:B, _xlpm.party, ledger!E:E, "&lt;&gt;*RD*", ledger!D:D, "Black-chamki", ledger!C:C, "&lt;&gt;November Closing CF")
))</f>
        <v>0</v>
      </c>
      <c r="L53" s="70" cm="1">
        <f t="array" ref="L53">_xlfn.BYROW(B53, _xlfn.LAMBDA(_xlpm.party,
   SUMIFS(ledger!J:J, ledger!B:B, _xlpm.party, ledger!E:E, "&lt;&gt;*RD*", ledger!D:D, "Kataan", ledger!C:C, "&lt;&gt;November Closing CF")
))</f>
        <v>0</v>
      </c>
      <c r="M53" s="70" cm="1">
        <f t="array" ref="M53">_xlfn.BYROW(B53, _xlfn.LAMBDA(_xlpm.party,
   SUMIFS(ledger!J:J, ledger!B:B, _xlpm.party, ledger!E:E, "&lt;&gt;*RD*", ledger!D:D, "Munaar", ledger!C:C, "&lt;&gt;November Closing CF")
))</f>
        <v>0</v>
      </c>
      <c r="N53" s="39">
        <f t="shared" si="4"/>
        <v>239959.76591075349</v>
      </c>
      <c r="O53" s="22">
        <f>(SUMIF(Table14[Party],B53,Table14[Credit]))</f>
        <v>849664</v>
      </c>
      <c r="P53" s="37">
        <f t="shared" si="5"/>
        <v>-609704.23408924649</v>
      </c>
      <c r="Q53" s="21">
        <v>10</v>
      </c>
      <c r="R53" s="21">
        <v>12</v>
      </c>
    </row>
    <row r="54" spans="1:23" x14ac:dyDescent="0.3">
      <c r="B54" s="24" t="str">
        <v>Sajad Khan</v>
      </c>
      <c r="C54" s="22">
        <v>0</v>
      </c>
      <c r="D54" s="22">
        <v>0</v>
      </c>
      <c r="E54" s="63">
        <v>0</v>
      </c>
      <c r="F54" s="63">
        <v>0</v>
      </c>
      <c r="G54" s="22" cm="1">
        <f t="array" ref="G54">(_xlfn.BYROW(B54,_xlfn.LAMBDA(_xlpm.party,
(SUMIFS(ledger!J:J,ledger!B:B,_xlpm.party,ledger!E:E,"&lt;&gt;*RD*",ledger!D:D,"Chamki",ledger!C:C,"&lt;&gt;November Closing CF")+
SUMIFS(ledger!J:J,ledger!B:B,_xlpm.party,ledger!E:E,"&lt;&gt;*RD*",ledger!D:D,"Crinkle",ledger!C:C,"&lt;&gt;November Closing CF")
))))</f>
        <v>0</v>
      </c>
      <c r="H54" s="22" cm="1">
        <f t="array" ref="H54">_xlfn.BYROW(B54, _xlfn.LAMBDA(_xlpm.party,
   SUMIFS(ledger!J:J, ledger!B:B, _xlpm.party, ledger!E:E, "&lt;&gt;*RD*", ledger!D:D, "Silky", ledger!C:C, "&lt;&gt;November Closing CF")
))</f>
        <v>0</v>
      </c>
      <c r="I54" s="22" cm="1">
        <f t="array" ref="I54">_xlfn.BYROW(B54, _xlfn.LAMBDA(_xlpm.party,
   SUMIFS(ledger!J:J, ledger!B:B, _xlpm.party, ledger!E:E, "&lt;&gt;*RD*", ledger!D:D, "Slub", ledger!C:C, "&lt;&gt;November Closing CF")
))</f>
        <v>0</v>
      </c>
      <c r="J54" s="22" cm="1">
        <f t="array" ref="J54">_xlfn.BYROW(B54, _xlfn.LAMBDA(_xlpm.party,
   SUMIFS(ledger!J:J, ledger!B:B, _xlpm.party, ledger!E:E, "&lt;&gt;*RD*", ledger!D:D, "Satin", ledger!C:C, "&lt;&gt;November Closing CF")
))</f>
        <v>0</v>
      </c>
      <c r="K54" s="70" cm="1">
        <f t="array" ref="K54">_xlfn.BYROW(B54, _xlfn.LAMBDA(_xlpm.party,
   SUMIFS(ledger!J:J, ledger!B:B, _xlpm.party, ledger!E:E, "&lt;&gt;*RD*", ledger!D:D, "Black-chamki", ledger!C:C, "&lt;&gt;November Closing CF")
))</f>
        <v>0</v>
      </c>
      <c r="L54" s="70" cm="1">
        <f t="array" ref="L54">_xlfn.BYROW(B54, _xlfn.LAMBDA(_xlpm.party,
   SUMIFS(ledger!J:J, ledger!B:B, _xlpm.party, ledger!E:E, "&lt;&gt;*RD*", ledger!D:D, "Kataan", ledger!C:C, "&lt;&gt;November Closing CF")
))</f>
        <v>0</v>
      </c>
      <c r="M54" s="70" cm="1">
        <f t="array" ref="M54">_xlfn.BYROW(B54, _xlfn.LAMBDA(_xlpm.party,
   SUMIFS(ledger!J:J, ledger!B:B, _xlpm.party, ledger!E:E, "&lt;&gt;*RD*", ledger!D:D, "Munaar", ledger!C:C, "&lt;&gt;November Closing CF")
))</f>
        <v>0</v>
      </c>
      <c r="N54" s="39">
        <f t="shared" si="4"/>
        <v>0</v>
      </c>
      <c r="O54" s="22">
        <f>(SUMIF(Table14[Party],B54,Table14[Credit]))</f>
        <v>600000</v>
      </c>
      <c r="P54" s="37">
        <f t="shared" si="5"/>
        <v>-600000</v>
      </c>
      <c r="Q54" s="21">
        <v>10</v>
      </c>
      <c r="R54" s="21">
        <v>12</v>
      </c>
    </row>
    <row r="55" spans="1:23" x14ac:dyDescent="0.3">
      <c r="B55" s="24" t="str">
        <v>Raaz Fabrics</v>
      </c>
      <c r="C55" s="22">
        <v>25427</v>
      </c>
      <c r="D55" s="22">
        <v>23250.731528895394</v>
      </c>
      <c r="E55" s="63">
        <v>23250.731528895394</v>
      </c>
      <c r="F55" s="63">
        <v>0</v>
      </c>
      <c r="G55" s="22" cm="1">
        <f t="array" ref="G55">(_xlfn.BYROW(B55,_xlfn.LAMBDA(_xlpm.party,
(SUMIFS(ledger!J:J,ledger!B:B,_xlpm.party,ledger!E:E,"&lt;&gt;*RD*",ledger!D:D,"Chamki",ledger!C:C,"&lt;&gt;November Closing CF")+
SUMIFS(ledger!J:J,ledger!B:B,_xlpm.party,ledger!E:E,"&lt;&gt;*RD*",ledger!D:D,"Crinkle",ledger!C:C,"&lt;&gt;November Closing CF")
))))</f>
        <v>232507.31528895392</v>
      </c>
      <c r="H55" s="22" cm="1">
        <f t="array" ref="H55">_xlfn.BYROW(B55, _xlfn.LAMBDA(_xlpm.party,
   SUMIFS(ledger!J:J, ledger!B:B, _xlpm.party, ledger!E:E, "&lt;&gt;*RD*", ledger!D:D, "Silky", ledger!C:C, "&lt;&gt;November Closing CF")
))</f>
        <v>0</v>
      </c>
      <c r="I55" s="22" cm="1">
        <f t="array" ref="I55">_xlfn.BYROW(B55, _xlfn.LAMBDA(_xlpm.party,
   SUMIFS(ledger!J:J, ledger!B:B, _xlpm.party, ledger!E:E, "&lt;&gt;*RD*", ledger!D:D, "Slub", ledger!C:C, "&lt;&gt;November Closing CF")
))</f>
        <v>0</v>
      </c>
      <c r="J55" s="22" cm="1">
        <f t="array" ref="J55">_xlfn.BYROW(B55, _xlfn.LAMBDA(_xlpm.party,
   SUMIFS(ledger!J:J, ledger!B:B, _xlpm.party, ledger!E:E, "&lt;&gt;*RD*", ledger!D:D, "Satin", ledger!C:C, "&lt;&gt;November Closing CF")
))</f>
        <v>0</v>
      </c>
      <c r="K55" s="70" cm="1">
        <f t="array" ref="K55">_xlfn.BYROW(B55, _xlfn.LAMBDA(_xlpm.party,
   SUMIFS(ledger!J:J, ledger!B:B, _xlpm.party, ledger!E:E, "&lt;&gt;*RD*", ledger!D:D, "Black-chamki", ledger!C:C, "&lt;&gt;November Closing CF")
))</f>
        <v>0</v>
      </c>
      <c r="L55" s="70" cm="1">
        <f t="array" ref="L55">_xlfn.BYROW(B55, _xlfn.LAMBDA(_xlpm.party,
   SUMIFS(ledger!J:J, ledger!B:B, _xlpm.party, ledger!E:E, "&lt;&gt;*RD*", ledger!D:D, "Kataan", ledger!C:C, "&lt;&gt;November Closing CF")
))</f>
        <v>0</v>
      </c>
      <c r="M55" s="70" cm="1">
        <f t="array" ref="M55">_xlfn.BYROW(B55, _xlfn.LAMBDA(_xlpm.party,
   SUMIFS(ledger!J:J, ledger!B:B, _xlpm.party, ledger!E:E, "&lt;&gt;*RD*", ledger!D:D, "Munaar", ledger!C:C, "&lt;&gt;November Closing CF")
))</f>
        <v>0</v>
      </c>
      <c r="N55" s="39">
        <f t="shared" si="4"/>
        <v>232507.31528895392</v>
      </c>
      <c r="O55" s="22">
        <f>(SUMIF(Table14[Party],B55,Table14[Credit]))</f>
        <v>200000</v>
      </c>
      <c r="P55" s="37">
        <f t="shared" si="5"/>
        <v>32507.31528895392</v>
      </c>
      <c r="Q55" s="21">
        <v>10</v>
      </c>
      <c r="R55" s="21">
        <v>12</v>
      </c>
    </row>
    <row r="56" spans="1:23" x14ac:dyDescent="0.3">
      <c r="B56" s="24" t="str">
        <v>Azam</v>
      </c>
      <c r="C56" s="22">
        <v>103717</v>
      </c>
      <c r="D56" s="22">
        <v>94839.978054133142</v>
      </c>
      <c r="E56" s="63">
        <v>94839.978054133142</v>
      </c>
      <c r="F56" s="63">
        <v>0</v>
      </c>
      <c r="G56" s="22" cm="1">
        <f t="array" ref="G56">(_xlfn.BYROW(B56,_xlfn.LAMBDA(_xlpm.party,
(SUMIFS(ledger!J:J,ledger!B:B,_xlpm.party,ledger!E:E,"&lt;&gt;*RD*",ledger!D:D,"Chamki",ledger!C:C,"&lt;&gt;November Closing CF")+
SUMIFS(ledger!J:J,ledger!B:B,_xlpm.party,ledger!E:E,"&lt;&gt;*RD*",ledger!D:D,"Crinkle",ledger!C:C,"&lt;&gt;November Closing CF")
))))</f>
        <v>948399.78054133151</v>
      </c>
      <c r="H56" s="22" cm="1">
        <f t="array" ref="H56">_xlfn.BYROW(B56, _xlfn.LAMBDA(_xlpm.party,
   SUMIFS(ledger!J:J, ledger!B:B, _xlpm.party, ledger!E:E, "&lt;&gt;*RD*", ledger!D:D, "Silky", ledger!C:C, "&lt;&gt;November Closing CF")
))</f>
        <v>0</v>
      </c>
      <c r="I56" s="22" cm="1">
        <f t="array" ref="I56">_xlfn.BYROW(B56, _xlfn.LAMBDA(_xlpm.party,
   SUMIFS(ledger!J:J, ledger!B:B, _xlpm.party, ledger!E:E, "&lt;&gt;*RD*", ledger!D:D, "Slub", ledger!C:C, "&lt;&gt;November Closing CF")
))</f>
        <v>0</v>
      </c>
      <c r="J56" s="22" cm="1">
        <f t="array" ref="J56">_xlfn.BYROW(B56, _xlfn.LAMBDA(_xlpm.party,
   SUMIFS(ledger!J:J, ledger!B:B, _xlpm.party, ledger!E:E, "&lt;&gt;*RD*", ledger!D:D, "Satin", ledger!C:C, "&lt;&gt;November Closing CF")
))</f>
        <v>0</v>
      </c>
      <c r="K56" s="70" cm="1">
        <f t="array" ref="K56">_xlfn.BYROW(B56, _xlfn.LAMBDA(_xlpm.party,
   SUMIFS(ledger!J:J, ledger!B:B, _xlpm.party, ledger!E:E, "&lt;&gt;*RD*", ledger!D:D, "Black-chamki", ledger!C:C, "&lt;&gt;November Closing CF")
))</f>
        <v>0</v>
      </c>
      <c r="L56" s="70" cm="1">
        <f t="array" ref="L56">_xlfn.BYROW(B56, _xlfn.LAMBDA(_xlpm.party,
   SUMIFS(ledger!J:J, ledger!B:B, _xlpm.party, ledger!E:E, "&lt;&gt;*RD*", ledger!D:D, "Kataan", ledger!C:C, "&lt;&gt;November Closing CF")
))</f>
        <v>0</v>
      </c>
      <c r="M56" s="70" cm="1">
        <f t="array" ref="M56">_xlfn.BYROW(B56, _xlfn.LAMBDA(_xlpm.party,
   SUMIFS(ledger!J:J, ledger!B:B, _xlpm.party, ledger!E:E, "&lt;&gt;*RD*", ledger!D:D, "Munaar", ledger!C:C, "&lt;&gt;November Closing CF")
))</f>
        <v>0</v>
      </c>
      <c r="N56" s="39">
        <f t="shared" si="4"/>
        <v>948399.78054133151</v>
      </c>
      <c r="O56" s="22">
        <f>(SUMIF(Table14[Party],B56,Table14[Credit]))</f>
        <v>1007920</v>
      </c>
      <c r="P56" s="37">
        <f t="shared" ref="P56:P78" si="6">N56-O56</f>
        <v>-59520.219458668493</v>
      </c>
      <c r="Q56" s="21">
        <v>10</v>
      </c>
      <c r="R56" s="21">
        <v>12</v>
      </c>
    </row>
    <row r="57" spans="1:23" x14ac:dyDescent="0.3">
      <c r="B57" s="24" t="str">
        <v>Ubaidullah</v>
      </c>
      <c r="C57" s="22">
        <v>0</v>
      </c>
      <c r="D57" s="22">
        <v>0</v>
      </c>
      <c r="E57" s="63">
        <v>0</v>
      </c>
      <c r="F57" s="63">
        <v>0</v>
      </c>
      <c r="G57" s="22" cm="1">
        <f t="array" ref="G57">(_xlfn.BYROW(B57,_xlfn.LAMBDA(_xlpm.party,
(SUMIFS(ledger!J:J,ledger!B:B,_xlpm.party,ledger!E:E,"&lt;&gt;*RD*",ledger!D:D,"Chamki",ledger!C:C,"&lt;&gt;November Closing CF")+
SUMIFS(ledger!J:J,ledger!B:B,_xlpm.party,ledger!E:E,"&lt;&gt;*RD*",ledger!D:D,"Crinkle",ledger!C:C,"&lt;&gt;November Closing CF")
))))</f>
        <v>0</v>
      </c>
      <c r="H57" s="22" cm="1">
        <f t="array" ref="H57">_xlfn.BYROW(B57, _xlfn.LAMBDA(_xlpm.party,
   SUMIFS(ledger!J:J, ledger!B:B, _xlpm.party, ledger!E:E, "&lt;&gt;*RD*", ledger!D:D, "Silky", ledger!C:C, "&lt;&gt;November Closing CF")
))</f>
        <v>0</v>
      </c>
      <c r="I57" s="22" cm="1">
        <f t="array" ref="I57">_xlfn.BYROW(B57, _xlfn.LAMBDA(_xlpm.party,
   SUMIFS(ledger!J:J, ledger!B:B, _xlpm.party, ledger!E:E, "&lt;&gt;*RD*", ledger!D:D, "Slub", ledger!C:C, "&lt;&gt;November Closing CF")
))</f>
        <v>0</v>
      </c>
      <c r="J57" s="22" cm="1">
        <f t="array" ref="J57">_xlfn.BYROW(B57, _xlfn.LAMBDA(_xlpm.party,
   SUMIFS(ledger!J:J, ledger!B:B, _xlpm.party, ledger!E:E, "&lt;&gt;*RD*", ledger!D:D, "Satin", ledger!C:C, "&lt;&gt;November Closing CF")
))</f>
        <v>0</v>
      </c>
      <c r="K57" s="70" cm="1">
        <f t="array" ref="K57">_xlfn.BYROW(B57, _xlfn.LAMBDA(_xlpm.party,
   SUMIFS(ledger!J:J, ledger!B:B, _xlpm.party, ledger!E:E, "&lt;&gt;*RD*", ledger!D:D, "Black-chamki", ledger!C:C, "&lt;&gt;November Closing CF")
))</f>
        <v>0</v>
      </c>
      <c r="L57" s="70" cm="1">
        <f t="array" ref="L57">_xlfn.BYROW(B57, _xlfn.LAMBDA(_xlpm.party,
   SUMIFS(ledger!J:J, ledger!B:B, _xlpm.party, ledger!E:E, "&lt;&gt;*RD*", ledger!D:D, "Kataan", ledger!C:C, "&lt;&gt;November Closing CF")
))</f>
        <v>0</v>
      </c>
      <c r="M57" s="70" cm="1">
        <f t="array" ref="M57">_xlfn.BYROW(B57, _xlfn.LAMBDA(_xlpm.party,
   SUMIFS(ledger!J:J, ledger!B:B, _xlpm.party, ledger!E:E, "&lt;&gt;*RD*", ledger!D:D, "Munaar", ledger!C:C, "&lt;&gt;November Closing CF")
))</f>
        <v>0</v>
      </c>
      <c r="N57" s="39">
        <f t="shared" si="4"/>
        <v>0</v>
      </c>
      <c r="O57" s="22">
        <f>SUMIF(Table14[Party], B57, Table14[Credit])</f>
        <v>0</v>
      </c>
      <c r="P57" s="37">
        <f t="shared" si="6"/>
        <v>0</v>
      </c>
      <c r="Q57" s="21">
        <v>10</v>
      </c>
      <c r="R57" s="21">
        <v>12</v>
      </c>
      <c r="U57" s="3" t="s">
        <v>6</v>
      </c>
      <c r="V57" t="s">
        <v>7</v>
      </c>
      <c r="W57" t="s">
        <v>8</v>
      </c>
    </row>
    <row r="58" spans="1:23" x14ac:dyDescent="0.3">
      <c r="B58" s="24" t="str">
        <v>Ashraf Zia</v>
      </c>
      <c r="C58" s="22">
        <v>0</v>
      </c>
      <c r="D58" s="22">
        <v>0</v>
      </c>
      <c r="E58" s="63">
        <v>0</v>
      </c>
      <c r="F58" s="63">
        <v>0</v>
      </c>
      <c r="G58" s="22" cm="1">
        <f t="array" ref="G58">(_xlfn.BYROW(B58,_xlfn.LAMBDA(_xlpm.party,
(SUMIFS(ledger!J:J,ledger!B:B,_xlpm.party,ledger!E:E,"&lt;&gt;*RD*",ledger!D:D,"Chamki",ledger!C:C,"&lt;&gt;November Closing CF")+
SUMIFS(ledger!J:J,ledger!B:B,_xlpm.party,ledger!E:E,"&lt;&gt;*RD*",ledger!D:D,"Crinkle",ledger!C:C,"&lt;&gt;November Closing CF")
))))</f>
        <v>0</v>
      </c>
      <c r="H58" s="22" cm="1">
        <f t="array" ref="H58">_xlfn.BYROW(B58, _xlfn.LAMBDA(_xlpm.party,
   SUMIFS(ledger!J:J, ledger!B:B, _xlpm.party, ledger!E:E, "&lt;&gt;*RD*", ledger!D:D, "Silky", ledger!C:C, "&lt;&gt;November Closing CF")
))</f>
        <v>0</v>
      </c>
      <c r="I58" s="22" cm="1">
        <f t="array" ref="I58">_xlfn.BYROW(B58, _xlfn.LAMBDA(_xlpm.party,
   SUMIFS(ledger!J:J, ledger!B:B, _xlpm.party, ledger!E:E, "&lt;&gt;*RD*", ledger!D:D, "Slub", ledger!C:C, "&lt;&gt;November Closing CF")
))</f>
        <v>0</v>
      </c>
      <c r="J58" s="22" cm="1">
        <f t="array" ref="J58">_xlfn.BYROW(B58, _xlfn.LAMBDA(_xlpm.party,
   SUMIFS(ledger!J:J, ledger!B:B, _xlpm.party, ledger!E:E, "&lt;&gt;*RD*", ledger!D:D, "Satin", ledger!C:C, "&lt;&gt;November Closing CF")
))</f>
        <v>0</v>
      </c>
      <c r="K58" s="70" cm="1">
        <f t="array" ref="K58">_xlfn.BYROW(B58, _xlfn.LAMBDA(_xlpm.party,
   SUMIFS(ledger!J:J, ledger!B:B, _xlpm.party, ledger!E:E, "&lt;&gt;*RD*", ledger!D:D, "Black-chamki", ledger!C:C, "&lt;&gt;November Closing CF")
))</f>
        <v>0</v>
      </c>
      <c r="L58" s="70" cm="1">
        <f t="array" ref="L58">_xlfn.BYROW(B58, _xlfn.LAMBDA(_xlpm.party,
   SUMIFS(ledger!J:J, ledger!B:B, _xlpm.party, ledger!E:E, "&lt;&gt;*RD*", ledger!D:D, "Kataan", ledger!C:C, "&lt;&gt;November Closing CF")
))</f>
        <v>0</v>
      </c>
      <c r="M58" s="70" cm="1">
        <f t="array" ref="M58">_xlfn.BYROW(B58, _xlfn.LAMBDA(_xlpm.party,
   SUMIFS(ledger!J:J, ledger!B:B, _xlpm.party, ledger!E:E, "&lt;&gt;*RD*", ledger!D:D, "Munaar", ledger!C:C, "&lt;&gt;November Closing CF")
))</f>
        <v>0</v>
      </c>
      <c r="N58" s="39">
        <f t="shared" si="4"/>
        <v>0</v>
      </c>
      <c r="O58" s="22">
        <f>SUMIF(Table14[Party], B58, Table14[Credit])</f>
        <v>0</v>
      </c>
      <c r="P58" s="37">
        <f t="shared" si="6"/>
        <v>0</v>
      </c>
      <c r="Q58" s="21">
        <v>12</v>
      </c>
      <c r="R58" s="21">
        <v>12</v>
      </c>
      <c r="U58" s="4" t="s">
        <v>21</v>
      </c>
      <c r="V58" s="5">
        <v>200789.02926115584</v>
      </c>
      <c r="W58" s="18">
        <v>1579608.6320409658</v>
      </c>
    </row>
    <row r="59" spans="1:23" x14ac:dyDescent="0.3">
      <c r="B59" s="24" t="str">
        <v>Hafiz Qureshi</v>
      </c>
      <c r="C59" s="22">
        <v>84435</v>
      </c>
      <c r="D59" s="22">
        <v>77208.302852962704</v>
      </c>
      <c r="E59" s="63">
        <v>77208.302852962704</v>
      </c>
      <c r="F59" s="63">
        <v>0</v>
      </c>
      <c r="G59" s="22" cm="1">
        <f t="array" ref="G59">(_xlfn.BYROW(B59,_xlfn.LAMBDA(_xlpm.party,
(SUMIFS(ledger!J:J,ledger!B:B,_xlpm.party,ledger!E:E,"&lt;&gt;*RD*",ledger!D:D,"Chamki",ledger!C:C,"&lt;&gt;November Closing CF")+
SUMIFS(ledger!J:J,ledger!B:B,_xlpm.party,ledger!E:E,"&lt;&gt;*RD*",ledger!D:D,"Crinkle",ledger!C:C,"&lt;&gt;November Closing CF")
))))</f>
        <v>772083.02852962713</v>
      </c>
      <c r="H59" s="22" cm="1">
        <f t="array" ref="H59">_xlfn.BYROW(B59, _xlfn.LAMBDA(_xlpm.party,
   SUMIFS(ledger!J:J, ledger!B:B, _xlpm.party, ledger!E:E, "&lt;&gt;*RD*", ledger!D:D, "Silky", ledger!C:C, "&lt;&gt;November Closing CF")
))</f>
        <v>0</v>
      </c>
      <c r="I59" s="22" cm="1">
        <f t="array" ref="I59">_xlfn.BYROW(B59, _xlfn.LAMBDA(_xlpm.party,
   SUMIFS(ledger!J:J, ledger!B:B, _xlpm.party, ledger!E:E, "&lt;&gt;*RD*", ledger!D:D, "Slub", ledger!C:C, "&lt;&gt;November Closing CF")
))</f>
        <v>0</v>
      </c>
      <c r="J59" s="22" cm="1">
        <f t="array" ref="J59">_xlfn.BYROW(B59, _xlfn.LAMBDA(_xlpm.party,
   SUMIFS(ledger!J:J, ledger!B:B, _xlpm.party, ledger!E:E, "&lt;&gt;*RD*", ledger!D:D, "Satin", ledger!C:C, "&lt;&gt;November Closing CF")
))</f>
        <v>0</v>
      </c>
      <c r="K59" s="70" cm="1">
        <f t="array" ref="K59">_xlfn.BYROW(B59, _xlfn.LAMBDA(_xlpm.party,
   SUMIFS(ledger!J:J, ledger!B:B, _xlpm.party, ledger!E:E, "&lt;&gt;*RD*", ledger!D:D, "Black-chamki", ledger!C:C, "&lt;&gt;November Closing CF")
))</f>
        <v>0</v>
      </c>
      <c r="L59" s="70" cm="1">
        <f t="array" ref="L59">_xlfn.BYROW(B59, _xlfn.LAMBDA(_xlpm.party,
   SUMIFS(ledger!J:J, ledger!B:B, _xlpm.party, ledger!E:E, "&lt;&gt;*RD*", ledger!D:D, "Kataan", ledger!C:C, "&lt;&gt;November Closing CF")
))</f>
        <v>0</v>
      </c>
      <c r="M59" s="70" cm="1">
        <f t="array" ref="M59">_xlfn.BYROW(B59, _xlfn.LAMBDA(_xlpm.party,
   SUMIFS(ledger!J:J, ledger!B:B, _xlpm.party, ledger!E:E, "&lt;&gt;*RD*", ledger!D:D, "Munaar", ledger!C:C, "&lt;&gt;November Closing CF")
))</f>
        <v>0</v>
      </c>
      <c r="N59" s="39">
        <f t="shared" si="4"/>
        <v>772083.02852962713</v>
      </c>
      <c r="O59" s="22">
        <f>SUMIF(Table14[Party], B59, Table14[Credit])</f>
        <v>455400</v>
      </c>
      <c r="P59" s="37">
        <f t="shared" si="6"/>
        <v>316683.02852962713</v>
      </c>
      <c r="Q59" s="21">
        <v>10</v>
      </c>
      <c r="R59" s="21">
        <v>12</v>
      </c>
      <c r="U59" s="4" t="s">
        <v>22</v>
      </c>
      <c r="V59" s="5">
        <v>34084.674469641555</v>
      </c>
      <c r="W59" s="18">
        <v>409016.09363569866</v>
      </c>
    </row>
    <row r="60" spans="1:23" x14ac:dyDescent="0.3">
      <c r="B60" s="24" t="str">
        <v>Badshah Fabrics</v>
      </c>
      <c r="C60" s="22">
        <v>118398</v>
      </c>
      <c r="D60" s="22">
        <v>108264.44769568399</v>
      </c>
      <c r="E60" s="63">
        <v>108264.44769568399</v>
      </c>
      <c r="F60" s="63">
        <v>0</v>
      </c>
      <c r="G60" s="22" cm="1">
        <f t="array" ref="G60">(_xlfn.BYROW(B60,_xlfn.LAMBDA(_xlpm.party,
(SUMIFS(ledger!J:J,ledger!B:B,_xlpm.party,ledger!E:E,"&lt;&gt;*RD*",ledger!D:D,"Chamki",ledger!C:C,"&lt;&gt;November Closing CF")+
SUMIFS(ledger!J:J,ledger!B:B,_xlpm.party,ledger!E:E,"&lt;&gt;*RD*",ledger!D:D,"Crinkle",ledger!C:C,"&lt;&gt;November Closing CF")
))))</f>
        <v>1082644.4769568399</v>
      </c>
      <c r="H60" s="22" cm="1">
        <f t="array" ref="H60">_xlfn.BYROW(B60, _xlfn.LAMBDA(_xlpm.party,
   SUMIFS(ledger!J:J, ledger!B:B, _xlpm.party, ledger!E:E, "&lt;&gt;*RD*", ledger!D:D, "Silky", ledger!C:C, "&lt;&gt;November Closing CF")
))</f>
        <v>0</v>
      </c>
      <c r="I60" s="22" cm="1">
        <f t="array" ref="I60">_xlfn.BYROW(B60, _xlfn.LAMBDA(_xlpm.party,
   SUMIFS(ledger!J:J, ledger!B:B, _xlpm.party, ledger!E:E, "&lt;&gt;*RD*", ledger!D:D, "Slub", ledger!C:C, "&lt;&gt;November Closing CF")
))</f>
        <v>0</v>
      </c>
      <c r="J60" s="22" cm="1">
        <f t="array" ref="J60">_xlfn.BYROW(B60, _xlfn.LAMBDA(_xlpm.party,
   SUMIFS(ledger!J:J, ledger!B:B, _xlpm.party, ledger!E:E, "&lt;&gt;*RD*", ledger!D:D, "Satin", ledger!C:C, "&lt;&gt;November Closing CF")
))</f>
        <v>0</v>
      </c>
      <c r="K60" s="70" cm="1">
        <f t="array" ref="K60">_xlfn.BYROW(B60, _xlfn.LAMBDA(_xlpm.party,
   SUMIFS(ledger!J:J, ledger!B:B, _xlpm.party, ledger!E:E, "&lt;&gt;*RD*", ledger!D:D, "Black-chamki", ledger!C:C, "&lt;&gt;November Closing CF")
))</f>
        <v>0</v>
      </c>
      <c r="L60" s="70" cm="1">
        <f t="array" ref="L60">_xlfn.BYROW(B60, _xlfn.LAMBDA(_xlpm.party,
   SUMIFS(ledger!J:J, ledger!B:B, _xlpm.party, ledger!E:E, "&lt;&gt;*RD*", ledger!D:D, "Kataan", ledger!C:C, "&lt;&gt;November Closing CF")
))</f>
        <v>0</v>
      </c>
      <c r="M60" s="70" cm="1">
        <f t="array" ref="M60">_xlfn.BYROW(B60, _xlfn.LAMBDA(_xlpm.party,
   SUMIFS(ledger!J:J, ledger!B:B, _xlpm.party, ledger!E:E, "&lt;&gt;*RD*", ledger!D:D, "Munaar", ledger!C:C, "&lt;&gt;November Closing CF")
))</f>
        <v>0</v>
      </c>
      <c r="N60" s="39">
        <f t="shared" si="4"/>
        <v>1082644.4769568399</v>
      </c>
      <c r="O60" s="22">
        <f>SUMIF(Table14[Party], B60, Table14[Credit])</f>
        <v>1090000</v>
      </c>
      <c r="P60" s="37">
        <f t="shared" si="6"/>
        <v>-7355.5230431600939</v>
      </c>
      <c r="Q60" s="21">
        <v>10</v>
      </c>
      <c r="R60" s="21">
        <v>12</v>
      </c>
      <c r="U60" s="4" t="s">
        <v>9</v>
      </c>
      <c r="V60" s="5">
        <v>66135.698610095104</v>
      </c>
      <c r="W60" s="18">
        <v>687011.70446232636</v>
      </c>
    </row>
    <row r="61" spans="1:23" x14ac:dyDescent="0.3">
      <c r="B61" s="24" t="str">
        <v>Reject</v>
      </c>
      <c r="C61" s="22">
        <v>0</v>
      </c>
      <c r="D61" s="22">
        <v>0</v>
      </c>
      <c r="E61" s="63">
        <v>0</v>
      </c>
      <c r="F61" s="63">
        <v>0</v>
      </c>
      <c r="G61" s="22" cm="1">
        <f t="array" ref="G61">(_xlfn.BYROW(B61,_xlfn.LAMBDA(_xlpm.party,
(SUMIFS(ledger!J:J,ledger!B:B,_xlpm.party,ledger!E:E,"&lt;&gt;*RD*",ledger!D:D,"Chamki",ledger!C:C,"&lt;&gt;November Closing CF")+
SUMIFS(ledger!J:J,ledger!B:B,_xlpm.party,ledger!E:E,"&lt;&gt;*RD*",ledger!D:D,"Crinkle",ledger!C:C,"&lt;&gt;November Closing CF")
))))</f>
        <v>0</v>
      </c>
      <c r="H61" s="22" cm="1">
        <f t="array" ref="H61">_xlfn.BYROW(B61, _xlfn.LAMBDA(_xlpm.party,
   SUMIFS(ledger!J:J, ledger!B:B, _xlpm.party, ledger!E:E, "&lt;&gt;*RD*", ledger!D:D, "Silky", ledger!C:C, "&lt;&gt;November Closing CF")
))</f>
        <v>0</v>
      </c>
      <c r="I61" s="22" cm="1">
        <f t="array" ref="I61">_xlfn.BYROW(B61, _xlfn.LAMBDA(_xlpm.party,
   SUMIFS(ledger!J:J, ledger!B:B, _xlpm.party, ledger!E:E, "&lt;&gt;*RD*", ledger!D:D, "Slub", ledger!C:C, "&lt;&gt;November Closing CF")
))</f>
        <v>0</v>
      </c>
      <c r="J61" s="22" cm="1">
        <f t="array" ref="J61">_xlfn.BYROW(B61, _xlfn.LAMBDA(_xlpm.party,
   SUMIFS(ledger!J:J, ledger!B:B, _xlpm.party, ledger!E:E, "&lt;&gt;*RD*", ledger!D:D, "Satin", ledger!C:C, "&lt;&gt;November Closing CF")
))</f>
        <v>0</v>
      </c>
      <c r="K61" s="70" cm="1">
        <f t="array" ref="K61">_xlfn.BYROW(B61, _xlfn.LAMBDA(_xlpm.party,
   SUMIFS(ledger!J:J, ledger!B:B, _xlpm.party, ledger!E:E, "&lt;&gt;*RD*", ledger!D:D, "Black-chamki", ledger!C:C, "&lt;&gt;November Closing CF")
))</f>
        <v>0</v>
      </c>
      <c r="L61" s="70" cm="1">
        <f t="array" ref="L61">_xlfn.BYROW(B61, _xlfn.LAMBDA(_xlpm.party,
   SUMIFS(ledger!J:J, ledger!B:B, _xlpm.party, ledger!E:E, "&lt;&gt;*RD*", ledger!D:D, "Kataan", ledger!C:C, "&lt;&gt;November Closing CF")
))</f>
        <v>0</v>
      </c>
      <c r="M61" s="70" cm="1">
        <f t="array" ref="M61">_xlfn.BYROW(B61, _xlfn.LAMBDA(_xlpm.party,
   SUMIFS(ledger!J:J, ledger!B:B, _xlpm.party, ledger!E:E, "&lt;&gt;*RD*", ledger!D:D, "Munaar", ledger!C:C, "&lt;&gt;November Closing CF")
))</f>
        <v>0</v>
      </c>
      <c r="N61" s="39">
        <f t="shared" si="4"/>
        <v>0</v>
      </c>
      <c r="O61" s="22">
        <f>SUMIF(Table14[Party], B61, Table14[Credit])</f>
        <v>0</v>
      </c>
      <c r="P61" s="37">
        <f t="shared" si="6"/>
        <v>0</v>
      </c>
      <c r="Q61" s="21">
        <v>10</v>
      </c>
      <c r="R61" s="21">
        <v>12</v>
      </c>
      <c r="U61" s="4" t="s">
        <v>23</v>
      </c>
      <c r="V61" s="5">
        <v>8092.5384052670088</v>
      </c>
      <c r="W61" s="18">
        <v>84971.653255303594</v>
      </c>
    </row>
    <row r="62" spans="1:23" x14ac:dyDescent="0.3">
      <c r="B62" s="81" t="str">
        <v>Amjad 7up</v>
      </c>
      <c r="C62" s="22">
        <v>0</v>
      </c>
      <c r="D62" s="22">
        <v>0</v>
      </c>
      <c r="E62" s="63">
        <v>0</v>
      </c>
      <c r="F62" s="63">
        <v>0</v>
      </c>
      <c r="G62" s="22" cm="1">
        <f t="array" ref="G62">(_xlfn.BYROW(B62,_xlfn.LAMBDA(_xlpm.party,
(SUMIFS(ledger!J:J,ledger!B:B,_xlpm.party,ledger!E:E,"&lt;&gt;*RD*",ledger!D:D,"Chamki",ledger!C:C,"&lt;&gt;November Closing CF")+
SUMIFS(ledger!J:J,ledger!B:B,_xlpm.party,ledger!E:E,"&lt;&gt;*RD*",ledger!D:D,"Crinkle",ledger!C:C,"&lt;&gt;November Closing CF")
))))</f>
        <v>0</v>
      </c>
      <c r="H62" s="22" cm="1">
        <f t="array" ref="H62">_xlfn.BYROW(B62, _xlfn.LAMBDA(_xlpm.party,
   SUMIFS(ledger!J:J, ledger!B:B, _xlpm.party, ledger!E:E, "&lt;&gt;*RD*", ledger!D:D, "Silky", ledger!C:C, "&lt;&gt;November Closing CF")
))</f>
        <v>0</v>
      </c>
      <c r="I62" s="22" cm="1">
        <f t="array" ref="I62">_xlfn.BYROW(B62, _xlfn.LAMBDA(_xlpm.party,
   SUMIFS(ledger!J:J, ledger!B:B, _xlpm.party, ledger!E:E, "&lt;&gt;*RD*", ledger!D:D, "Slub", ledger!C:C, "&lt;&gt;November Closing CF")
))</f>
        <v>0</v>
      </c>
      <c r="J62" s="22" cm="1">
        <f t="array" ref="J62">_xlfn.BYROW(B62, _xlfn.LAMBDA(_xlpm.party,
   SUMIFS(ledger!J:J, ledger!B:B, _xlpm.party, ledger!E:E, "&lt;&gt;*RD*", ledger!D:D, "Satin", ledger!C:C, "&lt;&gt;November Closing CF")
))</f>
        <v>0</v>
      </c>
      <c r="K62" s="70" cm="1">
        <f t="array" ref="K62">_xlfn.BYROW(B62, _xlfn.LAMBDA(_xlpm.party,
   SUMIFS(ledger!J:J, ledger!B:B, _xlpm.party, ledger!E:E, "&lt;&gt;*RD*", ledger!D:D, "Black-chamki", ledger!C:C, "&lt;&gt;November Closing CF")
))</f>
        <v>0</v>
      </c>
      <c r="L62" s="70" cm="1">
        <f t="array" ref="L62">_xlfn.BYROW(B62, _xlfn.LAMBDA(_xlpm.party,
   SUMIFS(ledger!J:J, ledger!B:B, _xlpm.party, ledger!E:E, "&lt;&gt;*RD*", ledger!D:D, "Kataan", ledger!C:C, "&lt;&gt;November Closing CF")
))</f>
        <v>0</v>
      </c>
      <c r="M62" s="70" cm="1">
        <f t="array" ref="M62">_xlfn.BYROW(B62, _xlfn.LAMBDA(_xlpm.party,
   SUMIFS(ledger!J:J, ledger!B:B, _xlpm.party, ledger!E:E, "&lt;&gt;*RD*", ledger!D:D, "Munaar", ledger!C:C, "&lt;&gt;November Closing CF")
))</f>
        <v>0</v>
      </c>
      <c r="N62" s="39">
        <f t="shared" si="4"/>
        <v>0</v>
      </c>
      <c r="O62" s="22">
        <f>SUMIF(Table14[Party], B62, Table14[Credit])</f>
        <v>0</v>
      </c>
      <c r="P62" s="37">
        <f t="shared" si="6"/>
        <v>0</v>
      </c>
      <c r="Q62" s="21">
        <v>10</v>
      </c>
      <c r="R62" s="21">
        <v>12</v>
      </c>
      <c r="U62" s="4" t="s">
        <v>24</v>
      </c>
      <c r="V62" s="5">
        <v>23995.976591075349</v>
      </c>
      <c r="W62" s="18">
        <v>0</v>
      </c>
    </row>
    <row r="63" spans="1:23" x14ac:dyDescent="0.3">
      <c r="B63" s="81" t="str">
        <v>Hazrat Khan</v>
      </c>
      <c r="C63" s="22">
        <v>0</v>
      </c>
      <c r="D63" s="22">
        <v>0</v>
      </c>
      <c r="E63" s="63">
        <v>0</v>
      </c>
      <c r="F63" s="63">
        <v>0</v>
      </c>
      <c r="G63" s="22" cm="1">
        <f t="array" ref="G63">(_xlfn.BYROW(B63,_xlfn.LAMBDA(_xlpm.party,
(SUMIFS(ledger!J:J,ledger!B:B,_xlpm.party,ledger!E:E,"&lt;&gt;*RD*",ledger!D:D,"Chamki",ledger!C:C,"&lt;&gt;November Closing CF")+
SUMIFS(ledger!J:J,ledger!B:B,_xlpm.party,ledger!E:E,"&lt;&gt;*RD*",ledger!D:D,"Crinkle",ledger!C:C,"&lt;&gt;November Closing CF")
))))</f>
        <v>0</v>
      </c>
      <c r="H63" s="22" cm="1">
        <f t="array" ref="H63">_xlfn.BYROW(B63, _xlfn.LAMBDA(_xlpm.party,
   SUMIFS(ledger!J:J, ledger!B:B, _xlpm.party, ledger!E:E, "&lt;&gt;*RD*", ledger!D:D, "Silky", ledger!C:C, "&lt;&gt;November Closing CF")
))</f>
        <v>0</v>
      </c>
      <c r="I63" s="22" cm="1">
        <f t="array" ref="I63">_xlfn.BYROW(B63, _xlfn.LAMBDA(_xlpm.party,
   SUMIFS(ledger!J:J, ledger!B:B, _xlpm.party, ledger!E:E, "&lt;&gt;*RD*", ledger!D:D, "Slub", ledger!C:C, "&lt;&gt;November Closing CF")
))</f>
        <v>0</v>
      </c>
      <c r="J63" s="22" cm="1">
        <f t="array" ref="J63">_xlfn.BYROW(B63, _xlfn.LAMBDA(_xlpm.party,
   SUMIFS(ledger!J:J, ledger!B:B, _xlpm.party, ledger!E:E, "&lt;&gt;*RD*", ledger!D:D, "Satin", ledger!C:C, "&lt;&gt;November Closing CF")
))</f>
        <v>0</v>
      </c>
      <c r="K63" s="70" cm="1">
        <f t="array" ref="K63">_xlfn.BYROW(B63, _xlfn.LAMBDA(_xlpm.party,
   SUMIFS(ledger!J:J, ledger!B:B, _xlpm.party, ledger!E:E, "&lt;&gt;*RD*", ledger!D:D, "Black-chamki", ledger!C:C, "&lt;&gt;November Closing CF")
))</f>
        <v>0</v>
      </c>
      <c r="L63" s="70" cm="1">
        <f t="array" ref="L63">_xlfn.BYROW(B63, _xlfn.LAMBDA(_xlpm.party,
   SUMIFS(ledger!J:J, ledger!B:B, _xlpm.party, ledger!E:E, "&lt;&gt;*RD*", ledger!D:D, "Kataan", ledger!C:C, "&lt;&gt;November Closing CF")
))</f>
        <v>0</v>
      </c>
      <c r="M63" s="70" cm="1">
        <f t="array" ref="M63">_xlfn.BYROW(B63, _xlfn.LAMBDA(_xlpm.party,
   SUMIFS(ledger!J:J, ledger!B:B, _xlpm.party, ledger!E:E, "&lt;&gt;*RD*", ledger!D:D, "Munaar", ledger!C:C, "&lt;&gt;November Closing CF")
))</f>
        <v>0</v>
      </c>
      <c r="N63" s="39">
        <f t="shared" si="4"/>
        <v>0</v>
      </c>
      <c r="O63" s="22">
        <f>SUMIF(Table14[Party], B63, Table14[Credit])</f>
        <v>0</v>
      </c>
      <c r="P63" s="37">
        <f t="shared" si="6"/>
        <v>0</v>
      </c>
      <c r="Q63" s="21">
        <v>10</v>
      </c>
      <c r="R63" s="21">
        <v>12</v>
      </c>
      <c r="U63" s="4" t="s">
        <v>25</v>
      </c>
      <c r="V63" s="5">
        <v>0</v>
      </c>
      <c r="W63" s="18">
        <v>0</v>
      </c>
    </row>
    <row r="64" spans="1:23" x14ac:dyDescent="0.3">
      <c r="B64" s="81" t="str">
        <v>Haseeb Shamsi</v>
      </c>
      <c r="C64" s="22">
        <v>0</v>
      </c>
      <c r="D64" s="22">
        <v>0</v>
      </c>
      <c r="E64" s="63">
        <v>0</v>
      </c>
      <c r="F64" s="63">
        <v>0</v>
      </c>
      <c r="G64" s="22" cm="1">
        <f t="array" ref="G64">(_xlfn.BYROW(B64,_xlfn.LAMBDA(_xlpm.party,
(SUMIFS(ledger!J:J,ledger!B:B,_xlpm.party,ledger!E:E,"&lt;&gt;*RD*",ledger!D:D,"Chamki",ledger!C:C,"&lt;&gt;November Closing CF")+
SUMIFS(ledger!J:J,ledger!B:B,_xlpm.party,ledger!E:E,"&lt;&gt;*RD*",ledger!D:D,"Crinkle",ledger!C:C,"&lt;&gt;November Closing CF")
))))</f>
        <v>0</v>
      </c>
      <c r="H64" s="22" cm="1">
        <f t="array" ref="H64">_xlfn.BYROW(B64, _xlfn.LAMBDA(_xlpm.party,
   SUMIFS(ledger!J:J, ledger!B:B, _xlpm.party, ledger!E:E, "&lt;&gt;*RD*", ledger!D:D, "Silky", ledger!C:C, "&lt;&gt;November Closing CF")
))</f>
        <v>0</v>
      </c>
      <c r="I64" s="22" cm="1">
        <f t="array" ref="I64">_xlfn.BYROW(B64, _xlfn.LAMBDA(_xlpm.party,
   SUMIFS(ledger!J:J, ledger!B:B, _xlpm.party, ledger!E:E, "&lt;&gt;*RD*", ledger!D:D, "Slub", ledger!C:C, "&lt;&gt;November Closing CF")
))</f>
        <v>0</v>
      </c>
      <c r="J64" s="22" cm="1">
        <f t="array" ref="J64">_xlfn.BYROW(B64, _xlfn.LAMBDA(_xlpm.party,
   SUMIFS(ledger!J:J, ledger!B:B, _xlpm.party, ledger!E:E, "&lt;&gt;*RD*", ledger!D:D, "Satin", ledger!C:C, "&lt;&gt;November Closing CF")
))</f>
        <v>0</v>
      </c>
      <c r="K64" s="70" cm="1">
        <f t="array" ref="K64">_xlfn.BYROW(B64, _xlfn.LAMBDA(_xlpm.party,
   SUMIFS(ledger!J:J, ledger!B:B, _xlpm.party, ledger!E:E, "&lt;&gt;*RD*", ledger!D:D, "Black-chamki", ledger!C:C, "&lt;&gt;November Closing CF")
))</f>
        <v>0</v>
      </c>
      <c r="L64" s="70" cm="1">
        <f t="array" ref="L64">_xlfn.BYROW(B64, _xlfn.LAMBDA(_xlpm.party,
   SUMIFS(ledger!J:J, ledger!B:B, _xlpm.party, ledger!E:E, "&lt;&gt;*RD*", ledger!D:D, "Kataan", ledger!C:C, "&lt;&gt;November Closing CF")
))</f>
        <v>0</v>
      </c>
      <c r="M64" s="70" cm="1">
        <f t="array" ref="M64">_xlfn.BYROW(B64, _xlfn.LAMBDA(_xlpm.party,
   SUMIFS(ledger!J:J, ledger!B:B, _xlpm.party, ledger!E:E, "&lt;&gt;*RD*", ledger!D:D, "Munaar", ledger!C:C, "&lt;&gt;November Closing CF")
))</f>
        <v>0</v>
      </c>
      <c r="N64" s="39">
        <f t="shared" si="4"/>
        <v>0</v>
      </c>
      <c r="O64" s="22">
        <f>SUMIF(Table14[Party], B81, Table14[Credit])</f>
        <v>0</v>
      </c>
      <c r="P64" s="37">
        <f t="shared" si="6"/>
        <v>0</v>
      </c>
      <c r="Q64" s="21">
        <v>10</v>
      </c>
      <c r="R64" s="21">
        <v>12</v>
      </c>
      <c r="U64" s="4" t="s">
        <v>26</v>
      </c>
      <c r="V64" s="5">
        <v>23250.731528895394</v>
      </c>
      <c r="W64" s="18">
        <v>232507.31528895395</v>
      </c>
    </row>
    <row r="65" spans="2:23" x14ac:dyDescent="0.3">
      <c r="B65" s="81" t="str">
        <v>Faizan</v>
      </c>
      <c r="C65" s="22">
        <v>0</v>
      </c>
      <c r="D65" s="22">
        <v>0</v>
      </c>
      <c r="E65" s="63">
        <v>0</v>
      </c>
      <c r="F65" s="63">
        <v>0</v>
      </c>
      <c r="G65" s="22" cm="1">
        <f t="array" ref="G65">(_xlfn.BYROW(B65,_xlfn.LAMBDA(_xlpm.party,
(SUMIFS(ledger!J:J,ledger!B:B,_xlpm.party,ledger!E:E,"&lt;&gt;*RD*",ledger!D:D,"Chamki",ledger!C:C,"&lt;&gt;November Closing CF")+
SUMIFS(ledger!J:J,ledger!B:B,_xlpm.party,ledger!E:E,"&lt;&gt;*RD*",ledger!D:D,"Crinkle",ledger!C:C,"&lt;&gt;November Closing CF")
))))</f>
        <v>0</v>
      </c>
      <c r="H65" s="22" cm="1">
        <f t="array" ref="H65">_xlfn.BYROW(B65, _xlfn.LAMBDA(_xlpm.party,
   SUMIFS(ledger!J:J, ledger!B:B, _xlpm.party, ledger!E:E, "&lt;&gt;*RD*", ledger!D:D, "Silky", ledger!C:C, "&lt;&gt;November Closing CF")
))</f>
        <v>0</v>
      </c>
      <c r="I65" s="22" cm="1">
        <f t="array" ref="I65">_xlfn.BYROW(B65, _xlfn.LAMBDA(_xlpm.party,
   SUMIFS(ledger!J:J, ledger!B:B, _xlpm.party, ledger!E:E, "&lt;&gt;*RD*", ledger!D:D, "Slub", ledger!C:C, "&lt;&gt;November Closing CF")
))</f>
        <v>0</v>
      </c>
      <c r="J65" s="22" cm="1">
        <f t="array" ref="J65">_xlfn.BYROW(B65, _xlfn.LAMBDA(_xlpm.party,
   SUMIFS(ledger!J:J, ledger!B:B, _xlpm.party, ledger!E:E, "&lt;&gt;*RD*", ledger!D:D, "Satin", ledger!C:C, "&lt;&gt;November Closing CF")
))</f>
        <v>0</v>
      </c>
      <c r="K65" s="70" cm="1">
        <f t="array" ref="K65">_xlfn.BYROW(B65, _xlfn.LAMBDA(_xlpm.party,
   SUMIFS(ledger!J:J, ledger!B:B, _xlpm.party, ledger!E:E, "&lt;&gt;*RD*", ledger!D:D, "Black-chamki", ledger!C:C, "&lt;&gt;November Closing CF")
))</f>
        <v>0</v>
      </c>
      <c r="L65" s="70" cm="1">
        <f t="array" ref="L65">_xlfn.BYROW(B65, _xlfn.LAMBDA(_xlpm.party,
   SUMIFS(ledger!J:J, ledger!B:B, _xlpm.party, ledger!E:E, "&lt;&gt;*RD*", ledger!D:D, "Kataan", ledger!C:C, "&lt;&gt;November Closing CF")
))</f>
        <v>0</v>
      </c>
      <c r="M65" s="70" cm="1">
        <f t="array" ref="M65">_xlfn.BYROW(B65, _xlfn.LAMBDA(_xlpm.party,
   SUMIFS(ledger!J:J, ledger!B:B, _xlpm.party, ledger!E:E, "&lt;&gt;*RD*", ledger!D:D, "Munaar", ledger!C:C, "&lt;&gt;November Closing CF")
))</f>
        <v>0</v>
      </c>
      <c r="N65" s="39">
        <f t="shared" si="4"/>
        <v>0</v>
      </c>
      <c r="O65" s="22">
        <f>SUMIF(Table14[Party], B65, Table14[Credit])</f>
        <v>0</v>
      </c>
      <c r="P65" s="37">
        <f t="shared" si="6"/>
        <v>0</v>
      </c>
      <c r="Q65" s="21">
        <v>10</v>
      </c>
      <c r="R65" s="21">
        <v>13</v>
      </c>
      <c r="U65" s="4" t="s">
        <v>152</v>
      </c>
      <c r="V65" s="5">
        <v>94839.978054133142</v>
      </c>
      <c r="W65" s="18">
        <v>948399.78054133139</v>
      </c>
    </row>
    <row r="66" spans="2:23" x14ac:dyDescent="0.3">
      <c r="B66" s="81" t="str">
        <v>Shafique Ansari</v>
      </c>
      <c r="C66" s="22">
        <v>0</v>
      </c>
      <c r="D66" s="22">
        <v>0</v>
      </c>
      <c r="E66" s="63">
        <v>0</v>
      </c>
      <c r="F66" s="63">
        <v>0</v>
      </c>
      <c r="G66" s="22" cm="1">
        <f t="array" ref="G66">(_xlfn.BYROW(B66,_xlfn.LAMBDA(_xlpm.party,
(SUMIFS(ledger!J:J,ledger!B:B,_xlpm.party,ledger!E:E,"&lt;&gt;*RD*",ledger!D:D,"Chamki",ledger!C:C,"&lt;&gt;November Closing CF")+
SUMIFS(ledger!J:J,ledger!B:B,_xlpm.party,ledger!E:E,"&lt;&gt;*RD*",ledger!D:D,"Crinkle",ledger!C:C,"&lt;&gt;November Closing CF")
))))</f>
        <v>0</v>
      </c>
      <c r="H66" s="22" cm="1">
        <f t="array" ref="H66">_xlfn.BYROW(B66, _xlfn.LAMBDA(_xlpm.party,
   SUMIFS(ledger!J:J, ledger!B:B, _xlpm.party, ledger!E:E, "&lt;&gt;*RD*", ledger!D:D, "Silky", ledger!C:C, "&lt;&gt;November Closing CF")
))</f>
        <v>0</v>
      </c>
      <c r="I66" s="22" cm="1">
        <f t="array" ref="I66">_xlfn.BYROW(B66, _xlfn.LAMBDA(_xlpm.party,
   SUMIFS(ledger!J:J, ledger!B:B, _xlpm.party, ledger!E:E, "&lt;&gt;*RD*", ledger!D:D, "Slub", ledger!C:C, "&lt;&gt;November Closing CF")
))</f>
        <v>0</v>
      </c>
      <c r="J66" s="22" cm="1">
        <f t="array" ref="J66">_xlfn.BYROW(B66, _xlfn.LAMBDA(_xlpm.party,
   SUMIFS(ledger!J:J, ledger!B:B, _xlpm.party, ledger!E:E, "&lt;&gt;*RD*", ledger!D:D, "Satin", ledger!C:C, "&lt;&gt;November Closing CF")
))</f>
        <v>0</v>
      </c>
      <c r="K66" s="70" cm="1">
        <f t="array" ref="K66">_xlfn.BYROW(B66, _xlfn.LAMBDA(_xlpm.party,
   SUMIFS(ledger!J:J, ledger!B:B, _xlpm.party, ledger!E:E, "&lt;&gt;*RD*", ledger!D:D, "Black-chamki", ledger!C:C, "&lt;&gt;November Closing CF")
))</f>
        <v>0</v>
      </c>
      <c r="L66" s="70" cm="1">
        <f t="array" ref="L66">_xlfn.BYROW(B66, _xlfn.LAMBDA(_xlpm.party,
   SUMIFS(ledger!J:J, ledger!B:B, _xlpm.party, ledger!E:E, "&lt;&gt;*RD*", ledger!D:D, "Kataan", ledger!C:C, "&lt;&gt;November Closing CF")
))</f>
        <v>0</v>
      </c>
      <c r="M66" s="70" cm="1">
        <f t="array" ref="M66">_xlfn.BYROW(B66, _xlfn.LAMBDA(_xlpm.party,
   SUMIFS(ledger!J:J, ledger!B:B, _xlpm.party, ledger!E:E, "&lt;&gt;*RD*", ledger!D:D, "Munaar", ledger!C:C, "&lt;&gt;November Closing CF")
))</f>
        <v>0</v>
      </c>
      <c r="N66" s="39">
        <f t="shared" si="4"/>
        <v>0</v>
      </c>
      <c r="O66" s="22">
        <f>SUMIF(Table14[Party], B66, Table14[Credit])</f>
        <v>0</v>
      </c>
      <c r="P66" s="37">
        <f t="shared" si="6"/>
        <v>0</v>
      </c>
      <c r="Q66" s="21">
        <v>10</v>
      </c>
      <c r="R66" s="21">
        <v>12</v>
      </c>
      <c r="U66" s="4" t="s">
        <v>35</v>
      </c>
      <c r="V66" s="5">
        <v>0</v>
      </c>
      <c r="W66" s="18">
        <v>0</v>
      </c>
    </row>
    <row r="67" spans="2:23" x14ac:dyDescent="0.3">
      <c r="B67" s="81" t="str">
        <v>Amjad sohail</v>
      </c>
      <c r="C67" s="22">
        <v>0</v>
      </c>
      <c r="D67" s="22">
        <v>0</v>
      </c>
      <c r="E67" s="63">
        <v>0</v>
      </c>
      <c r="F67" s="63">
        <v>0</v>
      </c>
      <c r="G67" s="22" cm="1">
        <f t="array" ref="G67">(_xlfn.BYROW(B67,_xlfn.LAMBDA(_xlpm.party,
(SUMIFS(ledger!J:J,ledger!B:B,_xlpm.party,ledger!E:E,"&lt;&gt;*RD*",ledger!D:D,"Chamki",ledger!C:C,"&lt;&gt;November Closing CF")+
SUMIFS(ledger!J:J,ledger!B:B,_xlpm.party,ledger!E:E,"&lt;&gt;*RD*",ledger!D:D,"Crinkle",ledger!C:C,"&lt;&gt;November Closing CF")
))))</f>
        <v>0</v>
      </c>
      <c r="H67" s="22" cm="1">
        <f t="array" ref="H67">_xlfn.BYROW(B67, _xlfn.LAMBDA(_xlpm.party,
   SUMIFS(ledger!J:J, ledger!B:B, _xlpm.party, ledger!E:E, "&lt;&gt;*RD*", ledger!D:D, "Silky", ledger!C:C, "&lt;&gt;November Closing CF")
))</f>
        <v>0</v>
      </c>
      <c r="I67" s="22" cm="1">
        <f t="array" ref="I67">_xlfn.BYROW(B67, _xlfn.LAMBDA(_xlpm.party,
   SUMIFS(ledger!J:J, ledger!B:B, _xlpm.party, ledger!E:E, "&lt;&gt;*RD*", ledger!D:D, "Slub", ledger!C:C, "&lt;&gt;November Closing CF")
))</f>
        <v>0</v>
      </c>
      <c r="J67" s="22" cm="1">
        <f t="array" ref="J67">_xlfn.BYROW(B67, _xlfn.LAMBDA(_xlpm.party,
   SUMIFS(ledger!J:J, ledger!B:B, _xlpm.party, ledger!E:E, "&lt;&gt;*RD*", ledger!D:D, "Satin", ledger!C:C, "&lt;&gt;November Closing CF")
))</f>
        <v>0</v>
      </c>
      <c r="K67" s="70" cm="1">
        <f t="array" ref="K67">_xlfn.BYROW(B67, _xlfn.LAMBDA(_xlpm.party,
   SUMIFS(ledger!J:J, ledger!B:B, _xlpm.party, ledger!E:E, "&lt;&gt;*RD*", ledger!D:D, "Black-chamki", ledger!C:C, "&lt;&gt;November Closing CF")
))</f>
        <v>0</v>
      </c>
      <c r="L67" s="70" cm="1">
        <f t="array" ref="L67">_xlfn.BYROW(B67, _xlfn.LAMBDA(_xlpm.party,
   SUMIFS(ledger!J:J, ledger!B:B, _xlpm.party, ledger!E:E, "&lt;&gt;*RD*", ledger!D:D, "Kataan", ledger!C:C, "&lt;&gt;November Closing CF")
))</f>
        <v>0</v>
      </c>
      <c r="M67" s="70" cm="1">
        <f t="array" ref="M67">_xlfn.BYROW(B67, _xlfn.LAMBDA(_xlpm.party,
   SUMIFS(ledger!J:J, ledger!B:B, _xlpm.party, ledger!E:E, "&lt;&gt;*RD*", ledger!D:D, "Munaar", ledger!C:C, "&lt;&gt;November Closing CF")
))</f>
        <v>0</v>
      </c>
      <c r="N67" s="39">
        <f t="shared" si="4"/>
        <v>0</v>
      </c>
      <c r="O67" s="22">
        <f>SUMIF(Table14[Party], B67, Table14[Credit])</f>
        <v>409310</v>
      </c>
      <c r="P67" s="37">
        <f t="shared" si="6"/>
        <v>-409310</v>
      </c>
      <c r="Q67" s="21">
        <v>10</v>
      </c>
      <c r="R67" s="21">
        <v>12</v>
      </c>
      <c r="U67" s="4" t="s">
        <v>148</v>
      </c>
      <c r="V67" s="5">
        <v>0</v>
      </c>
      <c r="W67" s="18">
        <v>0</v>
      </c>
    </row>
    <row r="68" spans="2:23" x14ac:dyDescent="0.3">
      <c r="B68" s="81" t="str">
        <v>Salman Zaffar</v>
      </c>
      <c r="C68" s="22">
        <v>28452</v>
      </c>
      <c r="D68" s="22">
        <v>26016.825164594004</v>
      </c>
      <c r="E68" s="63">
        <v>26016.825164594004</v>
      </c>
      <c r="F68" s="63">
        <v>0</v>
      </c>
      <c r="G68" s="22" cm="1">
        <f t="array" ref="G68">(_xlfn.BYROW(B68,_xlfn.LAMBDA(_xlpm.party,
(SUMIFS(ledger!J:J,ledger!B:B,_xlpm.party,ledger!E:E,"&lt;&gt;*RD*",ledger!D:D,"Chamki",ledger!C:C,"&lt;&gt;November Closing CF")+
SUMIFS(ledger!J:J,ledger!B:B,_xlpm.party,ledger!E:E,"&lt;&gt;*RD*",ledger!D:D,"Crinkle",ledger!C:C,"&lt;&gt;November Closing CF")
))))</f>
        <v>260168.25164594001</v>
      </c>
      <c r="H68" s="22" cm="1">
        <f t="array" ref="H68">_xlfn.BYROW(B68, _xlfn.LAMBDA(_xlpm.party,
   SUMIFS(ledger!J:J, ledger!B:B, _xlpm.party, ledger!E:E, "&lt;&gt;*RD*", ledger!D:D, "Silky", ledger!C:C, "&lt;&gt;November Closing CF")
))</f>
        <v>0</v>
      </c>
      <c r="I68" s="22" cm="1">
        <f t="array" ref="I68">_xlfn.BYROW(B68, _xlfn.LAMBDA(_xlpm.party,
   SUMIFS(ledger!J:J, ledger!B:B, _xlpm.party, ledger!E:E, "&lt;&gt;*RD*", ledger!D:D, "Slub", ledger!C:C, "&lt;&gt;November Closing CF")
))</f>
        <v>0</v>
      </c>
      <c r="J68" s="22" cm="1">
        <f t="array" ref="J68">_xlfn.BYROW(B68, _xlfn.LAMBDA(_xlpm.party,
   SUMIFS(ledger!J:J, ledger!B:B, _xlpm.party, ledger!E:E, "&lt;&gt;*RD*", ledger!D:D, "Satin", ledger!C:C, "&lt;&gt;November Closing CF")
))</f>
        <v>0</v>
      </c>
      <c r="K68" s="70" cm="1">
        <f t="array" ref="K68">_xlfn.BYROW(B68, _xlfn.LAMBDA(_xlpm.party,
   SUMIFS(ledger!J:J, ledger!B:B, _xlpm.party, ledger!E:E, "&lt;&gt;*RD*", ledger!D:D, "Black-chamki", ledger!C:C, "&lt;&gt;November Closing CF")
))</f>
        <v>0</v>
      </c>
      <c r="L68" s="70" cm="1">
        <f t="array" ref="L68">_xlfn.BYROW(B68, _xlfn.LAMBDA(_xlpm.party,
   SUMIFS(ledger!J:J, ledger!B:B, _xlpm.party, ledger!E:E, "&lt;&gt;*RD*", ledger!D:D, "Kataan", ledger!C:C, "&lt;&gt;November Closing CF")
))</f>
        <v>0</v>
      </c>
      <c r="M68" s="70" cm="1">
        <f t="array" ref="M68">_xlfn.BYROW(B68, _xlfn.LAMBDA(_xlpm.party,
   SUMIFS(ledger!J:J, ledger!B:B, _xlpm.party, ledger!E:E, "&lt;&gt;*RD*", ledger!D:D, "Munaar", ledger!C:C, "&lt;&gt;November Closing CF")
))</f>
        <v>0</v>
      </c>
      <c r="N68" s="39">
        <f t="shared" si="4"/>
        <v>260168.25164594001</v>
      </c>
      <c r="O68" s="22">
        <f>SUMIF(Table14[Party], B68, Table14[Credit])</f>
        <v>973525</v>
      </c>
      <c r="P68" s="37">
        <f t="shared" si="6"/>
        <v>-713356.74835405999</v>
      </c>
      <c r="Q68" s="21">
        <v>10</v>
      </c>
      <c r="R68" s="21">
        <v>12</v>
      </c>
      <c r="U68" s="4" t="s">
        <v>27</v>
      </c>
      <c r="V68" s="5">
        <v>77208.302852962704</v>
      </c>
      <c r="W68" s="18">
        <v>772083.02852962702</v>
      </c>
    </row>
    <row r="69" spans="2:23" x14ac:dyDescent="0.3">
      <c r="B69" s="81" t="str">
        <v>Shahid Qasayi</v>
      </c>
      <c r="C69" s="22">
        <v>87689</v>
      </c>
      <c r="D69" s="22">
        <v>80183.79663496709</v>
      </c>
      <c r="E69" s="63">
        <v>76222.567666422823</v>
      </c>
      <c r="F69" s="21">
        <v>0</v>
      </c>
      <c r="G69" s="22" cm="1">
        <f t="array" ref="G69">(_xlfn.BYROW(B69,_xlfn.LAMBDA(_xlpm.party,
(SUMIFS(ledger!J:J,ledger!B:B,_xlpm.party,ledger!E:E,"&lt;&gt;*RD*",ledger!D:D,"Chamki",ledger!C:C,"&lt;&gt;November Closing CF")+
SUMIFS(ledger!J:J,ledger!B:B,_xlpm.party,ledger!E:E,"&lt;&gt;*RD*",ledger!D:D,"Crinkle",ledger!C:C,"&lt;&gt;November Closing CF")
))))</f>
        <v>762225.6766642282</v>
      </c>
      <c r="H69" s="22" cm="1">
        <f t="array" ref="H69">_xlfn.BYROW(B69, _xlfn.LAMBDA(_xlpm.party,
   SUMIFS(ledger!J:J, ledger!B:B, _xlpm.party, ledger!E:E, "&lt;&gt;*RD*", ledger!D:D, "Silky", ledger!C:C, "&lt;&gt;November Closing CF")
))</f>
        <v>0</v>
      </c>
      <c r="I69" s="22" cm="1">
        <f t="array" ref="I69">_xlfn.BYROW(B69, _xlfn.LAMBDA(_xlpm.party,
   SUMIFS(ledger!J:J, ledger!B:B, _xlpm.party, ledger!E:E, "&lt;&gt;*RD*", ledger!D:D, "Slub", ledger!C:C, "&lt;&gt;November Closing CF")
))</f>
        <v>0</v>
      </c>
      <c r="J69" s="22" cm="1">
        <f t="array" ref="J69">_xlfn.BYROW(B69, _xlfn.LAMBDA(_xlpm.party,
   SUMIFS(ledger!J:J, ledger!B:B, _xlpm.party, ledger!E:E, "&lt;&gt;*RD*", ledger!D:D, "Satin", ledger!C:C, "&lt;&gt;November Closing CF")
))</f>
        <v>0</v>
      </c>
      <c r="K69" s="70" cm="1">
        <f t="array" ref="K69">_xlfn.BYROW(B69, _xlfn.LAMBDA(_xlpm.party,
   SUMIFS(ledger!J:J, ledger!B:B, _xlpm.party, ledger!E:E, "&lt;&gt;*RD*", ledger!D:D, "Black-chamki", ledger!C:C, "&lt;&gt;November Closing CF")
))</f>
        <v>47534.747622531097</v>
      </c>
      <c r="L69" s="70" cm="1">
        <f t="array" ref="L69">_xlfn.BYROW(B69, _xlfn.LAMBDA(_xlpm.party,
   SUMIFS(ledger!J:J, ledger!B:B, _xlpm.party, ledger!E:E, "&lt;&gt;*RD*", ledger!D:D, "Kataan", ledger!C:C, "&lt;&gt;November Closing CF")
))</f>
        <v>0</v>
      </c>
      <c r="M69" s="70" cm="1">
        <f t="array" ref="M69">_xlfn.BYROW(B69, _xlfn.LAMBDA(_xlpm.party,
   SUMIFS(ledger!J:J, ledger!B:B, _xlpm.party, ledger!E:E, "&lt;&gt;*RD*", ledger!D:D, "Munaar", ledger!C:C, "&lt;&gt;November Closing CF")
))</f>
        <v>0</v>
      </c>
      <c r="N69" s="39">
        <f t="shared" si="4"/>
        <v>809760.42428675934</v>
      </c>
      <c r="O69" s="22">
        <f>SUMIF(Table14[Party], B69, Table14[Credit])</f>
        <v>864770</v>
      </c>
      <c r="P69" s="37">
        <f t="shared" si="6"/>
        <v>-55009.575713240658</v>
      </c>
      <c r="Q69" s="21">
        <v>10</v>
      </c>
      <c r="R69" s="21">
        <v>12</v>
      </c>
      <c r="U69" s="4" t="s">
        <v>166</v>
      </c>
      <c r="V69" s="5">
        <v>108264.44769568399</v>
      </c>
      <c r="W69" s="18">
        <v>618461.96049743972</v>
      </c>
    </row>
    <row r="70" spans="2:23" x14ac:dyDescent="0.3">
      <c r="B70" s="81" t="str">
        <v>Hameed corporation</v>
      </c>
      <c r="C70">
        <v>0</v>
      </c>
      <c r="D70">
        <v>0</v>
      </c>
      <c r="E70">
        <v>0</v>
      </c>
      <c r="F70">
        <v>0</v>
      </c>
      <c r="G70" s="22" cm="1">
        <f t="array" ref="G70">(_xlfn.BYROW(B70,_xlfn.LAMBDA(_xlpm.party,
(SUMIFS(ledger!J:J,ledger!B:B,_xlpm.party,ledger!E:E,"&lt;&gt;*RD*",ledger!D:D,"Chamki",ledger!C:C,"&lt;&gt;November Closing CF")+
SUMIFS(ledger!J:J,ledger!B:B,_xlpm.party,ledger!E:E,"&lt;&gt;*RD*",ledger!D:D,"Crinkle",ledger!C:C,"&lt;&gt;November Closing CF")
))))</f>
        <v>0</v>
      </c>
      <c r="H70" s="22" cm="1">
        <f t="array" ref="H70">_xlfn.BYROW(B70, _xlfn.LAMBDA(_xlpm.party,
   SUMIFS(ledger!J:J, ledger!B:B, _xlpm.party, ledger!E:E, "&lt;&gt;*RD*", ledger!D:D, "Silky", ledger!C:C, "&lt;&gt;November Closing CF")
))</f>
        <v>0</v>
      </c>
      <c r="I70" s="22" cm="1">
        <f t="array" ref="I70">_xlfn.BYROW(B70, _xlfn.LAMBDA(_xlpm.party,
   SUMIFS(ledger!J:J, ledger!B:B, _xlpm.party, ledger!E:E, "&lt;&gt;*RD*", ledger!D:D, "Slub", ledger!C:C, "&lt;&gt;November Closing CF")
))</f>
        <v>0</v>
      </c>
      <c r="J70" s="22" cm="1">
        <f t="array" ref="J70">_xlfn.BYROW(B70, _xlfn.LAMBDA(_xlpm.party,
   SUMIFS(ledger!J:J, ledger!B:B, _xlpm.party, ledger!E:E, "&lt;&gt;*RD*", ledger!D:D, "Satin", ledger!C:C, "&lt;&gt;November Closing CF")
))</f>
        <v>0</v>
      </c>
      <c r="K70" s="70" cm="1">
        <f t="array" ref="K70">_xlfn.BYROW(B70, _xlfn.LAMBDA(_xlpm.party,
   SUMIFS(ledger!J:J, ledger!B:B, _xlpm.party, ledger!E:E, "&lt;&gt;*RD*", ledger!D:D, "Black-chamki", ledger!C:C, "&lt;&gt;November Closing CF")
))</f>
        <v>0</v>
      </c>
      <c r="L70" s="70" cm="1">
        <f t="array" ref="L70">_xlfn.BYROW(B70, _xlfn.LAMBDA(_xlpm.party,
   SUMIFS(ledger!J:J, ledger!B:B, _xlpm.party, ledger!E:E, "&lt;&gt;*RD*", ledger!D:D, "Kataan", ledger!C:C, "&lt;&gt;November Closing CF")
))</f>
        <v>0</v>
      </c>
      <c r="M70" s="70" cm="1">
        <f t="array" ref="M70">_xlfn.BYROW(B70, _xlfn.LAMBDA(_xlpm.party,
   SUMIFS(ledger!J:J, ledger!B:B, _xlpm.party, ledger!E:E, "&lt;&gt;*RD*", ledger!D:D, "Munaar", ledger!C:C, "&lt;&gt;November Closing CF")
))</f>
        <v>0</v>
      </c>
      <c r="N70" s="39">
        <f t="shared" si="4"/>
        <v>0</v>
      </c>
      <c r="O70" s="22">
        <f>SUMIF(Table14[Party], B70, Table14[Credit])</f>
        <v>0</v>
      </c>
      <c r="P70" s="37">
        <f t="shared" si="6"/>
        <v>0</v>
      </c>
      <c r="U70" s="4" t="s">
        <v>168</v>
      </c>
      <c r="V70" s="5">
        <v>0</v>
      </c>
      <c r="W70" s="18">
        <v>0</v>
      </c>
    </row>
    <row r="71" spans="2:23" x14ac:dyDescent="0.3">
      <c r="B71" s="81" t="str">
        <v>ibraheem behraam</v>
      </c>
      <c r="C71">
        <v>0</v>
      </c>
      <c r="D71">
        <v>0</v>
      </c>
      <c r="E71">
        <v>0</v>
      </c>
      <c r="F71">
        <v>0</v>
      </c>
      <c r="G71" s="22" cm="1">
        <f t="array" ref="G71">(_xlfn.BYROW(B71,_xlfn.LAMBDA(_xlpm.party,
(SUMIFS(ledger!J:J,ledger!B:B,_xlpm.party,ledger!E:E,"&lt;&gt;*RD*",ledger!D:D,"Chamki",ledger!C:C,"&lt;&gt;November Closing CF")+
SUMIFS(ledger!J:J,ledger!B:B,_xlpm.party,ledger!E:E,"&lt;&gt;*RD*",ledger!D:D,"Crinkle",ledger!C:C,"&lt;&gt;November Closing CF")
))))</f>
        <v>0</v>
      </c>
      <c r="H71" s="22" cm="1">
        <f t="array" ref="H71">_xlfn.BYROW(B71, _xlfn.LAMBDA(_xlpm.party,
   SUMIFS(ledger!J:J, ledger!B:B, _xlpm.party, ledger!E:E, "&lt;&gt;*RD*", ledger!D:D, "Silky", ledger!C:C, "&lt;&gt;November Closing CF")
))</f>
        <v>0</v>
      </c>
      <c r="I71" s="22" cm="1">
        <f t="array" ref="I71">_xlfn.BYROW(B71, _xlfn.LAMBDA(_xlpm.party,
   SUMIFS(ledger!J:J, ledger!B:B, _xlpm.party, ledger!E:E, "&lt;&gt;*RD*", ledger!D:D, "Slub", ledger!C:C, "&lt;&gt;November Closing CF")
))</f>
        <v>0</v>
      </c>
      <c r="J71" s="22" cm="1">
        <f t="array" ref="J71">_xlfn.BYROW(B71, _xlfn.LAMBDA(_xlpm.party,
   SUMIFS(ledger!J:J, ledger!B:B, _xlpm.party, ledger!E:E, "&lt;&gt;*RD*", ledger!D:D, "Satin", ledger!C:C, "&lt;&gt;November Closing CF")
))</f>
        <v>0</v>
      </c>
      <c r="K71" s="70" cm="1">
        <f t="array" ref="K71">_xlfn.BYROW(B71, _xlfn.LAMBDA(_xlpm.party,
   SUMIFS(ledger!J:J, ledger!B:B, _xlpm.party, ledger!E:E, "&lt;&gt;*RD*", ledger!D:D, "Black-chamki", ledger!C:C, "&lt;&gt;November Closing CF")
))</f>
        <v>0</v>
      </c>
      <c r="L71" s="70" cm="1">
        <f t="array" ref="L71">_xlfn.BYROW(B71, _xlfn.LAMBDA(_xlpm.party,
   SUMIFS(ledger!J:J, ledger!B:B, _xlpm.party, ledger!E:E, "&lt;&gt;*RD*", ledger!D:D, "Kataan", ledger!C:C, "&lt;&gt;November Closing CF")
))</f>
        <v>0</v>
      </c>
      <c r="M71" s="70" cm="1">
        <f t="array" ref="M71">_xlfn.BYROW(B71, _xlfn.LAMBDA(_xlpm.party,
   SUMIFS(ledger!J:J, ledger!B:B, _xlpm.party, ledger!E:E, "&lt;&gt;*RD*", ledger!D:D, "Munaar", ledger!C:C, "&lt;&gt;November Closing CF")
))</f>
        <v>0</v>
      </c>
      <c r="N71" s="39">
        <f t="shared" si="4"/>
        <v>0</v>
      </c>
      <c r="O71" s="22">
        <f>SUMIF(Table14[Party], B71, Table14[Credit])</f>
        <v>0</v>
      </c>
      <c r="P71" s="37">
        <f t="shared" si="6"/>
        <v>0</v>
      </c>
      <c r="U71" s="4" t="s">
        <v>170</v>
      </c>
      <c r="V71" s="5">
        <v>0</v>
      </c>
      <c r="W71" s="18">
        <v>0</v>
      </c>
    </row>
    <row r="72" spans="2:23" x14ac:dyDescent="0.3">
      <c r="B72" s="81" t="str">
        <v>Zia-ullah karachi</v>
      </c>
      <c r="C72">
        <v>0</v>
      </c>
      <c r="D72">
        <v>0</v>
      </c>
      <c r="E72">
        <v>0</v>
      </c>
      <c r="F72">
        <v>0</v>
      </c>
      <c r="G72" s="22" cm="1">
        <f t="array" ref="G72">(_xlfn.BYROW(B72,_xlfn.LAMBDA(_xlpm.party,
(SUMIFS(ledger!J:J,ledger!B:B,_xlpm.party,ledger!E:E,"&lt;&gt;*RD*",ledger!D:D,"Chamki",ledger!C:C,"&lt;&gt;November Closing CF")+
SUMIFS(ledger!J:J,ledger!B:B,_xlpm.party,ledger!E:E,"&lt;&gt;*RD*",ledger!D:D,"Crinkle",ledger!C:C,"&lt;&gt;November Closing CF")
))))</f>
        <v>0</v>
      </c>
      <c r="H72" s="22" cm="1">
        <f t="array" ref="H72">_xlfn.BYROW(B72, _xlfn.LAMBDA(_xlpm.party,
   SUMIFS(ledger!J:J, ledger!B:B, _xlpm.party, ledger!E:E, "&lt;&gt;*RD*", ledger!D:D, "Silky", ledger!C:C, "&lt;&gt;November Closing CF")
))</f>
        <v>0</v>
      </c>
      <c r="I72" s="22" cm="1">
        <f t="array" ref="I72">_xlfn.BYROW(B72, _xlfn.LAMBDA(_xlpm.party,
   SUMIFS(ledger!J:J, ledger!B:B, _xlpm.party, ledger!E:E, "&lt;&gt;*RD*", ledger!D:D, "Slub", ledger!C:C, "&lt;&gt;November Closing CF")
))</f>
        <v>0</v>
      </c>
      <c r="J72" s="22" cm="1">
        <f t="array" ref="J72">_xlfn.BYROW(B72, _xlfn.LAMBDA(_xlpm.party,
   SUMIFS(ledger!J:J, ledger!B:B, _xlpm.party, ledger!E:E, "&lt;&gt;*RD*", ledger!D:D, "Satin", ledger!C:C, "&lt;&gt;November Closing CF")
))</f>
        <v>0</v>
      </c>
      <c r="K72" s="70" cm="1">
        <f t="array" ref="K72">_xlfn.BYROW(B72, _xlfn.LAMBDA(_xlpm.party,
   SUMIFS(ledger!J:J, ledger!B:B, _xlpm.party, ledger!E:E, "&lt;&gt;*RD*", ledger!D:D, "Black-chamki", ledger!C:C, "&lt;&gt;November Closing CF")
))</f>
        <v>0</v>
      </c>
      <c r="L72" s="70" cm="1">
        <f t="array" ref="L72">_xlfn.BYROW(B72, _xlfn.LAMBDA(_xlpm.party,
   SUMIFS(ledger!J:J, ledger!B:B, _xlpm.party, ledger!E:E, "&lt;&gt;*RD*", ledger!D:D, "Kataan", ledger!C:C, "&lt;&gt;November Closing CF")
))</f>
        <v>0</v>
      </c>
      <c r="M72" s="70" cm="1">
        <f t="array" ref="M72">_xlfn.BYROW(B72, _xlfn.LAMBDA(_xlpm.party,
   SUMIFS(ledger!J:J, ledger!B:B, _xlpm.party, ledger!E:E, "&lt;&gt;*RD*", ledger!D:D, "Munaar", ledger!C:C, "&lt;&gt;November Closing CF")
))</f>
        <v>0</v>
      </c>
      <c r="N72" s="39">
        <f t="shared" si="4"/>
        <v>0</v>
      </c>
      <c r="O72" s="22">
        <f>SUMIF(Table14[Party], B72, Table14[Credit])</f>
        <v>0</v>
      </c>
      <c r="P72" s="37">
        <f t="shared" si="6"/>
        <v>0</v>
      </c>
      <c r="U72" s="4" t="s">
        <v>171</v>
      </c>
      <c r="V72" s="5">
        <v>0</v>
      </c>
      <c r="W72" s="18">
        <v>0</v>
      </c>
    </row>
    <row r="73" spans="2:23" x14ac:dyDescent="0.3">
      <c r="B73" s="81" t="str">
        <v>ZA</v>
      </c>
      <c r="C73">
        <v>0</v>
      </c>
      <c r="D73">
        <v>0</v>
      </c>
      <c r="E73">
        <v>0</v>
      </c>
      <c r="F73">
        <v>0</v>
      </c>
      <c r="G73" s="22" cm="1">
        <f t="array" ref="G73">(_xlfn.BYROW(B73,_xlfn.LAMBDA(_xlpm.party,
(SUMIFS(ledger!J:J,ledger!B:B,_xlpm.party,ledger!E:E,"&lt;&gt;*RD*",ledger!D:D,"Chamki",ledger!C:C,"&lt;&gt;November Closing CF")+
SUMIFS(ledger!J:J,ledger!B:B,_xlpm.party,ledger!E:E,"&lt;&gt;*RD*",ledger!D:D,"Crinkle",ledger!C:C,"&lt;&gt;November Closing CF")
))))</f>
        <v>0</v>
      </c>
      <c r="H73" s="22" cm="1">
        <f t="array" ref="H73">_xlfn.BYROW(B73, _xlfn.LAMBDA(_xlpm.party,
   SUMIFS(ledger!J:J, ledger!B:B, _xlpm.party, ledger!E:E, "&lt;&gt;*RD*", ledger!D:D, "Silky", ledger!C:C, "&lt;&gt;November Closing CF")
))</f>
        <v>0</v>
      </c>
      <c r="I73" s="22" cm="1">
        <f t="array" ref="I73">_xlfn.BYROW(B73, _xlfn.LAMBDA(_xlpm.party,
   SUMIFS(ledger!J:J, ledger!B:B, _xlpm.party, ledger!E:E, "&lt;&gt;*RD*", ledger!D:D, "Slub", ledger!C:C, "&lt;&gt;November Closing CF")
))</f>
        <v>0</v>
      </c>
      <c r="J73" s="22" cm="1">
        <f t="array" ref="J73">_xlfn.BYROW(B73, _xlfn.LAMBDA(_xlpm.party,
   SUMIFS(ledger!J:J, ledger!B:B, _xlpm.party, ledger!E:E, "&lt;&gt;*RD*", ledger!D:D, "Satin", ledger!C:C, "&lt;&gt;November Closing CF")
))</f>
        <v>0</v>
      </c>
      <c r="K73" s="70" cm="1">
        <f t="array" ref="K73">_xlfn.BYROW(B73, _xlfn.LAMBDA(_xlpm.party,
   SUMIFS(ledger!J:J, ledger!B:B, _xlpm.party, ledger!E:E, "&lt;&gt;*RD*", ledger!D:D, "Black-chamki", ledger!C:C, "&lt;&gt;November Closing CF")
))</f>
        <v>0</v>
      </c>
      <c r="L73" s="70" cm="1">
        <f t="array" ref="L73">_xlfn.BYROW(B73, _xlfn.LAMBDA(_xlpm.party,
   SUMIFS(ledger!J:J, ledger!B:B, _xlpm.party, ledger!E:E, "&lt;&gt;*RD*", ledger!D:D, "Kataan", ledger!C:C, "&lt;&gt;November Closing CF")
))</f>
        <v>0</v>
      </c>
      <c r="M73" s="70" cm="1">
        <f t="array" ref="M73">_xlfn.BYROW(B73, _xlfn.LAMBDA(_xlpm.party,
   SUMIFS(ledger!J:J, ledger!B:B, _xlpm.party, ledger!E:E, "&lt;&gt;*RD*", ledger!D:D, "Munaar", ledger!C:C, "&lt;&gt;November Closing CF")
))</f>
        <v>0</v>
      </c>
      <c r="N73" s="39">
        <f t="shared" si="4"/>
        <v>0</v>
      </c>
      <c r="O73" s="22">
        <f>SUMIF(Table14[Party], B73, Table14[Credit])</f>
        <v>0</v>
      </c>
      <c r="P73" s="37">
        <f t="shared" si="6"/>
        <v>0</v>
      </c>
      <c r="U73" s="4" t="s">
        <v>173</v>
      </c>
      <c r="V73" s="5">
        <v>0</v>
      </c>
      <c r="W73" s="18">
        <v>0</v>
      </c>
    </row>
    <row r="74" spans="2:23" x14ac:dyDescent="0.3">
      <c r="B74" s="81" t="str">
        <v>Ahmad Javaid</v>
      </c>
      <c r="C74">
        <v>8188</v>
      </c>
      <c r="D74">
        <v>7487.1982443306515</v>
      </c>
      <c r="E74">
        <v>0</v>
      </c>
      <c r="F74">
        <v>0</v>
      </c>
      <c r="G74" s="22" cm="1">
        <f t="array" ref="G74">(_xlfn.BYROW(B74,_xlfn.LAMBDA(_xlpm.party,
(SUMIFS(ledger!J:J,ledger!B:B,_xlpm.party,ledger!E:E,"&lt;&gt;*RD*",ledger!D:D,"Chamki",ledger!C:C,"&lt;&gt;November Closing CF")+
SUMIFS(ledger!J:J,ledger!B:B,_xlpm.party,ledger!E:E,"&lt;&gt;*RD*",ledger!D:D,"Crinkle",ledger!C:C,"&lt;&gt;November Closing CF")
))))</f>
        <v>0</v>
      </c>
      <c r="H74" s="22" cm="1">
        <f t="array" ref="H74">_xlfn.BYROW(B74, _xlfn.LAMBDA(_xlpm.party,
   SUMIFS(ledger!J:J, ledger!B:B, _xlpm.party, ledger!E:E, "&lt;&gt;*RD*", ledger!D:D, "Silky", ledger!C:C, "&lt;&gt;November Closing CF")
))</f>
        <v>0</v>
      </c>
      <c r="I74" s="22" cm="1">
        <f t="array" ref="I74">_xlfn.BYROW(B74, _xlfn.LAMBDA(_xlpm.party,
   SUMIFS(ledger!J:J, ledger!B:B, _xlpm.party, ledger!E:E, "&lt;&gt;*RD*", ledger!D:D, "Slub", ledger!C:C, "&lt;&gt;November Closing CF")
))</f>
        <v>0</v>
      </c>
      <c r="J74" s="22" cm="1">
        <f t="array" ref="J74">_xlfn.BYROW(B74, _xlfn.LAMBDA(_xlpm.party,
   SUMIFS(ledger!J:J, ledger!B:B, _xlpm.party, ledger!E:E, "&lt;&gt;*RD*", ledger!D:D, "Satin", ledger!C:C, "&lt;&gt;November Closing CF")
))</f>
        <v>0</v>
      </c>
      <c r="K74" s="70" cm="1">
        <f t="array" ref="K74">_xlfn.BYROW(B74, _xlfn.LAMBDA(_xlpm.party,
   SUMIFS(ledger!J:J, ledger!B:B, _xlpm.party, ledger!E:E, "&lt;&gt;*RD*", ledger!D:D, "Black-chamki", ledger!C:C, "&lt;&gt;November Closing CF")
))</f>
        <v>0</v>
      </c>
      <c r="L74" s="70" cm="1">
        <f t="array" ref="L74">_xlfn.BYROW(B74, _xlfn.LAMBDA(_xlpm.party,
   SUMIFS(ledger!J:J, ledger!B:B, _xlpm.party, ledger!E:E, "&lt;&gt;*RD*", ledger!D:D, "Kataan", ledger!C:C, "&lt;&gt;November Closing CF")
))</f>
        <v>0</v>
      </c>
      <c r="M74" s="70" cm="1">
        <f t="array" ref="M74">_xlfn.BYROW(B74, _xlfn.LAMBDA(_xlpm.party,
   SUMIFS(ledger!J:J, ledger!B:B, _xlpm.party, ledger!E:E, "&lt;&gt;*RD*", ledger!D:D, "Munaar", ledger!C:C, "&lt;&gt;November Closing CF")
))</f>
        <v>97333.577176298466</v>
      </c>
      <c r="N74" s="39">
        <f t="shared" si="4"/>
        <v>97333.577176298466</v>
      </c>
      <c r="O74" s="22">
        <f>SUMIF(Table14[Party], B74, Table14[Credit])</f>
        <v>0</v>
      </c>
      <c r="P74" s="37">
        <f t="shared" si="6"/>
        <v>97333.577176298466</v>
      </c>
      <c r="U74" s="4" t="s">
        <v>175</v>
      </c>
      <c r="V74" s="5">
        <v>0</v>
      </c>
      <c r="W74" s="18">
        <v>0</v>
      </c>
    </row>
    <row r="75" spans="2:23" x14ac:dyDescent="0.3">
      <c r="B75" s="81"/>
      <c r="G75" s="22" cm="1">
        <f t="array" ref="G75">(_xlfn.BYROW(B75,_xlfn.LAMBDA(_xlpm.party,
(SUMIFS(ledger!J:J,ledger!B:B,_xlpm.party,ledger!E:E,"&lt;&gt;*RD*",ledger!D:D,"Chamki",ledger!C:C,"&lt;&gt;November Closing CF")+
SUMIFS(ledger!J:J,ledger!B:B,_xlpm.party,ledger!E:E,"&lt;&gt;*RD*",ledger!D:D,"Crinkle",ledger!C:C,"&lt;&gt;November Closing CF")
))))</f>
        <v>0</v>
      </c>
      <c r="H75" s="22" cm="1">
        <f t="array" ref="H75">_xlfn.BYROW(B75, _xlfn.LAMBDA(_xlpm.party,
   SUMIFS(ledger!J:J, ledger!B:B, _xlpm.party, ledger!E:E, "&lt;&gt;*RD*", ledger!D:D, "Silky", ledger!C:C, "&lt;&gt;November Closing CF")
))</f>
        <v>0</v>
      </c>
      <c r="I75" s="22" cm="1">
        <f t="array" ref="I75">_xlfn.BYROW(B75, _xlfn.LAMBDA(_xlpm.party,
   SUMIFS(ledger!J:J, ledger!B:B, _xlpm.party, ledger!E:E, "&lt;&gt;*RD*", ledger!D:D, "Slub", ledger!C:C, "&lt;&gt;November Closing CF")
))</f>
        <v>0</v>
      </c>
      <c r="J75" s="22" cm="1">
        <f t="array" ref="J75">_xlfn.BYROW(B75, _xlfn.LAMBDA(_xlpm.party,
   SUMIFS(ledger!J:J, ledger!B:B, _xlpm.party, ledger!E:E, "&lt;&gt;*RD*", ledger!D:D, "Satin", ledger!C:C, "&lt;&gt;November Closing CF")
))</f>
        <v>0</v>
      </c>
      <c r="K75" s="70" cm="1">
        <f t="array" ref="K75">_xlfn.BYROW(B75, _xlfn.LAMBDA(_xlpm.party,
   SUMIFS(ledger!J:J, ledger!B:B, _xlpm.party, ledger!E:E, "&lt;&gt;*RD*", ledger!D:D, "Black-chamki", ledger!C:C, "&lt;&gt;November Closing CF")
))</f>
        <v>0</v>
      </c>
      <c r="L75" s="70" cm="1">
        <f t="array" ref="L75">_xlfn.BYROW(B75, _xlfn.LAMBDA(_xlpm.party,
   SUMIFS(ledger!J:J, ledger!B:B, _xlpm.party, ledger!E:E, "&lt;&gt;*RD*", ledger!D:D, "Kataan", ledger!C:C, "&lt;&gt;November Closing CF")
))</f>
        <v>0</v>
      </c>
      <c r="M75" s="70" cm="1">
        <f t="array" ref="M75">_xlfn.BYROW(B75, _xlfn.LAMBDA(_xlpm.party,
   SUMIFS(ledger!J:J, ledger!B:B, _xlpm.party, ledger!E:E, "&lt;&gt;*RD*", ledger!D:D, "Munaar", ledger!C:C, "&lt;&gt;November Closing CF")
))</f>
        <v>0</v>
      </c>
      <c r="N75" s="39">
        <f t="shared" si="4"/>
        <v>0</v>
      </c>
      <c r="O75" s="22">
        <f>SUMIF(Table14[Party], B75, Table14[Credit])</f>
        <v>0</v>
      </c>
      <c r="P75" s="37">
        <f t="shared" si="6"/>
        <v>0</v>
      </c>
      <c r="U75" s="4" t="s">
        <v>28</v>
      </c>
      <c r="V75" s="14">
        <v>636661.37746891007</v>
      </c>
      <c r="W75" s="14">
        <v>5332060.1682516467</v>
      </c>
    </row>
    <row r="76" spans="2:23" x14ac:dyDescent="0.3">
      <c r="G76" s="22" cm="1">
        <f t="array" ref="G76">(_xlfn.BYROW(B76,_xlfn.LAMBDA(_xlpm.party,
(SUMIFS(ledger!J:J,ledger!B:B,_xlpm.party,ledger!E:E,"&lt;&gt;*RD*",ledger!D:D,"Chamki",ledger!C:C,"&lt;&gt;November Closing CF")+
SUMIFS(ledger!J:J,ledger!B:B,_xlpm.party,ledger!E:E,"&lt;&gt;*RD*",ledger!D:D,"Crinkle",ledger!C:C,"&lt;&gt;November Closing CF")
))))</f>
        <v>0</v>
      </c>
      <c r="H76" s="22" cm="1">
        <f t="array" ref="H76">_xlfn.BYROW(B76, _xlfn.LAMBDA(_xlpm.party,
   SUMIFS(ledger!J:J, ledger!B:B, _xlpm.party, ledger!E:E, "&lt;&gt;*RD*", ledger!D:D, "Silky", ledger!C:C, "&lt;&gt;November Closing CF")
))</f>
        <v>0</v>
      </c>
      <c r="I76" s="22" cm="1">
        <f t="array" ref="I76">_xlfn.BYROW(B76, _xlfn.LAMBDA(_xlpm.party,
   SUMIFS(ledger!J:J, ledger!B:B, _xlpm.party, ledger!E:E, "&lt;&gt;*RD*", ledger!D:D, "Slub", ledger!C:C, "&lt;&gt;November Closing CF")
))</f>
        <v>0</v>
      </c>
      <c r="J76" s="22" cm="1">
        <f t="array" ref="J76">_xlfn.BYROW(B76, _xlfn.LAMBDA(_xlpm.party,
   SUMIFS(ledger!J:J, ledger!B:B, _xlpm.party, ledger!E:E, "&lt;&gt;*RD*", ledger!D:D, "Satin", ledger!C:C, "&lt;&gt;November Closing CF")
))</f>
        <v>0</v>
      </c>
      <c r="K76" s="70" cm="1">
        <f t="array" ref="K76">_xlfn.BYROW(B76, _xlfn.LAMBDA(_xlpm.party,
   SUMIFS(ledger!J:J, ledger!B:B, _xlpm.party, ledger!E:E, "&lt;&gt;*RD*", ledger!D:D, "Black-chamki", ledger!C:C, "&lt;&gt;November Closing CF")
))</f>
        <v>0</v>
      </c>
      <c r="L76" s="70" cm="1">
        <f t="array" ref="L76">_xlfn.BYROW(B76, _xlfn.LAMBDA(_xlpm.party,
   SUMIFS(ledger!J:J, ledger!B:B, _xlpm.party, ledger!E:E, "&lt;&gt;*RD*", ledger!D:D, "Kataan", ledger!C:C, "&lt;&gt;November Closing CF")
))</f>
        <v>0</v>
      </c>
      <c r="M76" s="70" cm="1">
        <f t="array" ref="M76">_xlfn.BYROW(B76, _xlfn.LAMBDA(_xlpm.party,
   SUMIFS(ledger!J:J, ledger!B:B, _xlpm.party, ledger!E:E, "&lt;&gt;*RD*", ledger!D:D, "Munaar", ledger!C:C, "&lt;&gt;November Closing CF")
))</f>
        <v>0</v>
      </c>
      <c r="N76" s="39">
        <f t="shared" si="4"/>
        <v>0</v>
      </c>
      <c r="O76" s="22">
        <f>SUMIF(Table14[Party], B76, Table14[Credit])</f>
        <v>0</v>
      </c>
      <c r="P76" s="37">
        <f t="shared" si="6"/>
        <v>0</v>
      </c>
    </row>
    <row r="77" spans="2:23" x14ac:dyDescent="0.3">
      <c r="G77" s="22" cm="1">
        <f t="array" ref="G77">(_xlfn.BYROW(B77,_xlfn.LAMBDA(_xlpm.party,
(SUMIFS(ledger!J:J,ledger!B:B,_xlpm.party,ledger!E:E,"&lt;&gt;*RD*",ledger!D:D,"Chamki",ledger!C:C,"&lt;&gt;November Closing CF")+
SUMIFS(ledger!J:J,ledger!B:B,_xlpm.party,ledger!E:E,"&lt;&gt;*RD*",ledger!D:D,"Crinkle",ledger!C:C,"&lt;&gt;November Closing CF")
))))</f>
        <v>0</v>
      </c>
      <c r="H77" s="22" cm="1">
        <f t="array" ref="H77">_xlfn.BYROW(B77, _xlfn.LAMBDA(_xlpm.party,
   SUMIFS(ledger!J:J, ledger!B:B, _xlpm.party, ledger!E:E, "&lt;&gt;*RD*", ledger!D:D, "Silky", ledger!C:C, "&lt;&gt;November Closing CF")
))</f>
        <v>0</v>
      </c>
      <c r="I77" s="22" cm="1">
        <f t="array" ref="I77">_xlfn.BYROW(B77, _xlfn.LAMBDA(_xlpm.party,
   SUMIFS(ledger!J:J, ledger!B:B, _xlpm.party, ledger!E:E, "&lt;&gt;*RD*", ledger!D:D, "Slub", ledger!C:C, "&lt;&gt;November Closing CF")
))</f>
        <v>0</v>
      </c>
      <c r="J77" s="22" cm="1">
        <f t="array" ref="J77">_xlfn.BYROW(B77, _xlfn.LAMBDA(_xlpm.party,
   SUMIFS(ledger!J:J, ledger!B:B, _xlpm.party, ledger!E:E, "&lt;&gt;*RD*", ledger!D:D, "Satin", ledger!C:C, "&lt;&gt;November Closing CF")
))</f>
        <v>0</v>
      </c>
      <c r="K77" s="70" cm="1">
        <f t="array" ref="K77">_xlfn.BYROW(B77, _xlfn.LAMBDA(_xlpm.party,
   SUMIFS(ledger!J:J, ledger!B:B, _xlpm.party, ledger!E:E, "&lt;&gt;*RD*", ledger!D:D, "Black-chamki", ledger!C:C, "&lt;&gt;November Closing CF")
))</f>
        <v>0</v>
      </c>
      <c r="L77" s="70" cm="1">
        <f t="array" ref="L77">_xlfn.BYROW(B77, _xlfn.LAMBDA(_xlpm.party,
   SUMIFS(ledger!J:J, ledger!B:B, _xlpm.party, ledger!E:E, "&lt;&gt;*RD*", ledger!D:D, "Kataan", ledger!C:C, "&lt;&gt;November Closing CF")
))</f>
        <v>0</v>
      </c>
      <c r="M77" s="70" cm="1">
        <f t="array" ref="M77">_xlfn.BYROW(B77, _xlfn.LAMBDA(_xlpm.party,
   SUMIFS(ledger!J:J, ledger!B:B, _xlpm.party, ledger!E:E, "&lt;&gt;*RD*", ledger!D:D, "Munaar", ledger!C:C, "&lt;&gt;November Closing CF")
))</f>
        <v>0</v>
      </c>
      <c r="N77" s="39">
        <f t="shared" si="4"/>
        <v>0</v>
      </c>
      <c r="O77" s="22">
        <f>SUMIF(Table14[Party], B77, Table14[Credit])</f>
        <v>0</v>
      </c>
      <c r="P77" s="37">
        <f t="shared" si="6"/>
        <v>0</v>
      </c>
    </row>
    <row r="78" spans="2:23" x14ac:dyDescent="0.3">
      <c r="G78" s="22" cm="1">
        <f t="array" ref="G78">(_xlfn.BYROW(B78,_xlfn.LAMBDA(_xlpm.party,
(SUMIFS(ledger!J:J,ledger!B:B,_xlpm.party,ledger!E:E,"&lt;&gt;*RD*",ledger!D:D,"Chamki",ledger!C:C,"&lt;&gt;November Closing CF")+
SUMIFS(ledger!J:J,ledger!B:B,_xlpm.party,ledger!E:E,"&lt;&gt;*RD*",ledger!D:D,"Crinkle",ledger!C:C,"&lt;&gt;November Closing CF")
))))</f>
        <v>0</v>
      </c>
      <c r="H78" s="22" cm="1">
        <f t="array" ref="H78">_xlfn.BYROW(B78, _xlfn.LAMBDA(_xlpm.party,
   SUMIFS(ledger!J:J, ledger!B:B, _xlpm.party, ledger!E:E, "&lt;&gt;*RD*", ledger!D:D, "Silky", ledger!C:C, "&lt;&gt;November Closing CF")
))</f>
        <v>0</v>
      </c>
      <c r="I78" s="22" cm="1">
        <f t="array" ref="I78">_xlfn.BYROW(B78, _xlfn.LAMBDA(_xlpm.party,
   SUMIFS(ledger!J:J, ledger!B:B, _xlpm.party, ledger!E:E, "&lt;&gt;*RD*", ledger!D:D, "Slub", ledger!C:C, "&lt;&gt;November Closing CF")
))</f>
        <v>0</v>
      </c>
      <c r="J78" s="22" cm="1">
        <f t="array" ref="J78">_xlfn.BYROW(B78, _xlfn.LAMBDA(_xlpm.party,
   SUMIFS(ledger!J:J, ledger!B:B, _xlpm.party, ledger!E:E, "&lt;&gt;*RD*", ledger!D:D, "Satin", ledger!C:C, "&lt;&gt;November Closing CF")
))</f>
        <v>0</v>
      </c>
      <c r="K78" s="70" cm="1">
        <f t="array" ref="K78">_xlfn.BYROW(B78, _xlfn.LAMBDA(_xlpm.party,
   SUMIFS(ledger!J:J, ledger!B:B, _xlpm.party, ledger!E:E, "&lt;&gt;*RD*", ledger!D:D, "Black-chamki", ledger!C:C, "&lt;&gt;November Closing CF")
))</f>
        <v>0</v>
      </c>
      <c r="L78" s="70" cm="1">
        <f t="array" ref="L78">_xlfn.BYROW(B78, _xlfn.LAMBDA(_xlpm.party,
   SUMIFS(ledger!J:J, ledger!B:B, _xlpm.party, ledger!E:E, "&lt;&gt;*RD*", ledger!D:D, "Kataan", ledger!C:C, "&lt;&gt;November Closing CF")
))</f>
        <v>0</v>
      </c>
      <c r="M78" s="70" cm="1">
        <f t="array" ref="M78">_xlfn.BYROW(B78, _xlfn.LAMBDA(_xlpm.party,
   SUMIFS(ledger!J:J, ledger!B:B, _xlpm.party, ledger!E:E, "&lt;&gt;*RD*", ledger!D:D, "Munaar", ledger!C:C, "&lt;&gt;November Closing CF")
))</f>
        <v>0</v>
      </c>
      <c r="N78" s="39">
        <f t="shared" si="4"/>
        <v>0</v>
      </c>
      <c r="O78" s="22">
        <f>SUMIF(Table14[Party], B78, Table14[Credit])</f>
        <v>0</v>
      </c>
      <c r="P78" s="37">
        <f t="shared" si="6"/>
        <v>0</v>
      </c>
    </row>
    <row r="79" spans="2:23" x14ac:dyDescent="0.3">
      <c r="G79" s="22" cm="1">
        <f t="array" ref="G79">(_xlfn.BYROW(B79,_xlfn.LAMBDA(_xlpm.party,
(SUMIFS(ledger!J:J,ledger!B:B,_xlpm.party,ledger!E:E,"&lt;&gt;*RD*",ledger!D:D,"Chamki",ledger!C:C,"&lt;&gt;November Closing CF")+
SUMIFS(ledger!J:J,ledger!B:B,_xlpm.party,ledger!E:E,"&lt;&gt;*RD*",ledger!D:D,"Crinkle",ledger!C:C,"&lt;&gt;November Closing CF")
))))</f>
        <v>0</v>
      </c>
      <c r="H79" s="22" cm="1">
        <f t="array" ref="H79">_xlfn.BYROW(B79, _xlfn.LAMBDA(_xlpm.party,
   SUMIFS(ledger!J:J, ledger!B:B, _xlpm.party, ledger!E:E, "&lt;&gt;*RD*", ledger!D:D, "Silky", ledger!C:C, "&lt;&gt;November Closing CF")
))</f>
        <v>0</v>
      </c>
      <c r="I79" s="22" cm="1">
        <f t="array" ref="I79">_xlfn.BYROW(B79, _xlfn.LAMBDA(_xlpm.party,
   SUMIFS(ledger!J:J, ledger!B:B, _xlpm.party, ledger!E:E, "&lt;&gt;*RD*", ledger!D:D, "Slub", ledger!C:C, "&lt;&gt;November Closing CF")
))</f>
        <v>0</v>
      </c>
      <c r="J79" s="22" cm="1">
        <f t="array" ref="J79">_xlfn.BYROW(B79, _xlfn.LAMBDA(_xlpm.party,
   SUMIFS(ledger!J:J, ledger!B:B, _xlpm.party, ledger!E:E, "&lt;&gt;*RD*", ledger!D:D, "Satin", ledger!C:C, "&lt;&gt;November Closing CF")
))</f>
        <v>0</v>
      </c>
      <c r="K79" s="70" cm="1">
        <f t="array" ref="K79">_xlfn.BYROW(B79, _xlfn.LAMBDA(_xlpm.party,
   SUMIFS(ledger!J:J, ledger!B:B, _xlpm.party, ledger!E:E, "&lt;&gt;*RD*", ledger!D:D, "Black-chamki", ledger!C:C, "&lt;&gt;November Closing CF")
))</f>
        <v>0</v>
      </c>
      <c r="L79" s="70" cm="1">
        <f t="array" ref="L79">_xlfn.BYROW(B79, _xlfn.LAMBDA(_xlpm.party,
   SUMIFS(ledger!J:J, ledger!B:B, _xlpm.party, ledger!E:E, "&lt;&gt;*RD*", ledger!D:D, "Kataan", ledger!C:C, "&lt;&gt;November Closing CF")
))</f>
        <v>0</v>
      </c>
      <c r="M79" s="70" cm="1">
        <f t="array" ref="M79">_xlfn.BYROW(B79, _xlfn.LAMBDA(_xlpm.party,
   SUMIFS(ledger!J:J, ledger!B:B, _xlpm.party, ledger!E:E, "&lt;&gt;*RD*", ledger!D:D, "Munaar", ledger!C:C, "&lt;&gt;November Closing CF")
))</f>
        <v>0</v>
      </c>
      <c r="N79" s="39">
        <f t="shared" si="4"/>
        <v>0</v>
      </c>
    </row>
    <row r="81" spans="2:18" x14ac:dyDescent="0.3">
      <c r="B81" t="s">
        <v>154</v>
      </c>
    </row>
    <row r="83" spans="2:18" x14ac:dyDescent="0.3">
      <c r="B83" t="s">
        <v>33</v>
      </c>
      <c r="C83" s="23" t="s">
        <v>10</v>
      </c>
      <c r="D83" s="23" t="s">
        <v>11</v>
      </c>
      <c r="E83" s="23" t="s">
        <v>12</v>
      </c>
      <c r="F83" s="23" t="s">
        <v>13</v>
      </c>
      <c r="G83" s="23" t="s">
        <v>14</v>
      </c>
      <c r="H83" s="23" t="s">
        <v>15</v>
      </c>
      <c r="I83" s="23" t="s">
        <v>213</v>
      </c>
      <c r="J83" s="23" t="s">
        <v>181</v>
      </c>
      <c r="K83" s="115" t="s">
        <v>214</v>
      </c>
      <c r="L83" s="115" t="s">
        <v>215</v>
      </c>
      <c r="M83" s="115" t="s">
        <v>210</v>
      </c>
      <c r="N83" s="23" t="s">
        <v>16</v>
      </c>
      <c r="O83" s="23" t="s">
        <v>17</v>
      </c>
      <c r="P83" s="23" t="s">
        <v>18</v>
      </c>
      <c r="Q83" s="23" t="s">
        <v>19</v>
      </c>
      <c r="R83" s="23" t="s">
        <v>20</v>
      </c>
    </row>
    <row r="84" spans="2:18" x14ac:dyDescent="0.3">
      <c r="B84" s="24" t="str" cm="1">
        <f t="array" ref="B84:B109">_xlfn.UNIQUE(Table1[Party Name])</f>
        <v>BSC</v>
      </c>
      <c r="C84" s="22">
        <f>_xlfn.XLOOKUP($B49,[1]Billing!$Q$5:$Q$40,[1]Billing!$R$5:$R$40)</f>
        <v>2534939</v>
      </c>
      <c r="D84" s="22">
        <f>_xlfn.XLOOKUP($B49,[1]Billing!$Q$5:$Q$40,[1]Billing!$S$5:$S$40)</f>
        <v>2317976.408193124</v>
      </c>
      <c r="E84" s="22">
        <f>_xlfn.XLOOKUP($B49,[1]Billing!$Q$5:$Q$40,[1]Billing!$T$5:$T$40)</f>
        <v>2035507.4981711779</v>
      </c>
      <c r="F84" s="22">
        <f>_xlfn.XLOOKUP($B49,[1]Billing!$Q$5:$Q$40,[1]Billing!$U$5:$U$40)</f>
        <v>282468.91002194589</v>
      </c>
      <c r="G84" s="22">
        <f>_xlfn.XLOOKUP($B49,[1]Billing!$Q$5:$Q$40,[1]Billing!$V$5:$V$40)</f>
        <v>20355074.981711783</v>
      </c>
      <c r="H84" s="22">
        <f>_xlfn.XLOOKUP($B49,[1]Billing!$Q$5:$Q$40,[1]Billing!$W$5:$W$40)</f>
        <v>3583739.941477689</v>
      </c>
      <c r="I84" s="22">
        <f>_xlfn.XLOOKUP($B49,[1]Billing!$Q$5:$Q$40,[1]Billing!$X$5:$X$40)</f>
        <v>0</v>
      </c>
      <c r="J84" s="22">
        <f>_xlfn.XLOOKUP($B49,[1]Billing!$Q$5:$Q$40,[1]Billing!$Y$5:$Y$40)</f>
        <v>0</v>
      </c>
      <c r="K84">
        <f>_xlfn.XLOOKUP($B49,[1]Billing!$Q$5:$Q$40,[1]Billing!$Z$5:$Z$40)</f>
        <v>0</v>
      </c>
      <c r="L84">
        <f>_xlfn.XLOOKUP($B49,[1]Billing!$Q$5:$Q$40,[1]Billing!$AA$5:$AA$40)</f>
        <v>0</v>
      </c>
      <c r="M84">
        <f>_xlfn.XLOOKUP($B49,[1]Billing!$Q$5:$Q$40,[1]Billing!$AB$5:$AB$40)</f>
        <v>0</v>
      </c>
      <c r="N84" s="39">
        <f>G84+H84+I84+J84+K84+L84+M84</f>
        <v>23938814.923189472</v>
      </c>
      <c r="O84" s="22">
        <f>_xlfn.XLOOKUP($B49,[1]Billing!$Q$5:$Q$40,[1]Billing!$AD$5:$AD$40)</f>
        <v>19750734</v>
      </c>
      <c r="P84" s="37">
        <f>N84-O84</f>
        <v>4188080.9231894724</v>
      </c>
      <c r="Q84" s="21">
        <v>10</v>
      </c>
      <c r="R84" s="21">
        <v>13</v>
      </c>
    </row>
    <row r="85" spans="2:18" x14ac:dyDescent="0.3">
      <c r="B85" s="24" t="str">
        <v>Ejaz Sahab</v>
      </c>
      <c r="C85" s="22">
        <f>_xlfn.XLOOKUP($B50,[1]Billing!$Q$5:$Q$40,[1]Billing!$R$5:$R$40)</f>
        <v>393394</v>
      </c>
      <c r="D85" s="22">
        <f>_xlfn.XLOOKUP($B50,[1]Billing!$Q$5:$Q$40,[1]Billing!$S$5:$S$40)</f>
        <v>359723.84784198983</v>
      </c>
      <c r="E85" s="22">
        <f>_xlfn.XLOOKUP($B50,[1]Billing!$Q$5:$Q$40,[1]Billing!$T$5:$T$40)</f>
        <v>148145.57425018289</v>
      </c>
      <c r="F85" s="22">
        <f>_xlfn.XLOOKUP($B50,[1]Billing!$Q$5:$Q$40,[1]Billing!$U$5:$U$40)</f>
        <v>211578.27359180688</v>
      </c>
      <c r="G85" s="22">
        <f>_xlfn.XLOOKUP($B50,[1]Billing!$Q$5:$Q$40,[1]Billing!$V$5:$V$40)</f>
        <v>1481455.7425018288</v>
      </c>
      <c r="H85" s="22">
        <f>_xlfn.XLOOKUP($B50,[1]Billing!$Q$5:$Q$40,[1]Billing!$W$5:$W$40)</f>
        <v>2691373.4455010975</v>
      </c>
      <c r="I85" s="22">
        <f>_xlfn.XLOOKUP($B50,[1]Billing!$Q$5:$Q$40,[1]Billing!$X$5:$X$40)</f>
        <v>0</v>
      </c>
      <c r="J85" s="22">
        <f>_xlfn.XLOOKUP($B50,[1]Billing!$Q$5:$Q$40,[1]Billing!$Y$5:$Y$40)</f>
        <v>0</v>
      </c>
      <c r="K85">
        <f>_xlfn.XLOOKUP($B50,[1]Billing!$Q$5:$Q$40,[1]Billing!$Z$5:$Z$40)</f>
        <v>0</v>
      </c>
      <c r="L85">
        <f>_xlfn.XLOOKUP($B50,[1]Billing!$Q$5:$Q$40,[1]Billing!$AA$5:$AA$40)</f>
        <v>0</v>
      </c>
      <c r="M85">
        <f>_xlfn.XLOOKUP($B50,[1]Billing!$Q$5:$Q$40,[1]Billing!$AB$5:$AB$40)</f>
        <v>0</v>
      </c>
      <c r="N85" s="39">
        <f t="shared" ref="N85:N109" si="7">G85+H85+I85+J85+K85+L85+M85</f>
        <v>4172829.1880029263</v>
      </c>
      <c r="O85" s="22">
        <f>_xlfn.XLOOKUP($B50,[1]Billing!$Q$5:$Q$40,[1]Billing!$AD$5:$AD$40)</f>
        <v>3963904</v>
      </c>
      <c r="P85" s="37">
        <f>N85-O85</f>
        <v>208925.1880029263</v>
      </c>
      <c r="Q85" s="21">
        <v>10</v>
      </c>
      <c r="R85" s="21">
        <v>13</v>
      </c>
    </row>
    <row r="86" spans="2:18" x14ac:dyDescent="0.3">
      <c r="B86" s="24" t="str">
        <v>Arshad</v>
      </c>
      <c r="C86" s="22">
        <f>_xlfn.XLOOKUP($B51,[1]Billing!$Q$5:$Q$40,[1]Billing!$R$5:$R$40)</f>
        <v>657148</v>
      </c>
      <c r="D86" s="22">
        <f>_xlfn.XLOOKUP($B51,[1]Billing!$Q$5:$Q$40,[1]Billing!$S$5:$S$40)</f>
        <v>600903.43818580837</v>
      </c>
      <c r="E86" s="22">
        <f>_xlfn.XLOOKUP($B51,[1]Billing!$Q$5:$Q$40,[1]Billing!$T$5:$T$40)</f>
        <v>522790.78273591812</v>
      </c>
      <c r="F86" s="22">
        <f>_xlfn.XLOOKUP($B51,[1]Billing!$Q$5:$Q$40,[1]Billing!$U$5:$U$40)</f>
        <v>78112.65544989027</v>
      </c>
      <c r="G86" s="22">
        <f>_xlfn.XLOOKUP($B51,[1]Billing!$Q$5:$Q$40,[1]Billing!$V$5:$V$40)</f>
        <v>5227907.8273591809</v>
      </c>
      <c r="H86" s="22">
        <f>_xlfn.XLOOKUP($B51,[1]Billing!$Q$5:$Q$40,[1]Billing!$W$5:$W$40)</f>
        <v>1000670.2633504025</v>
      </c>
      <c r="I86" s="22">
        <f>_xlfn.XLOOKUP($B51,[1]Billing!$Q$5:$Q$40,[1]Billing!$X$5:$X$40)</f>
        <v>0</v>
      </c>
      <c r="J86" s="22">
        <f>_xlfn.XLOOKUP($B51,[1]Billing!$Q$5:$Q$40,[1]Billing!$Y$5:$Y$40)</f>
        <v>0</v>
      </c>
      <c r="K86">
        <f>_xlfn.XLOOKUP($B51,[1]Billing!$Q$5:$Q$40,[1]Billing!$Z$5:$Z$40)</f>
        <v>0</v>
      </c>
      <c r="L86">
        <f>_xlfn.XLOOKUP($B51,[1]Billing!$Q$5:$Q$40,[1]Billing!$AA$5:$AA$40)</f>
        <v>0</v>
      </c>
      <c r="M86">
        <f>_xlfn.XLOOKUP($B51,[1]Billing!$Q$5:$Q$40,[1]Billing!$AB$5:$AB$40)</f>
        <v>0</v>
      </c>
      <c r="N86" s="39">
        <f t="shared" si="7"/>
        <v>6228578.0907095838</v>
      </c>
      <c r="O86" s="22">
        <f>_xlfn.XLOOKUP($B51,[1]Billing!$Q$5:$Q$40,[1]Billing!$AD$5:$AD$40)</f>
        <v>6002935</v>
      </c>
      <c r="P86" s="37">
        <f>N86-O86</f>
        <v>225643.09070958383</v>
      </c>
      <c r="Q86" s="21">
        <v>10</v>
      </c>
      <c r="R86" s="21">
        <v>13</v>
      </c>
    </row>
    <row r="87" spans="2:18" x14ac:dyDescent="0.3">
      <c r="B87" s="24" t="str">
        <v>Shehzad Kamoki</v>
      </c>
      <c r="C87" s="22">
        <f>_xlfn.XLOOKUP($B52,[1]Billing!$Q$5:$Q$40,[1]Billing!$R$5:$R$40)</f>
        <v>134607</v>
      </c>
      <c r="D87" s="22">
        <f>_xlfn.XLOOKUP($B52,[1]Billing!$Q$5:$Q$40,[1]Billing!$S$5:$S$40)</f>
        <v>123086.13752743235</v>
      </c>
      <c r="E87" s="22">
        <f>_xlfn.XLOOKUP($B52,[1]Billing!$Q$5:$Q$40,[1]Billing!$T$5:$T$40)</f>
        <v>123086.13752743235</v>
      </c>
      <c r="F87" s="22">
        <f>_xlfn.XLOOKUP($B52,[1]Billing!$Q$5:$Q$40,[1]Billing!$U$5:$U$40)</f>
        <v>0</v>
      </c>
      <c r="G87" s="22">
        <f>_xlfn.XLOOKUP($B52,[1]Billing!$Q$5:$Q$40,[1]Billing!$V$5:$V$40)</f>
        <v>1269270.3440380397</v>
      </c>
      <c r="H87" s="22">
        <f>_xlfn.XLOOKUP($B52,[1]Billing!$Q$5:$Q$40,[1]Billing!$W$5:$W$40)</f>
        <v>0</v>
      </c>
      <c r="I87" s="22">
        <f>_xlfn.XLOOKUP($B52,[1]Billing!$Q$5:$Q$40,[1]Billing!$X$5:$X$40)</f>
        <v>0</v>
      </c>
      <c r="J87" s="22">
        <f>_xlfn.XLOOKUP($B52,[1]Billing!$Q$5:$Q$40,[1]Billing!$Y$5:$Y$40)</f>
        <v>0</v>
      </c>
      <c r="K87">
        <f>_xlfn.XLOOKUP($B52,[1]Billing!$Q$5:$Q$40,[1]Billing!$Z$5:$Z$40)</f>
        <v>0</v>
      </c>
      <c r="L87">
        <f>_xlfn.XLOOKUP($B52,[1]Billing!$Q$5:$Q$40,[1]Billing!$AA$5:$AA$40)</f>
        <v>0</v>
      </c>
      <c r="M87">
        <f>_xlfn.XLOOKUP($B52,[1]Billing!$Q$5:$Q$40,[1]Billing!$AB$5:$AB$40)</f>
        <v>0</v>
      </c>
      <c r="N87" s="39">
        <f t="shared" si="7"/>
        <v>1269270.3440380397</v>
      </c>
      <c r="O87" s="22">
        <f>_xlfn.XLOOKUP($B52,[1]Billing!$Q$5:$Q$40,[1]Billing!$AD$5:$AD$40)</f>
        <v>1268740</v>
      </c>
      <c r="P87" s="37">
        <f t="shared" ref="P87:P109" si="8">N87-O87</f>
        <v>530.34403803967871</v>
      </c>
      <c r="Q87" s="21">
        <v>10.5</v>
      </c>
      <c r="R87" s="21">
        <v>13</v>
      </c>
    </row>
    <row r="88" spans="2:18" x14ac:dyDescent="0.3">
      <c r="B88" s="24" t="str">
        <v>Sufi Nawaz Sahab</v>
      </c>
      <c r="C88" s="22">
        <f>_xlfn.XLOOKUP($B53,[1]Billing!$Q$5:$Q$40,[1]Billing!$R$5:$R$40)</f>
        <v>1186725</v>
      </c>
      <c r="D88" s="22">
        <f>_xlfn.XLOOKUP($B53,[1]Billing!$Q$5:$Q$40,[1]Billing!$S$5:$S$40)</f>
        <v>1085154.5354791514</v>
      </c>
      <c r="E88" s="22">
        <f>_xlfn.XLOOKUP($B53,[1]Billing!$Q$5:$Q$40,[1]Billing!$T$5:$T$40)</f>
        <v>599330.65106071695</v>
      </c>
      <c r="F88" s="22">
        <f>_xlfn.XLOOKUP($B53,[1]Billing!$Q$5:$Q$40,[1]Billing!$U$5:$U$40)</f>
        <v>485823.88441843458</v>
      </c>
      <c r="G88" s="22">
        <f>_xlfn.XLOOKUP($B53,[1]Billing!$Q$5:$Q$40,[1]Billing!$V$5:$V$40)</f>
        <v>5408917.8595464528</v>
      </c>
      <c r="H88" s="22">
        <f>_xlfn.XLOOKUP($B53,[1]Billing!$Q$5:$Q$40,[1]Billing!$W$5:$W$40)</f>
        <v>5829886.6130212145</v>
      </c>
      <c r="I88" s="22">
        <f>_xlfn.XLOOKUP($B53,[1]Billing!$Q$5:$Q$40,[1]Billing!$X$5:$X$40)</f>
        <v>0</v>
      </c>
      <c r="J88" s="22">
        <f>_xlfn.XLOOKUP($B53,[1]Billing!$Q$5:$Q$40,[1]Billing!$Y$5:$Y$40)</f>
        <v>0</v>
      </c>
      <c r="K88">
        <f>_xlfn.XLOOKUP($B53,[1]Billing!$Q$5:$Q$40,[1]Billing!$Z$5:$Z$40)</f>
        <v>0</v>
      </c>
      <c r="L88">
        <f>_xlfn.XLOOKUP($B53,[1]Billing!$Q$5:$Q$40,[1]Billing!$AA$5:$AA$40)</f>
        <v>0</v>
      </c>
      <c r="M88">
        <f>_xlfn.XLOOKUP($B53,[1]Billing!$Q$5:$Q$40,[1]Billing!$AB$5:$AB$40)</f>
        <v>0</v>
      </c>
      <c r="N88" s="39">
        <f t="shared" si="7"/>
        <v>11238804.472567666</v>
      </c>
      <c r="O88" s="22">
        <f>_xlfn.XLOOKUP($B53,[1]Billing!$Q$5:$Q$40,[1]Billing!$AD$5:$AD$40)</f>
        <v>10629100</v>
      </c>
      <c r="P88" s="37">
        <f t="shared" si="8"/>
        <v>609704.47256766632</v>
      </c>
      <c r="Q88" s="21">
        <v>10</v>
      </c>
      <c r="R88" s="21">
        <v>13</v>
      </c>
    </row>
    <row r="89" spans="2:18" x14ac:dyDescent="0.3">
      <c r="B89" s="24" t="str">
        <v>Sajad Khan</v>
      </c>
      <c r="C89" s="22">
        <f>_xlfn.XLOOKUP($B54,[1]Billing!$Q$5:$Q$40,[1]Billing!$R$5:$R$40)</f>
        <v>865551</v>
      </c>
      <c r="D89" s="22">
        <f>_xlfn.XLOOKUP($B54,[1]Billing!$Q$5:$Q$40,[1]Billing!$S$5:$S$40)</f>
        <v>791469.45866861753</v>
      </c>
      <c r="E89" s="22">
        <f>_xlfn.XLOOKUP($B54,[1]Billing!$Q$5:$Q$40,[1]Billing!$T$5:$T$40)</f>
        <v>785980.24871982448</v>
      </c>
      <c r="F89" s="22">
        <f>_xlfn.XLOOKUP($B54,[1]Billing!$Q$5:$Q$40,[1]Billing!$U$5:$U$40)</f>
        <v>0</v>
      </c>
      <c r="G89" s="22">
        <f>_xlfn.XLOOKUP($B54,[1]Billing!$Q$5:$Q$40,[1]Billing!$V$5:$V$40)</f>
        <v>7859802.4871982448</v>
      </c>
      <c r="H89" s="22">
        <f>_xlfn.XLOOKUP($B54,[1]Billing!$Q$5:$Q$40,[1]Billing!$W$5:$W$40)</f>
        <v>0</v>
      </c>
      <c r="I89" s="22">
        <f>_xlfn.XLOOKUP($B54,[1]Billing!$Q$5:$Q$40,[1]Billing!$X$5:$X$40)</f>
        <v>71359.729334308722</v>
      </c>
      <c r="J89" s="22">
        <f>_xlfn.XLOOKUP($B54,[1]Billing!$Q$5:$Q$40,[1]Billing!$Y$5:$Y$40)</f>
        <v>0</v>
      </c>
      <c r="K89">
        <f>_xlfn.XLOOKUP($B54,[1]Billing!$Q$5:$Q$40,[1]Billing!$Z$5:$Z$40)</f>
        <v>0</v>
      </c>
      <c r="L89">
        <f>_xlfn.XLOOKUP($B54,[1]Billing!$Q$5:$Q$40,[1]Billing!$AA$5:$AA$40)</f>
        <v>0</v>
      </c>
      <c r="M89">
        <f>_xlfn.XLOOKUP($B54,[1]Billing!$Q$5:$Q$40,[1]Billing!$AB$5:$AB$40)</f>
        <v>0</v>
      </c>
      <c r="N89" s="39">
        <f t="shared" si="7"/>
        <v>7931162.2165325535</v>
      </c>
      <c r="O89" s="22">
        <f>_xlfn.XLOOKUP($B54,[1]Billing!$Q$5:$Q$40,[1]Billing!$AD$5:$AD$40)</f>
        <v>7397871</v>
      </c>
      <c r="P89" s="37">
        <f t="shared" si="8"/>
        <v>533291.21653255355</v>
      </c>
      <c r="Q89" s="21">
        <v>10</v>
      </c>
      <c r="R89" s="21">
        <v>13</v>
      </c>
    </row>
    <row r="90" spans="2:18" x14ac:dyDescent="0.3">
      <c r="B90" s="24" t="str">
        <v>Raaz Fabrics</v>
      </c>
      <c r="C90" s="22">
        <f>_xlfn.XLOOKUP($B55,[1]Billing!$Q$5:$Q$40,[1]Billing!$R$5:$R$40)</f>
        <v>152434</v>
      </c>
      <c r="D90" s="22">
        <f>_xlfn.XLOOKUP($B55,[1]Billing!$Q$5:$Q$40,[1]Billing!$S$5:$S$40)</f>
        <v>139387.34455010976</v>
      </c>
      <c r="E90" s="22">
        <f>_xlfn.XLOOKUP($B55,[1]Billing!$Q$5:$Q$40,[1]Billing!$T$5:$T$40)</f>
        <v>139387.34455010976</v>
      </c>
      <c r="F90" s="22">
        <f>_xlfn.XLOOKUP($B55,[1]Billing!$Q$5:$Q$40,[1]Billing!$U$5:$U$40)</f>
        <v>0</v>
      </c>
      <c r="G90" s="22">
        <f>_xlfn.XLOOKUP($B55,[1]Billing!$Q$5:$Q$40,[1]Billing!$V$5:$V$40)</f>
        <v>1393873.4455010975</v>
      </c>
      <c r="H90" s="22">
        <f>_xlfn.XLOOKUP($B55,[1]Billing!$Q$5:$Q$40,[1]Billing!$W$5:$W$40)</f>
        <v>0</v>
      </c>
      <c r="I90" s="22">
        <f>_xlfn.XLOOKUP($B55,[1]Billing!$Q$5:$Q$40,[1]Billing!$X$5:$X$40)</f>
        <v>0</v>
      </c>
      <c r="J90" s="22">
        <f>_xlfn.XLOOKUP($B55,[1]Billing!$Q$5:$Q$40,[1]Billing!$Y$5:$Y$40)</f>
        <v>0</v>
      </c>
      <c r="K90">
        <f>_xlfn.XLOOKUP($B55,[1]Billing!$Q$5:$Q$40,[1]Billing!$Z$5:$Z$40)</f>
        <v>0</v>
      </c>
      <c r="L90">
        <f>_xlfn.XLOOKUP($B55,[1]Billing!$Q$5:$Q$40,[1]Billing!$AA$5:$AA$40)</f>
        <v>0</v>
      </c>
      <c r="M90">
        <f>_xlfn.XLOOKUP($B55,[1]Billing!$Q$5:$Q$40,[1]Billing!$AB$5:$AB$40)</f>
        <v>0</v>
      </c>
      <c r="N90" s="39">
        <f t="shared" si="7"/>
        <v>1393873.4455010975</v>
      </c>
      <c r="O90" s="22">
        <f>_xlfn.XLOOKUP($B55,[1]Billing!$Q$5:$Q$40,[1]Billing!$AD$5:$AD$40)</f>
        <v>1100000</v>
      </c>
      <c r="P90" s="37">
        <f t="shared" si="8"/>
        <v>293873.44550109748</v>
      </c>
      <c r="Q90" s="21">
        <v>10</v>
      </c>
      <c r="R90" s="21">
        <v>13</v>
      </c>
    </row>
    <row r="91" spans="2:18" x14ac:dyDescent="0.3">
      <c r="B91" s="24" t="str">
        <v>Azam</v>
      </c>
      <c r="C91" s="22">
        <f>_xlfn.XLOOKUP($B56,[1]Billing!$Q$5:$Q$40,[1]Billing!$R$5:$R$40)</f>
        <v>361607</v>
      </c>
      <c r="D91" s="22">
        <f>_xlfn.XLOOKUP($B56,[1]Billing!$Q$5:$Q$40,[1]Billing!$S$5:$S$40)</f>
        <v>330657.46159473306</v>
      </c>
      <c r="E91" s="22">
        <f>_xlfn.XLOOKUP($B56,[1]Billing!$Q$5:$Q$40,[1]Billing!$T$5:$T$40)</f>
        <v>305469.09290416975</v>
      </c>
      <c r="F91" s="22">
        <f>_xlfn.XLOOKUP($B56,[1]Billing!$Q$5:$Q$40,[1]Billing!$U$5:$U$40)</f>
        <v>25188.368690563279</v>
      </c>
      <c r="G91" s="22">
        <f>_xlfn.XLOOKUP($B56,[1]Billing!$Q$5:$Q$40,[1]Billing!$V$5:$V$40)</f>
        <v>3054690.9290416976</v>
      </c>
      <c r="H91" s="22">
        <f>_xlfn.XLOOKUP($B56,[1]Billing!$Q$5:$Q$40,[1]Billing!$W$5:$W$40)</f>
        <v>327448.79297732259</v>
      </c>
      <c r="I91" s="22">
        <f>_xlfn.XLOOKUP($B56,[1]Billing!$Q$5:$Q$40,[1]Billing!$X$5:$X$40)</f>
        <v>0</v>
      </c>
      <c r="J91" s="22">
        <f>_xlfn.XLOOKUP($B56,[1]Billing!$Q$5:$Q$40,[1]Billing!$Y$5:$Y$40)</f>
        <v>0</v>
      </c>
      <c r="K91">
        <f>_xlfn.XLOOKUP($B56,[1]Billing!$Q$5:$Q$40,[1]Billing!$Z$5:$Z$40)</f>
        <v>0</v>
      </c>
      <c r="L91">
        <f>_xlfn.XLOOKUP($B56,[1]Billing!$Q$5:$Q$40,[1]Billing!$AA$5:$AA$40)</f>
        <v>0</v>
      </c>
      <c r="M91">
        <f>_xlfn.XLOOKUP($B56,[1]Billing!$Q$5:$Q$40,[1]Billing!$AB$5:$AB$40)</f>
        <v>0</v>
      </c>
      <c r="N91" s="39">
        <f t="shared" si="7"/>
        <v>3382139.7220190205</v>
      </c>
      <c r="O91" s="22">
        <f>_xlfn.XLOOKUP($B56,[1]Billing!$Q$5:$Q$40,[1]Billing!$AD$5:$AD$40)</f>
        <v>3322620</v>
      </c>
      <c r="P91" s="37">
        <f t="shared" si="8"/>
        <v>59519.722019020468</v>
      </c>
      <c r="Q91" s="21">
        <v>10</v>
      </c>
      <c r="R91" s="21">
        <v>13</v>
      </c>
    </row>
    <row r="92" spans="2:18" x14ac:dyDescent="0.3">
      <c r="B92" s="24" t="str">
        <v>Ubaidullah</v>
      </c>
      <c r="C92" s="22">
        <f>_xlfn.XLOOKUP($B57,[1]Billing!$Q$5:$Q$40,[1]Billing!$R$5:$R$40)</f>
        <v>66850</v>
      </c>
      <c r="D92" s="22">
        <f>_xlfn.XLOOKUP($B57,[1]Billing!$Q$5:$Q$40,[1]Billing!$S$5:$S$40)</f>
        <v>61128.383321141191</v>
      </c>
      <c r="E92" s="22">
        <f>_xlfn.XLOOKUP($B57,[1]Billing!$Q$5:$Q$40,[1]Billing!$T$5:$T$40)</f>
        <v>46132.955376737387</v>
      </c>
      <c r="F92" s="22">
        <f>_xlfn.XLOOKUP($B57,[1]Billing!$Q$5:$Q$40,[1]Billing!$U$5:$U$40)</f>
        <v>14995.427944403806</v>
      </c>
      <c r="G92" s="22">
        <f>_xlfn.XLOOKUP($B57,[1]Billing!$Q$5:$Q$40,[1]Billing!$V$5:$V$40)</f>
        <v>461329.5537673739</v>
      </c>
      <c r="H92" s="22">
        <f>_xlfn.XLOOKUP($B57,[1]Billing!$Q$5:$Q$40,[1]Billing!$W$5:$W$40)</f>
        <v>179945.13533284568</v>
      </c>
      <c r="I92" s="22">
        <f>_xlfn.XLOOKUP($B57,[1]Billing!$Q$5:$Q$40,[1]Billing!$X$5:$X$40)</f>
        <v>0</v>
      </c>
      <c r="J92" s="22">
        <f>_xlfn.XLOOKUP($B57,[1]Billing!$Q$5:$Q$40,[1]Billing!$Y$5:$Y$40)</f>
        <v>0</v>
      </c>
      <c r="K92">
        <f>_xlfn.XLOOKUP($B57,[1]Billing!$Q$5:$Q$40,[1]Billing!$Z$5:$Z$40)</f>
        <v>0</v>
      </c>
      <c r="L92">
        <f>_xlfn.XLOOKUP($B57,[1]Billing!$Q$5:$Q$40,[1]Billing!$AA$5:$AA$40)</f>
        <v>0</v>
      </c>
      <c r="M92">
        <f>_xlfn.XLOOKUP($B57,[1]Billing!$Q$5:$Q$40,[1]Billing!$AB$5:$AB$40)</f>
        <v>0</v>
      </c>
      <c r="N92" s="39">
        <f t="shared" si="7"/>
        <v>641274.68910021964</v>
      </c>
      <c r="O92" s="22">
        <f>_xlfn.XLOOKUP($B57,[1]Billing!$Q$5:$Q$40,[1]Billing!$AD$5:$AD$40)</f>
        <v>640190</v>
      </c>
      <c r="P92" s="37">
        <f t="shared" si="8"/>
        <v>1084.6891002196353</v>
      </c>
      <c r="Q92" s="21">
        <v>10</v>
      </c>
      <c r="R92" s="21">
        <v>13</v>
      </c>
    </row>
    <row r="93" spans="2:18" x14ac:dyDescent="0.3">
      <c r="B93" s="24" t="str">
        <v>Ashraf Zia</v>
      </c>
      <c r="C93" s="22">
        <f>_xlfn.XLOOKUP($B58,[1]Billing!$Q$5:$Q$40,[1]Billing!$R$5:$R$40)</f>
        <v>23305</v>
      </c>
      <c r="D93" s="22">
        <f>_xlfn.XLOOKUP($B58,[1]Billing!$Q$5:$Q$40,[1]Billing!$S$5:$S$40)</f>
        <v>21310.35113386979</v>
      </c>
      <c r="E93" s="22">
        <f>_xlfn.XLOOKUP($B58,[1]Billing!$Q$5:$Q$40,[1]Billing!$T$5:$T$40)</f>
        <v>21310.35113386979</v>
      </c>
      <c r="F93" s="22">
        <f>_xlfn.XLOOKUP($B58,[1]Billing!$Q$5:$Q$40,[1]Billing!$U$5:$U$40)</f>
        <v>0</v>
      </c>
      <c r="G93" s="22">
        <f>_xlfn.XLOOKUP($B58,[1]Billing!$Q$5:$Q$40,[1]Billing!$V$5:$V$40)</f>
        <v>255724.21360643749</v>
      </c>
      <c r="H93" s="22">
        <f>_xlfn.XLOOKUP($B58,[1]Billing!$Q$5:$Q$40,[1]Billing!$W$5:$W$40)</f>
        <v>0</v>
      </c>
      <c r="I93" s="22">
        <f>_xlfn.XLOOKUP($B58,[1]Billing!$Q$5:$Q$40,[1]Billing!$X$5:$X$40)</f>
        <v>0</v>
      </c>
      <c r="J93" s="22">
        <f>_xlfn.XLOOKUP($B58,[1]Billing!$Q$5:$Q$40,[1]Billing!$Y$5:$Y$40)</f>
        <v>0</v>
      </c>
      <c r="K93">
        <f>_xlfn.XLOOKUP($B58,[1]Billing!$Q$5:$Q$40,[1]Billing!$Z$5:$Z$40)</f>
        <v>0</v>
      </c>
      <c r="L93">
        <f>_xlfn.XLOOKUP($B58,[1]Billing!$Q$5:$Q$40,[1]Billing!$AA$5:$AA$40)</f>
        <v>0</v>
      </c>
      <c r="M93">
        <f>_xlfn.XLOOKUP($B58,[1]Billing!$Q$5:$Q$40,[1]Billing!$AB$5:$AB$40)</f>
        <v>0</v>
      </c>
      <c r="N93" s="39">
        <f t="shared" si="7"/>
        <v>255724.21360643749</v>
      </c>
      <c r="O93" s="22">
        <f>_xlfn.XLOOKUP($B58,[1]Billing!$Q$5:$Q$40,[1]Billing!$AD$5:$AD$40)</f>
        <v>130000</v>
      </c>
      <c r="P93" s="37">
        <f t="shared" si="8"/>
        <v>125724.21360643749</v>
      </c>
      <c r="Q93" s="21">
        <v>12</v>
      </c>
      <c r="R93" s="21">
        <v>13</v>
      </c>
    </row>
    <row r="94" spans="2:18" x14ac:dyDescent="0.3">
      <c r="B94" s="24" t="str">
        <v>Hafiz Qureshi</v>
      </c>
      <c r="C94" s="22">
        <f>_xlfn.XLOOKUP($B59,[1]Billing!$Q$5:$Q$40,[1]Billing!$R$5:$R$40)</f>
        <v>202815</v>
      </c>
      <c r="D94" s="22">
        <f>_xlfn.XLOOKUP($B59,[1]Billing!$Q$5:$Q$40,[1]Billing!$S$5:$S$40)</f>
        <v>185456.29114850037</v>
      </c>
      <c r="E94" s="22">
        <f>_xlfn.XLOOKUP($B59,[1]Billing!$Q$5:$Q$40,[1]Billing!$T$5:$T$40)</f>
        <v>185456.29114850037</v>
      </c>
      <c r="F94" s="22">
        <f>_xlfn.XLOOKUP($B59,[1]Billing!$Q$5:$Q$40,[1]Billing!$U$5:$U$40)</f>
        <v>0</v>
      </c>
      <c r="G94" s="22">
        <f>_xlfn.XLOOKUP($B59,[1]Billing!$Q$5:$Q$40,[1]Billing!$V$5:$V$40)</f>
        <v>1854562.9114850038</v>
      </c>
      <c r="H94" s="22">
        <f>_xlfn.XLOOKUP($B59,[1]Billing!$Q$5:$Q$40,[1]Billing!$W$5:$W$40)</f>
        <v>0</v>
      </c>
      <c r="I94" s="22">
        <f>_xlfn.XLOOKUP($B59,[1]Billing!$Q$5:$Q$40,[1]Billing!$X$5:$X$40)</f>
        <v>0</v>
      </c>
      <c r="J94" s="22">
        <f>_xlfn.XLOOKUP($B59,[1]Billing!$Q$5:$Q$40,[1]Billing!$Y$5:$Y$40)</f>
        <v>0</v>
      </c>
      <c r="K94">
        <f>_xlfn.XLOOKUP($B59,[1]Billing!$Q$5:$Q$40,[1]Billing!$Z$5:$Z$40)</f>
        <v>0</v>
      </c>
      <c r="L94">
        <f>_xlfn.XLOOKUP($B59,[1]Billing!$Q$5:$Q$40,[1]Billing!$AA$5:$AA$40)</f>
        <v>0</v>
      </c>
      <c r="M94">
        <f>_xlfn.XLOOKUP($B59,[1]Billing!$Q$5:$Q$40,[1]Billing!$AB$5:$AB$40)</f>
        <v>0</v>
      </c>
      <c r="N94" s="39">
        <f t="shared" si="7"/>
        <v>1854562.9114850038</v>
      </c>
      <c r="O94" s="22">
        <f>_xlfn.XLOOKUP($B59,[1]Billing!$Q$5:$Q$40,[1]Billing!$AD$5:$AD$40)</f>
        <v>1805980</v>
      </c>
      <c r="P94" s="37">
        <f t="shared" si="8"/>
        <v>48582.911485003773</v>
      </c>
      <c r="Q94" s="21">
        <v>10</v>
      </c>
      <c r="R94" s="21">
        <v>13</v>
      </c>
    </row>
    <row r="95" spans="2:18" x14ac:dyDescent="0.3">
      <c r="B95" s="24" t="str">
        <v>Badshah Fabrics</v>
      </c>
      <c r="C95" s="22">
        <f>_xlfn.XLOOKUP($B60,[1]Billing!$Q$5:$Q$40,[1]Billing!$R$5:$R$40)</f>
        <v>517408</v>
      </c>
      <c r="D95" s="22">
        <f>_xlfn.XLOOKUP($B60,[1]Billing!$Q$5:$Q$40,[1]Billing!$S$5:$S$40)</f>
        <v>473123.62838332116</v>
      </c>
      <c r="E95" s="22">
        <f>_xlfn.XLOOKUP($B60,[1]Billing!$Q$5:$Q$40,[1]Billing!$T$5:$T$40)</f>
        <v>355909.83906364307</v>
      </c>
      <c r="F95" s="22">
        <f>_xlfn.XLOOKUP($B60,[1]Billing!$Q$5:$Q$40,[1]Billing!$U$5:$U$40)</f>
        <v>117213.78931967814</v>
      </c>
      <c r="G95" s="22">
        <f>_xlfn.XLOOKUP($B60,[1]Billing!$Q$5:$Q$40,[1]Billing!$V$5:$V$40)</f>
        <v>3559098.3906364306</v>
      </c>
      <c r="H95" s="22">
        <f>_xlfn.XLOOKUP($B60,[1]Billing!$Q$5:$Q$40,[1]Billing!$W$5:$W$40)</f>
        <v>1460624.5427944404</v>
      </c>
      <c r="I95" s="22">
        <f>_xlfn.XLOOKUP($B60,[1]Billing!$Q$5:$Q$40,[1]Billing!$X$5:$X$40)</f>
        <v>0</v>
      </c>
      <c r="J95" s="22">
        <f>_xlfn.XLOOKUP($B60,[1]Billing!$Q$5:$Q$40,[1]Billing!$Y$5:$Y$40)</f>
        <v>0</v>
      </c>
      <c r="K95">
        <f>_xlfn.XLOOKUP($B60,[1]Billing!$Q$5:$Q$40,[1]Billing!$Z$5:$Z$40)</f>
        <v>0</v>
      </c>
      <c r="L95">
        <f>_xlfn.XLOOKUP($B60,[1]Billing!$Q$5:$Q$40,[1]Billing!$AA$5:$AA$40)</f>
        <v>0</v>
      </c>
      <c r="M95">
        <f>_xlfn.XLOOKUP($B60,[1]Billing!$Q$5:$Q$40,[1]Billing!$AB$5:$AB$40)</f>
        <v>0</v>
      </c>
      <c r="N95" s="39">
        <f t="shared" si="7"/>
        <v>5019722.933430871</v>
      </c>
      <c r="O95" s="22">
        <f>_xlfn.XLOOKUP($B60,[1]Billing!$Q$5:$Q$40,[1]Billing!$AD$5:$AD$40)</f>
        <v>4925761</v>
      </c>
      <c r="P95" s="37">
        <f t="shared" si="8"/>
        <v>93961.933430870995</v>
      </c>
      <c r="Q95" s="21">
        <v>10</v>
      </c>
      <c r="R95" s="21">
        <v>13</v>
      </c>
    </row>
    <row r="96" spans="2:18" x14ac:dyDescent="0.3">
      <c r="B96" s="24" t="str">
        <v>Reject</v>
      </c>
      <c r="C96" s="22">
        <f>_xlfn.XLOOKUP($B61,[1]Billing!$Q$5:$Q$40,[1]Billing!$R$5:$R$40)</f>
        <v>0</v>
      </c>
      <c r="D96" s="22">
        <f>_xlfn.XLOOKUP($B61,[1]Billing!$Q$5:$Q$40,[1]Billing!$S$5:$S$40)</f>
        <v>0</v>
      </c>
      <c r="E96" s="22">
        <f>_xlfn.XLOOKUP($B61,[1]Billing!$Q$5:$Q$40,[1]Billing!$T$5:$T$40)</f>
        <v>0</v>
      </c>
      <c r="F96" s="22">
        <f>_xlfn.XLOOKUP($B61,[1]Billing!$Q$5:$Q$40,[1]Billing!$U$5:$U$40)</f>
        <v>0</v>
      </c>
      <c r="G96" s="22">
        <f>_xlfn.XLOOKUP($B61,[1]Billing!$Q$5:$Q$40,[1]Billing!$V$5:$V$40)</f>
        <v>0</v>
      </c>
      <c r="H96" s="22">
        <f>_xlfn.XLOOKUP($B61,[1]Billing!$Q$5:$Q$40,[1]Billing!$W$5:$W$40)</f>
        <v>0</v>
      </c>
      <c r="I96" s="22">
        <f>_xlfn.XLOOKUP($B61,[1]Billing!$Q$5:$Q$40,[1]Billing!$X$5:$X$40)</f>
        <v>0</v>
      </c>
      <c r="J96" s="22">
        <f>_xlfn.XLOOKUP($B61,[1]Billing!$Q$5:$Q$40,[1]Billing!$Y$5:$Y$40)</f>
        <v>0</v>
      </c>
      <c r="K96">
        <f>_xlfn.XLOOKUP($B61,[1]Billing!$Q$5:$Q$40,[1]Billing!$Z$5:$Z$40)</f>
        <v>0</v>
      </c>
      <c r="L96">
        <f>_xlfn.XLOOKUP($B61,[1]Billing!$Q$5:$Q$40,[1]Billing!$AA$5:$AA$40)</f>
        <v>0</v>
      </c>
      <c r="M96">
        <f>_xlfn.XLOOKUP($B61,[1]Billing!$Q$5:$Q$40,[1]Billing!$AB$5:$AB$40)</f>
        <v>0</v>
      </c>
      <c r="N96" s="39">
        <f t="shared" si="7"/>
        <v>0</v>
      </c>
      <c r="O96" s="22">
        <f>_xlfn.XLOOKUP($B61,[1]Billing!$Q$5:$Q$40,[1]Billing!$AD$5:$AD$40)</f>
        <v>0</v>
      </c>
      <c r="P96" s="37">
        <f t="shared" si="8"/>
        <v>0</v>
      </c>
      <c r="Q96" s="21">
        <v>10</v>
      </c>
      <c r="R96" s="21">
        <v>13</v>
      </c>
    </row>
    <row r="97" spans="2:18" x14ac:dyDescent="0.3">
      <c r="B97" s="24" t="str">
        <v>Amjad 7up</v>
      </c>
      <c r="C97" s="22">
        <f>_xlfn.XLOOKUP($B62,[1]Billing!$Q$5:$Q$40,[1]Billing!$R$5:$R$40)</f>
        <v>52914</v>
      </c>
      <c r="D97" s="22">
        <f>_xlfn.XLOOKUP($B62,[1]Billing!$Q$5:$Q$40,[1]Billing!$S$5:$S$40)</f>
        <v>48385.149963423559</v>
      </c>
      <c r="E97" s="22">
        <f>_xlfn.XLOOKUP($B62,[1]Billing!$Q$5:$Q$40,[1]Billing!$T$5:$T$40)</f>
        <v>48385.149963423559</v>
      </c>
      <c r="F97" s="22">
        <f>_xlfn.XLOOKUP($B62,[1]Billing!$Q$5:$Q$40,[1]Billing!$U$5:$U$40)</f>
        <v>0</v>
      </c>
      <c r="G97" s="22">
        <f>_xlfn.XLOOKUP($B62,[1]Billing!$Q$5:$Q$40,[1]Billing!$V$5:$V$40)</f>
        <v>483851.49963423557</v>
      </c>
      <c r="H97" s="22">
        <f>_xlfn.XLOOKUP($B62,[1]Billing!$Q$5:$Q$40,[1]Billing!$W$5:$W$40)</f>
        <v>0</v>
      </c>
      <c r="I97" s="22">
        <f>_xlfn.XLOOKUP($B62,[1]Billing!$Q$5:$Q$40,[1]Billing!$X$5:$X$40)</f>
        <v>0</v>
      </c>
      <c r="J97" s="22">
        <f>_xlfn.XLOOKUP($B62,[1]Billing!$Q$5:$Q$40,[1]Billing!$Y$5:$Y$40)</f>
        <v>0</v>
      </c>
      <c r="K97">
        <f>_xlfn.XLOOKUP($B62,[1]Billing!$Q$5:$Q$40,[1]Billing!$Z$5:$Z$40)</f>
        <v>0</v>
      </c>
      <c r="L97">
        <f>_xlfn.XLOOKUP($B62,[1]Billing!$Q$5:$Q$40,[1]Billing!$AA$5:$AA$40)</f>
        <v>0</v>
      </c>
      <c r="M97">
        <f>_xlfn.XLOOKUP($B62,[1]Billing!$Q$5:$Q$40,[1]Billing!$AB$5:$AB$40)</f>
        <v>0</v>
      </c>
      <c r="N97" s="39">
        <f t="shared" si="7"/>
        <v>483851.49963423557</v>
      </c>
      <c r="O97" s="22">
        <f>_xlfn.XLOOKUP($B62,[1]Billing!$Q$5:$Q$40,[1]Billing!$AD$5:$AD$40)</f>
        <v>480000</v>
      </c>
      <c r="P97" s="37">
        <f t="shared" si="8"/>
        <v>3851.4996342355735</v>
      </c>
      <c r="Q97" s="21">
        <v>10</v>
      </c>
      <c r="R97" s="21">
        <v>13</v>
      </c>
    </row>
    <row r="98" spans="2:18" x14ac:dyDescent="0.3">
      <c r="B98" s="24" t="str">
        <v>Hazrat Khan</v>
      </c>
      <c r="C98" s="22">
        <f>_xlfn.XLOOKUP($B63,[1]Billing!$Q$5:$Q$40,[1]Billing!$R$5:$R$40)</f>
        <v>9750</v>
      </c>
      <c r="D98" s="22">
        <f>_xlfn.XLOOKUP($B63,[1]Billing!$Q$5:$Q$40,[1]Billing!$S$5:$S$40)</f>
        <v>8915.5084125822978</v>
      </c>
      <c r="E98" s="22">
        <f>_xlfn.XLOOKUP($B63,[1]Billing!$Q$5:$Q$40,[1]Billing!$T$5:$T$40)</f>
        <v>8915.5084125822978</v>
      </c>
      <c r="F98" s="22">
        <f>_xlfn.XLOOKUP($B63,[1]Billing!$Q$5:$Q$40,[1]Billing!$U$5:$U$40)</f>
        <v>0</v>
      </c>
      <c r="G98" s="22">
        <f>_xlfn.XLOOKUP($B63,[1]Billing!$Q$5:$Q$40,[1]Billing!$V$5:$V$40)</f>
        <v>89155.084125822978</v>
      </c>
      <c r="H98" s="22">
        <f>_xlfn.XLOOKUP($B63,[1]Billing!$Q$5:$Q$40,[1]Billing!$W$5:$W$40)</f>
        <v>0</v>
      </c>
      <c r="I98" s="22">
        <f>_xlfn.XLOOKUP($B63,[1]Billing!$Q$5:$Q$40,[1]Billing!$X$5:$X$40)</f>
        <v>0</v>
      </c>
      <c r="J98" s="22">
        <f>_xlfn.XLOOKUP($B63,[1]Billing!$Q$5:$Q$40,[1]Billing!$Y$5:$Y$40)</f>
        <v>0</v>
      </c>
      <c r="K98">
        <f>_xlfn.XLOOKUP($B63,[1]Billing!$Q$5:$Q$40,[1]Billing!$Z$5:$Z$40)</f>
        <v>0</v>
      </c>
      <c r="L98">
        <f>_xlfn.XLOOKUP($B63,[1]Billing!$Q$5:$Q$40,[1]Billing!$AA$5:$AA$40)</f>
        <v>0</v>
      </c>
      <c r="M98">
        <f>_xlfn.XLOOKUP($B63,[1]Billing!$Q$5:$Q$40,[1]Billing!$AB$5:$AB$40)</f>
        <v>0</v>
      </c>
      <c r="N98" s="39">
        <f t="shared" si="7"/>
        <v>89155.084125822978</v>
      </c>
      <c r="O98" s="22">
        <f>_xlfn.XLOOKUP($B63,[1]Billing!$Q$5:$Q$40,[1]Billing!$AD$5:$AD$40)</f>
        <v>95000</v>
      </c>
      <c r="P98" s="37">
        <f t="shared" si="8"/>
        <v>-5844.9158741770225</v>
      </c>
      <c r="Q98" s="21">
        <v>10</v>
      </c>
      <c r="R98" s="21">
        <v>13</v>
      </c>
    </row>
    <row r="99" spans="2:18" x14ac:dyDescent="0.3">
      <c r="B99" s="24" t="str">
        <v>Haseeb Shamsi</v>
      </c>
      <c r="C99" s="22">
        <f>_xlfn.XLOOKUP($B64,[1]Billing!$Q$5:$Q$40,[1]Billing!$R$5:$R$40)</f>
        <v>61975</v>
      </c>
      <c r="D99" s="22">
        <f>_xlfn.XLOOKUP($B64,[1]Billing!$Q$5:$Q$40,[1]Billing!$S$5:$S$40)</f>
        <v>56670.629114850046</v>
      </c>
      <c r="E99" s="22">
        <f>_xlfn.XLOOKUP($B64,[1]Billing!$Q$5:$Q$40,[1]Billing!$T$5:$T$40)</f>
        <v>47437.820043891741</v>
      </c>
      <c r="F99" s="22">
        <f>_xlfn.XLOOKUP($B64,[1]Billing!$Q$5:$Q$40,[1]Billing!$U$5:$U$40)</f>
        <v>9232.809070958303</v>
      </c>
      <c r="G99" s="22">
        <f>_xlfn.XLOOKUP($B64,[1]Billing!$Q$5:$Q$40,[1]Billing!$V$5:$V$40)</f>
        <v>474378.20043891744</v>
      </c>
      <c r="H99" s="22">
        <f>_xlfn.XLOOKUP($B64,[1]Billing!$Q$5:$Q$40,[1]Billing!$W$5:$W$40)</f>
        <v>120026.51792245793</v>
      </c>
      <c r="I99" s="22">
        <f>_xlfn.XLOOKUP($B64,[1]Billing!$Q$5:$Q$40,[1]Billing!$X$5:$X$40)</f>
        <v>0</v>
      </c>
      <c r="J99" s="22">
        <f>_xlfn.XLOOKUP($B64,[1]Billing!$Q$5:$Q$40,[1]Billing!$Y$5:$Y$40)</f>
        <v>0</v>
      </c>
      <c r="K99">
        <f>_xlfn.XLOOKUP($B64,[1]Billing!$Q$5:$Q$40,[1]Billing!$Z$5:$Z$40)</f>
        <v>0</v>
      </c>
      <c r="L99">
        <f>_xlfn.XLOOKUP($B64,[1]Billing!$Q$5:$Q$40,[1]Billing!$AA$5:$AA$40)</f>
        <v>0</v>
      </c>
      <c r="M99">
        <f>_xlfn.XLOOKUP($B64,[1]Billing!$Q$5:$Q$40,[1]Billing!$AB$5:$AB$40)</f>
        <v>0</v>
      </c>
      <c r="N99" s="39">
        <f t="shared" si="7"/>
        <v>594404.71836137539</v>
      </c>
      <c r="O99" s="22">
        <f>_xlfn.XLOOKUP($B64,[1]Billing!$Q$5:$Q$40,[1]Billing!$AD$5:$AD$40)</f>
        <v>594405</v>
      </c>
      <c r="P99" s="37">
        <f t="shared" si="8"/>
        <v>-0.28163862461224198</v>
      </c>
      <c r="Q99" s="21">
        <v>10</v>
      </c>
      <c r="R99" s="21">
        <v>13</v>
      </c>
    </row>
    <row r="100" spans="2:18" x14ac:dyDescent="0.3">
      <c r="B100" s="81" t="str">
        <v>Faizan</v>
      </c>
      <c r="C100" s="22">
        <f>_xlfn.XLOOKUP($B65,[1]Billing!$Q$5:$Q$40,[1]Billing!$R$5:$R$40)</f>
        <v>438975</v>
      </c>
      <c r="D100" s="22">
        <f>_xlfn.XLOOKUP($B65,[1]Billing!$Q$5:$Q$40,[1]Billing!$S$5:$S$40)</f>
        <v>401403.62106803223</v>
      </c>
      <c r="E100" s="22">
        <f>_xlfn.XLOOKUP($B65,[1]Billing!$Q$5:$Q$40,[1]Billing!$T$5:$T$40)</f>
        <v>0</v>
      </c>
      <c r="F100" s="22">
        <f>_xlfn.XLOOKUP($B65,[1]Billing!$Q$5:$Q$40,[1]Billing!$U$5:$U$40)</f>
        <v>398433.61375274323</v>
      </c>
      <c r="G100" s="22">
        <f>_xlfn.XLOOKUP($B65,[1]Billing!$Q$5:$Q$40,[1]Billing!$V$5:$V$40)</f>
        <v>0</v>
      </c>
      <c r="H100" s="22">
        <f>_xlfn.XLOOKUP($B65,[1]Billing!$Q$5:$Q$40,[1]Billing!$W$5:$W$40)</f>
        <v>5179636.9787856629</v>
      </c>
      <c r="I100" s="22">
        <f>_xlfn.XLOOKUP($B65,[1]Billing!$Q$5:$Q$40,[1]Billing!$X$5:$X$40)</f>
        <v>44550.109729334312</v>
      </c>
      <c r="J100" s="22">
        <f>_xlfn.XLOOKUP($B65,[1]Billing!$Q$5:$Q$40,[1]Billing!$Y$5:$Y$40)</f>
        <v>0</v>
      </c>
      <c r="K100">
        <f>_xlfn.XLOOKUP($B65,[1]Billing!$Q$5:$Q$40,[1]Billing!$Z$5:$Z$40)</f>
        <v>0</v>
      </c>
      <c r="L100">
        <f>_xlfn.XLOOKUP($B65,[1]Billing!$Q$5:$Q$40,[1]Billing!$AA$5:$AA$40)</f>
        <v>0</v>
      </c>
      <c r="M100">
        <f>_xlfn.XLOOKUP($B65,[1]Billing!$Q$5:$Q$40,[1]Billing!$AB$5:$AB$40)</f>
        <v>0</v>
      </c>
      <c r="N100" s="39">
        <f t="shared" si="7"/>
        <v>5224187.0885149976</v>
      </c>
      <c r="O100" s="22">
        <f>_xlfn.XLOOKUP($B65,[1]Billing!$Q$5:$Q$40,[1]Billing!$AD$5:$AD$40)</f>
        <v>4915571</v>
      </c>
      <c r="P100" s="37">
        <f t="shared" si="8"/>
        <v>308616.08851499762</v>
      </c>
      <c r="Q100" s="21">
        <v>10</v>
      </c>
      <c r="R100" s="21">
        <v>13</v>
      </c>
    </row>
    <row r="101" spans="2:18" x14ac:dyDescent="0.3">
      <c r="B101" s="81" t="str">
        <v>Shafique Ansari</v>
      </c>
      <c r="C101" s="22">
        <f>_xlfn.XLOOKUP($B66,[1]Billing!$Q$5:$Q$40,[1]Billing!$R$5:$R$40)</f>
        <v>82290</v>
      </c>
      <c r="D101" s="22">
        <f>_xlfn.XLOOKUP($B66,[1]Billing!$Q$5:$Q$40,[1]Billing!$S$5:$S$40)</f>
        <v>75246.891002194592</v>
      </c>
      <c r="E101" s="22">
        <f>_xlfn.XLOOKUP($B66,[1]Billing!$Q$5:$Q$40,[1]Billing!$T$5:$T$40)</f>
        <v>64300.475493782011</v>
      </c>
      <c r="F101" s="22">
        <f>_xlfn.XLOOKUP($B66,[1]Billing!$Q$5:$Q$40,[1]Billing!$U$5:$U$40)</f>
        <v>7565.8376005852242</v>
      </c>
      <c r="G101" s="22">
        <f>_xlfn.XLOOKUP($B66,[1]Billing!$Q$5:$Q$40,[1]Billing!$V$5:$V$40)</f>
        <v>643004.75493782014</v>
      </c>
      <c r="H101" s="22">
        <f>_xlfn.XLOOKUP($B66,[1]Billing!$Q$5:$Q$40,[1]Billing!$W$5:$W$40)</f>
        <v>98355.888807607917</v>
      </c>
      <c r="I101" s="22">
        <f>_xlfn.XLOOKUP($B66,[1]Billing!$Q$5:$Q$40,[1]Billing!$X$5:$X$40)</f>
        <v>0</v>
      </c>
      <c r="J101" s="22">
        <f>_xlfn.XLOOKUP($B66,[1]Billing!$Q$5:$Q$40,[1]Billing!$Y$5:$Y$40)</f>
        <v>94656.181419166067</v>
      </c>
      <c r="K101">
        <f>_xlfn.XLOOKUP($B66,[1]Billing!$Q$5:$Q$40,[1]Billing!$Z$5:$Z$40)</f>
        <v>0</v>
      </c>
      <c r="L101">
        <f>_xlfn.XLOOKUP($B66,[1]Billing!$Q$5:$Q$40,[1]Billing!$AA$5:$AA$40)</f>
        <v>0</v>
      </c>
      <c r="M101">
        <f>_xlfn.XLOOKUP($B66,[1]Billing!$Q$5:$Q$40,[1]Billing!$AB$5:$AB$40)</f>
        <v>0</v>
      </c>
      <c r="N101" s="39">
        <f t="shared" si="7"/>
        <v>836016.82516459411</v>
      </c>
      <c r="O101" s="22">
        <f>_xlfn.XLOOKUP($B66,[1]Billing!$Q$5:$Q$40,[1]Billing!$AD$5:$AD$40)</f>
        <v>835660</v>
      </c>
      <c r="P101" s="37">
        <f t="shared" si="8"/>
        <v>356.82516459410544</v>
      </c>
      <c r="Q101" s="21">
        <v>10</v>
      </c>
      <c r="R101" s="21">
        <v>13</v>
      </c>
    </row>
    <row r="102" spans="2:18" x14ac:dyDescent="0.3">
      <c r="B102" s="81" t="str">
        <v>Amjad sohail</v>
      </c>
      <c r="C102" s="22">
        <f>_xlfn.XLOOKUP($B67,[1]Billing!$Q$5:$Q$40,[1]Billing!$R$5:$R$40)</f>
        <v>281909</v>
      </c>
      <c r="D102" s="22">
        <f>_xlfn.XLOOKUP($B67,[1]Billing!$Q$5:$Q$40,[1]Billing!$S$5:$S$40)</f>
        <v>257780.72421360645</v>
      </c>
      <c r="E102" s="22">
        <f>_xlfn.XLOOKUP($B67,[1]Billing!$Q$5:$Q$40,[1]Billing!$T$5:$T$40)</f>
        <v>213946.59839063644</v>
      </c>
      <c r="F102" s="22">
        <f>_xlfn.XLOOKUP($B67,[1]Billing!$Q$5:$Q$40,[1]Billing!$U$5:$U$40)</f>
        <v>43834.125822970011</v>
      </c>
      <c r="G102" s="22">
        <f>_xlfn.XLOOKUP($B67,[1]Billing!$Q$5:$Q$40,[1]Billing!$V$5:$V$40)</f>
        <v>2139465.9839063645</v>
      </c>
      <c r="H102" s="22">
        <f>_xlfn.XLOOKUP($B67,[1]Billing!$Q$5:$Q$40,[1]Billing!$W$5:$W$40)</f>
        <v>569843.63569861022</v>
      </c>
      <c r="I102" s="22">
        <f>_xlfn.XLOOKUP($B67,[1]Billing!$Q$5:$Q$40,[1]Billing!$X$5:$X$40)</f>
        <v>0</v>
      </c>
      <c r="J102" s="22">
        <f>_xlfn.XLOOKUP($B67,[1]Billing!$Q$5:$Q$40,[1]Billing!$Y$5:$Y$40)</f>
        <v>0</v>
      </c>
      <c r="K102">
        <f>_xlfn.XLOOKUP($B67,[1]Billing!$Q$5:$Q$40,[1]Billing!$Z$5:$Z$40)</f>
        <v>0</v>
      </c>
      <c r="L102">
        <f>_xlfn.XLOOKUP($B67,[1]Billing!$Q$5:$Q$40,[1]Billing!$AA$5:$AA$40)</f>
        <v>0</v>
      </c>
      <c r="M102">
        <f>_xlfn.XLOOKUP($B67,[1]Billing!$Q$5:$Q$40,[1]Billing!$AB$5:$AB$40)</f>
        <v>0</v>
      </c>
      <c r="N102" s="39">
        <f t="shared" si="7"/>
        <v>2709309.619604975</v>
      </c>
      <c r="O102" s="22">
        <f>_xlfn.XLOOKUP($B67,[1]Billing!$Q$5:$Q$40,[1]Billing!$AD$5:$AD$40)</f>
        <v>2300000</v>
      </c>
      <c r="P102" s="37">
        <f t="shared" si="8"/>
        <v>409309.61960497499</v>
      </c>
      <c r="Q102" s="21">
        <v>10</v>
      </c>
      <c r="R102" s="21">
        <v>13</v>
      </c>
    </row>
    <row r="103" spans="2:18" x14ac:dyDescent="0.3">
      <c r="B103" s="81" t="str">
        <v>Salman Zaffar</v>
      </c>
      <c r="C103" s="22">
        <f>_xlfn.XLOOKUP($B68,[1]Billing!$Q$5:$Q$40,[1]Billing!$R$5:$R$40)</f>
        <v>64780</v>
      </c>
      <c r="D103" s="22">
        <f>_xlfn.XLOOKUP($B68,[1]Billing!$Q$5:$Q$40,[1]Billing!$S$5:$S$40)</f>
        <v>59235.552304316028</v>
      </c>
      <c r="E103" s="22">
        <f>_xlfn.XLOOKUP($B68,[1]Billing!$Q$5:$Q$40,[1]Billing!$T$5:$T$40)</f>
        <v>14355.340160936359</v>
      </c>
      <c r="F103" s="22">
        <f>_xlfn.XLOOKUP($B68,[1]Billing!$Q$5:$Q$40,[1]Billing!$U$5:$U$40)</f>
        <v>31409.107534747625</v>
      </c>
      <c r="G103" s="22">
        <f>_xlfn.XLOOKUP($B68,[1]Billing!$Q$5:$Q$40,[1]Billing!$V$5:$V$40)</f>
        <v>143553.40160936359</v>
      </c>
      <c r="H103" s="22">
        <f>_xlfn.XLOOKUP($B68,[1]Billing!$Q$5:$Q$40,[1]Billing!$W$5:$W$40)</f>
        <v>408318.39795171918</v>
      </c>
      <c r="I103" s="22">
        <f>_xlfn.XLOOKUP($B68,[1]Billing!$Q$5:$Q$40,[1]Billing!$X$5:$X$40)</f>
        <v>0</v>
      </c>
      <c r="J103" s="22">
        <f>_xlfn.XLOOKUP($B68,[1]Billing!$Q$5:$Q$40,[1]Billing!$Y$5:$Y$40)</f>
        <v>0</v>
      </c>
      <c r="K103">
        <f>_xlfn.XLOOKUP($B68,[1]Billing!$Q$5:$Q$40,[1]Billing!$Z$5:$Z$40)</f>
        <v>161653.2553035845</v>
      </c>
      <c r="L103">
        <f>_xlfn.XLOOKUP($B68,[1]Billing!$Q$5:$Q$40,[1]Billing!$AA$5:$AA$40)</f>
        <v>0</v>
      </c>
      <c r="M103">
        <f>_xlfn.XLOOKUP($B68,[1]Billing!$Q$5:$Q$40,[1]Billing!$AB$5:$AB$40)</f>
        <v>0</v>
      </c>
      <c r="N103" s="39">
        <f t="shared" si="7"/>
        <v>713525.05486466724</v>
      </c>
      <c r="O103" s="22">
        <f>_xlfn.XLOOKUP($B68,[1]Billing!$Q$5:$Q$40,[1]Billing!$AD$5:$AD$40)</f>
        <v>0</v>
      </c>
      <c r="P103" s="37">
        <f t="shared" si="8"/>
        <v>713525.05486466724</v>
      </c>
      <c r="Q103" s="21">
        <v>10</v>
      </c>
      <c r="R103" s="21">
        <v>13</v>
      </c>
    </row>
    <row r="104" spans="2:18" x14ac:dyDescent="0.3">
      <c r="B104" s="81" t="str">
        <v>Shahid Qasayi</v>
      </c>
      <c r="C104" s="22">
        <f>_xlfn.XLOOKUP($B69,[1]Billing!$Q$5:$Q$40,[1]Billing!$R$5:$R$40)</f>
        <v>176129</v>
      </c>
      <c r="D104" s="22">
        <f>_xlfn.XLOOKUP($B69,[1]Billing!$Q$5:$Q$40,[1]Billing!$S$5:$S$40)</f>
        <v>161054.31602048283</v>
      </c>
      <c r="E104" s="22">
        <f>_xlfn.XLOOKUP($B69,[1]Billing!$Q$5:$Q$40,[1]Billing!$T$5:$T$40)</f>
        <v>113495.7937088515</v>
      </c>
      <c r="F104" s="22">
        <f>_xlfn.XLOOKUP($B69,[1]Billing!$Q$5:$Q$40,[1]Billing!$U$5:$U$40)</f>
        <v>0</v>
      </c>
      <c r="G104" s="22">
        <f>_xlfn.XLOOKUP($B69,[1]Billing!$Q$5:$Q$40,[1]Billing!$V$5:$V$40)</f>
        <v>1134957.9370885149</v>
      </c>
      <c r="H104" s="22">
        <f>_xlfn.XLOOKUP($B69,[1]Billing!$Q$5:$Q$40,[1]Billing!$W$5:$W$40)</f>
        <v>0</v>
      </c>
      <c r="I104" s="22">
        <f>_xlfn.XLOOKUP($B69,[1]Billing!$Q$5:$Q$40,[1]Billing!$X$5:$X$40)</f>
        <v>0</v>
      </c>
      <c r="J104" s="22">
        <f>_xlfn.XLOOKUP($B69,[1]Billing!$Q$5:$Q$40,[1]Billing!$Y$5:$Y$40)</f>
        <v>0</v>
      </c>
      <c r="K104">
        <f>_xlfn.XLOOKUP($B69,[1]Billing!$Q$5:$Q$40,[1]Billing!$Z$5:$Z$40)</f>
        <v>0</v>
      </c>
      <c r="L104">
        <f>_xlfn.XLOOKUP($B69,[1]Billing!$Q$5:$Q$40,[1]Billing!$AA$5:$AA$40)</f>
        <v>523143.74542794435</v>
      </c>
      <c r="M104">
        <f>_xlfn.XLOOKUP($B69,[1]Billing!$Q$5:$Q$40,[1]Billing!$AB$5:$AB$40)</f>
        <v>0</v>
      </c>
      <c r="N104" s="39">
        <f t="shared" si="7"/>
        <v>1658101.6825164594</v>
      </c>
      <c r="O104" s="22">
        <f>_xlfn.XLOOKUP($B69,[1]Billing!$Q$5:$Q$40,[1]Billing!$AD$5:$AD$40)</f>
        <v>1468325</v>
      </c>
      <c r="P104" s="37">
        <f t="shared" si="8"/>
        <v>189776.68251645938</v>
      </c>
    </row>
    <row r="105" spans="2:18" x14ac:dyDescent="0.3">
      <c r="B105" s="81" t="str">
        <v>Hameed corporation</v>
      </c>
      <c r="C105" s="22">
        <f>_xlfn.XLOOKUP($B70,[1]Billing!$Q$5:$Q$40,[1]Billing!$R$5:$R$40)</f>
        <v>46404</v>
      </c>
      <c r="D105" s="22">
        <f>_xlfn.XLOOKUP($B70,[1]Billing!$Q$5:$Q$40,[1]Billing!$S$5:$S$40)</f>
        <v>42432.333577176301</v>
      </c>
      <c r="E105" s="22">
        <f>_xlfn.XLOOKUP($B70,[1]Billing!$Q$5:$Q$40,[1]Billing!$T$5:$T$40)</f>
        <v>42432.333577176301</v>
      </c>
      <c r="F105" s="22">
        <f>_xlfn.XLOOKUP($B70,[1]Billing!$Q$5:$Q$40,[1]Billing!$U$5:$U$40)</f>
        <v>0</v>
      </c>
      <c r="G105" s="22">
        <f>_xlfn.XLOOKUP($B70,[1]Billing!$Q$5:$Q$40,[1]Billing!$V$5:$V$40)</f>
        <v>424323.335771763</v>
      </c>
      <c r="H105" s="22">
        <f>_xlfn.XLOOKUP($B70,[1]Billing!$Q$5:$Q$40,[1]Billing!$W$5:$W$40)</f>
        <v>0</v>
      </c>
      <c r="I105" s="22">
        <f>_xlfn.XLOOKUP($B70,[1]Billing!$Q$5:$Q$40,[1]Billing!$X$5:$X$40)</f>
        <v>0</v>
      </c>
      <c r="J105" s="22">
        <f>_xlfn.XLOOKUP($B70,[1]Billing!$Q$5:$Q$40,[1]Billing!$Y$5:$Y$40)</f>
        <v>0</v>
      </c>
      <c r="K105">
        <f>_xlfn.XLOOKUP($B70,[1]Billing!$Q$5:$Q$40,[1]Billing!$Z$5:$Z$40)</f>
        <v>0</v>
      </c>
      <c r="L105">
        <f>_xlfn.XLOOKUP($B70,[1]Billing!$Q$5:$Q$40,[1]Billing!$AA$5:$AA$40)</f>
        <v>0</v>
      </c>
      <c r="M105">
        <f>_xlfn.XLOOKUP($B70,[1]Billing!$Q$5:$Q$40,[1]Billing!$AB$5:$AB$40)</f>
        <v>0</v>
      </c>
      <c r="N105" s="39">
        <f t="shared" si="7"/>
        <v>424323.335771763</v>
      </c>
      <c r="O105" s="22">
        <f>_xlfn.XLOOKUP($B70,[1]Billing!$Q$5:$Q$40,[1]Billing!$AD$5:$AD$40)</f>
        <v>424323</v>
      </c>
      <c r="P105" s="37">
        <f t="shared" si="8"/>
        <v>0.33577176299877465</v>
      </c>
    </row>
    <row r="106" spans="2:18" x14ac:dyDescent="0.3">
      <c r="B106" s="81" t="str">
        <v>ibraheem behraam</v>
      </c>
      <c r="C106" s="22">
        <f>_xlfn.XLOOKUP($B71,[1]Billing!$Q$5:$Q$40,[1]Billing!$R$5:$R$40)</f>
        <v>66705</v>
      </c>
      <c r="D106" s="22">
        <f>_xlfn.XLOOKUP($B71,[1]Billing!$Q$5:$Q$40,[1]Billing!$S$5:$S$40)</f>
        <v>60995.793708851503</v>
      </c>
      <c r="E106" s="22">
        <f>_xlfn.XLOOKUP($B71,[1]Billing!$Q$5:$Q$40,[1]Billing!$T$5:$T$40)</f>
        <v>0</v>
      </c>
      <c r="F106" s="22">
        <f>_xlfn.XLOOKUP($B71,[1]Billing!$Q$5:$Q$40,[1]Billing!$U$5:$U$40)</f>
        <v>60995.793708851503</v>
      </c>
      <c r="G106" s="22">
        <f>_xlfn.XLOOKUP($B71,[1]Billing!$Q$5:$Q$40,[1]Billing!$V$5:$V$40)</f>
        <v>0</v>
      </c>
      <c r="H106" s="22">
        <f>_xlfn.XLOOKUP($B71,[1]Billing!$Q$5:$Q$40,[1]Billing!$W$5:$W$40)</f>
        <v>792945.31821506959</v>
      </c>
      <c r="I106" s="22">
        <f>_xlfn.XLOOKUP($B71,[1]Billing!$Q$5:$Q$40,[1]Billing!$X$5:$X$40)</f>
        <v>0</v>
      </c>
      <c r="J106" s="22">
        <f>_xlfn.XLOOKUP($B71,[1]Billing!$Q$5:$Q$40,[1]Billing!$Y$5:$Y$40)</f>
        <v>0</v>
      </c>
      <c r="K106">
        <f>_xlfn.XLOOKUP($B71,[1]Billing!$Q$5:$Q$40,[1]Billing!$Z$5:$Z$40)</f>
        <v>0</v>
      </c>
      <c r="L106">
        <f>_xlfn.XLOOKUP($B71,[1]Billing!$Q$5:$Q$40,[1]Billing!$AA$5:$AA$40)</f>
        <v>0</v>
      </c>
      <c r="M106">
        <f>_xlfn.XLOOKUP($B71,[1]Billing!$Q$5:$Q$40,[1]Billing!$AB$5:$AB$40)</f>
        <v>0</v>
      </c>
      <c r="N106" s="39">
        <f t="shared" si="7"/>
        <v>792945.31821506959</v>
      </c>
      <c r="O106" s="22">
        <f>_xlfn.XLOOKUP($B71,[1]Billing!$Q$5:$Q$40,[1]Billing!$AD$5:$AD$40)</f>
        <v>790500</v>
      </c>
      <c r="P106" s="37">
        <f t="shared" si="8"/>
        <v>2445.3182150695939</v>
      </c>
    </row>
    <row r="107" spans="2:18" x14ac:dyDescent="0.3">
      <c r="B107" s="81" t="str">
        <v>Zia-ullah karachi</v>
      </c>
      <c r="C107" s="22">
        <f>_xlfn.XLOOKUP($B72,[1]Billing!$Q$5:$Q$40,[1]Billing!$R$5:$R$40)</f>
        <v>13622</v>
      </c>
      <c r="D107" s="22">
        <f>_xlfn.XLOOKUP($B72,[1]Billing!$Q$5:$Q$40,[1]Billing!$S$5:$S$40)</f>
        <v>12456.108266276518</v>
      </c>
      <c r="E107" s="22">
        <f>_xlfn.XLOOKUP($B72,[1]Billing!$Q$5:$Q$40,[1]Billing!$T$5:$T$40)</f>
        <v>12456.108266276518</v>
      </c>
      <c r="F107" s="22">
        <f>_xlfn.XLOOKUP($B72,[1]Billing!$Q$5:$Q$40,[1]Billing!$U$5:$U$40)</f>
        <v>0</v>
      </c>
      <c r="G107" s="22">
        <f>_xlfn.XLOOKUP($B72,[1]Billing!$Q$5:$Q$40,[1]Billing!$V$5:$V$40)</f>
        <v>124561.08266276518</v>
      </c>
      <c r="H107" s="22">
        <f>_xlfn.XLOOKUP($B72,[1]Billing!$Q$5:$Q$40,[1]Billing!$W$5:$W$40)</f>
        <v>0</v>
      </c>
      <c r="I107" s="22">
        <f>_xlfn.XLOOKUP($B72,[1]Billing!$Q$5:$Q$40,[1]Billing!$X$5:$X$40)</f>
        <v>0</v>
      </c>
      <c r="J107" s="22">
        <f>_xlfn.XLOOKUP($B72,[1]Billing!$Q$5:$Q$40,[1]Billing!$Y$5:$Y$40)</f>
        <v>0</v>
      </c>
      <c r="K107">
        <f>_xlfn.XLOOKUP($B72,[1]Billing!$Q$5:$Q$40,[1]Billing!$Z$5:$Z$40)</f>
        <v>0</v>
      </c>
      <c r="L107">
        <f>_xlfn.XLOOKUP($B72,[1]Billing!$Q$5:$Q$40,[1]Billing!$AA$5:$AA$40)</f>
        <v>0</v>
      </c>
      <c r="M107">
        <f>_xlfn.XLOOKUP($B72,[1]Billing!$Q$5:$Q$40,[1]Billing!$AB$5:$AB$40)</f>
        <v>0</v>
      </c>
      <c r="N107" s="39">
        <f t="shared" si="7"/>
        <v>124561.08266276518</v>
      </c>
      <c r="O107" s="22">
        <f>_xlfn.XLOOKUP($B72,[1]Billing!$Q$5:$Q$40,[1]Billing!$AD$5:$AD$40)</f>
        <v>124560</v>
      </c>
      <c r="P107" s="37">
        <f t="shared" si="8"/>
        <v>1.0826627651840681</v>
      </c>
    </row>
    <row r="108" spans="2:18" x14ac:dyDescent="0.3">
      <c r="B108" s="81" t="str">
        <v>ZA</v>
      </c>
      <c r="C108" s="22">
        <f>_xlfn.XLOOKUP($B73,[1]Billing!$Q$5:$Q$40,[1]Billing!$R$5:$R$40)</f>
        <v>32399</v>
      </c>
      <c r="D108" s="22">
        <f>_xlfn.XLOOKUP($B73,[1]Billing!$Q$5:$Q$40,[1]Billing!$S$5:$S$40)</f>
        <v>29626.005852231167</v>
      </c>
      <c r="E108" s="22">
        <f>_xlfn.XLOOKUP($B73,[1]Billing!$Q$5:$Q$40,[1]Billing!$T$5:$T$40)</f>
        <v>0</v>
      </c>
      <c r="F108" s="22">
        <f>_xlfn.XLOOKUP($B73,[1]Billing!$Q$5:$Q$40,[1]Billing!$U$5:$U$40)</f>
        <v>29626.005852231167</v>
      </c>
      <c r="G108" s="22">
        <f>_xlfn.XLOOKUP($B73,[1]Billing!$Q$5:$Q$40,[1]Billing!$V$5:$V$40)</f>
        <v>0</v>
      </c>
      <c r="H108" s="22">
        <f>_xlfn.XLOOKUP($B73,[1]Billing!$Q$5:$Q$40,[1]Billing!$W$5:$W$40)</f>
        <v>385138.07607900514</v>
      </c>
      <c r="I108" s="22">
        <f>_xlfn.XLOOKUP($B73,[1]Billing!$Q$5:$Q$40,[1]Billing!$X$5:$X$40)</f>
        <v>0</v>
      </c>
      <c r="J108" s="22">
        <f>_xlfn.XLOOKUP($B73,[1]Billing!$Q$5:$Q$40,[1]Billing!$Y$5:$Y$40)</f>
        <v>0</v>
      </c>
      <c r="K108">
        <f>_xlfn.XLOOKUP($B73,[1]Billing!$Q$5:$Q$40,[1]Billing!$Z$5:$Z$40)</f>
        <v>0</v>
      </c>
      <c r="L108">
        <f>_xlfn.XLOOKUP($B73,[1]Billing!$Q$5:$Q$40,[1]Billing!$AA$5:$AA$40)</f>
        <v>0</v>
      </c>
      <c r="M108">
        <f>_xlfn.XLOOKUP($B73,[1]Billing!$Q$5:$Q$40,[1]Billing!$AB$5:$AB$40)</f>
        <v>0</v>
      </c>
      <c r="N108" s="39">
        <f t="shared" si="7"/>
        <v>385138.07607900514</v>
      </c>
      <c r="O108" s="22">
        <f>_xlfn.XLOOKUP($B73,[1]Billing!$Q$5:$Q$40,[1]Billing!$AD$5:$AD$40)</f>
        <v>250000</v>
      </c>
      <c r="P108" s="37">
        <f t="shared" si="8"/>
        <v>135138.07607900514</v>
      </c>
    </row>
    <row r="109" spans="2:18" x14ac:dyDescent="0.3">
      <c r="B109" s="81" t="str">
        <v>Ahmad Javaid</v>
      </c>
      <c r="C109" s="22">
        <f>_xlfn.XLOOKUP($B74,[1]Billing!$Q$5:$Q$40,[1]Billing!$R$5:$R$40)</f>
        <v>4557</v>
      </c>
      <c r="D109" s="22">
        <f>_xlfn.XLOOKUP($B74,[1]Billing!$Q$5:$Q$40,[1]Billing!$S$5:$S$40)</f>
        <v>4166.9714703730797</v>
      </c>
      <c r="E109" s="22">
        <f>_xlfn.XLOOKUP($B74,[1]Billing!$Q$5:$Q$40,[1]Billing!$T$5:$T$40)</f>
        <v>0</v>
      </c>
      <c r="F109" s="22">
        <f>_xlfn.XLOOKUP($B74,[1]Billing!$Q$5:$Q$40,[1]Billing!$U$5:$U$40)</f>
        <v>0</v>
      </c>
      <c r="G109" s="22">
        <f>_xlfn.XLOOKUP($B74,[1]Billing!$Q$5:$Q$40,[1]Billing!$V$5:$V$40)</f>
        <v>0</v>
      </c>
      <c r="H109" s="22">
        <f>_xlfn.XLOOKUP($B74,[1]Billing!$Q$5:$Q$40,[1]Billing!$W$5:$W$40)</f>
        <v>0</v>
      </c>
      <c r="I109" s="22">
        <f>_xlfn.XLOOKUP($B74,[1]Billing!$Q$5:$Q$40,[1]Billing!$X$5:$X$40)</f>
        <v>0</v>
      </c>
      <c r="J109" s="22">
        <f>_xlfn.XLOOKUP($B74,[1]Billing!$Q$5:$Q$40,[1]Billing!$Y$5:$Y$40)</f>
        <v>0</v>
      </c>
      <c r="K109">
        <f>_xlfn.XLOOKUP($B74,[1]Billing!$Q$5:$Q$40,[1]Billing!$Z$5:$Z$40)</f>
        <v>0</v>
      </c>
      <c r="L109">
        <f>_xlfn.XLOOKUP($B74,[1]Billing!$Q$5:$Q$40,[1]Billing!$AA$5:$AA$40)</f>
        <v>0</v>
      </c>
      <c r="M109">
        <f>_xlfn.XLOOKUP($B74,[1]Billing!$Q$5:$Q$40,[1]Billing!$AB$5:$AB$40)</f>
        <v>54170.629114850039</v>
      </c>
      <c r="N109" s="39">
        <f t="shared" si="7"/>
        <v>54170.629114850039</v>
      </c>
      <c r="O109" s="22">
        <f>_xlfn.XLOOKUP($B74,[1]Billing!$Q$5:$Q$40,[1]Billing!$AD$5:$AD$40)</f>
        <v>0</v>
      </c>
      <c r="P109" s="37">
        <f t="shared" si="8"/>
        <v>54170.629114850039</v>
      </c>
    </row>
    <row r="110" spans="2:18" x14ac:dyDescent="0.3">
      <c r="B110" s="81"/>
      <c r="C110" s="22">
        <f>_xlfn.XLOOKUP($B75,[1]Billing!$Q$5:$Q$40,[1]Billing!$R$5:$R$40)</f>
        <v>0</v>
      </c>
      <c r="D110" s="22">
        <f>_xlfn.XLOOKUP($B75,[1]Billing!$Q$5:$Q$40,[1]Billing!$S$5:$S$40)</f>
        <v>0</v>
      </c>
      <c r="E110" s="22">
        <f>_xlfn.XLOOKUP($B75,[1]Billing!$Q$5:$Q$40,[1]Billing!$T$5:$T$40)</f>
        <v>0</v>
      </c>
      <c r="F110" s="22">
        <f>_xlfn.XLOOKUP($B75,[1]Billing!$Q$5:$Q$40,[1]Billing!$U$5:$U$40)</f>
        <v>0</v>
      </c>
      <c r="G110" s="22">
        <f>_xlfn.XLOOKUP($B75,[1]Billing!$Q$5:$Q$40,[1]Billing!$V$5:$V$40)</f>
        <v>0</v>
      </c>
      <c r="H110" s="22">
        <f>_xlfn.XLOOKUP($B75,[1]Billing!$Q$5:$Q$40,[1]Billing!$W$5:$W$40)</f>
        <v>0</v>
      </c>
      <c r="I110" s="22">
        <f>_xlfn.XLOOKUP($B75,[1]Billing!$Q$5:$Q$40,[1]Billing!$X$5:$X$40)</f>
        <v>0</v>
      </c>
      <c r="J110" s="22">
        <f>_xlfn.XLOOKUP($B75,[1]Billing!$Q$5:$Q$40,[1]Billing!$Y$5:$Y$40)</f>
        <v>0</v>
      </c>
      <c r="K110">
        <f>_xlfn.XLOOKUP($B75,[1]Billing!$Q$5:$Q$40,[1]Billing!$Z$5:$Z$40)</f>
        <v>0</v>
      </c>
      <c r="L110">
        <f>_xlfn.XLOOKUP($B75,[1]Billing!$Q$5:$Q$40,[1]Billing!$AA$5:$AA$40)</f>
        <v>0</v>
      </c>
      <c r="M110">
        <f>_xlfn.XLOOKUP($B75,[1]Billing!$Q$5:$Q$40,[1]Billing!$AB$5:$AB$40)</f>
        <v>0</v>
      </c>
      <c r="N110" s="39">
        <f t="shared" ref="N110:N115" si="9">G110+H110+I110+J110+K110+L110+M110</f>
        <v>0</v>
      </c>
      <c r="O110" s="22">
        <f>_xlfn.XLOOKUP($B75,[1]Billing!$Q$5:$Q$40,[1]Billing!$AD$5:$AD$40)</f>
        <v>0</v>
      </c>
      <c r="P110" s="37">
        <f t="shared" ref="P110:P115" si="10">N110-O110</f>
        <v>0</v>
      </c>
    </row>
    <row r="111" spans="2:18" x14ac:dyDescent="0.3">
      <c r="C111" s="22">
        <f>_xlfn.XLOOKUP($B76,[1]Billing!$Q$5:$Q$40,[1]Billing!$R$5:$R$40)</f>
        <v>0</v>
      </c>
      <c r="D111" s="22">
        <f>_xlfn.XLOOKUP($B76,[1]Billing!$Q$5:$Q$40,[1]Billing!$S$5:$S$40)</f>
        <v>0</v>
      </c>
      <c r="E111" s="22">
        <f>_xlfn.XLOOKUP($B76,[1]Billing!$Q$5:$Q$40,[1]Billing!$T$5:$T$40)</f>
        <v>0</v>
      </c>
      <c r="F111" s="22">
        <f>_xlfn.XLOOKUP($B76,[1]Billing!$Q$5:$Q$40,[1]Billing!$U$5:$U$40)</f>
        <v>0</v>
      </c>
      <c r="G111" s="22">
        <f>_xlfn.XLOOKUP($B76,[1]Billing!$Q$5:$Q$40,[1]Billing!$V$5:$V$40)</f>
        <v>0</v>
      </c>
      <c r="H111" s="22">
        <f>_xlfn.XLOOKUP($B76,[1]Billing!$Q$5:$Q$40,[1]Billing!$W$5:$W$40)</f>
        <v>0</v>
      </c>
      <c r="I111" s="22">
        <f>_xlfn.XLOOKUP($B76,[1]Billing!$Q$5:$Q$40,[1]Billing!$X$5:$X$40)</f>
        <v>0</v>
      </c>
      <c r="J111" s="22">
        <f>_xlfn.XLOOKUP($B76,[1]Billing!$Q$5:$Q$40,[1]Billing!$Y$5:$Y$40)</f>
        <v>0</v>
      </c>
      <c r="K111">
        <f>_xlfn.XLOOKUP($B76,[1]Billing!$Q$5:$Q$40,[1]Billing!$Z$5:$Z$40)</f>
        <v>0</v>
      </c>
      <c r="L111">
        <f>_xlfn.XLOOKUP($B76,[1]Billing!$Q$5:$Q$40,[1]Billing!$AA$5:$AA$40)</f>
        <v>0</v>
      </c>
      <c r="M111">
        <f>_xlfn.XLOOKUP($B76,[1]Billing!$Q$5:$Q$40,[1]Billing!$AB$5:$AB$40)</f>
        <v>0</v>
      </c>
      <c r="N111" s="39">
        <f t="shared" si="9"/>
        <v>0</v>
      </c>
      <c r="O111" s="22">
        <f>_xlfn.XLOOKUP($B76,[1]Billing!$Q$5:$Q$40,[1]Billing!$AD$5:$AD$40)</f>
        <v>0</v>
      </c>
      <c r="P111" s="37">
        <f t="shared" si="10"/>
        <v>0</v>
      </c>
    </row>
    <row r="112" spans="2:18" x14ac:dyDescent="0.3">
      <c r="C112" s="22">
        <f>_xlfn.XLOOKUP($B77,[1]Billing!$Q$5:$Q$40,[1]Billing!$R$5:$R$40)</f>
        <v>0</v>
      </c>
      <c r="D112" s="22">
        <f>_xlfn.XLOOKUP($B77,[1]Billing!$Q$5:$Q$40,[1]Billing!$S$5:$S$40)</f>
        <v>0</v>
      </c>
      <c r="E112" s="22">
        <f>_xlfn.XLOOKUP($B77,[1]Billing!$Q$5:$Q$40,[1]Billing!$T$5:$T$40)</f>
        <v>0</v>
      </c>
      <c r="F112" s="22">
        <f>_xlfn.XLOOKUP($B77,[1]Billing!$Q$5:$Q$40,[1]Billing!$U$5:$U$40)</f>
        <v>0</v>
      </c>
      <c r="G112" s="22">
        <f>_xlfn.XLOOKUP($B77,[1]Billing!$Q$5:$Q$40,[1]Billing!$V$5:$V$40)</f>
        <v>0</v>
      </c>
      <c r="H112" s="22">
        <f>_xlfn.XLOOKUP($B77,[1]Billing!$Q$5:$Q$40,[1]Billing!$W$5:$W$40)</f>
        <v>0</v>
      </c>
      <c r="I112" s="22">
        <f>_xlfn.XLOOKUP($B77,[1]Billing!$Q$5:$Q$40,[1]Billing!$X$5:$X$40)</f>
        <v>0</v>
      </c>
      <c r="J112" s="22">
        <f>_xlfn.XLOOKUP($B77,[1]Billing!$Q$5:$Q$40,[1]Billing!$Y$5:$Y$40)</f>
        <v>0</v>
      </c>
      <c r="K112">
        <f>_xlfn.XLOOKUP($B77,[1]Billing!$Q$5:$Q$40,[1]Billing!$Z$5:$Z$40)</f>
        <v>0</v>
      </c>
      <c r="L112">
        <f>_xlfn.XLOOKUP($B77,[1]Billing!$Q$5:$Q$40,[1]Billing!$AA$5:$AA$40)</f>
        <v>0</v>
      </c>
      <c r="M112">
        <f>_xlfn.XLOOKUP($B77,[1]Billing!$Q$5:$Q$40,[1]Billing!$AB$5:$AB$40)</f>
        <v>0</v>
      </c>
      <c r="N112" s="39">
        <f t="shared" si="9"/>
        <v>0</v>
      </c>
      <c r="O112" s="22">
        <f>_xlfn.XLOOKUP($B77,[1]Billing!$Q$5:$Q$40,[1]Billing!$AD$5:$AD$40)</f>
        <v>0</v>
      </c>
      <c r="P112" s="37">
        <f t="shared" si="10"/>
        <v>0</v>
      </c>
    </row>
    <row r="113" spans="3:16" x14ac:dyDescent="0.3">
      <c r="C113" s="22">
        <f>_xlfn.XLOOKUP($B78,[1]Billing!$Q$5:$Q$40,[1]Billing!$R$5:$R$40)</f>
        <v>0</v>
      </c>
      <c r="D113" s="22">
        <f>_xlfn.XLOOKUP($B78,[1]Billing!$Q$5:$Q$40,[1]Billing!$S$5:$S$40)</f>
        <v>0</v>
      </c>
      <c r="E113" s="22">
        <f>_xlfn.XLOOKUP($B78,[1]Billing!$Q$5:$Q$40,[1]Billing!$T$5:$T$40)</f>
        <v>0</v>
      </c>
      <c r="F113" s="22">
        <f>_xlfn.XLOOKUP($B78,[1]Billing!$Q$5:$Q$40,[1]Billing!$U$5:$U$40)</f>
        <v>0</v>
      </c>
      <c r="G113" s="22">
        <f>_xlfn.XLOOKUP($B78,[1]Billing!$Q$5:$Q$40,[1]Billing!$V$5:$V$40)</f>
        <v>0</v>
      </c>
      <c r="H113" s="22">
        <f>_xlfn.XLOOKUP($B78,[1]Billing!$Q$5:$Q$40,[1]Billing!$W$5:$W$40)</f>
        <v>0</v>
      </c>
      <c r="I113" s="22">
        <f>_xlfn.XLOOKUP($B78,[1]Billing!$Q$5:$Q$40,[1]Billing!$X$5:$X$40)</f>
        <v>0</v>
      </c>
      <c r="J113" s="22">
        <f>_xlfn.XLOOKUP($B78,[1]Billing!$Q$5:$Q$40,[1]Billing!$Y$5:$Y$40)</f>
        <v>0</v>
      </c>
      <c r="K113">
        <f>_xlfn.XLOOKUP($B78,[1]Billing!$Q$5:$Q$40,[1]Billing!$Z$5:$Z$40)</f>
        <v>0</v>
      </c>
      <c r="L113">
        <f>_xlfn.XLOOKUP($B78,[1]Billing!$Q$5:$Q$40,[1]Billing!$AA$5:$AA$40)</f>
        <v>0</v>
      </c>
      <c r="M113">
        <f>_xlfn.XLOOKUP($B78,[1]Billing!$Q$5:$Q$40,[1]Billing!$AB$5:$AB$40)</f>
        <v>0</v>
      </c>
      <c r="N113" s="39">
        <f t="shared" si="9"/>
        <v>0</v>
      </c>
      <c r="O113" s="22">
        <f>_xlfn.XLOOKUP($B78,[1]Billing!$Q$5:$Q$40,[1]Billing!$AD$5:$AD$40)</f>
        <v>0</v>
      </c>
      <c r="P113" s="37">
        <f t="shared" si="10"/>
        <v>0</v>
      </c>
    </row>
    <row r="114" spans="3:16" x14ac:dyDescent="0.3">
      <c r="C114" s="22">
        <f>_xlfn.XLOOKUP($B79,[1]Billing!$Q$5:$Q$40,[1]Billing!$R$5:$R$40)</f>
        <v>0</v>
      </c>
      <c r="D114" s="22">
        <f>_xlfn.XLOOKUP($B79,[1]Billing!$Q$5:$Q$40,[1]Billing!$S$5:$S$40)</f>
        <v>0</v>
      </c>
      <c r="E114" s="22">
        <f>_xlfn.XLOOKUP($B79,[1]Billing!$Q$5:$Q$40,[1]Billing!$T$5:$T$40)</f>
        <v>0</v>
      </c>
      <c r="F114" s="22">
        <f>_xlfn.XLOOKUP($B79,[1]Billing!$Q$5:$Q$40,[1]Billing!$U$5:$U$40)</f>
        <v>0</v>
      </c>
      <c r="G114" s="22">
        <f>_xlfn.XLOOKUP($B79,[1]Billing!$Q$5:$Q$40,[1]Billing!$V$5:$V$40)</f>
        <v>0</v>
      </c>
      <c r="H114" s="22">
        <f>_xlfn.XLOOKUP($B79,[1]Billing!$Q$5:$Q$40,[1]Billing!$W$5:$W$40)</f>
        <v>0</v>
      </c>
      <c r="I114" s="22">
        <f>_xlfn.XLOOKUP($B79,[1]Billing!$Q$5:$Q$40,[1]Billing!$X$5:$X$40)</f>
        <v>0</v>
      </c>
      <c r="J114" s="22">
        <f>_xlfn.XLOOKUP($B79,[1]Billing!$Q$5:$Q$40,[1]Billing!$Y$5:$Y$40)</f>
        <v>0</v>
      </c>
      <c r="K114">
        <f>_xlfn.XLOOKUP($B79,[1]Billing!$Q$5:$Q$40,[1]Billing!$Z$5:$Z$40)</f>
        <v>0</v>
      </c>
      <c r="L114">
        <f>_xlfn.XLOOKUP($B79,[1]Billing!$Q$5:$Q$40,[1]Billing!$AA$5:$AA$40)</f>
        <v>0</v>
      </c>
      <c r="M114">
        <f>_xlfn.XLOOKUP($B79,[1]Billing!$Q$5:$Q$40,[1]Billing!$AB$5:$AB$40)</f>
        <v>0</v>
      </c>
      <c r="N114" s="39">
        <f t="shared" si="9"/>
        <v>0</v>
      </c>
      <c r="O114" s="22">
        <f>_xlfn.XLOOKUP($B79,[1]Billing!$Q$5:$Q$40,[1]Billing!$AD$5:$AD$40)</f>
        <v>0</v>
      </c>
      <c r="P114" s="37">
        <f t="shared" si="10"/>
        <v>0</v>
      </c>
    </row>
    <row r="115" spans="3:16" x14ac:dyDescent="0.3">
      <c r="C115" s="22">
        <f>_xlfn.XLOOKUP($B80,[1]Billing!$Q$5:$Q$40,[1]Billing!$R$5:$R$40)</f>
        <v>0</v>
      </c>
      <c r="D115" s="22">
        <f>_xlfn.XLOOKUP($B80,[1]Billing!$Q$5:$Q$40,[1]Billing!$S$5:$S$40)</f>
        <v>0</v>
      </c>
      <c r="E115" s="22">
        <f>_xlfn.XLOOKUP($B80,[1]Billing!$Q$5:$Q$40,[1]Billing!$T$5:$T$40)</f>
        <v>0</v>
      </c>
      <c r="F115" s="22">
        <f>_xlfn.XLOOKUP($B80,[1]Billing!$Q$5:$Q$40,[1]Billing!$U$5:$U$40)</f>
        <v>0</v>
      </c>
      <c r="G115" s="22">
        <f>_xlfn.XLOOKUP($B80,[1]Billing!$Q$5:$Q$40,[1]Billing!$V$5:$V$40)</f>
        <v>0</v>
      </c>
      <c r="H115" s="22">
        <f>_xlfn.XLOOKUP($B80,[1]Billing!$Q$5:$Q$40,[1]Billing!$W$5:$W$40)</f>
        <v>0</v>
      </c>
      <c r="I115" s="22">
        <f>_xlfn.XLOOKUP($B80,[1]Billing!$Q$5:$Q$40,[1]Billing!$X$5:$X$40)</f>
        <v>0</v>
      </c>
      <c r="J115" s="22">
        <f>_xlfn.XLOOKUP($B80,[1]Billing!$Q$5:$Q$40,[1]Billing!$Y$5:$Y$40)</f>
        <v>0</v>
      </c>
      <c r="K115">
        <f>_xlfn.XLOOKUP($B80,[1]Billing!$Q$5:$Q$40,[1]Billing!$Z$5:$Z$40)</f>
        <v>0</v>
      </c>
      <c r="L115">
        <f>_xlfn.XLOOKUP($B80,[1]Billing!$Q$5:$Q$40,[1]Billing!$AA$5:$AA$40)</f>
        <v>0</v>
      </c>
      <c r="M115">
        <f>_xlfn.XLOOKUP($B80,[1]Billing!$Q$5:$Q$40,[1]Billing!$AB$5:$AB$40)</f>
        <v>0</v>
      </c>
      <c r="N115" s="39">
        <f t="shared" si="9"/>
        <v>0</v>
      </c>
      <c r="O115" s="22">
        <f>_xlfn.XLOOKUP($B80,[1]Billing!$Q$5:$Q$40,[1]Billing!$AD$5:$AD$40)</f>
        <v>0</v>
      </c>
      <c r="P115" s="37">
        <f t="shared" si="10"/>
        <v>0</v>
      </c>
    </row>
  </sheetData>
  <phoneticPr fontId="4" type="noConversion"/>
  <pageMargins left="0.7" right="0.7" top="0.75" bottom="0.75" header="0.3" footer="0.3"/>
  <pageSetup paperSize="121" orientation="landscape"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53AD-D664-44CF-A1E1-2DB6CE627410}">
  <dimension ref="B4:J29"/>
  <sheetViews>
    <sheetView topLeftCell="A5" zoomScale="105" workbookViewId="0">
      <selection activeCell="E12" sqref="E12"/>
    </sheetView>
  </sheetViews>
  <sheetFormatPr defaultRowHeight="14.4" x14ac:dyDescent="0.3"/>
  <cols>
    <col min="2" max="2" width="23.109375" customWidth="1"/>
    <col min="3" max="3" width="14.6640625" customWidth="1"/>
    <col min="4" max="4" width="16.6640625" bestFit="1" customWidth="1"/>
    <col min="5" max="5" width="20.33203125" customWidth="1"/>
    <col min="9" max="9" width="11.6640625" customWidth="1"/>
    <col min="10" max="10" width="12.88671875" customWidth="1"/>
  </cols>
  <sheetData>
    <row r="4" spans="2:10" ht="15.6" x14ac:dyDescent="0.3">
      <c r="C4" s="62"/>
      <c r="D4" s="62"/>
      <c r="I4" t="s">
        <v>34</v>
      </c>
      <c r="J4" t="str" cm="1">
        <f t="array" ref="J4:J29">_xlfn.UNIQUE(Table1[Party Name])</f>
        <v>BSC</v>
      </c>
    </row>
    <row r="5" spans="2:10" x14ac:dyDescent="0.3">
      <c r="J5" t="str">
        <v>Ejaz Sahab</v>
      </c>
    </row>
    <row r="6" spans="2:10" ht="21" x14ac:dyDescent="0.4">
      <c r="B6" s="64" t="s">
        <v>199</v>
      </c>
      <c r="J6" t="str">
        <v>Arshad</v>
      </c>
    </row>
    <row r="7" spans="2:10" ht="15.6" x14ac:dyDescent="0.3">
      <c r="B7" s="62" t="s">
        <v>36</v>
      </c>
      <c r="C7" s="62" t="s">
        <v>4</v>
      </c>
      <c r="D7" s="62" t="s">
        <v>150</v>
      </c>
      <c r="E7" s="62" t="s">
        <v>151</v>
      </c>
      <c r="J7" t="str">
        <v>Shehzad Kamoki</v>
      </c>
    </row>
    <row r="8" spans="2:10" ht="18" x14ac:dyDescent="0.35">
      <c r="B8" s="55" t="s">
        <v>37</v>
      </c>
      <c r="C8" s="66"/>
      <c r="D8" s="68" cm="1">
        <f t="array" ref="D8">_xlfn.XLOOKUP($B$6,_xlfn.ANCHORARRAY( Billing!Q5), INDEX(Billing!R5:R25, _xlfn.SEQUENCE(ROWS(_xlfn.ANCHORARRAY(Billing!$Q$5)))), "Not Found")</f>
        <v>263818</v>
      </c>
      <c r="E8" s="66"/>
      <c r="J8" t="str">
        <v>Sufi Nawaz Sahab</v>
      </c>
    </row>
    <row r="9" spans="2:10" ht="18" x14ac:dyDescent="0.35">
      <c r="B9" s="55"/>
      <c r="C9" s="66"/>
      <c r="D9" s="66"/>
      <c r="E9" s="66"/>
      <c r="J9" t="str">
        <v>Sajad Khan</v>
      </c>
    </row>
    <row r="10" spans="2:10" ht="18" x14ac:dyDescent="0.35">
      <c r="B10" s="55" t="s">
        <v>38</v>
      </c>
      <c r="C10" s="66"/>
      <c r="D10" s="68" cm="1">
        <f t="array" ref="D10">_xlfn.XLOOKUP($B$6,_xlfn.ANCHORARRAY( Billing!$Q$5), INDEX(Billing!S5:S25, _xlfn.SEQUENCE(ROWS(_xlfn.ANCHORARRAY(Billing!$Q$5)))), "Not Found")</f>
        <v>241238.11265544992</v>
      </c>
      <c r="E10" s="66"/>
      <c r="J10" t="str">
        <v>Raaz Fabrics</v>
      </c>
    </row>
    <row r="11" spans="2:10" ht="18.600000000000001" thickBot="1" x14ac:dyDescent="0.4">
      <c r="B11" s="55"/>
      <c r="C11" s="66"/>
      <c r="D11" s="66"/>
      <c r="E11" s="66"/>
      <c r="J11" t="str">
        <v>Azam</v>
      </c>
    </row>
    <row r="12" spans="2:10" ht="18.600000000000001" thickBot="1" x14ac:dyDescent="0.4">
      <c r="B12" s="55" t="s">
        <v>39</v>
      </c>
      <c r="C12" s="66" cm="1">
        <f t="array" aca="1" ref="C12" ca="1">_xlfn.XLOOKUP($B$6,_xlfn.ANCHORARRAY( Billing!$B$49), OFFSET(Billing!Q49, 0, 0, ROWS(_xlfn.ANCHORARRAY(Billing!$B$49))), "Not Found")</f>
        <v>10</v>
      </c>
      <c r="D12" s="66" cm="1">
        <f t="array" ref="D12">_xlfn.XLOOKUP($B$6,_xlfn.ANCHORARRAY( Billing!$Q$5), INDEX(Billing!T5:T25, _xlfn.SEQUENCE(ROWS(_xlfn.ANCHORARRAY(Billing!$Q$5)))), "Not Found")</f>
        <v>189718.36137527431</v>
      </c>
      <c r="E12" s="92">
        <f ca="1">Table21[[#This Row],[gazana]]*Table21[[#This Row],[Rate]]</f>
        <v>1897183.6137527432</v>
      </c>
      <c r="J12" t="str">
        <v>Ubaidullah</v>
      </c>
    </row>
    <row r="13" spans="2:10" ht="18" x14ac:dyDescent="0.35">
      <c r="B13" s="65"/>
      <c r="C13" s="67"/>
      <c r="D13" s="67"/>
      <c r="E13" s="66"/>
      <c r="J13" t="str">
        <v>Ashraf Zia</v>
      </c>
    </row>
    <row r="14" spans="2:10" ht="18" x14ac:dyDescent="0.35">
      <c r="B14" s="55" t="s">
        <v>40</v>
      </c>
      <c r="C14" s="66" cm="1">
        <f t="array" aca="1" ref="C14" ca="1">_xlfn.XLOOKUP($B$6,_xlfn.ANCHORARRAY( Billing!$B$49), OFFSET(Billing!R49, 0, 0, ROWS(_xlfn.ANCHORARRAY(Billing!$B$49))), "Not Found")</f>
        <v>12</v>
      </c>
      <c r="D14" s="66" cm="1">
        <f t="array" ref="D14">_xlfn.XLOOKUP($B$6,_xlfn.ANCHORARRAY( Billing!$Q$5), INDEX(Billing!U5:U25, _xlfn.SEQUENCE(ROWS(_xlfn.ANCHORARRAY(Billing!$Q$5)))), "Not Found")</f>
        <v>0</v>
      </c>
      <c r="E14" s="66">
        <f ca="1">Table21[[#This Row],[gazana]]*Table21[[#This Row],[Rate]]</f>
        <v>0</v>
      </c>
      <c r="J14" t="str">
        <v>Hafiz Qureshi</v>
      </c>
    </row>
    <row r="15" spans="2:10" ht="18.600000000000001" thickBot="1" x14ac:dyDescent="0.4">
      <c r="B15" s="65"/>
      <c r="C15" s="67"/>
      <c r="D15" s="67"/>
      <c r="E15" s="66"/>
      <c r="J15" t="str">
        <v>Badshah Fabrics</v>
      </c>
    </row>
    <row r="16" spans="2:10" ht="18.600000000000001" thickBot="1" x14ac:dyDescent="0.4">
      <c r="B16" s="55" t="s">
        <v>41</v>
      </c>
      <c r="C16" s="66"/>
      <c r="D16" s="91"/>
      <c r="E16" s="93">
        <f ca="1">E12+E14</f>
        <v>1897183.6137527432</v>
      </c>
      <c r="J16" t="str">
        <v>Reject</v>
      </c>
    </row>
    <row r="17" spans="2:10" ht="18.600000000000001" thickBot="1" x14ac:dyDescent="0.4">
      <c r="B17" s="65"/>
      <c r="C17" s="67"/>
      <c r="D17" s="69"/>
      <c r="E17" s="66"/>
      <c r="J17" t="str">
        <v>Amjad 7up</v>
      </c>
    </row>
    <row r="18" spans="2:10" ht="18.600000000000001" thickBot="1" x14ac:dyDescent="0.4">
      <c r="B18" s="55" t="s">
        <v>42</v>
      </c>
      <c r="C18" s="66"/>
      <c r="D18" s="91"/>
      <c r="E18" s="93" cm="1">
        <f t="array" aca="1" ref="E18" ca="1">_xlfn.XLOOKUP($B$6,_xlfn.ANCHORARRAY( Billing!Q5), OFFSET(Billing!AD5, 0, 0, ROWS(_xlfn.ANCHORARRAY(Billing!Q5))), "Not Found")</f>
        <v>2333095</v>
      </c>
      <c r="J18" t="str">
        <v>Hazrat Khan</v>
      </c>
    </row>
    <row r="19" spans="2:10" ht="18.600000000000001" thickBot="1" x14ac:dyDescent="0.4">
      <c r="B19" s="55"/>
      <c r="C19" s="66"/>
      <c r="D19" s="68"/>
      <c r="E19" s="66"/>
      <c r="J19" t="str">
        <v>Haseeb Shamsi</v>
      </c>
    </row>
    <row r="20" spans="2:10" ht="18.600000000000001" thickBot="1" x14ac:dyDescent="0.4">
      <c r="B20" s="55" t="s">
        <v>43</v>
      </c>
      <c r="C20" s="66"/>
      <c r="D20" s="91"/>
      <c r="E20" s="101" cm="1">
        <f t="array" aca="1" ref="E20" ca="1">_xlfn.XLOOKUP($B$6,_xlfn.ANCHORARRAY( Billing!Q5), OFFSET(Billing!AE5, 0, 0, ROWS(_xlfn.ANCHORARRAY(Billing!Q5))), "Not Found")</f>
        <v>134767.10680321883</v>
      </c>
      <c r="J20" t="str">
        <v>Faizan</v>
      </c>
    </row>
    <row r="21" spans="2:10" x14ac:dyDescent="0.3">
      <c r="J21" t="str">
        <v>Shafique Ansari</v>
      </c>
    </row>
    <row r="22" spans="2:10" x14ac:dyDescent="0.3">
      <c r="J22" t="str">
        <v>Amjad sohail</v>
      </c>
    </row>
    <row r="23" spans="2:10" x14ac:dyDescent="0.3">
      <c r="J23" t="str">
        <v>Salman Zaffar</v>
      </c>
    </row>
    <row r="24" spans="2:10" x14ac:dyDescent="0.3">
      <c r="J24" t="str">
        <v>Shahid Qasayi</v>
      </c>
    </row>
    <row r="25" spans="2:10" x14ac:dyDescent="0.3">
      <c r="J25" t="str">
        <v>Hameed corporation</v>
      </c>
    </row>
    <row r="26" spans="2:10" x14ac:dyDescent="0.3">
      <c r="J26" t="str">
        <v>ibraheem behraam</v>
      </c>
    </row>
    <row r="27" spans="2:10" x14ac:dyDescent="0.3">
      <c r="J27" t="str">
        <v>Zia-ullah karachi</v>
      </c>
    </row>
    <row r="28" spans="2:10" x14ac:dyDescent="0.3">
      <c r="J28" t="str">
        <v>ZA</v>
      </c>
    </row>
    <row r="29" spans="2:10" x14ac:dyDescent="0.3">
      <c r="J29" t="str">
        <v>Ahmad Javaid</v>
      </c>
    </row>
  </sheetData>
  <conditionalFormatting sqref="E20">
    <cfRule type="cellIs" dxfId="8" priority="1" operator="lessThan">
      <formula>20000</formula>
    </cfRule>
    <cfRule type="cellIs" dxfId="7" priority="2" operator="greaterThan">
      <formula>20000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67F4A-599E-4FA7-83B0-FA30D9237F09}">
  <dimension ref="A1:E22"/>
  <sheetViews>
    <sheetView zoomScale="150" workbookViewId="0">
      <selection activeCell="G14" sqref="G14"/>
    </sheetView>
  </sheetViews>
  <sheetFormatPr defaultRowHeight="14.4" x14ac:dyDescent="0.3"/>
  <cols>
    <col min="2" max="2" width="12.5546875" customWidth="1"/>
    <col min="3" max="3" width="14.5546875" customWidth="1"/>
    <col min="4" max="4" width="28.6640625" customWidth="1"/>
    <col min="5" max="5" width="23.21875" customWidth="1"/>
    <col min="7" max="7" width="14.6640625" bestFit="1" customWidth="1"/>
    <col min="8" max="8" width="12.33203125" bestFit="1" customWidth="1"/>
    <col min="9" max="9" width="13.5546875" bestFit="1" customWidth="1"/>
    <col min="10" max="11" width="7.88671875" bestFit="1" customWidth="1"/>
    <col min="12" max="12" width="1.6640625" bestFit="1" customWidth="1"/>
    <col min="13" max="13" width="10.33203125" bestFit="1" customWidth="1"/>
    <col min="14" max="14" width="5.6640625" bestFit="1" customWidth="1"/>
    <col min="15" max="15" width="10.33203125" bestFit="1" customWidth="1"/>
    <col min="16" max="16" width="5" bestFit="1" customWidth="1"/>
    <col min="17" max="19" width="6" bestFit="1" customWidth="1"/>
    <col min="20" max="21" width="7" bestFit="1" customWidth="1"/>
    <col min="22" max="22" width="1.6640625" bestFit="1" customWidth="1"/>
    <col min="23" max="23" width="10.33203125" bestFit="1" customWidth="1"/>
  </cols>
  <sheetData>
    <row r="1" spans="1:5" ht="25.8" x14ac:dyDescent="0.5">
      <c r="A1" s="6"/>
      <c r="B1" s="7" t="s">
        <v>44</v>
      </c>
    </row>
    <row r="3" spans="1:5" x14ac:dyDescent="0.3">
      <c r="B3" t="s">
        <v>45</v>
      </c>
      <c r="C3" t="s">
        <v>46</v>
      </c>
      <c r="D3" t="s">
        <v>36</v>
      </c>
      <c r="E3" t="s">
        <v>336</v>
      </c>
    </row>
    <row r="4" spans="1:5" x14ac:dyDescent="0.3">
      <c r="B4" t="s">
        <v>47</v>
      </c>
      <c r="C4" s="11">
        <f>Wood!K6+((363*810)+(830*233)+(146*580))</f>
        <v>3209860</v>
      </c>
      <c r="D4" t="s">
        <v>190</v>
      </c>
      <c r="E4" s="43">
        <f ca="1">Table12[[#This Row],[Amount]]/Table1[[#Totals],[tiyar/meters]]</f>
        <v>4.277821593785653</v>
      </c>
    </row>
    <row r="5" spans="1:5" x14ac:dyDescent="0.3">
      <c r="B5" t="s">
        <v>48</v>
      </c>
      <c r="C5" s="11">
        <f>SUM(Table8[Price])+Dyes!P56</f>
        <v>1077660</v>
      </c>
      <c r="E5" s="43">
        <f ca="1">Table12[[#This Row],[Amount]]/Table1[[#Totals],[tiyar/meters]]</f>
        <v>1.4362113047793508</v>
      </c>
    </row>
    <row r="6" spans="1:5" x14ac:dyDescent="0.3">
      <c r="B6" t="s">
        <v>49</v>
      </c>
      <c r="C6" s="11">
        <f>SUM(Table2[Price])+Finish!K30</f>
        <v>457600</v>
      </c>
      <c r="D6" t="s">
        <v>189</v>
      </c>
      <c r="E6" s="43">
        <f ca="1">Table12[[#This Row],[Amount]]/Table1[[#Totals],[tiyar/meters]]</f>
        <v>0.6098493894800131</v>
      </c>
    </row>
    <row r="7" spans="1:5" x14ac:dyDescent="0.3">
      <c r="B7" t="s">
        <v>50</v>
      </c>
      <c r="C7" s="11">
        <f>SUMIFS(Table14[Debit], Table14[Party],Table12[[#This Row],[Type]])</f>
        <v>11275</v>
      </c>
      <c r="E7" s="43">
        <f ca="1">Table12[[#This Row],[Amount]]/Table1[[#Totals],[tiyar/meters]]</f>
        <v>1.5026337120601285E-2</v>
      </c>
    </row>
    <row r="8" spans="1:5" x14ac:dyDescent="0.3">
      <c r="B8" t="s">
        <v>51</v>
      </c>
      <c r="C8" s="11">
        <f>Electricity!E3</f>
        <v>0</v>
      </c>
      <c r="E8" s="43">
        <f ca="1">Table12[[#This Row],[Amount]]/Table1[[#Totals],[tiyar/meters]]</f>
        <v>0</v>
      </c>
    </row>
    <row r="9" spans="1:5" x14ac:dyDescent="0.3">
      <c r="B9" t="s">
        <v>52</v>
      </c>
      <c r="C9" s="11">
        <f>SUMIFS(Table14[Debit], Table14[Party],Table12[[#This Row],[Type]])+SUMIFS(Table14[Debit], Table14[Party],"Advance Salary")</f>
        <v>140300</v>
      </c>
      <c r="E9" s="43">
        <f ca="1">Table12[[#This Row],[Amount]]/Table1[[#Totals],[tiyar/meters]]</f>
        <v>0.18697960958051976</v>
      </c>
    </row>
    <row r="10" spans="1:5" x14ac:dyDescent="0.3">
      <c r="B10" t="s">
        <v>53</v>
      </c>
      <c r="C10" s="11">
        <f>Table5[[#Totals],[Amount]]</f>
        <v>54460</v>
      </c>
      <c r="E10" s="43">
        <f ca="1">Table12[[#This Row],[Amount]]/Table1[[#Totals],[tiyar/meters]]</f>
        <v>7.257954053995086E-2</v>
      </c>
    </row>
    <row r="11" spans="1:5" x14ac:dyDescent="0.3">
      <c r="B11" t="s">
        <v>54</v>
      </c>
      <c r="C11" s="11">
        <f>Table13[[#Totals],[Debit]]</f>
        <v>74805</v>
      </c>
      <c r="E11" s="43">
        <f ca="1">Table12[[#This Row],[Amount]]/Table1[[#Totals],[tiyar/meters]]</f>
        <v>9.9693582998366226E-2</v>
      </c>
    </row>
    <row r="12" spans="1:5" x14ac:dyDescent="0.3">
      <c r="B12" t="s">
        <v>55</v>
      </c>
      <c r="C12" s="11">
        <f>Table15[[#Totals],[Amount]]</f>
        <v>69995</v>
      </c>
      <c r="E12" s="43">
        <f ca="1">Table12[[#This Row],[Amount]]/Table1[[#Totals],[tiyar/meters]]</f>
        <v>9.3283234302127441E-2</v>
      </c>
    </row>
    <row r="13" spans="1:5" x14ac:dyDescent="0.3">
      <c r="C13" s="11"/>
      <c r="E13" s="43">
        <f ca="1">Table12[[#This Row],[Amount]]/Table1[[#Totals],[tiyar/meters]]</f>
        <v>0</v>
      </c>
    </row>
    <row r="14" spans="1:5" x14ac:dyDescent="0.3">
      <c r="C14" s="14">
        <f>SUM(Table12[Amount])</f>
        <v>5095955</v>
      </c>
    </row>
    <row r="17" spans="2:4" x14ac:dyDescent="0.3">
      <c r="B17" t="s">
        <v>56</v>
      </c>
    </row>
    <row r="18" spans="2:4" x14ac:dyDescent="0.3">
      <c r="B18" t="s">
        <v>57</v>
      </c>
      <c r="C18" t="s">
        <v>58</v>
      </c>
      <c r="D18" t="s">
        <v>59</v>
      </c>
    </row>
    <row r="19" spans="2:4" x14ac:dyDescent="0.3">
      <c r="B19" t="s">
        <v>47</v>
      </c>
      <c r="C19">
        <f>388+236+100+288</f>
        <v>1012</v>
      </c>
      <c r="D19" t="s">
        <v>60</v>
      </c>
    </row>
    <row r="20" spans="2:4" x14ac:dyDescent="0.3">
      <c r="B20" t="s">
        <v>61</v>
      </c>
      <c r="C20">
        <v>100</v>
      </c>
      <c r="D20" t="s">
        <v>62</v>
      </c>
    </row>
    <row r="21" spans="2:4" x14ac:dyDescent="0.3">
      <c r="B21" t="s">
        <v>63</v>
      </c>
      <c r="C21">
        <v>75</v>
      </c>
      <c r="D21" t="s">
        <v>62</v>
      </c>
    </row>
    <row r="22" spans="2:4" x14ac:dyDescent="0.3">
      <c r="B22" t="s">
        <v>64</v>
      </c>
      <c r="C22" t="s">
        <v>65</v>
      </c>
    </row>
  </sheetData>
  <phoneticPr fontId="4"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19B88-176D-4283-9F20-7A53851A72BB}">
  <dimension ref="A2:F21"/>
  <sheetViews>
    <sheetView zoomScale="111" workbookViewId="0">
      <selection activeCell="G11" sqref="G11"/>
    </sheetView>
  </sheetViews>
  <sheetFormatPr defaultRowHeight="14.4" x14ac:dyDescent="0.3"/>
  <cols>
    <col min="2" max="2" width="11.6640625" customWidth="1"/>
    <col min="3" max="3" width="13" bestFit="1" customWidth="1"/>
    <col min="6" max="6" width="11.109375" customWidth="1"/>
    <col min="8" max="8" width="10.33203125" bestFit="1" customWidth="1"/>
  </cols>
  <sheetData>
    <row r="2" spans="1:3" x14ac:dyDescent="0.3">
      <c r="B2" s="11" t="s">
        <v>66</v>
      </c>
      <c r="C2" s="11" t="s">
        <v>67</v>
      </c>
    </row>
    <row r="3" spans="1:3" x14ac:dyDescent="0.3">
      <c r="B3" s="11" t="s">
        <v>0</v>
      </c>
      <c r="C3" s="11">
        <f>Billing!C23 + SUMIFS(Table14[Credit], Table14[Party], "Transport")</f>
        <v>7678658.3979517203</v>
      </c>
    </row>
    <row r="4" spans="1:3" x14ac:dyDescent="0.3">
      <c r="B4" s="11" t="s">
        <v>44</v>
      </c>
      <c r="C4" s="11">
        <f>Table12[[#Totals],[Amount]]</f>
        <v>5095955</v>
      </c>
    </row>
    <row r="5" spans="1:3" x14ac:dyDescent="0.3">
      <c r="A5" s="6"/>
      <c r="B5" s="15" t="s">
        <v>68</v>
      </c>
      <c r="C5" s="15">
        <f>C3-C4</f>
        <v>2582703.3979517203</v>
      </c>
    </row>
    <row r="10" spans="1:3" ht="15" thickBot="1" x14ac:dyDescent="0.35">
      <c r="B10" t="s">
        <v>66</v>
      </c>
      <c r="C10" s="14" t="s">
        <v>67</v>
      </c>
    </row>
    <row r="11" spans="1:3" x14ac:dyDescent="0.3">
      <c r="B11" s="56" t="s">
        <v>0</v>
      </c>
      <c r="C11" s="57">
        <f>C3</f>
        <v>7678658.3979517203</v>
      </c>
    </row>
    <row r="12" spans="1:3" x14ac:dyDescent="0.3">
      <c r="B12" s="58" t="s">
        <v>69</v>
      </c>
      <c r="C12" s="59">
        <f>SUM(Table14[Credit])</f>
        <v>20676731</v>
      </c>
    </row>
    <row r="13" spans="1:3" ht="15" thickBot="1" x14ac:dyDescent="0.35">
      <c r="B13" s="74" t="s">
        <v>93</v>
      </c>
      <c r="C13" s="73">
        <f>(C11-C12)</f>
        <v>-12998072.60204828</v>
      </c>
    </row>
    <row r="14" spans="1:3" ht="15" thickBot="1" x14ac:dyDescent="0.35">
      <c r="B14" s="58"/>
      <c r="C14" s="59"/>
    </row>
    <row r="15" spans="1:3" x14ac:dyDescent="0.3">
      <c r="B15" s="56" t="s">
        <v>44</v>
      </c>
      <c r="C15" s="57">
        <f>C4</f>
        <v>5095955</v>
      </c>
    </row>
    <row r="16" spans="1:3" x14ac:dyDescent="0.3">
      <c r="B16" s="58" t="s">
        <v>70</v>
      </c>
      <c r="C16" s="59">
        <f>SUM(Table14[Debit])</f>
        <v>20589837</v>
      </c>
    </row>
    <row r="17" spans="2:6" ht="15" thickBot="1" x14ac:dyDescent="0.35">
      <c r="B17" s="74" t="s">
        <v>71</v>
      </c>
      <c r="C17" s="73">
        <f>C15-C16</f>
        <v>-15493882</v>
      </c>
    </row>
    <row r="18" spans="2:6" ht="15" thickBot="1" x14ac:dyDescent="0.35">
      <c r="B18" s="58"/>
      <c r="C18" s="59"/>
    </row>
    <row r="19" spans="2:6" ht="15" thickBot="1" x14ac:dyDescent="0.35">
      <c r="B19" s="75" t="s">
        <v>72</v>
      </c>
      <c r="C19" s="76">
        <f>Table18[[#Totals],[amount]]</f>
        <v>86894</v>
      </c>
    </row>
    <row r="20" spans="2:6" ht="15" thickBot="1" x14ac:dyDescent="0.35">
      <c r="B20" s="71"/>
      <c r="C20" s="72"/>
    </row>
    <row r="21" spans="2:6" ht="15" thickBot="1" x14ac:dyDescent="0.35">
      <c r="B21" s="60" t="s">
        <v>73</v>
      </c>
      <c r="C21" s="61">
        <f>(C13-C17)+C19</f>
        <v>2582703.3979517203</v>
      </c>
      <c r="E21" s="79" t="s">
        <v>74</v>
      </c>
      <c r="F21" s="80">
        <f>C5*0.05</f>
        <v>129135.16989758602</v>
      </c>
    </row>
  </sheetData>
  <phoneticPr fontId="4" type="noConversion"/>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CE7E-0ED4-4A4C-A825-11433EC34268}">
  <dimension ref="B2:F38"/>
  <sheetViews>
    <sheetView topLeftCell="A14" workbookViewId="0">
      <selection activeCell="B3" sqref="B3:B37"/>
    </sheetView>
  </sheetViews>
  <sheetFormatPr defaultRowHeight="14.4" x14ac:dyDescent="0.3"/>
  <cols>
    <col min="2" max="2" width="10.33203125" bestFit="1" customWidth="1"/>
    <col min="4" max="4" width="9.33203125" customWidth="1"/>
  </cols>
  <sheetData>
    <row r="2" spans="2:6" x14ac:dyDescent="0.3">
      <c r="B2" t="s">
        <v>75</v>
      </c>
      <c r="C2" t="s">
        <v>45</v>
      </c>
      <c r="D2" t="s">
        <v>70</v>
      </c>
      <c r="E2" t="s">
        <v>69</v>
      </c>
      <c r="F2" t="s">
        <v>76</v>
      </c>
    </row>
    <row r="3" spans="2:6" x14ac:dyDescent="0.3">
      <c r="B3" s="1">
        <v>46006</v>
      </c>
      <c r="D3">
        <f>SUMIFS(Table14[Debit], Table14[Date], Table13[[#This Row],[Date]], Table14[Party], "Transport")</f>
        <v>0</v>
      </c>
      <c r="E3">
        <f>SUMIFS(Table14[Credit], Table14[Date], Table13[[#This Row],[Date]], Table14[Party], "Transport")</f>
        <v>0</v>
      </c>
    </row>
    <row r="4" spans="2:6" x14ac:dyDescent="0.3">
      <c r="B4" s="1">
        <v>46007</v>
      </c>
      <c r="D4">
        <f>SUMIFS(Table14[Debit], Table14[Date], Table13[[#This Row],[Date]], Table14[Party], "Transport")</f>
        <v>0</v>
      </c>
      <c r="E4">
        <f>SUMIFS(Table14[Credit], Table14[Date], Table13[[#This Row],[Date]], Table14[Party], "Transport")</f>
        <v>0</v>
      </c>
    </row>
    <row r="5" spans="2:6" x14ac:dyDescent="0.3">
      <c r="B5" s="1">
        <v>46008</v>
      </c>
      <c r="D5">
        <f>SUMIFS(Table14[Debit], Table14[Date], Table13[[#This Row],[Date]], Table14[Party], "Transport")</f>
        <v>0</v>
      </c>
      <c r="E5">
        <f>SUMIFS(Table14[Credit], Table14[Date], Table13[[#This Row],[Date]], Table14[Party], "Transport")</f>
        <v>0</v>
      </c>
    </row>
    <row r="6" spans="2:6" x14ac:dyDescent="0.3">
      <c r="B6" s="1">
        <v>46009</v>
      </c>
      <c r="D6">
        <f>SUMIFS(Table14[Debit], Table14[Date], Table13[[#This Row],[Date]], Table14[Party], "Transport")</f>
        <v>0</v>
      </c>
      <c r="E6">
        <f>SUMIFS(Table14[Credit], Table14[Date], Table13[[#This Row],[Date]], Table14[Party], "Transport")</f>
        <v>0</v>
      </c>
    </row>
    <row r="7" spans="2:6" x14ac:dyDescent="0.3">
      <c r="B7" s="1">
        <v>46010</v>
      </c>
      <c r="D7">
        <f>SUMIFS(Table14[Debit], Table14[Date], Table13[[#This Row],[Date]], Table14[Party], "Transport")</f>
        <v>16000</v>
      </c>
      <c r="E7">
        <f>SUMIFS(Table14[Credit], Table14[Date], Table13[[#This Row],[Date]], Table14[Party], "Transport")</f>
        <v>0</v>
      </c>
    </row>
    <row r="8" spans="2:6" x14ac:dyDescent="0.3">
      <c r="B8" s="1">
        <v>46011</v>
      </c>
      <c r="D8">
        <f>SUMIFS(Table14[Debit], Table14[Date], Table13[[#This Row],[Date]], Table14[Party], "Transport")</f>
        <v>11836</v>
      </c>
      <c r="E8">
        <f>SUMIFS(Table14[Credit], Table14[Date], Table13[[#This Row],[Date]], Table14[Party], "Transport")</f>
        <v>0</v>
      </c>
    </row>
    <row r="9" spans="2:6" x14ac:dyDescent="0.3">
      <c r="B9" s="1">
        <v>46012</v>
      </c>
      <c r="D9">
        <f>SUMIFS(Table14[Debit], Table14[Date], Table13[[#This Row],[Date]], Table14[Party], "Transport")</f>
        <v>0</v>
      </c>
      <c r="E9">
        <f>SUMIFS(Table14[Credit], Table14[Date], Table13[[#This Row],[Date]], Table14[Party], "Transport")</f>
        <v>0</v>
      </c>
    </row>
    <row r="10" spans="2:6" x14ac:dyDescent="0.3">
      <c r="B10" s="1">
        <v>46013</v>
      </c>
      <c r="D10">
        <f>SUMIFS(Table14[Debit], Table14[Date], Table13[[#This Row],[Date]], Table14[Party], "Transport")</f>
        <v>0</v>
      </c>
      <c r="E10">
        <f>SUMIFS(Table14[Credit], Table14[Date], Table13[[#This Row],[Date]], Table14[Party], "Transport")</f>
        <v>0</v>
      </c>
    </row>
    <row r="11" spans="2:6" x14ac:dyDescent="0.3">
      <c r="B11" s="1">
        <v>46014</v>
      </c>
      <c r="D11">
        <f>SUMIFS(Table14[Debit], Table14[Date], Table13[[#This Row],[Date]], Table14[Party], "Transport")</f>
        <v>5306</v>
      </c>
      <c r="E11">
        <f>SUMIFS(Table14[Credit], Table14[Date], Table13[[#This Row],[Date]], Table14[Party], "Transport")</f>
        <v>0</v>
      </c>
    </row>
    <row r="12" spans="2:6" x14ac:dyDescent="0.3">
      <c r="B12" s="1">
        <v>46015</v>
      </c>
      <c r="D12">
        <f>SUMIFS(Table14[Debit], Table14[Date], Table13[[#This Row],[Date]], Table14[Party], "Transport")</f>
        <v>14900</v>
      </c>
      <c r="E12">
        <f>SUMIFS(Table14[Credit], Table14[Date], Table13[[#This Row],[Date]], Table14[Party], "Transport")</f>
        <v>0</v>
      </c>
    </row>
    <row r="13" spans="2:6" x14ac:dyDescent="0.3">
      <c r="B13" s="1">
        <v>46016</v>
      </c>
      <c r="D13">
        <f>SUMIFS(Table14[Debit], Table14[Date], Table13[[#This Row],[Date]], Table14[Party], "Transport")</f>
        <v>5313</v>
      </c>
      <c r="E13">
        <f>SUMIFS(Table14[Credit], Table14[Date], Table13[[#This Row],[Date]], Table14[Party], "Transport")</f>
        <v>0</v>
      </c>
    </row>
    <row r="14" spans="2:6" x14ac:dyDescent="0.3">
      <c r="B14" s="1">
        <v>46017</v>
      </c>
      <c r="D14">
        <f>SUMIFS(Table14[Debit], Table14[Date], Table13[[#This Row],[Date]], Table14[Party], "Transport")</f>
        <v>0</v>
      </c>
      <c r="E14">
        <f>SUMIFS(Table14[Credit], Table14[Date], Table13[[#This Row],[Date]], Table14[Party], "Transport")</f>
        <v>0</v>
      </c>
    </row>
    <row r="15" spans="2:6" x14ac:dyDescent="0.3">
      <c r="B15" s="1">
        <v>46018</v>
      </c>
      <c r="D15">
        <f>SUMIFS(Table14[Debit], Table14[Date], Table13[[#This Row],[Date]], Table14[Party], "Transport")</f>
        <v>2500</v>
      </c>
      <c r="E15">
        <f>SUMIFS(Table14[Credit], Table14[Date], Table13[[#This Row],[Date]], Table14[Party], "Transport")</f>
        <v>0</v>
      </c>
    </row>
    <row r="16" spans="2:6" x14ac:dyDescent="0.3">
      <c r="B16" s="1">
        <v>46019</v>
      </c>
      <c r="D16">
        <f>SUMIFS(Table14[Debit], Table14[Date], Table13[[#This Row],[Date]], Table14[Party], "Transport")</f>
        <v>1000</v>
      </c>
      <c r="E16">
        <f>SUMIFS(Table14[Credit], Table14[Date], Table13[[#This Row],[Date]], Table14[Party], "Transport")</f>
        <v>0</v>
      </c>
    </row>
    <row r="17" spans="2:5" x14ac:dyDescent="0.3">
      <c r="B17" s="1">
        <v>46020</v>
      </c>
      <c r="D17">
        <f>SUMIFS(Table14[Debit], Table14[Date], Table13[[#This Row],[Date]], Table14[Party], "Transport")</f>
        <v>17950</v>
      </c>
      <c r="E17">
        <f>SUMIFS(Table14[Credit], Table14[Date], Table13[[#This Row],[Date]], Table14[Party], "Transport")</f>
        <v>0</v>
      </c>
    </row>
    <row r="18" spans="2:5" x14ac:dyDescent="0.3">
      <c r="B18" s="1">
        <v>46021</v>
      </c>
      <c r="D18">
        <f>SUMIFS(Table14[Debit], Table14[Date], Table13[[#This Row],[Date]], Table14[Party], "Transport")</f>
        <v>0</v>
      </c>
      <c r="E18">
        <f>SUMIFS(Table14[Credit], Table14[Date], Table13[[#This Row],[Date]], Table14[Party], "Transport")</f>
        <v>0</v>
      </c>
    </row>
    <row r="19" spans="2:5" x14ac:dyDescent="0.3">
      <c r="B19" s="1">
        <v>46022</v>
      </c>
      <c r="D19">
        <f>SUMIFS(Table14[Debit], Table14[Date], Table13[[#This Row],[Date]], Table14[Party], "Transport")</f>
        <v>0</v>
      </c>
      <c r="E19">
        <f>SUMIFS(Table14[Credit], Table14[Date], Table13[[#This Row],[Date]], Table14[Party], "Transport")</f>
        <v>0</v>
      </c>
    </row>
    <row r="20" spans="2:5" x14ac:dyDescent="0.3">
      <c r="B20" s="1">
        <v>46023</v>
      </c>
      <c r="D20">
        <f>SUMIFS(Table14[Debit], Table14[Date], Table13[[#This Row],[Date]], Table14[Party], "Transport")</f>
        <v>0</v>
      </c>
      <c r="E20">
        <f>SUMIFS(Table14[Credit], Table14[Date], Table13[[#This Row],[Date]], Table14[Party], "Transport")</f>
        <v>0</v>
      </c>
    </row>
    <row r="21" spans="2:5" x14ac:dyDescent="0.3">
      <c r="B21" s="1">
        <v>46024</v>
      </c>
      <c r="D21">
        <f>SUMIFS(Table14[Debit], Table14[Date], Table13[[#This Row],[Date]], Table14[Party], "Transport")</f>
        <v>0</v>
      </c>
      <c r="E21">
        <f>SUMIFS(Table14[Credit], Table14[Date], Table13[[#This Row],[Date]], Table14[Party], "Transport")</f>
        <v>0</v>
      </c>
    </row>
    <row r="22" spans="2:5" x14ac:dyDescent="0.3">
      <c r="B22" s="1">
        <v>46025</v>
      </c>
      <c r="D22">
        <f>SUMIFS(Table14[Debit], Table14[Date], Table13[[#This Row],[Date]], Table14[Party], "Transport")</f>
        <v>0</v>
      </c>
      <c r="E22">
        <f>SUMIFS(Table14[Credit], Table14[Date], Table13[[#This Row],[Date]], Table14[Party], "Transport")</f>
        <v>0</v>
      </c>
    </row>
    <row r="23" spans="2:5" x14ac:dyDescent="0.3">
      <c r="B23" s="1">
        <v>46026</v>
      </c>
      <c r="D23">
        <f>SUMIFS(Table14[Debit], Table14[Date], Table13[[#This Row],[Date]], Table14[Party], "Transport")</f>
        <v>0</v>
      </c>
      <c r="E23">
        <f>SUMIFS(Table14[Credit], Table14[Date], Table13[[#This Row],[Date]], Table14[Party], "Transport")</f>
        <v>0</v>
      </c>
    </row>
    <row r="24" spans="2:5" x14ac:dyDescent="0.3">
      <c r="B24" s="1">
        <v>46027</v>
      </c>
      <c r="D24">
        <f>SUMIFS(Table14[Debit], Table14[Date], Table13[[#This Row],[Date]], Table14[Party], "Transport")</f>
        <v>0</v>
      </c>
      <c r="E24">
        <f>SUMIFS(Table14[Credit], Table14[Date], Table13[[#This Row],[Date]], Table14[Party], "Transport")</f>
        <v>0</v>
      </c>
    </row>
    <row r="25" spans="2:5" x14ac:dyDescent="0.3">
      <c r="B25" s="1">
        <v>46028</v>
      </c>
      <c r="D25">
        <f>SUMIFS(Table14[Debit], Table14[Date], Table13[[#This Row],[Date]], Table14[Party], "Transport")</f>
        <v>0</v>
      </c>
      <c r="E25">
        <f>SUMIFS(Table14[Credit], Table14[Date], Table13[[#This Row],[Date]], Table14[Party], "Transport")</f>
        <v>0</v>
      </c>
    </row>
    <row r="26" spans="2:5" x14ac:dyDescent="0.3">
      <c r="B26" s="1">
        <v>46029</v>
      </c>
      <c r="D26">
        <f>SUMIFS(Table14[Debit], Table14[Date], Table13[[#This Row],[Date]], Table14[Party], "Transport")</f>
        <v>0</v>
      </c>
      <c r="E26">
        <f>SUMIFS(Table14[Credit], Table14[Date], Table13[[#This Row],[Date]], Table14[Party], "Transport")</f>
        <v>0</v>
      </c>
    </row>
    <row r="27" spans="2:5" x14ac:dyDescent="0.3">
      <c r="B27" s="1">
        <v>46030</v>
      </c>
      <c r="D27">
        <f>SUMIFS(Table14[Debit], Table14[Date], Table13[[#This Row],[Date]], Table14[Party], "Transport")</f>
        <v>0</v>
      </c>
      <c r="E27">
        <f>SUMIFS(Table14[Credit], Table14[Date], Table13[[#This Row],[Date]], Table14[Party], "Transport")</f>
        <v>0</v>
      </c>
    </row>
    <row r="28" spans="2:5" x14ac:dyDescent="0.3">
      <c r="B28" s="1">
        <v>46031</v>
      </c>
      <c r="D28">
        <f>SUMIFS(Table14[Debit], Table14[Date], Table13[[#This Row],[Date]], Table14[Party], "Transport")</f>
        <v>0</v>
      </c>
      <c r="E28">
        <f>SUMIFS(Table14[Credit], Table14[Date], Table13[[#This Row],[Date]], Table14[Party], "Transport")</f>
        <v>0</v>
      </c>
    </row>
    <row r="29" spans="2:5" x14ac:dyDescent="0.3">
      <c r="B29" s="1">
        <v>46032</v>
      </c>
      <c r="D29">
        <f>SUMIFS(Table14[Debit], Table14[Date], Table13[[#This Row],[Date]], Table14[Party], "Transport")</f>
        <v>0</v>
      </c>
      <c r="E29">
        <f>SUMIFS(Table14[Credit], Table14[Date], Table13[[#This Row],[Date]], Table14[Party], "Transport")</f>
        <v>0</v>
      </c>
    </row>
    <row r="30" spans="2:5" x14ac:dyDescent="0.3">
      <c r="B30" s="1">
        <v>46033</v>
      </c>
      <c r="D30">
        <f>SUMIFS(Table14[Debit], Table14[Date], Table13[[#This Row],[Date]], Table14[Party], "Transport")</f>
        <v>0</v>
      </c>
      <c r="E30">
        <f>SUMIFS(Table14[Credit], Table14[Date], Table13[[#This Row],[Date]], Table14[Party], "Transport")</f>
        <v>0</v>
      </c>
    </row>
    <row r="31" spans="2:5" x14ac:dyDescent="0.3">
      <c r="B31" s="1">
        <v>46034</v>
      </c>
      <c r="D31">
        <f>SUMIFS(Table14[Debit], Table14[Date], Table13[[#This Row],[Date]], Table14[Party], "Transport")</f>
        <v>0</v>
      </c>
      <c r="E31">
        <f>SUMIFS(Table14[Credit], Table14[Date], Table13[[#This Row],[Date]], Table14[Party], "Transport")</f>
        <v>0</v>
      </c>
    </row>
    <row r="32" spans="2:5" x14ac:dyDescent="0.3">
      <c r="B32" s="1">
        <v>46035</v>
      </c>
      <c r="D32">
        <f>SUMIFS(Table14[Debit], Table14[Date], Table13[[#This Row],[Date]], Table14[Party], "Transport")</f>
        <v>0</v>
      </c>
      <c r="E32">
        <f>SUMIFS(Table14[Credit], Table14[Date], Table13[[#This Row],[Date]], Table14[Party], "Transport")</f>
        <v>0</v>
      </c>
    </row>
    <row r="33" spans="2:6" x14ac:dyDescent="0.3">
      <c r="B33" s="1">
        <v>46036</v>
      </c>
      <c r="D33">
        <f>SUMIFS(Table14[Debit], Table14[Date], Table13[[#This Row],[Date]], Table14[Party], "Transport")</f>
        <v>0</v>
      </c>
      <c r="E33">
        <f>SUMIFS(Table14[Credit], Table14[Date], Table13[[#This Row],[Date]], Table14[Party], "Transport")</f>
        <v>0</v>
      </c>
    </row>
    <row r="34" spans="2:6" x14ac:dyDescent="0.3">
      <c r="B34" s="1">
        <v>46037</v>
      </c>
      <c r="D34">
        <f>SUMIFS(Table14[Debit], Table14[Date], Table13[[#This Row],[Date]], Table14[Party], "Transport")</f>
        <v>0</v>
      </c>
      <c r="E34">
        <f>SUMIFS(Table14[Credit], Table14[Date], Table13[[#This Row],[Date]], Table14[Party], "Transport")</f>
        <v>0</v>
      </c>
    </row>
    <row r="35" spans="2:6" x14ac:dyDescent="0.3">
      <c r="B35" s="1">
        <v>46038</v>
      </c>
      <c r="D35">
        <f>SUMIFS(Table14[Debit], Table14[Date], Table13[[#This Row],[Date]], Table14[Party], "Transport")</f>
        <v>0</v>
      </c>
      <c r="E35">
        <f>SUMIFS(Table14[Credit], Table14[Date], Table13[[#This Row],[Date]], Table14[Party], "Transport")</f>
        <v>0</v>
      </c>
    </row>
    <row r="36" spans="2:6" x14ac:dyDescent="0.3">
      <c r="B36" s="1">
        <v>46039</v>
      </c>
      <c r="D36">
        <f>SUMIFS(Table14[Debit], Table14[Date], Table13[[#This Row],[Date]], Table14[Party], "Transport")</f>
        <v>0</v>
      </c>
      <c r="E36">
        <f>SUMIFS(Table14[Credit], Table14[Date], Table13[[#This Row],[Date]], Table14[Party], "Transport")</f>
        <v>0</v>
      </c>
    </row>
    <row r="37" spans="2:6" x14ac:dyDescent="0.3">
      <c r="B37" s="1">
        <v>46040</v>
      </c>
      <c r="D37">
        <f>SUMIFS(Table14[Debit], Table14[Date], Table13[[#This Row],[Date]], Table14[Party], "Transport")</f>
        <v>0</v>
      </c>
      <c r="E37">
        <f>SUMIFS(Table14[Credit], Table14[Date], Table13[[#This Row],[Date]], Table14[Party], "Transport")</f>
        <v>0</v>
      </c>
    </row>
    <row r="38" spans="2:6" x14ac:dyDescent="0.3">
      <c r="B38" s="1"/>
      <c r="D38">
        <f>SUBTOTAL(109,Table13[Debit])</f>
        <v>74805</v>
      </c>
      <c r="E38">
        <f>SUBTOTAL(109,Table13[Credit])</f>
        <v>0</v>
      </c>
      <c r="F38">
        <f>Table13[[#Totals],[Debit]]-Table13[[#Totals],[Credit]]</f>
        <v>74805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2BF55-86DF-4B9C-ABE1-54F1EB648833}">
  <sheetPr>
    <pageSetUpPr fitToPage="1"/>
  </sheetPr>
  <dimension ref="A1:AB163"/>
  <sheetViews>
    <sheetView topLeftCell="A91" zoomScaleNormal="82" workbookViewId="0">
      <selection activeCell="G116" sqref="G116"/>
    </sheetView>
  </sheetViews>
  <sheetFormatPr defaultColWidth="8.88671875" defaultRowHeight="14.4" x14ac:dyDescent="0.3"/>
  <cols>
    <col min="1" max="1" width="16.5546875" style="10" bestFit="1" customWidth="1"/>
    <col min="2" max="2" width="16.109375" style="10" bestFit="1" customWidth="1"/>
    <col min="3" max="3" width="20.6640625" style="10" customWidth="1"/>
    <col min="4" max="4" width="18.109375" style="10" bestFit="1" customWidth="1"/>
    <col min="5" max="5" width="15.77734375" style="10" bestFit="1" customWidth="1"/>
    <col min="6" max="6" width="18.109375" style="10" bestFit="1" customWidth="1"/>
    <col min="7" max="7" width="12.6640625" style="10" bestFit="1" customWidth="1"/>
    <col min="8" max="8" width="18.33203125" style="10" customWidth="1"/>
    <col min="9" max="9" width="13.21875" style="10" bestFit="1" customWidth="1"/>
    <col min="10" max="10" width="18.109375" style="10" bestFit="1" customWidth="1"/>
    <col min="11" max="11" width="12.6640625" style="10" bestFit="1" customWidth="1"/>
    <col min="12" max="12" width="15.5546875" style="10" bestFit="1" customWidth="1"/>
    <col min="13" max="13" width="15.88671875" style="10" bestFit="1" customWidth="1"/>
    <col min="14" max="15" width="15.5546875" style="10" bestFit="1" customWidth="1"/>
    <col min="16" max="16" width="16.5546875" style="10" bestFit="1" customWidth="1"/>
    <col min="17" max="17" width="16.109375" style="10" bestFit="1" customWidth="1"/>
    <col min="18" max="18" width="18" style="10" bestFit="1" customWidth="1"/>
    <col min="19" max="19" width="12.6640625" style="10" bestFit="1" customWidth="1"/>
    <col min="20" max="20" width="17.44140625" style="10" bestFit="1" customWidth="1"/>
    <col min="21" max="21" width="13" style="10" bestFit="1" customWidth="1"/>
    <col min="22" max="22" width="18" style="10" bestFit="1" customWidth="1"/>
    <col min="23" max="23" width="12.6640625" style="10" bestFit="1" customWidth="1"/>
    <col min="24" max="25" width="17.33203125" style="10" bestFit="1" customWidth="1"/>
    <col min="26" max="26" width="20.88671875" style="10" bestFit="1" customWidth="1"/>
    <col min="27" max="27" width="20.33203125" style="10" bestFit="1" customWidth="1"/>
    <col min="28" max="28" width="21.6640625" style="10" bestFit="1" customWidth="1"/>
    <col min="29" max="16384" width="8.88671875" style="10"/>
  </cols>
  <sheetData>
    <row r="1" spans="1:28" x14ac:dyDescent="0.3">
      <c r="A1" s="106" t="s">
        <v>75</v>
      </c>
      <c r="B1" s="106" t="s">
        <v>2</v>
      </c>
      <c r="C1" s="106" t="s">
        <v>77</v>
      </c>
      <c r="D1" s="106" t="s">
        <v>78</v>
      </c>
      <c r="E1" s="106" t="s">
        <v>79</v>
      </c>
      <c r="F1" s="106" t="s">
        <v>80</v>
      </c>
      <c r="G1" s="106" t="s">
        <v>81</v>
      </c>
      <c r="H1" s="27" t="s">
        <v>82</v>
      </c>
      <c r="I1" s="27" t="s">
        <v>83</v>
      </c>
      <c r="J1" s="27" t="s">
        <v>84</v>
      </c>
      <c r="K1" s="27" t="s">
        <v>41</v>
      </c>
    </row>
    <row r="2" spans="1:28" x14ac:dyDescent="0.3">
      <c r="A2" s="107">
        <v>45979</v>
      </c>
      <c r="B2" s="81" t="s">
        <v>21</v>
      </c>
      <c r="C2" s="108" t="s">
        <v>211</v>
      </c>
      <c r="D2" s="108" t="s">
        <v>85</v>
      </c>
      <c r="E2" s="109"/>
      <c r="F2" s="37"/>
      <c r="G2" s="37"/>
      <c r="H2" s="110" t="e">
        <f>_xlfn.XLOOKUP(Table1[[#This Row],[Shipment Number]], 'pivot '!A:A,'pivot '!G:G, "NF")</f>
        <v>#DIV/0!</v>
      </c>
      <c r="I2" s="110">
        <f>_xlfn.XLOOKUP(Table1[[#This Row],[Party Name]],
[1]Billing!$Q$5:$Q$40,
[1]Billing!$T$5:$T$40)</f>
        <v>2035507.4981711779</v>
      </c>
      <c r="J2" s="110">
        <f>_xlfn.XLOOKUP(Table1[[#This Row],[Party Name]],
[1]Billing!$Q$5:$Q$40,
[1]Billing!$V$5:$V$40)</f>
        <v>20355074.981711783</v>
      </c>
      <c r="K2" s="108"/>
    </row>
    <row r="3" spans="1:28" x14ac:dyDescent="0.3">
      <c r="A3" s="107">
        <v>45979</v>
      </c>
      <c r="B3" s="81" t="s">
        <v>22</v>
      </c>
      <c r="C3" s="108" t="s">
        <v>211</v>
      </c>
      <c r="D3" s="108" t="s">
        <v>85</v>
      </c>
      <c r="E3" s="109"/>
      <c r="F3" s="37"/>
      <c r="G3" s="37"/>
      <c r="H3" s="110" t="e">
        <f>_xlfn.XLOOKUP(Table1[[#This Row],[Shipment Number]], 'pivot '!A:A,'pivot '!G:G, "NF")</f>
        <v>#DIV/0!</v>
      </c>
      <c r="I3" s="110">
        <f>_xlfn.XLOOKUP(Table1[[#This Row],[Party Name]],
[1]Billing!$Q$5:$Q$40,
[1]Billing!$T$5:$T$40)</f>
        <v>148145.57425018289</v>
      </c>
      <c r="J3" s="110">
        <f>_xlfn.XLOOKUP(Table1[[#This Row],[Party Name]],
[1]Billing!$Q$5:$Q$40,
[1]Billing!$V$5:$V$40)</f>
        <v>1481455.7425018288</v>
      </c>
      <c r="K3" s="108"/>
    </row>
    <row r="4" spans="1:28" x14ac:dyDescent="0.3">
      <c r="A4" s="107">
        <v>45979</v>
      </c>
      <c r="B4" s="81" t="s">
        <v>9</v>
      </c>
      <c r="C4" s="108" t="s">
        <v>211</v>
      </c>
      <c r="D4" s="108" t="s">
        <v>85</v>
      </c>
      <c r="E4" s="109"/>
      <c r="F4" s="37"/>
      <c r="G4" s="37"/>
      <c r="H4" s="110" t="e">
        <f>_xlfn.XLOOKUP(Table1[[#This Row],[Shipment Number]], 'pivot '!A:A,'pivot '!G:G, "NF")</f>
        <v>#DIV/0!</v>
      </c>
      <c r="I4" s="110">
        <f>_xlfn.XLOOKUP(Table1[[#This Row],[Party Name]],
[1]Billing!$Q$5:$Q$40,
[1]Billing!$T$5:$T$40)</f>
        <v>522790.78273591812</v>
      </c>
      <c r="J4" s="110">
        <f>_xlfn.XLOOKUP(Table1[[#This Row],[Party Name]],
[1]Billing!$Q$5:$Q$40,
[1]Billing!$V$5:$V$40)</f>
        <v>5227907.8273591809</v>
      </c>
      <c r="K4" s="108"/>
    </row>
    <row r="5" spans="1:28" x14ac:dyDescent="0.3">
      <c r="A5" s="107">
        <v>45979</v>
      </c>
      <c r="B5" s="81" t="s">
        <v>23</v>
      </c>
      <c r="C5" s="108" t="s">
        <v>211</v>
      </c>
      <c r="D5" s="108" t="s">
        <v>85</v>
      </c>
      <c r="E5" s="109"/>
      <c r="F5" s="37"/>
      <c r="G5" s="37"/>
      <c r="H5" s="110" t="e">
        <f>_xlfn.XLOOKUP(Table1[[#This Row],[Shipment Number]], 'pivot '!A:A,'pivot '!G:G, "NF")</f>
        <v>#DIV/0!</v>
      </c>
      <c r="I5" s="110">
        <f>_xlfn.XLOOKUP(Table1[[#This Row],[Party Name]],
[1]Billing!$Q$5:$Q$40,
[1]Billing!$T$5:$T$40)</f>
        <v>123086.13752743235</v>
      </c>
      <c r="J5" s="110">
        <f>_xlfn.XLOOKUP(Table1[[#This Row],[Party Name]],
[1]Billing!$Q$5:$Q$40,
[1]Billing!$V$5:$V$40)</f>
        <v>1269270.3440380397</v>
      </c>
      <c r="K5" s="108"/>
    </row>
    <row r="6" spans="1:28" x14ac:dyDescent="0.3">
      <c r="A6" s="107">
        <v>45979</v>
      </c>
      <c r="B6" s="81" t="s">
        <v>24</v>
      </c>
      <c r="C6" s="108" t="s">
        <v>211</v>
      </c>
      <c r="D6" s="108" t="s">
        <v>85</v>
      </c>
      <c r="E6" s="109"/>
      <c r="F6" s="37"/>
      <c r="G6" s="37"/>
      <c r="H6" s="110" t="e">
        <f>_xlfn.XLOOKUP(Table1[[#This Row],[Shipment Number]], 'pivot '!A:A,'pivot '!G:G, "NF")</f>
        <v>#DIV/0!</v>
      </c>
      <c r="I6" s="110">
        <f>_xlfn.XLOOKUP(Table1[[#This Row],[Party Name]],
[1]Billing!$Q$5:$Q$40,
[1]Billing!$T$5:$T$40)</f>
        <v>599330.65106071695</v>
      </c>
      <c r="J6" s="110">
        <f>_xlfn.XLOOKUP(Table1[[#This Row],[Party Name]],
[1]Billing!$Q$5:$Q$40,
[1]Billing!$V$5:$V$40)</f>
        <v>5408917.8595464528</v>
      </c>
      <c r="K6" s="108"/>
      <c r="X6"/>
      <c r="Y6"/>
      <c r="Z6"/>
      <c r="AA6"/>
      <c r="AB6"/>
    </row>
    <row r="7" spans="1:28" x14ac:dyDescent="0.3">
      <c r="A7" s="107">
        <v>45979</v>
      </c>
      <c r="B7" s="81" t="s">
        <v>25</v>
      </c>
      <c r="C7" s="108" t="s">
        <v>211</v>
      </c>
      <c r="D7" s="108" t="s">
        <v>85</v>
      </c>
      <c r="E7" s="109"/>
      <c r="F7" s="37"/>
      <c r="G7" s="37"/>
      <c r="H7" s="110" t="e">
        <f>_xlfn.XLOOKUP(Table1[[#This Row],[Shipment Number]], 'pivot '!A:A,'pivot '!G:G, "NF")</f>
        <v>#DIV/0!</v>
      </c>
      <c r="I7" s="110">
        <f>_xlfn.XLOOKUP(Table1[[#This Row],[Party Name]],
[1]Billing!$Q$5:$Q$40,
[1]Billing!$T$5:$T$40)</f>
        <v>785980.24871982448</v>
      </c>
      <c r="J7" s="110">
        <f>_xlfn.XLOOKUP(Table1[[#This Row],[Party Name]],
[1]Billing!$Q$5:$Q$40,
[1]Billing!$V$5:$V$40)</f>
        <v>7859802.4871982448</v>
      </c>
      <c r="K7" s="108"/>
      <c r="X7"/>
      <c r="Y7"/>
      <c r="Z7"/>
      <c r="AA7"/>
      <c r="AB7"/>
    </row>
    <row r="8" spans="1:28" x14ac:dyDescent="0.3">
      <c r="A8" s="107">
        <v>45979</v>
      </c>
      <c r="B8" s="81" t="s">
        <v>26</v>
      </c>
      <c r="C8" s="108" t="s">
        <v>211</v>
      </c>
      <c r="D8" s="108" t="s">
        <v>85</v>
      </c>
      <c r="E8" s="109"/>
      <c r="F8" s="37"/>
      <c r="G8" s="37"/>
      <c r="H8" s="110" t="e">
        <f>_xlfn.XLOOKUP(Table1[[#This Row],[Shipment Number]], 'pivot '!A:A,'pivot '!G:G, "NF")</f>
        <v>#DIV/0!</v>
      </c>
      <c r="I8" s="110">
        <f>_xlfn.XLOOKUP(Table1[[#This Row],[Party Name]],
[1]Billing!$Q$5:$Q$40,
[1]Billing!$T$5:$T$40)</f>
        <v>139387.34455010976</v>
      </c>
      <c r="J8" s="110">
        <f>_xlfn.XLOOKUP(Table1[[#This Row],[Party Name]],
[1]Billing!$Q$5:$Q$40,
[1]Billing!$V$5:$V$40)</f>
        <v>1393873.4455010975</v>
      </c>
      <c r="K8" s="108"/>
      <c r="X8"/>
      <c r="Y8"/>
      <c r="Z8"/>
      <c r="AA8"/>
      <c r="AB8"/>
    </row>
    <row r="9" spans="1:28" x14ac:dyDescent="0.3">
      <c r="A9" s="107">
        <v>45979</v>
      </c>
      <c r="B9" s="81" t="s">
        <v>152</v>
      </c>
      <c r="C9" s="108" t="s">
        <v>211</v>
      </c>
      <c r="D9" s="108" t="s">
        <v>85</v>
      </c>
      <c r="E9" s="109"/>
      <c r="F9" s="37"/>
      <c r="G9" s="37"/>
      <c r="H9" s="110" t="e">
        <f>_xlfn.XLOOKUP(Table1[[#This Row],[Shipment Number]], 'pivot '!A:A,'pivot '!G:G, "NF")</f>
        <v>#DIV/0!</v>
      </c>
      <c r="I9" s="110">
        <f>_xlfn.XLOOKUP(Table1[[#This Row],[Party Name]],
[1]Billing!$Q$5:$Q$40,
[1]Billing!$T$5:$T$40)</f>
        <v>305469.09290416975</v>
      </c>
      <c r="J9" s="110">
        <f>_xlfn.XLOOKUP(Table1[[#This Row],[Party Name]],
[1]Billing!$Q$5:$Q$40,
[1]Billing!$V$5:$V$40)</f>
        <v>3054690.9290416976</v>
      </c>
      <c r="K9" s="108"/>
      <c r="X9"/>
      <c r="Y9"/>
      <c r="Z9"/>
      <c r="AA9"/>
      <c r="AB9"/>
    </row>
    <row r="10" spans="1:28" x14ac:dyDescent="0.3">
      <c r="A10" s="107">
        <v>45979</v>
      </c>
      <c r="B10" s="81" t="s">
        <v>35</v>
      </c>
      <c r="C10" s="108" t="s">
        <v>211</v>
      </c>
      <c r="D10" s="108" t="s">
        <v>85</v>
      </c>
      <c r="E10" s="109"/>
      <c r="F10" s="37"/>
      <c r="G10" s="37"/>
      <c r="H10" s="110" t="e">
        <f>_xlfn.XLOOKUP(Table1[[#This Row],[Shipment Number]], 'pivot '!A:A,'pivot '!G:G, "NF")</f>
        <v>#DIV/0!</v>
      </c>
      <c r="I10" s="110">
        <f>_xlfn.XLOOKUP(Table1[[#This Row],[Party Name]],
[1]Billing!$Q$5:$Q$40,
[1]Billing!$T$5:$T$40)</f>
        <v>46132.955376737387</v>
      </c>
      <c r="J10" s="110">
        <f>_xlfn.XLOOKUP(Table1[[#This Row],[Party Name]],
[1]Billing!$Q$5:$Q$40,
[1]Billing!$V$5:$V$40)</f>
        <v>461329.5537673739</v>
      </c>
      <c r="K10" s="108"/>
      <c r="X10"/>
      <c r="Y10"/>
    </row>
    <row r="11" spans="1:28" x14ac:dyDescent="0.3">
      <c r="A11" s="107">
        <v>45979</v>
      </c>
      <c r="B11" s="81" t="s">
        <v>148</v>
      </c>
      <c r="C11" s="108" t="s">
        <v>211</v>
      </c>
      <c r="D11" s="108" t="s">
        <v>85</v>
      </c>
      <c r="E11" s="109"/>
      <c r="F11" s="37"/>
      <c r="G11" s="37"/>
      <c r="H11" s="110" t="e">
        <f>_xlfn.XLOOKUP(Table1[[#This Row],[Shipment Number]], 'pivot '!A:A,'pivot '!G:G, "NF")</f>
        <v>#DIV/0!</v>
      </c>
      <c r="I11" s="110">
        <f>_xlfn.XLOOKUP(Table1[[#This Row],[Party Name]],
[1]Billing!$Q$5:$Q$40,
[1]Billing!$T$5:$T$40)</f>
        <v>21310.35113386979</v>
      </c>
      <c r="J11" s="110">
        <f>_xlfn.XLOOKUP(Table1[[#This Row],[Party Name]],
[1]Billing!$Q$5:$Q$40,
[1]Billing!$V$5:$V$40)</f>
        <v>255724.21360643749</v>
      </c>
      <c r="K11" s="108"/>
      <c r="P11"/>
      <c r="Q11"/>
      <c r="R11"/>
      <c r="S11"/>
      <c r="T11"/>
      <c r="U11"/>
      <c r="V11"/>
      <c r="W11"/>
      <c r="X11"/>
      <c r="Y11"/>
    </row>
    <row r="12" spans="1:28" x14ac:dyDescent="0.3">
      <c r="A12" s="107">
        <v>45979</v>
      </c>
      <c r="B12" s="81" t="s">
        <v>27</v>
      </c>
      <c r="C12" s="108" t="s">
        <v>211</v>
      </c>
      <c r="D12" s="108" t="s">
        <v>85</v>
      </c>
      <c r="E12" s="109"/>
      <c r="F12" s="37"/>
      <c r="G12" s="37"/>
      <c r="H12" s="110" t="e">
        <f>_xlfn.XLOOKUP(Table1[[#This Row],[Shipment Number]], 'pivot '!A:A,'pivot '!G:G, "NF")</f>
        <v>#DIV/0!</v>
      </c>
      <c r="I12" s="110">
        <f>_xlfn.XLOOKUP(Table1[[#This Row],[Party Name]],
[1]Billing!$Q$5:$Q$40,
[1]Billing!$T$5:$T$40)</f>
        <v>185456.29114850037</v>
      </c>
      <c r="J12" s="110">
        <f>_xlfn.XLOOKUP(Table1[[#This Row],[Party Name]],
[1]Billing!$Q$5:$Q$40,
[1]Billing!$V$5:$V$40)</f>
        <v>1854562.9114850038</v>
      </c>
      <c r="K12" s="108"/>
      <c r="P12"/>
      <c r="Q12"/>
      <c r="R12"/>
      <c r="S12"/>
      <c r="T12"/>
      <c r="U12"/>
      <c r="V12"/>
      <c r="W12"/>
      <c r="X12"/>
      <c r="Y12"/>
    </row>
    <row r="13" spans="1:28" x14ac:dyDescent="0.3">
      <c r="A13" s="107">
        <v>45979</v>
      </c>
      <c r="B13" s="81" t="s">
        <v>166</v>
      </c>
      <c r="C13" s="108" t="s">
        <v>211</v>
      </c>
      <c r="D13" s="108" t="s">
        <v>85</v>
      </c>
      <c r="E13" s="37"/>
      <c r="F13" s="37"/>
      <c r="G13" s="37"/>
      <c r="H13" s="110" t="e">
        <f>_xlfn.XLOOKUP(Table1[[#This Row],[Shipment Number]], 'pivot '!A:A,'pivot '!G:G, "NF")</f>
        <v>#DIV/0!</v>
      </c>
      <c r="I13" s="110">
        <f>_xlfn.XLOOKUP(Table1[[#This Row],[Party Name]],
[1]Billing!$Q$5:$Q$40,
[1]Billing!$T$5:$T$40)</f>
        <v>355909.83906364307</v>
      </c>
      <c r="J13" s="110">
        <f>_xlfn.XLOOKUP(Table1[[#This Row],[Party Name]],
[1]Billing!$Q$5:$Q$40,
[1]Billing!$V$5:$V$40)</f>
        <v>3559098.3906364306</v>
      </c>
      <c r="K13" s="108"/>
      <c r="P13"/>
      <c r="Q13"/>
      <c r="R13"/>
      <c r="S13"/>
      <c r="T13"/>
      <c r="U13"/>
      <c r="V13"/>
      <c r="W13"/>
      <c r="X13"/>
      <c r="Y13"/>
    </row>
    <row r="14" spans="1:28" x14ac:dyDescent="0.3">
      <c r="A14" s="107">
        <v>45979</v>
      </c>
      <c r="B14" s="81" t="s">
        <v>168</v>
      </c>
      <c r="C14" s="108" t="s">
        <v>211</v>
      </c>
      <c r="D14" s="108" t="s">
        <v>85</v>
      </c>
      <c r="E14" s="37"/>
      <c r="F14" s="37"/>
      <c r="G14" s="37"/>
      <c r="H14" s="110" t="e">
        <f>_xlfn.XLOOKUP(Table1[[#This Row],[Shipment Number]], 'pivot '!A:A,'pivot '!G:G, "NF")</f>
        <v>#DIV/0!</v>
      </c>
      <c r="I14" s="110">
        <f>_xlfn.XLOOKUP(Table1[[#This Row],[Party Name]],
[1]Billing!$Q$5:$Q$40,
[1]Billing!$T$5:$T$40)</f>
        <v>0</v>
      </c>
      <c r="J14" s="110">
        <f>_xlfn.XLOOKUP(Table1[[#This Row],[Party Name]],
[1]Billing!$Q$5:$Q$40,
[1]Billing!$V$5:$V$40)</f>
        <v>0</v>
      </c>
      <c r="K14" s="108"/>
      <c r="P14"/>
      <c r="Q14"/>
      <c r="R14"/>
      <c r="S14"/>
      <c r="T14"/>
      <c r="U14"/>
      <c r="V14"/>
      <c r="W14"/>
      <c r="X14"/>
      <c r="Y14"/>
    </row>
    <row r="15" spans="1:28" x14ac:dyDescent="0.3">
      <c r="A15" s="107">
        <v>45979</v>
      </c>
      <c r="B15" s="81" t="s">
        <v>170</v>
      </c>
      <c r="C15" s="108" t="s">
        <v>211</v>
      </c>
      <c r="D15" s="108" t="s">
        <v>85</v>
      </c>
      <c r="E15" s="37"/>
      <c r="F15" s="37"/>
      <c r="G15" s="37"/>
      <c r="H15" s="110" t="e">
        <f>_xlfn.XLOOKUP(Table1[[#This Row],[Shipment Number]], 'pivot '!A:A,'pivot '!G:G, "NF")</f>
        <v>#DIV/0!</v>
      </c>
      <c r="I15" s="110">
        <f>_xlfn.XLOOKUP(Table1[[#This Row],[Party Name]],
[1]Billing!$Q$5:$Q$40,
[1]Billing!$T$5:$T$40)</f>
        <v>48385.149963423559</v>
      </c>
      <c r="J15" s="110">
        <f>_xlfn.XLOOKUP(Table1[[#This Row],[Party Name]],
[1]Billing!$Q$5:$Q$40,
[1]Billing!$V$5:$V$40)</f>
        <v>483851.49963423557</v>
      </c>
      <c r="K15" s="108"/>
      <c r="P15"/>
      <c r="Q15"/>
      <c r="R15"/>
      <c r="S15"/>
      <c r="T15"/>
      <c r="U15"/>
      <c r="V15"/>
      <c r="W15"/>
      <c r="X15"/>
      <c r="Y15"/>
    </row>
    <row r="16" spans="1:28" x14ac:dyDescent="0.3">
      <c r="A16" s="107">
        <v>45979</v>
      </c>
      <c r="B16" s="81" t="s">
        <v>171</v>
      </c>
      <c r="C16" s="108" t="s">
        <v>211</v>
      </c>
      <c r="D16" s="108" t="s">
        <v>85</v>
      </c>
      <c r="E16" s="37"/>
      <c r="F16" s="37"/>
      <c r="G16" s="37"/>
      <c r="H16" s="110" t="e">
        <f>_xlfn.XLOOKUP(Table1[[#This Row],[Shipment Number]], 'pivot '!A:A,'pivot '!G:G, "NF")</f>
        <v>#DIV/0!</v>
      </c>
      <c r="I16" s="110">
        <f>_xlfn.XLOOKUP(Table1[[#This Row],[Party Name]],
[1]Billing!$Q$5:$Q$40,
[1]Billing!$T$5:$T$40)</f>
        <v>8915.5084125822978</v>
      </c>
      <c r="J16" s="110">
        <f>_xlfn.XLOOKUP(Table1[[#This Row],[Party Name]],
[1]Billing!$Q$5:$Q$40,
[1]Billing!$V$5:$V$40)</f>
        <v>89155.084125822978</v>
      </c>
      <c r="K16" s="108"/>
      <c r="P16"/>
      <c r="Q16"/>
      <c r="R16"/>
      <c r="S16"/>
      <c r="T16"/>
      <c r="U16"/>
      <c r="V16"/>
      <c r="W16"/>
      <c r="X16"/>
      <c r="Y16"/>
    </row>
    <row r="17" spans="1:25" x14ac:dyDescent="0.3">
      <c r="A17" s="107">
        <v>45979</v>
      </c>
      <c r="B17" s="81" t="s">
        <v>173</v>
      </c>
      <c r="C17" s="108" t="s">
        <v>211</v>
      </c>
      <c r="D17" s="108" t="s">
        <v>85</v>
      </c>
      <c r="E17" s="37"/>
      <c r="F17" s="37"/>
      <c r="G17" s="37"/>
      <c r="H17" s="110" t="e">
        <f>_xlfn.XLOOKUP(Table1[[#This Row],[Shipment Number]], 'pivot '!A:A,'pivot '!G:G, "NF")</f>
        <v>#DIV/0!</v>
      </c>
      <c r="I17" s="110">
        <f>_xlfn.XLOOKUP(Table1[[#This Row],[Party Name]],
[1]Billing!$Q$5:$Q$40,
[1]Billing!$T$5:$T$40)</f>
        <v>47437.820043891741</v>
      </c>
      <c r="J17" s="110">
        <f>_xlfn.XLOOKUP(Table1[[#This Row],[Party Name]],
[1]Billing!$Q$5:$Q$40,
[1]Billing!$V$5:$V$40)</f>
        <v>474378.20043891744</v>
      </c>
      <c r="K17" s="108"/>
      <c r="P17"/>
      <c r="Q17"/>
      <c r="R17"/>
      <c r="S17"/>
      <c r="T17"/>
      <c r="U17"/>
      <c r="V17"/>
      <c r="W17"/>
      <c r="X17"/>
      <c r="Y17"/>
    </row>
    <row r="18" spans="1:25" x14ac:dyDescent="0.3">
      <c r="A18" s="107">
        <v>45979</v>
      </c>
      <c r="B18" s="81" t="s">
        <v>175</v>
      </c>
      <c r="C18" s="108" t="s">
        <v>211</v>
      </c>
      <c r="D18" s="108" t="s">
        <v>85</v>
      </c>
      <c r="E18" s="37"/>
      <c r="F18" s="37"/>
      <c r="G18" s="37"/>
      <c r="H18" s="110" t="e">
        <f>_xlfn.XLOOKUP(Table1[[#This Row],[Shipment Number]], 'pivot '!A:A,'pivot '!G:G, "NF")</f>
        <v>#DIV/0!</v>
      </c>
      <c r="I18" s="110">
        <f>_xlfn.XLOOKUP(Table1[[#This Row],[Party Name]],
[1]Billing!$Q$5:$Q$40,
[1]Billing!$T$5:$T$40)</f>
        <v>0</v>
      </c>
      <c r="J18" s="110">
        <f>_xlfn.XLOOKUP(Table1[[#This Row],[Party Name]],
[1]Billing!$Q$5:$Q$40,
[1]Billing!$V$5:$V$40)</f>
        <v>0</v>
      </c>
      <c r="K18" s="108"/>
      <c r="P18"/>
      <c r="Q18"/>
      <c r="R18"/>
      <c r="S18"/>
      <c r="T18"/>
      <c r="U18"/>
      <c r="V18"/>
      <c r="W18"/>
      <c r="X18"/>
      <c r="Y18"/>
    </row>
    <row r="19" spans="1:25" x14ac:dyDescent="0.3">
      <c r="A19" s="107">
        <v>45979</v>
      </c>
      <c r="B19" s="81" t="s">
        <v>178</v>
      </c>
      <c r="C19" s="108" t="s">
        <v>211</v>
      </c>
      <c r="D19" s="108" t="s">
        <v>85</v>
      </c>
      <c r="E19" s="37"/>
      <c r="F19" s="37"/>
      <c r="G19" s="37"/>
      <c r="H19" s="110" t="e">
        <f>_xlfn.XLOOKUP(Table1[[#This Row],[Shipment Number]], 'pivot '!A:A,'pivot '!G:G, "NF")</f>
        <v>#DIV/0!</v>
      </c>
      <c r="I19" s="110">
        <f>_xlfn.XLOOKUP(Table1[[#This Row],[Party Name]],
[1]Billing!$Q$5:$Q$40,
[1]Billing!$T$5:$T$40)</f>
        <v>64300.475493782011</v>
      </c>
      <c r="J19" s="110">
        <f>_xlfn.XLOOKUP(Table1[[#This Row],[Party Name]],
[1]Billing!$Q$5:$Q$40,
[1]Billing!$V$5:$V$40)</f>
        <v>643004.75493782014</v>
      </c>
      <c r="K19" s="108"/>
      <c r="P19"/>
      <c r="Q19"/>
      <c r="R19"/>
      <c r="S19"/>
      <c r="T19"/>
      <c r="U19"/>
      <c r="V19"/>
      <c r="W19"/>
      <c r="X19"/>
      <c r="Y19"/>
    </row>
    <row r="20" spans="1:25" x14ac:dyDescent="0.3">
      <c r="A20" s="107">
        <v>45979</v>
      </c>
      <c r="B20" s="81" t="s">
        <v>179</v>
      </c>
      <c r="C20" s="108" t="s">
        <v>211</v>
      </c>
      <c r="D20" s="108" t="s">
        <v>85</v>
      </c>
      <c r="E20" s="37"/>
      <c r="F20" s="37"/>
      <c r="G20" s="37"/>
      <c r="H20" s="110" t="e">
        <f>_xlfn.XLOOKUP(Table1[[#This Row],[Shipment Number]], 'pivot '!A:A,'pivot '!G:G, "NF")</f>
        <v>#DIV/0!</v>
      </c>
      <c r="I20" s="110">
        <f>_xlfn.XLOOKUP(Table1[[#This Row],[Party Name]],
[1]Billing!$Q$5:$Q$40,
[1]Billing!$T$5:$T$40)</f>
        <v>213946.59839063644</v>
      </c>
      <c r="J20" s="110">
        <f>_xlfn.XLOOKUP(Table1[[#This Row],[Party Name]],
[1]Billing!$Q$5:$Q$40,
[1]Billing!$V$5:$V$40)</f>
        <v>2139465.9839063645</v>
      </c>
      <c r="K20" s="108"/>
      <c r="P20"/>
      <c r="Q20"/>
      <c r="R20"/>
      <c r="S20"/>
      <c r="T20"/>
      <c r="U20"/>
      <c r="V20"/>
      <c r="W20"/>
      <c r="X20"/>
      <c r="Y20"/>
    </row>
    <row r="21" spans="1:25" x14ac:dyDescent="0.3">
      <c r="A21" s="107">
        <v>45979</v>
      </c>
      <c r="B21" s="81" t="s">
        <v>184</v>
      </c>
      <c r="C21" s="108" t="s">
        <v>211</v>
      </c>
      <c r="D21" s="108" t="s">
        <v>85</v>
      </c>
      <c r="E21" s="37"/>
      <c r="F21" s="37"/>
      <c r="G21" s="37"/>
      <c r="H21" s="110" t="e">
        <f>_xlfn.XLOOKUP(Table1[[#This Row],[Shipment Number]], 'pivot '!A:A,'pivot '!G:G, "NF")</f>
        <v>#DIV/0!</v>
      </c>
      <c r="I21" s="110">
        <f>_xlfn.XLOOKUP(Table1[[#This Row],[Party Name]],
[1]Billing!$Q$5:$Q$40,
[1]Billing!$T$5:$T$40)</f>
        <v>14355.340160936359</v>
      </c>
      <c r="J21" s="110">
        <f>_xlfn.XLOOKUP(Table1[[#This Row],[Party Name]],
[1]Billing!$Q$5:$Q$40,
[1]Billing!$V$5:$V$40)</f>
        <v>143553.40160936359</v>
      </c>
      <c r="K21" s="108"/>
      <c r="P21"/>
      <c r="Q21"/>
      <c r="R21"/>
      <c r="S21"/>
      <c r="T21"/>
      <c r="U21"/>
      <c r="V21"/>
      <c r="W21"/>
      <c r="X21"/>
      <c r="Y21"/>
    </row>
    <row r="22" spans="1:25" x14ac:dyDescent="0.3">
      <c r="A22" s="107">
        <v>45979</v>
      </c>
      <c r="B22" s="81" t="s">
        <v>193</v>
      </c>
      <c r="C22" s="108" t="s">
        <v>211</v>
      </c>
      <c r="D22" s="108" t="s">
        <v>85</v>
      </c>
      <c r="E22" s="37"/>
      <c r="F22" s="37"/>
      <c r="G22" s="37"/>
      <c r="H22" s="110" t="e">
        <f>_xlfn.XLOOKUP(Table1[[#This Row],[Shipment Number]], 'pivot '!A:A,'pivot '!G:G, "NF")</f>
        <v>#DIV/0!</v>
      </c>
      <c r="I22" s="110">
        <f>_xlfn.XLOOKUP(Table1[[#This Row],[Party Name]],
[1]Billing!$Q$5:$Q$40,
[1]Billing!$T$5:$T$40)</f>
        <v>113495.7937088515</v>
      </c>
      <c r="J22" s="110">
        <f>_xlfn.XLOOKUP(Table1[[#This Row],[Party Name]],
[1]Billing!$Q$5:$Q$40,
[1]Billing!$V$5:$V$40)</f>
        <v>1134957.9370885149</v>
      </c>
      <c r="K22" s="108"/>
      <c r="P22"/>
      <c r="Q22"/>
      <c r="R22"/>
      <c r="S22"/>
      <c r="T22"/>
      <c r="U22"/>
      <c r="V22"/>
      <c r="W22"/>
      <c r="X22"/>
      <c r="Y22"/>
    </row>
    <row r="23" spans="1:25" x14ac:dyDescent="0.3">
      <c r="A23" s="107">
        <v>45979</v>
      </c>
      <c r="B23" s="81" t="s">
        <v>196</v>
      </c>
      <c r="C23" s="108" t="s">
        <v>211</v>
      </c>
      <c r="D23" s="108" t="s">
        <v>85</v>
      </c>
      <c r="E23" s="37"/>
      <c r="F23" s="37"/>
      <c r="G23" s="37"/>
      <c r="H23" s="110" t="e">
        <f>_xlfn.XLOOKUP(Table1[[#This Row],[Shipment Number]], 'pivot '!A:A,'pivot '!G:G, "NF")</f>
        <v>#DIV/0!</v>
      </c>
      <c r="I23" s="110">
        <f>_xlfn.XLOOKUP(Table1[[#This Row],[Party Name]],
[1]Billing!$Q$5:$Q$40,
[1]Billing!$T$5:$T$40)</f>
        <v>42432.333577176301</v>
      </c>
      <c r="J23" s="110">
        <f>_xlfn.XLOOKUP(Table1[[#This Row],[Party Name]],
[1]Billing!$Q$5:$Q$40,
[1]Billing!$V$5:$V$40)</f>
        <v>424323.335771763</v>
      </c>
      <c r="K23" s="108"/>
      <c r="P23"/>
      <c r="Q23"/>
      <c r="R23"/>
      <c r="S23"/>
      <c r="T23"/>
      <c r="U23"/>
      <c r="V23"/>
      <c r="W23"/>
      <c r="X23"/>
      <c r="Y23"/>
    </row>
    <row r="24" spans="1:25" x14ac:dyDescent="0.3">
      <c r="A24" s="107">
        <v>45979</v>
      </c>
      <c r="B24" s="81" t="s">
        <v>195</v>
      </c>
      <c r="C24" s="108" t="s">
        <v>211</v>
      </c>
      <c r="D24" s="108" t="s">
        <v>85</v>
      </c>
      <c r="E24" s="37"/>
      <c r="F24" s="37"/>
      <c r="G24" s="37"/>
      <c r="H24" s="110" t="e">
        <f>_xlfn.XLOOKUP(Table1[[#This Row],[Shipment Number]], 'pivot '!A:A,'pivot '!G:G, "NF")</f>
        <v>#DIV/0!</v>
      </c>
      <c r="I24" s="110">
        <f>_xlfn.XLOOKUP(Table1[[#This Row],[Party Name]],
[1]Billing!$Q$5:$Q$40,
[1]Billing!$T$5:$T$40)</f>
        <v>0</v>
      </c>
      <c r="J24" s="110">
        <f>_xlfn.XLOOKUP(Table1[[#This Row],[Party Name]],
[1]Billing!$Q$5:$Q$40,
[1]Billing!$V$5:$V$40)</f>
        <v>0</v>
      </c>
      <c r="K24" s="108"/>
      <c r="P24"/>
      <c r="Q24"/>
      <c r="R24"/>
      <c r="S24"/>
      <c r="T24"/>
      <c r="U24"/>
      <c r="V24"/>
      <c r="W24"/>
      <c r="X24"/>
      <c r="Y24"/>
    </row>
    <row r="25" spans="1:25" x14ac:dyDescent="0.3">
      <c r="A25" s="107">
        <v>45979</v>
      </c>
      <c r="B25" s="81" t="s">
        <v>201</v>
      </c>
      <c r="C25" s="108" t="s">
        <v>211</v>
      </c>
      <c r="D25" s="108" t="s">
        <v>85</v>
      </c>
      <c r="E25" s="37"/>
      <c r="F25" s="37"/>
      <c r="G25" s="37"/>
      <c r="H25" s="110" t="e">
        <f>_xlfn.XLOOKUP(Table1[[#This Row],[Shipment Number]], 'pivot '!A:A,'pivot '!G:G, "NF")</f>
        <v>#DIV/0!</v>
      </c>
      <c r="I25" s="110">
        <f>_xlfn.XLOOKUP(Table1[[#This Row],[Party Name]],
[1]Billing!$Q$5:$Q$40,
[1]Billing!$T$5:$T$40)</f>
        <v>12456.108266276518</v>
      </c>
      <c r="J25" s="110">
        <f>_xlfn.XLOOKUP(Table1[[#This Row],[Party Name]],
[1]Billing!$Q$5:$Q$40,
[1]Billing!$V$5:$V$40)</f>
        <v>124561.08266276518</v>
      </c>
      <c r="K25" s="108"/>
      <c r="P25"/>
      <c r="Q25"/>
      <c r="R25"/>
      <c r="S25"/>
      <c r="T25"/>
      <c r="U25"/>
      <c r="V25"/>
      <c r="W25"/>
      <c r="X25"/>
      <c r="Y25"/>
    </row>
    <row r="26" spans="1:25" x14ac:dyDescent="0.3">
      <c r="A26" s="107">
        <v>45979</v>
      </c>
      <c r="B26" s="81" t="s">
        <v>206</v>
      </c>
      <c r="C26" s="108" t="s">
        <v>211</v>
      </c>
      <c r="D26" s="108" t="s">
        <v>85</v>
      </c>
      <c r="E26" s="37"/>
      <c r="F26" s="37"/>
      <c r="G26" s="37"/>
      <c r="H26" s="110" t="e">
        <f>_xlfn.XLOOKUP(Table1[[#This Row],[Shipment Number]], 'pivot '!A:A,'pivot '!G:G, "NF")</f>
        <v>#DIV/0!</v>
      </c>
      <c r="I26" s="110">
        <f>_xlfn.XLOOKUP(Table1[[#This Row],[Party Name]],
[1]Billing!$Q$5:$Q$40,
[1]Billing!$T$5:$T$40)</f>
        <v>0</v>
      </c>
      <c r="J26" s="110">
        <f>_xlfn.XLOOKUP(Table1[[#This Row],[Party Name]],
[1]Billing!$Q$5:$Q$40,
[1]Billing!$V$5:$V$40)</f>
        <v>0</v>
      </c>
      <c r="K26" s="108"/>
      <c r="P26"/>
      <c r="Q26"/>
      <c r="R26"/>
      <c r="S26"/>
      <c r="T26"/>
      <c r="U26"/>
      <c r="V26"/>
      <c r="W26"/>
      <c r="X26"/>
      <c r="Y26"/>
    </row>
    <row r="27" spans="1:25" x14ac:dyDescent="0.3">
      <c r="A27" s="107">
        <v>45979</v>
      </c>
      <c r="B27" s="118" t="s">
        <v>208</v>
      </c>
      <c r="C27" s="108" t="s">
        <v>211</v>
      </c>
      <c r="D27" s="108" t="s">
        <v>85</v>
      </c>
      <c r="E27" s="37"/>
      <c r="F27" s="37"/>
      <c r="G27" s="37"/>
      <c r="H27" s="110" t="e">
        <f>_xlfn.XLOOKUP(Table1[[#This Row],[Shipment Number]], 'pivot '!A:A,'pivot '!G:G, "NF")</f>
        <v>#DIV/0!</v>
      </c>
      <c r="I27" s="110">
        <f>_xlfn.XLOOKUP(Table1[[#This Row],[Party Name]],
[1]Billing!$Q$5:$Q$40,
[1]Billing!$T$5:$T$40)</f>
        <v>0</v>
      </c>
      <c r="J27" s="110">
        <f>_xlfn.XLOOKUP(Table1[[#This Row],[Party Name]],
[1]Billing!$Q$5:$Q$40,
[1]Billing!$V$5:$V$40)</f>
        <v>0</v>
      </c>
      <c r="K27" s="108"/>
      <c r="P27"/>
      <c r="Q27"/>
      <c r="R27"/>
      <c r="S27"/>
      <c r="T27"/>
      <c r="U27"/>
      <c r="V27"/>
      <c r="W27"/>
      <c r="X27"/>
      <c r="Y27"/>
    </row>
    <row r="28" spans="1:25" x14ac:dyDescent="0.3">
      <c r="A28" s="112">
        <v>45979</v>
      </c>
      <c r="B28" s="81" t="s">
        <v>21</v>
      </c>
      <c r="C28" s="113" t="s">
        <v>211</v>
      </c>
      <c r="D28" s="113" t="s">
        <v>86</v>
      </c>
      <c r="E28" s="13"/>
      <c r="F28" s="13"/>
      <c r="G28" s="13"/>
      <c r="H28" s="114" t="e">
        <f>_xlfn.XLOOKUP(Table1[[#This Row],[Shipment Number]], 'pivot '!A:A,'pivot '!G:G, "NF")</f>
        <v>#DIV/0!</v>
      </c>
      <c r="I28" s="114">
        <f>_xlfn.XLOOKUP(Table1[[#This Row],[Party Name]],
[1]Billing!$Q$5:$Q$40,
[1]Billing!$U$5:$U$40)</f>
        <v>282468.91002194589</v>
      </c>
      <c r="J28" s="114">
        <f>_xlfn.XLOOKUP(Table1[[#This Row],[Party Name]],
[1]Billing!$Q$5:$Q$40,
[1]Billing!$W$5:$W$40)</f>
        <v>3583739.941477689</v>
      </c>
      <c r="K28" s="113"/>
      <c r="P28"/>
      <c r="Q28"/>
      <c r="R28"/>
      <c r="S28"/>
      <c r="T28"/>
      <c r="U28"/>
      <c r="V28"/>
      <c r="W28"/>
      <c r="X28"/>
      <c r="Y28"/>
    </row>
    <row r="29" spans="1:25" x14ac:dyDescent="0.3">
      <c r="A29" s="107">
        <v>45979</v>
      </c>
      <c r="B29" s="81" t="s">
        <v>22</v>
      </c>
      <c r="C29" s="108" t="s">
        <v>211</v>
      </c>
      <c r="D29" s="108" t="s">
        <v>86</v>
      </c>
      <c r="E29" s="37"/>
      <c r="F29" s="37"/>
      <c r="G29" s="37"/>
      <c r="H29" s="110" t="e">
        <f>_xlfn.XLOOKUP(Table1[[#This Row],[Shipment Number]], 'pivot '!A:A,'pivot '!G:G, "NF")</f>
        <v>#DIV/0!</v>
      </c>
      <c r="I29" s="114">
        <f>_xlfn.XLOOKUP(Table1[[#This Row],[Party Name]],
[1]Billing!$Q$5:$Q$40,
[1]Billing!$U$5:$U$40)</f>
        <v>211578.27359180688</v>
      </c>
      <c r="J29" s="114">
        <f>_xlfn.XLOOKUP(Table1[[#This Row],[Party Name]],
[1]Billing!$Q$5:$Q$40,
[1]Billing!$W$5:$W$40)</f>
        <v>2691373.4455010975</v>
      </c>
      <c r="K29" s="108"/>
      <c r="P29"/>
      <c r="Q29"/>
      <c r="R29"/>
      <c r="S29"/>
      <c r="T29"/>
      <c r="U29"/>
      <c r="V29"/>
      <c r="W29"/>
      <c r="X29"/>
      <c r="Y29"/>
    </row>
    <row r="30" spans="1:25" x14ac:dyDescent="0.3">
      <c r="A30" s="107">
        <v>45979</v>
      </c>
      <c r="B30" s="81" t="s">
        <v>9</v>
      </c>
      <c r="C30" s="108" t="s">
        <v>211</v>
      </c>
      <c r="D30" s="113" t="s">
        <v>86</v>
      </c>
      <c r="E30" s="37"/>
      <c r="F30" s="37"/>
      <c r="G30" s="37"/>
      <c r="H30" s="110" t="e">
        <f>_xlfn.XLOOKUP(Table1[[#This Row],[Shipment Number]], 'pivot '!A:A,'pivot '!G:G, "NF")</f>
        <v>#DIV/0!</v>
      </c>
      <c r="I30" s="114">
        <f>_xlfn.XLOOKUP(Table1[[#This Row],[Party Name]],
[1]Billing!$Q$5:$Q$40,
[1]Billing!$U$5:$U$40)</f>
        <v>78112.65544989027</v>
      </c>
      <c r="J30" s="114">
        <f>_xlfn.XLOOKUP(Table1[[#This Row],[Party Name]],
[1]Billing!$Q$5:$Q$40,
[1]Billing!$W$5:$W$40)</f>
        <v>1000670.2633504025</v>
      </c>
      <c r="K30" s="108"/>
      <c r="P30"/>
      <c r="Q30"/>
      <c r="R30"/>
      <c r="S30"/>
      <c r="T30"/>
      <c r="U30"/>
      <c r="V30"/>
      <c r="W30"/>
      <c r="X30"/>
      <c r="Y30"/>
    </row>
    <row r="31" spans="1:25" x14ac:dyDescent="0.3">
      <c r="A31" s="107">
        <v>45979</v>
      </c>
      <c r="B31" s="81" t="s">
        <v>23</v>
      </c>
      <c r="C31" s="108" t="s">
        <v>211</v>
      </c>
      <c r="D31" s="108" t="s">
        <v>86</v>
      </c>
      <c r="E31" s="37"/>
      <c r="F31" s="37"/>
      <c r="G31" s="37"/>
      <c r="H31" s="110" t="e">
        <f>_xlfn.XLOOKUP(Table1[[#This Row],[Shipment Number]], 'pivot '!A:A,'pivot '!G:G, "NF")</f>
        <v>#DIV/0!</v>
      </c>
      <c r="I31" s="114">
        <f>_xlfn.XLOOKUP(Table1[[#This Row],[Party Name]],
[1]Billing!$Q$5:$Q$40,
[1]Billing!$U$5:$U$40)</f>
        <v>0</v>
      </c>
      <c r="J31" s="114">
        <f>_xlfn.XLOOKUP(Table1[[#This Row],[Party Name]],
[1]Billing!$Q$5:$Q$40,
[1]Billing!$W$5:$W$40)</f>
        <v>0</v>
      </c>
      <c r="K31" s="108"/>
      <c r="P31"/>
      <c r="Q31"/>
      <c r="R31"/>
      <c r="S31"/>
      <c r="T31"/>
      <c r="U31"/>
      <c r="V31"/>
      <c r="W31"/>
      <c r="X31"/>
      <c r="Y31"/>
    </row>
    <row r="32" spans="1:25" x14ac:dyDescent="0.3">
      <c r="A32" s="107">
        <v>45979</v>
      </c>
      <c r="B32" s="81" t="s">
        <v>24</v>
      </c>
      <c r="C32" s="108" t="s">
        <v>211</v>
      </c>
      <c r="D32" s="113" t="s">
        <v>86</v>
      </c>
      <c r="E32" s="37"/>
      <c r="F32" s="37"/>
      <c r="G32" s="37"/>
      <c r="H32" s="110" t="e">
        <f>_xlfn.XLOOKUP(Table1[[#This Row],[Shipment Number]], 'pivot '!A:A,'pivot '!G:G, "NF")</f>
        <v>#DIV/0!</v>
      </c>
      <c r="I32" s="114">
        <f>_xlfn.XLOOKUP(Table1[[#This Row],[Party Name]],
[1]Billing!$Q$5:$Q$40,
[1]Billing!$U$5:$U$40)</f>
        <v>485823.88441843458</v>
      </c>
      <c r="J32" s="114">
        <f>_xlfn.XLOOKUP(Table1[[#This Row],[Party Name]],
[1]Billing!$Q$5:$Q$40,
[1]Billing!$W$5:$W$40)</f>
        <v>5829886.6130212145</v>
      </c>
      <c r="K32" s="108"/>
      <c r="P32"/>
      <c r="Q32"/>
      <c r="R32"/>
      <c r="S32"/>
      <c r="T32"/>
      <c r="U32"/>
      <c r="V32"/>
      <c r="W32"/>
      <c r="X32"/>
      <c r="Y32"/>
    </row>
    <row r="33" spans="1:25" x14ac:dyDescent="0.3">
      <c r="A33" s="107">
        <v>45979</v>
      </c>
      <c r="B33" s="81" t="s">
        <v>25</v>
      </c>
      <c r="C33" s="108" t="s">
        <v>211</v>
      </c>
      <c r="D33" s="108" t="s">
        <v>86</v>
      </c>
      <c r="E33" s="37"/>
      <c r="F33" s="37"/>
      <c r="G33" s="37"/>
      <c r="H33" s="110" t="e">
        <f>_xlfn.XLOOKUP(Table1[[#This Row],[Shipment Number]], 'pivot '!A:A,'pivot '!G:G, "NF")</f>
        <v>#DIV/0!</v>
      </c>
      <c r="I33" s="114">
        <f>_xlfn.XLOOKUP(Table1[[#This Row],[Party Name]],
[1]Billing!$Q$5:$Q$40,
[1]Billing!$U$5:$U$40)</f>
        <v>0</v>
      </c>
      <c r="J33" s="114">
        <f>_xlfn.XLOOKUP(Table1[[#This Row],[Party Name]],
[1]Billing!$Q$5:$Q$40,
[1]Billing!$W$5:$W$40)</f>
        <v>0</v>
      </c>
      <c r="K33" s="108"/>
      <c r="P33"/>
      <c r="Q33"/>
      <c r="R33"/>
      <c r="S33"/>
      <c r="T33"/>
      <c r="U33"/>
      <c r="V33"/>
      <c r="W33"/>
      <c r="X33"/>
      <c r="Y33"/>
    </row>
    <row r="34" spans="1:25" x14ac:dyDescent="0.3">
      <c r="A34" s="107">
        <v>45979</v>
      </c>
      <c r="B34" s="81" t="s">
        <v>26</v>
      </c>
      <c r="C34" s="108" t="s">
        <v>211</v>
      </c>
      <c r="D34" s="113" t="s">
        <v>86</v>
      </c>
      <c r="E34" s="37"/>
      <c r="F34" s="37"/>
      <c r="G34" s="37"/>
      <c r="H34" s="110" t="e">
        <f>_xlfn.XLOOKUP(Table1[[#This Row],[Shipment Number]], 'pivot '!A:A,'pivot '!G:G, "NF")</f>
        <v>#DIV/0!</v>
      </c>
      <c r="I34" s="114">
        <f>_xlfn.XLOOKUP(Table1[[#This Row],[Party Name]],
[1]Billing!$Q$5:$Q$40,
[1]Billing!$U$5:$U$40)</f>
        <v>0</v>
      </c>
      <c r="J34" s="114">
        <f>_xlfn.XLOOKUP(Table1[[#This Row],[Party Name]],
[1]Billing!$Q$5:$Q$40,
[1]Billing!$W$5:$W$40)</f>
        <v>0</v>
      </c>
      <c r="K34" s="108"/>
      <c r="P34"/>
      <c r="Q34"/>
      <c r="R34"/>
      <c r="S34"/>
      <c r="T34"/>
      <c r="U34"/>
      <c r="V34"/>
      <c r="W34"/>
      <c r="X34"/>
      <c r="Y34"/>
    </row>
    <row r="35" spans="1:25" x14ac:dyDescent="0.3">
      <c r="A35" s="107">
        <v>45979</v>
      </c>
      <c r="B35" s="81" t="s">
        <v>152</v>
      </c>
      <c r="C35" s="108" t="s">
        <v>211</v>
      </c>
      <c r="D35" s="108" t="s">
        <v>86</v>
      </c>
      <c r="E35" s="37"/>
      <c r="F35" s="37"/>
      <c r="G35" s="37"/>
      <c r="H35" s="110" t="e">
        <f>_xlfn.XLOOKUP(Table1[[#This Row],[Shipment Number]], 'pivot '!A:A,'pivot '!G:G, "NF")</f>
        <v>#DIV/0!</v>
      </c>
      <c r="I35" s="114">
        <f>_xlfn.XLOOKUP(Table1[[#This Row],[Party Name]],
[1]Billing!$Q$5:$Q$40,
[1]Billing!$U$5:$U$40)</f>
        <v>25188.368690563279</v>
      </c>
      <c r="J35" s="114">
        <f>_xlfn.XLOOKUP(Table1[[#This Row],[Party Name]],
[1]Billing!$Q$5:$Q$40,
[1]Billing!$W$5:$W$40)</f>
        <v>327448.79297732259</v>
      </c>
      <c r="K35" s="108"/>
      <c r="P35"/>
      <c r="Q35"/>
      <c r="R35"/>
      <c r="S35"/>
      <c r="T35"/>
      <c r="U35"/>
      <c r="V35"/>
      <c r="W35"/>
      <c r="X35"/>
      <c r="Y35"/>
    </row>
    <row r="36" spans="1:25" x14ac:dyDescent="0.3">
      <c r="A36" s="107">
        <v>45979</v>
      </c>
      <c r="B36" s="81" t="s">
        <v>35</v>
      </c>
      <c r="C36" s="108" t="s">
        <v>211</v>
      </c>
      <c r="D36" s="113" t="s">
        <v>86</v>
      </c>
      <c r="E36" s="37"/>
      <c r="F36" s="37"/>
      <c r="G36" s="37"/>
      <c r="H36" s="110" t="e">
        <f>_xlfn.XLOOKUP(Table1[[#This Row],[Shipment Number]], 'pivot '!A:A,'pivot '!G:G, "NF")</f>
        <v>#DIV/0!</v>
      </c>
      <c r="I36" s="114">
        <f>_xlfn.XLOOKUP(Table1[[#This Row],[Party Name]],
[1]Billing!$Q$5:$Q$40,
[1]Billing!$U$5:$U$40)</f>
        <v>14995.427944403806</v>
      </c>
      <c r="J36" s="114">
        <f>_xlfn.XLOOKUP(Table1[[#This Row],[Party Name]],
[1]Billing!$Q$5:$Q$40,
[1]Billing!$W$5:$W$40)</f>
        <v>179945.13533284568</v>
      </c>
      <c r="K36" s="108"/>
      <c r="P36"/>
      <c r="Q36"/>
      <c r="R36"/>
      <c r="S36"/>
      <c r="T36"/>
      <c r="U36"/>
      <c r="V36"/>
      <c r="W36"/>
      <c r="X36"/>
      <c r="Y36"/>
    </row>
    <row r="37" spans="1:25" x14ac:dyDescent="0.3">
      <c r="A37" s="107">
        <v>45979</v>
      </c>
      <c r="B37" s="81" t="s">
        <v>148</v>
      </c>
      <c r="C37" s="108" t="s">
        <v>211</v>
      </c>
      <c r="D37" s="108" t="s">
        <v>86</v>
      </c>
      <c r="E37" s="37"/>
      <c r="F37" s="37"/>
      <c r="G37" s="37"/>
      <c r="H37" s="110" t="e">
        <f>_xlfn.XLOOKUP(Table1[[#This Row],[Shipment Number]], 'pivot '!A:A,'pivot '!G:G, "NF")</f>
        <v>#DIV/0!</v>
      </c>
      <c r="I37" s="114">
        <f>_xlfn.XLOOKUP(Table1[[#This Row],[Party Name]],
[1]Billing!$Q$5:$Q$40,
[1]Billing!$U$5:$U$40)</f>
        <v>0</v>
      </c>
      <c r="J37" s="114">
        <f>_xlfn.XLOOKUP(Table1[[#This Row],[Party Name]],
[1]Billing!$Q$5:$Q$40,
[1]Billing!$W$5:$W$40)</f>
        <v>0</v>
      </c>
      <c r="K37" s="108"/>
      <c r="P37"/>
      <c r="Q37"/>
      <c r="R37"/>
      <c r="S37"/>
      <c r="T37"/>
      <c r="U37"/>
      <c r="V37"/>
      <c r="W37"/>
      <c r="X37"/>
      <c r="Y37"/>
    </row>
    <row r="38" spans="1:25" x14ac:dyDescent="0.3">
      <c r="A38" s="107">
        <v>45979</v>
      </c>
      <c r="B38" s="81" t="s">
        <v>27</v>
      </c>
      <c r="C38" s="108" t="s">
        <v>211</v>
      </c>
      <c r="D38" s="113" t="s">
        <v>86</v>
      </c>
      <c r="E38" s="37"/>
      <c r="F38" s="37"/>
      <c r="G38" s="37"/>
      <c r="H38" s="110" t="e">
        <f>_xlfn.XLOOKUP(Table1[[#This Row],[Shipment Number]], 'pivot '!A:A,'pivot '!G:G, "NF")</f>
        <v>#DIV/0!</v>
      </c>
      <c r="I38" s="114">
        <f>_xlfn.XLOOKUP(Table1[[#This Row],[Party Name]],
[1]Billing!$Q$5:$Q$40,
[1]Billing!$U$5:$U$40)</f>
        <v>0</v>
      </c>
      <c r="J38" s="114">
        <f>_xlfn.XLOOKUP(Table1[[#This Row],[Party Name]],
[1]Billing!$Q$5:$Q$40,
[1]Billing!$W$5:$W$40)</f>
        <v>0</v>
      </c>
      <c r="K38" s="108"/>
      <c r="P38"/>
      <c r="Q38"/>
      <c r="R38"/>
      <c r="S38"/>
      <c r="T38"/>
      <c r="U38"/>
      <c r="V38"/>
      <c r="W38"/>
      <c r="X38"/>
      <c r="Y38"/>
    </row>
    <row r="39" spans="1:25" x14ac:dyDescent="0.3">
      <c r="A39" s="107">
        <v>45979</v>
      </c>
      <c r="B39" s="81" t="s">
        <v>166</v>
      </c>
      <c r="C39" s="108" t="s">
        <v>211</v>
      </c>
      <c r="D39" s="108" t="s">
        <v>86</v>
      </c>
      <c r="E39" s="37"/>
      <c r="F39" s="37"/>
      <c r="G39" s="37"/>
      <c r="H39" s="110" t="e">
        <f>_xlfn.XLOOKUP(Table1[[#This Row],[Shipment Number]], 'pivot '!A:A,'pivot '!G:G, "NF")</f>
        <v>#DIV/0!</v>
      </c>
      <c r="I39" s="114">
        <f>_xlfn.XLOOKUP(Table1[[#This Row],[Party Name]],
[1]Billing!$Q$5:$Q$40,
[1]Billing!$U$5:$U$40)</f>
        <v>117213.78931967814</v>
      </c>
      <c r="J39" s="114">
        <f>_xlfn.XLOOKUP(Table1[[#This Row],[Party Name]],
[1]Billing!$Q$5:$Q$40,
[1]Billing!$W$5:$W$40)</f>
        <v>1460624.5427944404</v>
      </c>
      <c r="K39" s="108"/>
      <c r="P39"/>
      <c r="Q39"/>
      <c r="R39"/>
      <c r="S39"/>
      <c r="T39"/>
      <c r="U39"/>
      <c r="V39"/>
      <c r="W39"/>
      <c r="X39"/>
      <c r="Y39"/>
    </row>
    <row r="40" spans="1:25" x14ac:dyDescent="0.3">
      <c r="A40" s="107">
        <v>45979</v>
      </c>
      <c r="B40" s="81" t="s">
        <v>168</v>
      </c>
      <c r="C40" s="108" t="s">
        <v>211</v>
      </c>
      <c r="D40" s="113" t="s">
        <v>86</v>
      </c>
      <c r="E40" s="37"/>
      <c r="F40" s="37"/>
      <c r="G40" s="37"/>
      <c r="H40" s="110" t="e">
        <f>_xlfn.XLOOKUP(Table1[[#This Row],[Shipment Number]], 'pivot '!A:A,'pivot '!G:G, "NF")</f>
        <v>#DIV/0!</v>
      </c>
      <c r="I40" s="114">
        <f>_xlfn.XLOOKUP(Table1[[#This Row],[Party Name]],
[1]Billing!$Q$5:$Q$40,
[1]Billing!$U$5:$U$40)</f>
        <v>0</v>
      </c>
      <c r="J40" s="114">
        <f>_xlfn.XLOOKUP(Table1[[#This Row],[Party Name]],
[1]Billing!$Q$5:$Q$40,
[1]Billing!$W$5:$W$40)</f>
        <v>0</v>
      </c>
      <c r="K40" s="108"/>
      <c r="P40"/>
      <c r="Q40"/>
      <c r="R40"/>
      <c r="S40"/>
      <c r="T40"/>
      <c r="U40"/>
      <c r="V40"/>
      <c r="W40"/>
      <c r="X40"/>
      <c r="Y40"/>
    </row>
    <row r="41" spans="1:25" x14ac:dyDescent="0.3">
      <c r="A41" s="107">
        <v>45979</v>
      </c>
      <c r="B41" s="81" t="s">
        <v>170</v>
      </c>
      <c r="C41" s="108" t="s">
        <v>211</v>
      </c>
      <c r="D41" s="108" t="s">
        <v>86</v>
      </c>
      <c r="E41" s="37"/>
      <c r="F41" s="37"/>
      <c r="G41" s="37"/>
      <c r="H41" s="110" t="e">
        <f>_xlfn.XLOOKUP(Table1[[#This Row],[Shipment Number]], 'pivot '!A:A,'pivot '!G:G, "NF")</f>
        <v>#DIV/0!</v>
      </c>
      <c r="I41" s="114">
        <f>_xlfn.XLOOKUP(Table1[[#This Row],[Party Name]],
[1]Billing!$Q$5:$Q$40,
[1]Billing!$U$5:$U$40)</f>
        <v>0</v>
      </c>
      <c r="J41" s="114">
        <f>_xlfn.XLOOKUP(Table1[[#This Row],[Party Name]],
[1]Billing!$Q$5:$Q$40,
[1]Billing!$W$5:$W$40)</f>
        <v>0</v>
      </c>
      <c r="K41" s="108"/>
      <c r="P41"/>
      <c r="Q41"/>
      <c r="R41"/>
      <c r="S41"/>
      <c r="T41"/>
      <c r="U41"/>
      <c r="V41"/>
      <c r="W41"/>
      <c r="X41"/>
      <c r="Y41"/>
    </row>
    <row r="42" spans="1:25" x14ac:dyDescent="0.3">
      <c r="A42" s="107">
        <v>45979</v>
      </c>
      <c r="B42" s="81" t="s">
        <v>171</v>
      </c>
      <c r="C42" s="108" t="s">
        <v>211</v>
      </c>
      <c r="D42" s="113" t="s">
        <v>86</v>
      </c>
      <c r="E42" s="37"/>
      <c r="F42" s="37"/>
      <c r="G42" s="37"/>
      <c r="H42" s="110" t="e">
        <f>_xlfn.XLOOKUP(Table1[[#This Row],[Shipment Number]], 'pivot '!A:A,'pivot '!G:G, "NF")</f>
        <v>#DIV/0!</v>
      </c>
      <c r="I42" s="114">
        <f>_xlfn.XLOOKUP(Table1[[#This Row],[Party Name]],
[1]Billing!$Q$5:$Q$40,
[1]Billing!$U$5:$U$40)</f>
        <v>0</v>
      </c>
      <c r="J42" s="114">
        <f>_xlfn.XLOOKUP(Table1[[#This Row],[Party Name]],
[1]Billing!$Q$5:$Q$40,
[1]Billing!$W$5:$W$40)</f>
        <v>0</v>
      </c>
      <c r="K42" s="108"/>
      <c r="P42"/>
      <c r="Q42"/>
      <c r="R42"/>
      <c r="S42"/>
      <c r="T42"/>
      <c r="U42"/>
      <c r="V42"/>
      <c r="W42"/>
      <c r="X42"/>
      <c r="Y42"/>
    </row>
    <row r="43" spans="1:25" x14ac:dyDescent="0.3">
      <c r="A43" s="107">
        <v>45979</v>
      </c>
      <c r="B43" s="81" t="s">
        <v>173</v>
      </c>
      <c r="C43" s="108" t="s">
        <v>211</v>
      </c>
      <c r="D43" s="108" t="s">
        <v>86</v>
      </c>
      <c r="E43" s="37"/>
      <c r="F43" s="37"/>
      <c r="G43" s="37"/>
      <c r="H43" s="110" t="e">
        <f>_xlfn.XLOOKUP(Table1[[#This Row],[Shipment Number]], 'pivot '!A:A,'pivot '!G:G, "NF")</f>
        <v>#DIV/0!</v>
      </c>
      <c r="I43" s="114">
        <f>_xlfn.XLOOKUP(Table1[[#This Row],[Party Name]],
[1]Billing!$Q$5:$Q$40,
[1]Billing!$U$5:$U$40)</f>
        <v>9232.809070958303</v>
      </c>
      <c r="J43" s="114">
        <f>_xlfn.XLOOKUP(Table1[[#This Row],[Party Name]],
[1]Billing!$Q$5:$Q$40,
[1]Billing!$W$5:$W$40)</f>
        <v>120026.51792245793</v>
      </c>
      <c r="K43" s="108"/>
      <c r="P43"/>
      <c r="Q43"/>
      <c r="R43"/>
      <c r="S43"/>
      <c r="T43"/>
      <c r="U43"/>
      <c r="V43"/>
      <c r="W43"/>
      <c r="X43"/>
      <c r="Y43"/>
    </row>
    <row r="44" spans="1:25" x14ac:dyDescent="0.3">
      <c r="A44" s="107">
        <v>45979</v>
      </c>
      <c r="B44" s="81" t="s">
        <v>175</v>
      </c>
      <c r="C44" s="108" t="s">
        <v>211</v>
      </c>
      <c r="D44" s="113" t="s">
        <v>86</v>
      </c>
      <c r="E44" s="37"/>
      <c r="F44" s="37"/>
      <c r="G44" s="37"/>
      <c r="H44" s="110" t="e">
        <f>_xlfn.XLOOKUP(Table1[[#This Row],[Shipment Number]], 'pivot '!A:A,'pivot '!G:G, "NF")</f>
        <v>#DIV/0!</v>
      </c>
      <c r="I44" s="114">
        <f>_xlfn.XLOOKUP(Table1[[#This Row],[Party Name]],
[1]Billing!$Q$5:$Q$40,
[1]Billing!$U$5:$U$40)</f>
        <v>398433.61375274323</v>
      </c>
      <c r="J44" s="114">
        <f>_xlfn.XLOOKUP(Table1[[#This Row],[Party Name]],
[1]Billing!$Q$5:$Q$40,
[1]Billing!$W$5:$W$40)</f>
        <v>5179636.9787856629</v>
      </c>
      <c r="K44" s="108"/>
      <c r="P44"/>
      <c r="Q44"/>
      <c r="R44"/>
      <c r="S44"/>
      <c r="T44"/>
      <c r="U44"/>
      <c r="V44"/>
      <c r="W44"/>
      <c r="X44"/>
      <c r="Y44"/>
    </row>
    <row r="45" spans="1:25" x14ac:dyDescent="0.3">
      <c r="A45" s="107">
        <v>45979</v>
      </c>
      <c r="B45" s="81" t="s">
        <v>178</v>
      </c>
      <c r="C45" s="108" t="s">
        <v>211</v>
      </c>
      <c r="D45" s="108" t="s">
        <v>86</v>
      </c>
      <c r="E45" s="37"/>
      <c r="F45" s="37"/>
      <c r="G45" s="37"/>
      <c r="H45" s="110" t="e">
        <f>_xlfn.XLOOKUP(Table1[[#This Row],[Shipment Number]], 'pivot '!A:A,'pivot '!G:G, "NF")</f>
        <v>#DIV/0!</v>
      </c>
      <c r="I45" s="114">
        <f>_xlfn.XLOOKUP(Table1[[#This Row],[Party Name]],
[1]Billing!$Q$5:$Q$40,
[1]Billing!$U$5:$U$40)</f>
        <v>7565.8376005852242</v>
      </c>
      <c r="J45" s="114">
        <f>_xlfn.XLOOKUP(Table1[[#This Row],[Party Name]],
[1]Billing!$Q$5:$Q$40,
[1]Billing!$W$5:$W$40)</f>
        <v>98355.888807607917</v>
      </c>
      <c r="K45" s="108"/>
      <c r="P45"/>
      <c r="Q45"/>
      <c r="R45"/>
      <c r="S45"/>
      <c r="T45"/>
      <c r="U45"/>
      <c r="V45"/>
      <c r="W45"/>
      <c r="X45"/>
      <c r="Y45"/>
    </row>
    <row r="46" spans="1:25" x14ac:dyDescent="0.3">
      <c r="A46" s="107">
        <v>45979</v>
      </c>
      <c r="B46" s="81" t="s">
        <v>179</v>
      </c>
      <c r="C46" s="108" t="s">
        <v>211</v>
      </c>
      <c r="D46" s="113" t="s">
        <v>86</v>
      </c>
      <c r="E46" s="37"/>
      <c r="F46" s="37"/>
      <c r="G46" s="37"/>
      <c r="H46" s="110" t="e">
        <f>_xlfn.XLOOKUP(Table1[[#This Row],[Shipment Number]], 'pivot '!A:A,'pivot '!G:G, "NF")</f>
        <v>#DIV/0!</v>
      </c>
      <c r="I46" s="114">
        <f>_xlfn.XLOOKUP(Table1[[#This Row],[Party Name]],
[1]Billing!$Q$5:$Q$40,
[1]Billing!$U$5:$U$40)</f>
        <v>43834.125822970011</v>
      </c>
      <c r="J46" s="114">
        <f>_xlfn.XLOOKUP(Table1[[#This Row],[Party Name]],
[1]Billing!$Q$5:$Q$40,
[1]Billing!$W$5:$W$40)</f>
        <v>569843.63569861022</v>
      </c>
      <c r="K46" s="108"/>
      <c r="P46"/>
      <c r="Q46"/>
      <c r="R46"/>
      <c r="S46"/>
      <c r="T46"/>
      <c r="U46"/>
      <c r="V46"/>
      <c r="W46"/>
      <c r="X46"/>
      <c r="Y46"/>
    </row>
    <row r="47" spans="1:25" x14ac:dyDescent="0.3">
      <c r="A47" s="107">
        <v>45979</v>
      </c>
      <c r="B47" s="81" t="s">
        <v>184</v>
      </c>
      <c r="C47" s="108" t="s">
        <v>211</v>
      </c>
      <c r="D47" s="108" t="s">
        <v>86</v>
      </c>
      <c r="E47" s="37"/>
      <c r="F47" s="37"/>
      <c r="G47" s="37"/>
      <c r="H47" s="110" t="e">
        <f>_xlfn.XLOOKUP(Table1[[#This Row],[Shipment Number]], 'pivot '!A:A,'pivot '!G:G, "NF")</f>
        <v>#DIV/0!</v>
      </c>
      <c r="I47" s="114">
        <f>_xlfn.XLOOKUP(Table1[[#This Row],[Party Name]],
[1]Billing!$Q$5:$Q$40,
[1]Billing!$U$5:$U$40)</f>
        <v>31409.107534747625</v>
      </c>
      <c r="J47" s="114">
        <f>_xlfn.XLOOKUP(Table1[[#This Row],[Party Name]],
[1]Billing!$Q$5:$Q$40,
[1]Billing!$W$5:$W$40)</f>
        <v>408318.39795171918</v>
      </c>
      <c r="K47" s="108"/>
      <c r="P47"/>
      <c r="Q47"/>
      <c r="R47"/>
      <c r="S47"/>
      <c r="T47"/>
      <c r="U47"/>
      <c r="V47"/>
      <c r="W47"/>
      <c r="X47"/>
      <c r="Y47"/>
    </row>
    <row r="48" spans="1:25" x14ac:dyDescent="0.3">
      <c r="A48" s="107">
        <v>45979</v>
      </c>
      <c r="B48" s="81" t="s">
        <v>193</v>
      </c>
      <c r="C48" s="108" t="s">
        <v>211</v>
      </c>
      <c r="D48" s="113" t="s">
        <v>86</v>
      </c>
      <c r="E48" s="37"/>
      <c r="F48" s="37"/>
      <c r="G48" s="37"/>
      <c r="H48" s="110" t="e">
        <f>_xlfn.XLOOKUP(Table1[[#This Row],[Shipment Number]], 'pivot '!A:A,'pivot '!G:G, "NF")</f>
        <v>#DIV/0!</v>
      </c>
      <c r="I48" s="114">
        <f>_xlfn.XLOOKUP(Table1[[#This Row],[Party Name]],
[1]Billing!$Q$5:$Q$40,
[1]Billing!$U$5:$U$40)</f>
        <v>0</v>
      </c>
      <c r="J48" s="114">
        <f>_xlfn.XLOOKUP(Table1[[#This Row],[Party Name]],
[1]Billing!$Q$5:$Q$40,
[1]Billing!$W$5:$W$40)</f>
        <v>0</v>
      </c>
      <c r="K48" s="108"/>
      <c r="P48"/>
      <c r="Q48"/>
      <c r="R48"/>
      <c r="S48"/>
      <c r="T48"/>
      <c r="U48"/>
      <c r="V48"/>
      <c r="W48"/>
      <c r="X48"/>
      <c r="Y48"/>
    </row>
    <row r="49" spans="1:25" x14ac:dyDescent="0.3">
      <c r="A49" s="107">
        <v>45979</v>
      </c>
      <c r="B49" s="81" t="s">
        <v>196</v>
      </c>
      <c r="C49" s="108" t="s">
        <v>211</v>
      </c>
      <c r="D49" s="108" t="s">
        <v>86</v>
      </c>
      <c r="E49" s="37"/>
      <c r="F49" s="37"/>
      <c r="G49" s="37"/>
      <c r="H49" s="110" t="e">
        <f>_xlfn.XLOOKUP(Table1[[#This Row],[Shipment Number]], 'pivot '!A:A,'pivot '!G:G, "NF")</f>
        <v>#DIV/0!</v>
      </c>
      <c r="I49" s="114">
        <f>_xlfn.XLOOKUP(Table1[[#This Row],[Party Name]],
[1]Billing!$Q$5:$Q$40,
[1]Billing!$U$5:$U$40)</f>
        <v>0</v>
      </c>
      <c r="J49" s="114">
        <f>_xlfn.XLOOKUP(Table1[[#This Row],[Party Name]],
[1]Billing!$Q$5:$Q$40,
[1]Billing!$W$5:$W$40)</f>
        <v>0</v>
      </c>
      <c r="K49" s="108"/>
      <c r="P49"/>
      <c r="Q49"/>
      <c r="R49"/>
      <c r="S49"/>
      <c r="T49"/>
      <c r="U49"/>
      <c r="V49"/>
      <c r="W49"/>
      <c r="X49"/>
      <c r="Y49"/>
    </row>
    <row r="50" spans="1:25" x14ac:dyDescent="0.3">
      <c r="A50" s="107">
        <v>45979</v>
      </c>
      <c r="B50" s="81" t="s">
        <v>195</v>
      </c>
      <c r="C50" s="108" t="s">
        <v>211</v>
      </c>
      <c r="D50" s="113" t="s">
        <v>86</v>
      </c>
      <c r="E50" s="37"/>
      <c r="F50" s="37"/>
      <c r="G50" s="37"/>
      <c r="H50" s="110" t="e">
        <f>_xlfn.XLOOKUP(Table1[[#This Row],[Shipment Number]], 'pivot '!A:A,'pivot '!G:G, "NF")</f>
        <v>#DIV/0!</v>
      </c>
      <c r="I50" s="114">
        <f>_xlfn.XLOOKUP(Table1[[#This Row],[Party Name]],
[1]Billing!$Q$5:$Q$40,
[1]Billing!$U$5:$U$40)</f>
        <v>60995.793708851503</v>
      </c>
      <c r="J50" s="114">
        <f>_xlfn.XLOOKUP(Table1[[#This Row],[Party Name]],
[1]Billing!$Q$5:$Q$40,
[1]Billing!$W$5:$W$40)</f>
        <v>792945.31821506959</v>
      </c>
      <c r="K50" s="108"/>
      <c r="P50"/>
      <c r="Q50"/>
      <c r="R50"/>
      <c r="S50"/>
      <c r="T50"/>
      <c r="U50"/>
      <c r="V50"/>
      <c r="W50"/>
      <c r="X50"/>
      <c r="Y50"/>
    </row>
    <row r="51" spans="1:25" x14ac:dyDescent="0.3">
      <c r="A51" s="107">
        <v>45979</v>
      </c>
      <c r="B51" s="81" t="s">
        <v>201</v>
      </c>
      <c r="C51" s="108" t="s">
        <v>211</v>
      </c>
      <c r="D51" s="108" t="s">
        <v>86</v>
      </c>
      <c r="E51" s="37"/>
      <c r="F51" s="37"/>
      <c r="G51" s="37"/>
      <c r="H51" s="110" t="e">
        <f>_xlfn.XLOOKUP(Table1[[#This Row],[Shipment Number]], 'pivot '!A:A,'pivot '!G:G, "NF")</f>
        <v>#DIV/0!</v>
      </c>
      <c r="I51" s="114">
        <f>_xlfn.XLOOKUP(Table1[[#This Row],[Party Name]],
[1]Billing!$Q$5:$Q$40,
[1]Billing!$U$5:$U$40)</f>
        <v>0</v>
      </c>
      <c r="J51" s="114">
        <f>_xlfn.XLOOKUP(Table1[[#This Row],[Party Name]],
[1]Billing!$Q$5:$Q$40,
[1]Billing!$W$5:$W$40)</f>
        <v>0</v>
      </c>
      <c r="K51" s="108"/>
      <c r="P51"/>
      <c r="Q51"/>
      <c r="R51"/>
      <c r="S51"/>
      <c r="T51"/>
      <c r="U51"/>
      <c r="V51"/>
      <c r="W51"/>
      <c r="X51"/>
      <c r="Y51"/>
    </row>
    <row r="52" spans="1:25" x14ac:dyDescent="0.3">
      <c r="A52" s="107">
        <v>45979</v>
      </c>
      <c r="B52" s="81" t="s">
        <v>206</v>
      </c>
      <c r="C52" s="108" t="s">
        <v>211</v>
      </c>
      <c r="D52" s="113" t="s">
        <v>86</v>
      </c>
      <c r="E52" s="37"/>
      <c r="F52" s="37"/>
      <c r="G52" s="37"/>
      <c r="H52" s="110" t="e">
        <f>_xlfn.XLOOKUP(Table1[[#This Row],[Shipment Number]], 'pivot '!A:A,'pivot '!G:G, "NF")</f>
        <v>#DIV/0!</v>
      </c>
      <c r="I52" s="114">
        <f>_xlfn.XLOOKUP(Table1[[#This Row],[Party Name]],
[1]Billing!$Q$5:$Q$40,
[1]Billing!$U$5:$U$40)</f>
        <v>29626.005852231167</v>
      </c>
      <c r="J52" s="114">
        <f>_xlfn.XLOOKUP(Table1[[#This Row],[Party Name]],
[1]Billing!$Q$5:$Q$40,
[1]Billing!$W$5:$W$40)</f>
        <v>385138.07607900514</v>
      </c>
      <c r="K52" s="108"/>
      <c r="P52"/>
      <c r="Q52"/>
      <c r="R52"/>
      <c r="S52"/>
      <c r="T52"/>
      <c r="U52"/>
      <c r="V52"/>
      <c r="W52"/>
      <c r="X52"/>
      <c r="Y52"/>
    </row>
    <row r="53" spans="1:25" x14ac:dyDescent="0.3">
      <c r="A53" s="107">
        <v>45979</v>
      </c>
      <c r="B53" s="81" t="s">
        <v>208</v>
      </c>
      <c r="C53" s="108" t="s">
        <v>211</v>
      </c>
      <c r="D53" s="108" t="s">
        <v>86</v>
      </c>
      <c r="E53" s="37"/>
      <c r="F53" s="37"/>
      <c r="G53" s="37"/>
      <c r="H53" s="110" t="e">
        <f>_xlfn.XLOOKUP(Table1[[#This Row],[Shipment Number]], 'pivot '!A:A,'pivot '!G:G, "NF")</f>
        <v>#DIV/0!</v>
      </c>
      <c r="I53" s="114">
        <f>_xlfn.XLOOKUP(Table1[[#This Row],[Party Name]],
[1]Billing!$Q$5:$Q$40,
[1]Billing!$U$5:$U$40)</f>
        <v>0</v>
      </c>
      <c r="J53" s="114">
        <f>_xlfn.XLOOKUP(Table1[[#This Row],[Party Name]],
[1]Billing!$Q$5:$Q$40,
[1]Billing!$W$5:$W$40)</f>
        <v>0</v>
      </c>
      <c r="K53" s="108"/>
      <c r="P53"/>
      <c r="Q53"/>
      <c r="R53"/>
      <c r="S53"/>
      <c r="T53"/>
      <c r="U53"/>
      <c r="V53"/>
      <c r="W53"/>
      <c r="X53"/>
      <c r="Y53"/>
    </row>
    <row r="54" spans="1:25" x14ac:dyDescent="0.3">
      <c r="A54" s="107">
        <v>45979</v>
      </c>
      <c r="B54" s="24" t="s">
        <v>25</v>
      </c>
      <c r="C54" s="108" t="s">
        <v>211</v>
      </c>
      <c r="D54" s="108" t="s">
        <v>185</v>
      </c>
      <c r="E54" s="37"/>
      <c r="F54" s="37"/>
      <c r="G54" s="37"/>
      <c r="H54" s="110" t="e">
        <f>_xlfn.XLOOKUP(Table1[[#This Row],[Shipment Number]], 'pivot '!A:A,'pivot '!G:G, "NF")</f>
        <v>#DIV/0!</v>
      </c>
      <c r="I54" s="110"/>
      <c r="J54" s="110">
        <f>_xlfn.XLOOKUP(Table1[[#This Row],[Party Name]],
[1]Billing!$Q$5:$Q$40,
[1]Billing!$X$5:$X$40)</f>
        <v>71359.729334308722</v>
      </c>
      <c r="K54" s="108"/>
      <c r="P54"/>
      <c r="Q54"/>
      <c r="R54"/>
      <c r="S54"/>
      <c r="T54"/>
      <c r="U54"/>
      <c r="V54"/>
      <c r="W54"/>
      <c r="X54"/>
      <c r="Y54"/>
    </row>
    <row r="55" spans="1:25" x14ac:dyDescent="0.3">
      <c r="A55" s="107">
        <v>45979</v>
      </c>
      <c r="B55" s="24" t="s">
        <v>175</v>
      </c>
      <c r="C55" s="108" t="s">
        <v>211</v>
      </c>
      <c r="D55" s="108" t="s">
        <v>185</v>
      </c>
      <c r="E55" s="37"/>
      <c r="F55" s="37"/>
      <c r="G55" s="37"/>
      <c r="H55" s="110" t="e">
        <f>_xlfn.XLOOKUP(Table1[[#This Row],[Shipment Number]], 'pivot '!A:A,'pivot '!G:G, "NF")</f>
        <v>#DIV/0!</v>
      </c>
      <c r="I55" s="110"/>
      <c r="J55" s="110">
        <f>_xlfn.XLOOKUP(Table1[[#This Row],[Party Name]],
[1]Billing!$Q$5:$Q$40,
[1]Billing!$X$5:$X$40)</f>
        <v>44550.109729334312</v>
      </c>
      <c r="K55" s="108"/>
      <c r="P55"/>
      <c r="Q55"/>
      <c r="R55"/>
      <c r="S55"/>
      <c r="T55"/>
      <c r="U55"/>
      <c r="V55"/>
      <c r="W55"/>
      <c r="X55"/>
      <c r="Y55"/>
    </row>
    <row r="56" spans="1:25" x14ac:dyDescent="0.3">
      <c r="A56" s="107">
        <v>45979</v>
      </c>
      <c r="B56" s="24" t="s">
        <v>178</v>
      </c>
      <c r="C56" s="108" t="s">
        <v>211</v>
      </c>
      <c r="D56" s="108" t="s">
        <v>186</v>
      </c>
      <c r="E56" s="37"/>
      <c r="F56" s="37"/>
      <c r="G56" s="37"/>
      <c r="H56" s="110" t="e">
        <f>_xlfn.XLOOKUP(Table1[[#This Row],[Shipment Number]], 'pivot '!A:A,'pivot '!G:G, "NF")</f>
        <v>#DIV/0!</v>
      </c>
      <c r="I56" s="110"/>
      <c r="J56" s="110">
        <f>_xlfn.XLOOKUP(Table1[[#This Row],[Party Name]],
[1]Billing!$Q$5:$Q$40,
[1]Billing!$Y$5:$Y$40)</f>
        <v>94656.181419166067</v>
      </c>
      <c r="K56" s="108"/>
      <c r="P56"/>
      <c r="Q56"/>
      <c r="R56"/>
      <c r="S56"/>
      <c r="T56"/>
      <c r="U56"/>
      <c r="V56"/>
      <c r="W56"/>
      <c r="X56"/>
      <c r="Y56"/>
    </row>
    <row r="57" spans="1:25" x14ac:dyDescent="0.3">
      <c r="A57" s="107">
        <v>45979</v>
      </c>
      <c r="B57" s="24" t="s">
        <v>184</v>
      </c>
      <c r="C57" s="108" t="s">
        <v>211</v>
      </c>
      <c r="D57" s="108" t="s">
        <v>203</v>
      </c>
      <c r="E57" s="37"/>
      <c r="F57" s="37"/>
      <c r="G57" s="37"/>
      <c r="H57" s="110" t="e">
        <f>_xlfn.XLOOKUP(Table1[[#This Row],[Shipment Number]], 'pivot '!A:A,'pivot '!G:G, "NF")</f>
        <v>#DIV/0!</v>
      </c>
      <c r="I57" s="110"/>
      <c r="J57" s="110">
        <f>_xlfn.XLOOKUP(Table1[[#This Row],[Party Name]],
[1]Billing!$Q$5:$Q$40,
[1]Billing!$Z$5:$Z$40)</f>
        <v>161653.2553035845</v>
      </c>
      <c r="K57" s="108"/>
      <c r="P57"/>
      <c r="Q57"/>
      <c r="R57"/>
      <c r="S57"/>
      <c r="T57"/>
      <c r="U57"/>
      <c r="V57"/>
      <c r="W57"/>
      <c r="X57"/>
      <c r="Y57"/>
    </row>
    <row r="58" spans="1:25" x14ac:dyDescent="0.3">
      <c r="A58" s="107">
        <v>45979</v>
      </c>
      <c r="B58" s="24" t="s">
        <v>193</v>
      </c>
      <c r="C58" s="108" t="s">
        <v>211</v>
      </c>
      <c r="D58" s="108" t="s">
        <v>212</v>
      </c>
      <c r="E58" s="37"/>
      <c r="F58" s="37"/>
      <c r="G58" s="37"/>
      <c r="H58" s="110" t="e">
        <f>_xlfn.XLOOKUP(Table1[[#This Row],[Shipment Number]], 'pivot '!A:A,'pivot '!G:G, "NF")</f>
        <v>#DIV/0!</v>
      </c>
      <c r="I58" s="110"/>
      <c r="J58" s="110">
        <f>_xlfn.XLOOKUP(Table1[[#This Row],[Party Name]],
[1]Billing!$Q$5:$Q$40,
[1]Billing!$AA$5:$AA$40)</f>
        <v>523143.74542794435</v>
      </c>
      <c r="K58" s="108"/>
      <c r="P58"/>
      <c r="Q58"/>
      <c r="R58"/>
      <c r="S58"/>
      <c r="T58"/>
      <c r="U58"/>
      <c r="V58"/>
      <c r="W58"/>
    </row>
    <row r="59" spans="1:25" x14ac:dyDescent="0.3">
      <c r="A59" s="107">
        <v>45979</v>
      </c>
      <c r="B59" s="24" t="s">
        <v>208</v>
      </c>
      <c r="C59" s="108" t="s">
        <v>211</v>
      </c>
      <c r="D59" s="108" t="s">
        <v>209</v>
      </c>
      <c r="E59" s="37"/>
      <c r="F59" s="37"/>
      <c r="G59" s="37"/>
      <c r="H59" s="110" t="e">
        <f>_xlfn.XLOOKUP(Table1[[#This Row],[Shipment Number]], 'pivot '!A:A,'pivot '!G:G, "NF")</f>
        <v>#DIV/0!</v>
      </c>
      <c r="I59" s="110"/>
      <c r="J59" s="110">
        <f>_xlfn.XLOOKUP(Table1[[#This Row],[Party Name]],
[1]Billing!$Q$5:$Q$40,
[1]Billing!$AB$5:$AB$40)</f>
        <v>54170.629114850039</v>
      </c>
      <c r="K59" s="108"/>
      <c r="P59"/>
      <c r="Q59"/>
      <c r="R59"/>
      <c r="S59"/>
      <c r="T59"/>
      <c r="U59"/>
    </row>
    <row r="60" spans="1:25" x14ac:dyDescent="0.3">
      <c r="A60" s="122">
        <v>46009</v>
      </c>
      <c r="B60" s="123" t="s">
        <v>152</v>
      </c>
      <c r="C60" s="119">
        <v>1256</v>
      </c>
      <c r="D60" s="119" t="s">
        <v>85</v>
      </c>
      <c r="E60" s="11">
        <v>1971</v>
      </c>
      <c r="F60" s="11">
        <v>50697</v>
      </c>
      <c r="G60" s="11">
        <v>49746</v>
      </c>
      <c r="H60" s="120">
        <f>_xlfn.XLOOKUP(Table1[[#This Row],[Shipment Number]], 'pivot '!A:A,'pivot '!G:G, "NF")</f>
        <v>10.274186761201378</v>
      </c>
      <c r="I60" s="121">
        <f>Table1[[#This Row],[Tiyaar/gaz]]/1.0936</f>
        <v>45488.295537673745</v>
      </c>
      <c r="J60" s="121" cm="1">
        <f t="array" ref="J6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454882.95537673746</v>
      </c>
      <c r="K60" s="119"/>
      <c r="M60"/>
      <c r="P60"/>
      <c r="Q60"/>
      <c r="R60"/>
      <c r="S60"/>
      <c r="T60"/>
      <c r="U60"/>
    </row>
    <row r="61" spans="1:25" x14ac:dyDescent="0.3">
      <c r="A61" s="122">
        <v>46009</v>
      </c>
      <c r="B61" s="119" t="s">
        <v>9</v>
      </c>
      <c r="C61" s="119">
        <v>1257</v>
      </c>
      <c r="D61" s="119" t="s">
        <v>85</v>
      </c>
      <c r="E61" s="11">
        <v>1951</v>
      </c>
      <c r="F61" s="11">
        <v>54197</v>
      </c>
      <c r="G61" s="11">
        <v>28916</v>
      </c>
      <c r="H61" s="120">
        <f>_xlfn.XLOOKUP(Table1[[#This Row],[Shipment Number]], 'pivot '!A:A,'pivot '!G:G, "NF")</f>
        <v>1.6396859062171956</v>
      </c>
      <c r="I61" s="121">
        <f>Table1[[#This Row],[Tiyaar/gaz]]/1.0936</f>
        <v>26441.111923920998</v>
      </c>
      <c r="J61" s="121" cm="1">
        <f t="array" ref="J6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264411.11923920998</v>
      </c>
      <c r="K61" s="119"/>
      <c r="M61"/>
      <c r="P61"/>
      <c r="Q61"/>
      <c r="R61"/>
      <c r="S61"/>
    </row>
    <row r="62" spans="1:25" x14ac:dyDescent="0.3">
      <c r="A62" s="122">
        <v>46009</v>
      </c>
      <c r="B62" s="119" t="s">
        <v>166</v>
      </c>
      <c r="C62" s="119">
        <v>1258</v>
      </c>
      <c r="D62" s="119" t="s">
        <v>85</v>
      </c>
      <c r="E62" s="11">
        <v>1934</v>
      </c>
      <c r="F62" s="11">
        <v>38741</v>
      </c>
      <c r="G62" s="11">
        <v>12375</v>
      </c>
      <c r="H62" s="120">
        <f>_xlfn.XLOOKUP(Table1[[#This Row],[Shipment Number]], 'pivot '!A:A,'pivot '!G:G, "NF")</f>
        <v>2.6934957751331297</v>
      </c>
      <c r="I62" s="121">
        <f>Table1[[#This Row],[Tiyaar/gaz]]/1.0936</f>
        <v>11315.837600585224</v>
      </c>
      <c r="J62" s="121" cm="1">
        <f t="array" ref="J6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113158.37600585225</v>
      </c>
      <c r="K62" s="119"/>
      <c r="M62"/>
      <c r="P62"/>
      <c r="Q62"/>
      <c r="R62"/>
      <c r="S62"/>
    </row>
    <row r="63" spans="1:25" x14ac:dyDescent="0.3">
      <c r="A63" s="122">
        <v>46010</v>
      </c>
      <c r="B63" s="124" t="s">
        <v>166</v>
      </c>
      <c r="C63" s="119">
        <v>1259</v>
      </c>
      <c r="D63" s="119" t="s">
        <v>85</v>
      </c>
      <c r="E63" s="11">
        <v>1934</v>
      </c>
      <c r="F63" s="11">
        <v>38741</v>
      </c>
      <c r="G63" s="11">
        <v>28851</v>
      </c>
      <c r="H63" s="120">
        <f>_xlfn.XLOOKUP(Table1[[#This Row],[Shipment Number]], 'pivot '!A:A,'pivot '!G:G, "NF")</f>
        <v>2.6934957751331297</v>
      </c>
      <c r="I63" s="121">
        <f>Table1[[#This Row],[Tiyaar/gaz]]/1.0936</f>
        <v>26381.675201170448</v>
      </c>
      <c r="J63" s="121" cm="1">
        <f t="array" ref="J6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263816.75201170449</v>
      </c>
      <c r="K63" s="119"/>
      <c r="S63"/>
    </row>
    <row r="64" spans="1:25" x14ac:dyDescent="0.3">
      <c r="A64" s="122">
        <v>46010</v>
      </c>
      <c r="B64" s="124" t="s">
        <v>166</v>
      </c>
      <c r="C64" s="119">
        <v>1260</v>
      </c>
      <c r="D64" s="119" t="s">
        <v>85</v>
      </c>
      <c r="E64" s="11">
        <v>1924</v>
      </c>
      <c r="F64" s="11">
        <v>24876</v>
      </c>
      <c r="G64" s="11">
        <v>16411</v>
      </c>
      <c r="H64" s="120">
        <f>_xlfn.XLOOKUP(Table1[[#This Row],[Shipment Number]], 'pivot '!A:A,'pivot '!G:G, "NF")</f>
        <v>2.9237689017997326</v>
      </c>
      <c r="I64" s="121">
        <f>Table1[[#This Row],[Tiyaar/gaz]]/1.0936</f>
        <v>15006.400877834676</v>
      </c>
      <c r="J64" s="121" cm="1">
        <f t="array" ref="J6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150064.00877834676</v>
      </c>
      <c r="K64" s="119"/>
      <c r="S64"/>
    </row>
    <row r="65" spans="1:19" x14ac:dyDescent="0.3">
      <c r="A65" s="122">
        <v>46011</v>
      </c>
      <c r="B65" s="124" t="s">
        <v>9</v>
      </c>
      <c r="C65" s="119">
        <v>1261</v>
      </c>
      <c r="D65" s="119" t="s">
        <v>85</v>
      </c>
      <c r="E65" s="11">
        <v>1951</v>
      </c>
      <c r="F65" s="11">
        <v>54197</v>
      </c>
      <c r="G65" s="11">
        <v>10108</v>
      </c>
      <c r="H65" s="120">
        <f>_xlfn.XLOOKUP(Table1[[#This Row],[Shipment Number]], 'pivot '!A:A,'pivot '!G:G, "NF")</f>
        <v>1.6396859062171956</v>
      </c>
      <c r="I65" s="121">
        <f>Table1[[#This Row],[Tiyaar/gaz]]/1.0936</f>
        <v>9242.8675932699352</v>
      </c>
      <c r="J65" s="121" cm="1">
        <f t="array" ref="J6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92428.675932699349</v>
      </c>
      <c r="K65" s="119"/>
      <c r="S65"/>
    </row>
    <row r="66" spans="1:19" x14ac:dyDescent="0.3">
      <c r="A66" s="122">
        <v>46011</v>
      </c>
      <c r="B66" s="124" t="s">
        <v>166</v>
      </c>
      <c r="C66" s="119">
        <v>1262</v>
      </c>
      <c r="D66" s="119" t="s">
        <v>85</v>
      </c>
      <c r="E66" s="11">
        <v>1924</v>
      </c>
      <c r="F66" s="11">
        <v>24876</v>
      </c>
      <c r="G66" s="11">
        <v>7846</v>
      </c>
      <c r="H66" s="120">
        <f>_xlfn.XLOOKUP(Table1[[#This Row],[Shipment Number]], 'pivot '!A:A,'pivot '!G:G, "NF")</f>
        <v>2.9237689017997326</v>
      </c>
      <c r="I66" s="121">
        <f>Table1[[#This Row],[Tiyaar/gaz]]/1.0936</f>
        <v>7174.4696415508415</v>
      </c>
      <c r="J66" s="121" cm="1">
        <f t="array" ref="J6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71744.696415508413</v>
      </c>
      <c r="K66" s="119"/>
      <c r="S66"/>
    </row>
    <row r="67" spans="1:19" x14ac:dyDescent="0.3">
      <c r="A67" s="122">
        <v>46011</v>
      </c>
      <c r="B67" s="124" t="s">
        <v>166</v>
      </c>
      <c r="C67" s="119">
        <v>1263</v>
      </c>
      <c r="D67" s="119" t="s">
        <v>258</v>
      </c>
      <c r="E67" s="11">
        <v>1835</v>
      </c>
      <c r="F67" s="11">
        <v>50010</v>
      </c>
      <c r="G67" s="11">
        <v>25414</v>
      </c>
      <c r="H67" s="120">
        <f>_xlfn.XLOOKUP(Table1[[#This Row],[Shipment Number]], 'pivot '!A:A,'pivot '!G:G, "NF")</f>
        <v>7.1820602960607403</v>
      </c>
      <c r="I67" s="121">
        <f>Table1[[#This Row],[Tiyaar/gaz]]/1.0936</f>
        <v>23238.844184345282</v>
      </c>
      <c r="J67" s="121" cm="1">
        <f t="array" ref="J6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232388.44184345281</v>
      </c>
      <c r="K67" s="119"/>
      <c r="S67"/>
    </row>
    <row r="68" spans="1:19" x14ac:dyDescent="0.3">
      <c r="A68" s="122">
        <v>46013</v>
      </c>
      <c r="B68" s="124" t="s">
        <v>21</v>
      </c>
      <c r="C68" s="119">
        <v>1264</v>
      </c>
      <c r="D68" s="119" t="s">
        <v>258</v>
      </c>
      <c r="E68" s="11">
        <v>1628</v>
      </c>
      <c r="F68" s="11">
        <v>48198</v>
      </c>
      <c r="G68" s="11">
        <v>10049</v>
      </c>
      <c r="H68" s="120">
        <f>_xlfn.XLOOKUP(Table1[[#This Row],[Shipment Number]], 'pivot '!A:A,'pivot '!G:G, "NF")</f>
        <v>20.99845209954924</v>
      </c>
      <c r="I68" s="121">
        <f>Table1[[#This Row],[Tiyaar/gaz]]/1.0936</f>
        <v>9188.9173372348214</v>
      </c>
      <c r="J68" s="121" cm="1">
        <f t="array" ref="J6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91889.173372348218</v>
      </c>
      <c r="K68" s="119"/>
      <c r="S68"/>
    </row>
    <row r="69" spans="1:19" x14ac:dyDescent="0.3">
      <c r="A69" s="122">
        <v>46013</v>
      </c>
      <c r="B69" s="124" t="s">
        <v>166</v>
      </c>
      <c r="C69" s="119">
        <v>1265</v>
      </c>
      <c r="D69" s="119" t="s">
        <v>258</v>
      </c>
      <c r="E69" s="11">
        <v>1835</v>
      </c>
      <c r="F69" s="11">
        <v>50010</v>
      </c>
      <c r="G69" s="11">
        <v>25349</v>
      </c>
      <c r="H69" s="120">
        <f>_xlfn.XLOOKUP(Table1[[#This Row],[Shipment Number]], 'pivot '!A:A,'pivot '!G:G, "NF")</f>
        <v>7.1820602960607403</v>
      </c>
      <c r="I69" s="121">
        <f>Table1[[#This Row],[Tiyaar/gaz]]/1.0936</f>
        <v>23179.407461594736</v>
      </c>
      <c r="J69" s="121" cm="1">
        <f t="array" ref="J6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231794.07461594735</v>
      </c>
      <c r="K69" s="119"/>
      <c r="S69"/>
    </row>
    <row r="70" spans="1:19" x14ac:dyDescent="0.3">
      <c r="A70" s="122">
        <v>46014</v>
      </c>
      <c r="B70" s="124" t="s">
        <v>21</v>
      </c>
      <c r="C70" s="119">
        <v>1266</v>
      </c>
      <c r="D70" s="119" t="s">
        <v>258</v>
      </c>
      <c r="E70" s="11">
        <v>1628</v>
      </c>
      <c r="F70" s="11">
        <v>48198</v>
      </c>
      <c r="G70" s="11">
        <v>2439</v>
      </c>
      <c r="H70" s="120">
        <f>_xlfn.XLOOKUP(Table1[[#This Row],[Shipment Number]], 'pivot '!A:A,'pivot '!G:G, "NF")</f>
        <v>20.99845209954924</v>
      </c>
      <c r="I70" s="121">
        <f>Table1[[#This Row],[Tiyaar/gaz]]/1.0936</f>
        <v>2230.2487198244335</v>
      </c>
      <c r="J70" s="121" cm="1">
        <f t="array" ref="J7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22302.487198244336</v>
      </c>
      <c r="K70" s="119"/>
      <c r="S70"/>
    </row>
    <row r="71" spans="1:19" x14ac:dyDescent="0.3">
      <c r="A71" s="122">
        <v>46014</v>
      </c>
      <c r="B71" s="124" t="s">
        <v>21</v>
      </c>
      <c r="C71" s="119">
        <v>1267</v>
      </c>
      <c r="D71" s="119" t="s">
        <v>85</v>
      </c>
      <c r="E71" s="11">
        <v>1958</v>
      </c>
      <c r="F71" s="11">
        <v>80202</v>
      </c>
      <c r="G71" s="11">
        <v>43569</v>
      </c>
      <c r="H71" s="120">
        <f>_xlfn.XLOOKUP(Table1[[#This Row],[Shipment Number]], 'pivot '!A:A,'pivot '!G:G, "NF")</f>
        <v>1.0043531815888258</v>
      </c>
      <c r="I71" s="121">
        <f>Table1[[#This Row],[Tiyaar/gaz]]/1.0936</f>
        <v>39839.978054133142</v>
      </c>
      <c r="J71" s="121" cm="1">
        <f t="array" ref="J7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398399.78054133139</v>
      </c>
      <c r="K71" s="119"/>
      <c r="S71"/>
    </row>
    <row r="72" spans="1:19" x14ac:dyDescent="0.3">
      <c r="A72" s="122">
        <v>46014</v>
      </c>
      <c r="B72" s="124" t="s">
        <v>166</v>
      </c>
      <c r="C72" s="119">
        <v>1268</v>
      </c>
      <c r="D72" s="119" t="s">
        <v>85</v>
      </c>
      <c r="E72" s="11">
        <v>1924</v>
      </c>
      <c r="F72" s="11">
        <v>24876</v>
      </c>
      <c r="G72" s="11">
        <v>2152</v>
      </c>
      <c r="H72" s="120">
        <f>_xlfn.XLOOKUP(Table1[[#This Row],[Shipment Number]], 'pivot '!A:A,'pivot '!G:G, "NF")</f>
        <v>2.9237689017997326</v>
      </c>
      <c r="I72" s="121">
        <f>Table1[[#This Row],[Tiyaar/gaz]]/1.0936</f>
        <v>1967.81272860278</v>
      </c>
      <c r="J72" s="121" cm="1">
        <f t="array" ref="J7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19678.1272860278</v>
      </c>
      <c r="K72" s="119"/>
      <c r="S72"/>
    </row>
    <row r="73" spans="1:19" x14ac:dyDescent="0.3">
      <c r="A73" s="122">
        <v>46014</v>
      </c>
      <c r="B73" s="124" t="s">
        <v>21</v>
      </c>
      <c r="C73" s="119">
        <v>1269</v>
      </c>
      <c r="D73" s="119" t="s">
        <v>85</v>
      </c>
      <c r="E73" s="11">
        <v>1958</v>
      </c>
      <c r="F73" s="11">
        <v>80202</v>
      </c>
      <c r="G73" s="11">
        <v>43259</v>
      </c>
      <c r="H73" s="120">
        <f>_xlfn.XLOOKUP(Table1[[#This Row],[Shipment Number]], 'pivot '!A:A,'pivot '!G:G, "NF")</f>
        <v>1.0043531815888258</v>
      </c>
      <c r="I73" s="121">
        <f>Table1[[#This Row],[Tiyaar/gaz]]/1.0936</f>
        <v>39556.510607168988</v>
      </c>
      <c r="J73" s="121" cm="1">
        <f t="array" ref="J7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395565.10607168986</v>
      </c>
      <c r="K73" s="119"/>
    </row>
    <row r="74" spans="1:19" x14ac:dyDescent="0.3">
      <c r="A74" s="122">
        <v>46015</v>
      </c>
      <c r="B74" s="124" t="s">
        <v>9</v>
      </c>
      <c r="C74" s="119">
        <v>1270</v>
      </c>
      <c r="D74" s="119" t="s">
        <v>85</v>
      </c>
      <c r="E74" s="11">
        <v>1951</v>
      </c>
      <c r="F74" s="11">
        <v>54197</v>
      </c>
      <c r="G74" s="11">
        <v>19274</v>
      </c>
      <c r="H74" s="120">
        <f>_xlfn.XLOOKUP(Table1[[#This Row],[Shipment Number]], 'pivot '!A:A,'pivot '!G:G, "NF")</f>
        <v>1.6396859062171956</v>
      </c>
      <c r="I74" s="121">
        <f>Table1[[#This Row],[Tiyaar/gaz]]/1.0936</f>
        <v>17624.359912216532</v>
      </c>
      <c r="J74" s="121" cm="1">
        <f t="array" ref="J7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176243.59912216532</v>
      </c>
      <c r="K74" s="119"/>
    </row>
    <row r="75" spans="1:19" x14ac:dyDescent="0.3">
      <c r="A75" s="122">
        <v>46015</v>
      </c>
      <c r="B75" s="124" t="s">
        <v>21</v>
      </c>
      <c r="C75" s="119">
        <v>1271</v>
      </c>
      <c r="D75" s="119" t="s">
        <v>85</v>
      </c>
      <c r="E75" s="11">
        <v>1987</v>
      </c>
      <c r="F75" s="11">
        <v>5613</v>
      </c>
      <c r="G75" s="11">
        <v>1684</v>
      </c>
      <c r="H75" s="120">
        <f>_xlfn.XLOOKUP(Table1[[#This Row],[Shipment Number]], 'pivot '!A:A,'pivot '!G:G, "NF")</f>
        <v>5.5939348656471992</v>
      </c>
      <c r="I75" s="121">
        <f>Table1[[#This Row],[Tiyaar/gaz]]/1.0936</f>
        <v>1539.8683247988297</v>
      </c>
      <c r="J75" s="121" cm="1">
        <f t="array" ref="J7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15398.683247988298</v>
      </c>
      <c r="K75" s="119"/>
    </row>
    <row r="76" spans="1:19" x14ac:dyDescent="0.3">
      <c r="A76" s="122">
        <v>46015</v>
      </c>
      <c r="B76" s="124" t="s">
        <v>152</v>
      </c>
      <c r="C76" s="119">
        <v>1272</v>
      </c>
      <c r="D76" s="119" t="s">
        <v>85</v>
      </c>
      <c r="E76" s="11">
        <v>1974</v>
      </c>
      <c r="F76" s="11">
        <v>50497</v>
      </c>
      <c r="G76" s="11">
        <v>1495</v>
      </c>
      <c r="H76" s="120">
        <f>_xlfn.XLOOKUP(Table1[[#This Row],[Shipment Number]], 'pivot '!A:A,'pivot '!G:G, "NF")</f>
        <v>2.2680901509804556</v>
      </c>
      <c r="I76" s="121">
        <f>Table1[[#This Row],[Tiyaar/gaz]]/1.0936</f>
        <v>1367.0446232626191</v>
      </c>
      <c r="J76" s="121" cm="1">
        <f t="array" ref="J7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13670.446232626191</v>
      </c>
      <c r="K76" s="119"/>
    </row>
    <row r="77" spans="1:19" x14ac:dyDescent="0.3">
      <c r="A77" s="122">
        <v>46017</v>
      </c>
      <c r="B77" s="124" t="s">
        <v>22</v>
      </c>
      <c r="C77" s="119">
        <v>1273</v>
      </c>
      <c r="D77" s="119" t="s">
        <v>86</v>
      </c>
      <c r="E77" s="11">
        <v>1972</v>
      </c>
      <c r="F77" s="11">
        <v>25068</v>
      </c>
      <c r="G77" s="11">
        <v>23918</v>
      </c>
      <c r="H77" s="120">
        <f>_xlfn.XLOOKUP(Table1[[#This Row],[Shipment Number]], 'pivot '!A:A,'pivot '!G:G, "NF")</f>
        <v>1.3035676828813507</v>
      </c>
      <c r="I77" s="121">
        <f>Table1[[#This Row],[Tiyaar/gaz]]/1.0936</f>
        <v>21870.885149963426</v>
      </c>
      <c r="J77" s="121" cm="1">
        <f t="array" ref="J7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284321.50694952451</v>
      </c>
      <c r="K77" s="119"/>
    </row>
    <row r="78" spans="1:19" x14ac:dyDescent="0.3">
      <c r="A78" s="122">
        <v>46017</v>
      </c>
      <c r="B78" s="124" t="s">
        <v>22</v>
      </c>
      <c r="C78" s="119">
        <v>1274</v>
      </c>
      <c r="D78" s="119" t="s">
        <v>86</v>
      </c>
      <c r="E78" s="11">
        <v>1972</v>
      </c>
      <c r="F78" s="11">
        <v>25068</v>
      </c>
      <c r="G78" s="11">
        <v>3139</v>
      </c>
      <c r="H78" s="120">
        <f>_xlfn.XLOOKUP(Table1[[#This Row],[Shipment Number]], 'pivot '!A:A,'pivot '!G:G, "NF")</f>
        <v>1.3035676828813507</v>
      </c>
      <c r="I78" s="121">
        <f>Table1[[#This Row],[Tiyaar/gaz]]/1.0936</f>
        <v>2870.3365032918805</v>
      </c>
      <c r="J78" s="121" cm="1">
        <f t="array" ref="J7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37314.374542794445</v>
      </c>
      <c r="K78" s="119"/>
    </row>
    <row r="79" spans="1:19" x14ac:dyDescent="0.3">
      <c r="A79" s="122">
        <v>46017</v>
      </c>
      <c r="B79" s="124" t="s">
        <v>22</v>
      </c>
      <c r="C79" s="119">
        <v>1275</v>
      </c>
      <c r="D79" s="119" t="s">
        <v>86</v>
      </c>
      <c r="E79" s="11">
        <v>1982</v>
      </c>
      <c r="F79" s="11">
        <v>9556</v>
      </c>
      <c r="G79" s="11">
        <v>10218</v>
      </c>
      <c r="H79" s="120">
        <f>_xlfn.XLOOKUP(Table1[[#This Row],[Shipment Number]], 'pivot '!A:A,'pivot '!G:G, "NF")</f>
        <v>2.2242275388630333</v>
      </c>
      <c r="I79" s="121">
        <f>Table1[[#This Row],[Tiyaar/gaz]]/1.0936</f>
        <v>9343.4528163862487</v>
      </c>
      <c r="J79" s="121" cm="1">
        <f t="array" ref="J7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121464.88661302123</v>
      </c>
      <c r="K79" s="119"/>
    </row>
    <row r="80" spans="1:19" x14ac:dyDescent="0.3">
      <c r="A80" s="122">
        <v>46017</v>
      </c>
      <c r="B80" s="124" t="s">
        <v>152</v>
      </c>
      <c r="C80" s="119">
        <v>1276</v>
      </c>
      <c r="D80" s="119" t="s">
        <v>85</v>
      </c>
      <c r="E80" s="11">
        <v>1974</v>
      </c>
      <c r="F80" s="11">
        <v>50497</v>
      </c>
      <c r="G80" s="11">
        <v>52476</v>
      </c>
      <c r="H80" s="120">
        <f>_xlfn.XLOOKUP(Table1[[#This Row],[Shipment Number]], 'pivot '!A:A,'pivot '!G:G, "NF")</f>
        <v>2.2680901509804556</v>
      </c>
      <c r="I80" s="121">
        <f>Table1[[#This Row],[Tiyaar/gaz]]/1.0936</f>
        <v>47984.637893196785</v>
      </c>
      <c r="J80" s="121" cm="1">
        <f t="array" ref="J8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479846.37893196783</v>
      </c>
      <c r="K80" s="119"/>
    </row>
    <row r="81" spans="1:17" x14ac:dyDescent="0.3">
      <c r="A81" s="122">
        <v>46017</v>
      </c>
      <c r="B81" s="124" t="s">
        <v>21</v>
      </c>
      <c r="C81" s="119">
        <v>1277</v>
      </c>
      <c r="D81" s="119" t="s">
        <v>85</v>
      </c>
      <c r="E81" s="11">
        <v>1986</v>
      </c>
      <c r="F81" s="11">
        <v>25579</v>
      </c>
      <c r="G81" s="11">
        <v>27905</v>
      </c>
      <c r="H81" s="120">
        <f>_xlfn.XLOOKUP(Table1[[#This Row],[Shipment Number]], 'pivot '!A:A,'pivot '!G:G, "NF")</f>
        <v>0.24378481422199627</v>
      </c>
      <c r="I81" s="121">
        <f>Table1[[#This Row],[Tiyaar/gaz]]/1.0936</f>
        <v>25516.642282370154</v>
      </c>
      <c r="J81" s="121" cm="1">
        <f t="array" ref="J8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255166.42282370155</v>
      </c>
      <c r="K81" s="119"/>
    </row>
    <row r="82" spans="1:17" x14ac:dyDescent="0.3">
      <c r="A82" s="122">
        <v>46017</v>
      </c>
      <c r="B82" s="124" t="s">
        <v>21</v>
      </c>
      <c r="C82" s="119">
        <v>1278</v>
      </c>
      <c r="D82" s="119" t="s">
        <v>85</v>
      </c>
      <c r="E82" s="11">
        <v>1987</v>
      </c>
      <c r="F82" s="11">
        <v>5613</v>
      </c>
      <c r="G82" s="11">
        <v>4111</v>
      </c>
      <c r="H82" s="120">
        <f>_xlfn.XLOOKUP(Table1[[#This Row],[Shipment Number]], 'pivot '!A:A,'pivot '!G:G, "NF")</f>
        <v>5.5939348656471992</v>
      </c>
      <c r="I82" s="121">
        <f>Table1[[#This Row],[Tiyaar/gaz]]/1.0936</f>
        <v>3759.1441111923923</v>
      </c>
      <c r="J82" s="121" cm="1">
        <f t="array" ref="J8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37591.441111923923</v>
      </c>
      <c r="K82" s="119"/>
    </row>
    <row r="83" spans="1:17" x14ac:dyDescent="0.3">
      <c r="A83" s="122">
        <v>46017</v>
      </c>
      <c r="B83" s="124" t="s">
        <v>27</v>
      </c>
      <c r="C83" s="119">
        <v>1279</v>
      </c>
      <c r="D83" s="119" t="s">
        <v>85</v>
      </c>
      <c r="E83" s="11">
        <v>1981</v>
      </c>
      <c r="F83" s="11">
        <v>27113</v>
      </c>
      <c r="G83" s="11">
        <v>29187</v>
      </c>
      <c r="H83" s="120">
        <f>_xlfn.XLOOKUP(Table1[[#This Row],[Shipment Number]], 'pivot '!A:A,'pivot '!G:G, "NF")</f>
        <v>1.5641303535764166</v>
      </c>
      <c r="I83" s="121">
        <f>Table1[[#This Row],[Tiyaar/gaz]]/1.0936</f>
        <v>26688.917337234823</v>
      </c>
      <c r="J83" s="121" cm="1">
        <f t="array" ref="J8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266889.17337234825</v>
      </c>
      <c r="K83" s="119"/>
    </row>
    <row r="84" spans="1:17" x14ac:dyDescent="0.3">
      <c r="A84" s="122">
        <v>46017</v>
      </c>
      <c r="B84" s="124" t="s">
        <v>9</v>
      </c>
      <c r="C84" s="119">
        <v>1280</v>
      </c>
      <c r="D84" s="119" t="s">
        <v>86</v>
      </c>
      <c r="E84" s="11">
        <v>1954</v>
      </c>
      <c r="F84" s="11">
        <v>10254</v>
      </c>
      <c r="G84" s="11">
        <v>4842</v>
      </c>
      <c r="H84" s="120">
        <f>_xlfn.XLOOKUP(Table1[[#This Row],[Shipment Number]], 'pivot '!A:A,'pivot '!G:G, "NF")</f>
        <v>56.820961192156666</v>
      </c>
      <c r="I84" s="121">
        <f>Table1[[#This Row],[Tiyaar/gaz]]/1.0936</f>
        <v>4427.5786393562548</v>
      </c>
      <c r="J84" s="121" cm="1">
        <f t="array" ref="J8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57558.522311631314</v>
      </c>
      <c r="K84" s="119"/>
    </row>
    <row r="85" spans="1:17" x14ac:dyDescent="0.3">
      <c r="A85" s="122">
        <v>46017</v>
      </c>
      <c r="B85" s="124" t="s">
        <v>9</v>
      </c>
      <c r="C85" s="119">
        <v>1281</v>
      </c>
      <c r="D85" s="119" t="s">
        <v>86</v>
      </c>
      <c r="E85" s="11">
        <v>1948</v>
      </c>
      <c r="F85" s="11">
        <v>20882</v>
      </c>
      <c r="G85" s="11">
        <v>3112</v>
      </c>
      <c r="H85" s="120">
        <f>_xlfn.XLOOKUP(Table1[[#This Row],[Shipment Number]], 'pivot '!A:A,'pivot '!G:G, "NF")</f>
        <v>86.372725777835356</v>
      </c>
      <c r="I85" s="121">
        <f>Table1[[#This Row],[Tiyaar/gaz]]/1.0936</f>
        <v>2845.6474030724216</v>
      </c>
      <c r="J85" s="121" cm="1">
        <f t="array" ref="J8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36993.416239941478</v>
      </c>
      <c r="K85" s="119"/>
    </row>
    <row r="86" spans="1:17" x14ac:dyDescent="0.3">
      <c r="A86" s="122">
        <v>46017</v>
      </c>
      <c r="B86" s="124" t="s">
        <v>9</v>
      </c>
      <c r="C86" s="119">
        <v>1282</v>
      </c>
      <c r="D86" s="119" t="s">
        <v>86</v>
      </c>
      <c r="E86" s="11">
        <v>1947</v>
      </c>
      <c r="F86" s="11">
        <v>11427</v>
      </c>
      <c r="G86" s="11">
        <v>6074</v>
      </c>
      <c r="H86" s="120">
        <f>_xlfn.XLOOKUP(Table1[[#This Row],[Shipment Number]], 'pivot '!A:A,'pivot '!G:G, "NF")</f>
        <v>51.394651804857254</v>
      </c>
      <c r="I86" s="121">
        <f>Table1[[#This Row],[Tiyaar/gaz]]/1.0936</f>
        <v>5554.1331382589615</v>
      </c>
      <c r="J86" s="121" cm="1">
        <f t="array" ref="J8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72203.730797366501</v>
      </c>
      <c r="K86" s="119"/>
    </row>
    <row r="87" spans="1:17" x14ac:dyDescent="0.3">
      <c r="A87" s="122">
        <v>46017</v>
      </c>
      <c r="B87" s="124" t="s">
        <v>193</v>
      </c>
      <c r="C87" s="119">
        <v>1283</v>
      </c>
      <c r="D87" s="119" t="s">
        <v>85</v>
      </c>
      <c r="E87" s="11">
        <v>1985</v>
      </c>
      <c r="F87" s="11">
        <v>28429</v>
      </c>
      <c r="G87" s="11">
        <v>4538</v>
      </c>
      <c r="H87" s="120">
        <f>_xlfn.XLOOKUP(Table1[[#This Row],[Shipment Number]], 'pivot '!A:A,'pivot '!G:G, "NF")</f>
        <v>1.0452070653406906</v>
      </c>
      <c r="I87" s="121">
        <f>Table1[[#This Row],[Tiyaar/gaz]]/1.0936</f>
        <v>4149.597659107535</v>
      </c>
      <c r="J87" s="121" cm="1">
        <f t="array" ref="J8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41495.976591075349</v>
      </c>
      <c r="K87" s="119"/>
    </row>
    <row r="88" spans="1:17" x14ac:dyDescent="0.3">
      <c r="A88" s="122">
        <v>46018</v>
      </c>
      <c r="B88" s="124" t="s">
        <v>193</v>
      </c>
      <c r="C88" s="119">
        <v>1284</v>
      </c>
      <c r="D88" s="119" t="s">
        <v>85</v>
      </c>
      <c r="E88" s="11">
        <v>1985</v>
      </c>
      <c r="F88" s="11">
        <v>28429</v>
      </c>
      <c r="G88" s="11">
        <v>21699</v>
      </c>
      <c r="H88" s="120">
        <f>_xlfn.XLOOKUP(Table1[[#This Row],[Shipment Number]], 'pivot '!A:A,'pivot '!G:G, "NF")</f>
        <v>1.0452070653406906</v>
      </c>
      <c r="I88" s="121">
        <f>Table1[[#This Row],[Tiyaar/gaz]]/1.0936</f>
        <v>19841.806876371618</v>
      </c>
      <c r="J88" s="121" cm="1">
        <f t="array" ref="J8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198418.06876371618</v>
      </c>
      <c r="K88" s="119"/>
    </row>
    <row r="89" spans="1:17" x14ac:dyDescent="0.3">
      <c r="A89" s="122">
        <v>46018</v>
      </c>
      <c r="B89" s="124" t="s">
        <v>193</v>
      </c>
      <c r="C89" s="119">
        <v>1285</v>
      </c>
      <c r="D89" s="119" t="s">
        <v>85</v>
      </c>
      <c r="E89" s="11">
        <v>1983</v>
      </c>
      <c r="F89" s="11">
        <v>24158</v>
      </c>
      <c r="G89" s="11">
        <v>21623</v>
      </c>
      <c r="H89" s="120">
        <f>_xlfn.XLOOKUP(Table1[[#This Row],[Shipment Number]], 'pivot '!A:A,'pivot '!G:G, "NF")</f>
        <v>1.378501068889733</v>
      </c>
      <c r="I89" s="121">
        <f>Table1[[#This Row],[Tiyaar/gaz]]/1.0936</f>
        <v>19772.31163130944</v>
      </c>
      <c r="J89" s="121" cm="1">
        <f t="array" ref="J8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197723.11631309439</v>
      </c>
      <c r="K89" s="119"/>
    </row>
    <row r="90" spans="1:17" x14ac:dyDescent="0.3">
      <c r="A90" s="122">
        <v>46018</v>
      </c>
      <c r="B90" s="124" t="s">
        <v>193</v>
      </c>
      <c r="C90" s="119">
        <v>1286</v>
      </c>
      <c r="D90" s="119" t="s">
        <v>85</v>
      </c>
      <c r="E90" s="11">
        <v>1984</v>
      </c>
      <c r="F90" s="11">
        <v>28662</v>
      </c>
      <c r="G90" s="11">
        <v>22261</v>
      </c>
      <c r="H90" s="120">
        <f>_xlfn.XLOOKUP(Table1[[#This Row],[Shipment Number]], 'pivot '!A:A,'pivot '!G:G, "NF")</f>
        <v>1.5178395094718695</v>
      </c>
      <c r="I90" s="121">
        <f>Table1[[#This Row],[Tiyaar/gaz]]/1.0936</f>
        <v>20355.705925384056</v>
      </c>
      <c r="J90" s="121" cm="1">
        <f t="array" ref="J9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203557.05925384056</v>
      </c>
      <c r="K90" s="119"/>
    </row>
    <row r="91" spans="1:17" x14ac:dyDescent="0.3">
      <c r="A91" s="122">
        <v>46018</v>
      </c>
      <c r="B91" s="124" t="s">
        <v>193</v>
      </c>
      <c r="C91" s="119">
        <v>1287</v>
      </c>
      <c r="D91" s="119" t="s">
        <v>85</v>
      </c>
      <c r="E91" s="11">
        <v>1983</v>
      </c>
      <c r="F91" s="11">
        <v>24158</v>
      </c>
      <c r="G91" s="11">
        <v>4432</v>
      </c>
      <c r="H91" s="120">
        <f>_xlfn.XLOOKUP(Table1[[#This Row],[Shipment Number]], 'pivot '!A:A,'pivot '!G:G, "NF")</f>
        <v>1.378501068889733</v>
      </c>
      <c r="I91" s="121">
        <f>Table1[[#This Row],[Tiyaar/gaz]]/1.0936</f>
        <v>4052.6700804681786</v>
      </c>
      <c r="J91" s="121" cm="1">
        <f t="array" ref="J9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40526.700804681786</v>
      </c>
      <c r="K91" s="119"/>
    </row>
    <row r="92" spans="1:17" x14ac:dyDescent="0.3">
      <c r="A92" s="122">
        <v>46018</v>
      </c>
      <c r="B92" s="124" t="s">
        <v>193</v>
      </c>
      <c r="C92" s="119">
        <v>1288</v>
      </c>
      <c r="D92" s="119" t="s">
        <v>85</v>
      </c>
      <c r="E92" s="11">
        <v>1985</v>
      </c>
      <c r="F92" s="11">
        <v>28429</v>
      </c>
      <c r="G92" s="11">
        <v>2277</v>
      </c>
      <c r="H92" s="120">
        <f>_xlfn.XLOOKUP(Table1[[#This Row],[Shipment Number]], 'pivot '!A:A,'pivot '!G:G, "NF")</f>
        <v>1.0452070653406906</v>
      </c>
      <c r="I92" s="121">
        <f>Table1[[#This Row],[Tiyaar/gaz]]/1.0936</f>
        <v>2082.1141185076813</v>
      </c>
      <c r="J92" s="121" cm="1">
        <f t="array" ref="J9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20821.141185076813</v>
      </c>
      <c r="K92" s="119"/>
    </row>
    <row r="93" spans="1:17" x14ac:dyDescent="0.3">
      <c r="A93" s="122">
        <v>46018</v>
      </c>
      <c r="B93" s="124" t="s">
        <v>21</v>
      </c>
      <c r="C93" s="119">
        <v>1289</v>
      </c>
      <c r="D93" s="119" t="s">
        <v>258</v>
      </c>
      <c r="E93" s="11">
        <v>1628</v>
      </c>
      <c r="F93" s="11">
        <v>48198</v>
      </c>
      <c r="G93" s="11">
        <f>649*1.0936</f>
        <v>709.74639999999999</v>
      </c>
      <c r="H93" s="120">
        <f>_xlfn.XLOOKUP(Table1[[#This Row],[Shipment Number]], 'pivot '!A:A,'pivot '!G:G, "NF")</f>
        <v>20.99845209954924</v>
      </c>
      <c r="I93" s="121">
        <f>Table1[[#This Row],[Tiyaar/gaz]]/1.0936</f>
        <v>649</v>
      </c>
      <c r="J93" s="121" cm="1">
        <f t="array" ref="J9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6490</v>
      </c>
      <c r="K93" s="119"/>
    </row>
    <row r="94" spans="1:17" x14ac:dyDescent="0.3">
      <c r="A94" s="122">
        <v>46018</v>
      </c>
      <c r="B94" s="124" t="s">
        <v>184</v>
      </c>
      <c r="C94" s="119">
        <v>1290</v>
      </c>
      <c r="D94" s="119" t="s">
        <v>85</v>
      </c>
      <c r="E94" s="11" t="s">
        <v>331</v>
      </c>
      <c r="F94" s="11">
        <f>12066+14564</f>
        <v>26630</v>
      </c>
      <c r="G94" s="11">
        <v>8977</v>
      </c>
      <c r="H94" s="120">
        <f>_xlfn.XLOOKUP(Table1[[#This Row],[Shipment Number]], 'pivot '!A:A,'pivot '!G:G, "NF")</f>
        <v>2.3025716688171087</v>
      </c>
      <c r="I94" s="121">
        <f>Table1[[#This Row],[Tiyaar/gaz]]/1.0936</f>
        <v>8208.6686174103888</v>
      </c>
      <c r="J94" s="121" cm="1">
        <f t="array" ref="J9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82086.686174103888</v>
      </c>
      <c r="K94" s="119"/>
    </row>
    <row r="95" spans="1:17" x14ac:dyDescent="0.3">
      <c r="A95" s="122">
        <v>46018</v>
      </c>
      <c r="B95" s="124" t="s">
        <v>208</v>
      </c>
      <c r="C95" s="119">
        <v>1291</v>
      </c>
      <c r="D95" s="119" t="s">
        <v>209</v>
      </c>
      <c r="E95" s="11">
        <v>1993</v>
      </c>
      <c r="F95" s="11">
        <v>7587</v>
      </c>
      <c r="G95" s="11">
        <v>8188</v>
      </c>
      <c r="H95" s="120">
        <f>_xlfn.XLOOKUP(Table1[[#This Row],[Shipment Number]], 'pivot '!A:A,'pivot '!G:G, "NF")</f>
        <v>1.3154310751199034</v>
      </c>
      <c r="I95" s="121">
        <f>Table1[[#This Row],[Tiyaar/gaz]]/1.0936</f>
        <v>7487.1982443306515</v>
      </c>
      <c r="J95" s="121" cm="1">
        <f t="array" ref="J9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97333.577176298466</v>
      </c>
      <c r="K95" s="119"/>
    </row>
    <row r="96" spans="1:17" x14ac:dyDescent="0.3">
      <c r="A96" s="122">
        <v>46020</v>
      </c>
      <c r="B96" s="124" t="s">
        <v>21</v>
      </c>
      <c r="C96" s="119">
        <v>1292</v>
      </c>
      <c r="D96" s="119" t="s">
        <v>258</v>
      </c>
      <c r="E96" s="11">
        <v>1628</v>
      </c>
      <c r="F96" s="11">
        <v>48198</v>
      </c>
      <c r="G96" s="11">
        <f>26009*1.0936</f>
        <v>28443.442399999996</v>
      </c>
      <c r="H96" s="120">
        <f>_xlfn.XLOOKUP(Table1[[#This Row],[Shipment Number]], 'pivot '!A:A,'pivot '!G:G, "NF")</f>
        <v>20.99845209954924</v>
      </c>
      <c r="I96" s="121">
        <f>Table1[[#This Row],[Tiyaar/gaz]]/1.0936</f>
        <v>26009</v>
      </c>
      <c r="J96" s="121" cm="1">
        <f t="array" ref="J9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260090</v>
      </c>
      <c r="K96" s="119"/>
      <c r="O96"/>
      <c r="P96"/>
      <c r="Q96"/>
    </row>
    <row r="97" spans="1:18" x14ac:dyDescent="0.3">
      <c r="A97" s="122">
        <v>46020</v>
      </c>
      <c r="B97" s="124" t="s">
        <v>21</v>
      </c>
      <c r="C97" s="119">
        <v>1293</v>
      </c>
      <c r="D97" s="119" t="s">
        <v>258</v>
      </c>
      <c r="E97" s="11">
        <v>1775</v>
      </c>
      <c r="F97" s="11">
        <v>0</v>
      </c>
      <c r="G97" s="11">
        <f>2469*1.0936</f>
        <v>2700.0983999999999</v>
      </c>
      <c r="H97" s="120" t="e">
        <f>_xlfn.XLOOKUP(Table1[[#This Row],[Shipment Number]], 'pivot '!A:A,'pivot '!G:G, "NF")</f>
        <v>#DIV/0!</v>
      </c>
      <c r="I97" s="121">
        <f>Table1[[#This Row],[Tiyaar/gaz]]/1.0936</f>
        <v>2469</v>
      </c>
      <c r="J97" s="121" cm="1">
        <f t="array" ref="J9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24690</v>
      </c>
      <c r="K97" s="119"/>
      <c r="O97"/>
      <c r="P97"/>
      <c r="Q97"/>
    </row>
    <row r="98" spans="1:18" x14ac:dyDescent="0.3">
      <c r="A98" s="122">
        <v>46020</v>
      </c>
      <c r="B98" s="124" t="s">
        <v>21</v>
      </c>
      <c r="C98" s="119">
        <v>1294</v>
      </c>
      <c r="D98" s="119" t="s">
        <v>258</v>
      </c>
      <c r="E98" s="11">
        <v>1775</v>
      </c>
      <c r="F98" s="11">
        <v>0</v>
      </c>
      <c r="G98" s="11">
        <f>2282*1.0936</f>
        <v>2495.5951999999997</v>
      </c>
      <c r="H98" s="120" t="e">
        <f>_xlfn.XLOOKUP(Table1[[#This Row],[Shipment Number]], 'pivot '!A:A,'pivot '!G:G, "NF")</f>
        <v>#DIV/0!</v>
      </c>
      <c r="I98" s="121">
        <f>Table1[[#This Row],[Tiyaar/gaz]]/1.0936</f>
        <v>2282</v>
      </c>
      <c r="J98" s="121" cm="1">
        <f t="array" ref="J9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22820</v>
      </c>
      <c r="K98" s="119"/>
      <c r="L98"/>
      <c r="M98"/>
      <c r="O98"/>
      <c r="P98"/>
      <c r="Q98"/>
    </row>
    <row r="99" spans="1:18" x14ac:dyDescent="0.3">
      <c r="A99" s="122">
        <v>46020</v>
      </c>
      <c r="B99" s="124" t="s">
        <v>184</v>
      </c>
      <c r="C99" s="119">
        <v>1295</v>
      </c>
      <c r="D99" s="119" t="s">
        <v>85</v>
      </c>
      <c r="E99" s="11" t="s">
        <v>331</v>
      </c>
      <c r="F99" s="11">
        <v>26630</v>
      </c>
      <c r="G99" s="11">
        <v>19475</v>
      </c>
      <c r="H99" s="120">
        <f>_xlfn.XLOOKUP(Table1[[#This Row],[Shipment Number]], 'pivot '!A:A,'pivot '!G:G, "NF")</f>
        <v>2.3025716688171087</v>
      </c>
      <c r="I99" s="121">
        <f>Table1[[#This Row],[Tiyaar/gaz]]/1.0936</f>
        <v>17808.156547183615</v>
      </c>
      <c r="J99" s="121" cm="1">
        <f t="array" ref="J9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178081.56547183613</v>
      </c>
      <c r="K99" s="119"/>
      <c r="M99"/>
      <c r="P99"/>
      <c r="Q99"/>
      <c r="R99"/>
    </row>
    <row r="100" spans="1:18" x14ac:dyDescent="0.3">
      <c r="A100" s="122">
        <v>46020</v>
      </c>
      <c r="B100" s="124" t="s">
        <v>193</v>
      </c>
      <c r="C100" s="119" t="s">
        <v>332</v>
      </c>
      <c r="D100" s="119" t="s">
        <v>203</v>
      </c>
      <c r="E100" s="11">
        <v>1984</v>
      </c>
      <c r="F100" s="11">
        <v>28662</v>
      </c>
      <c r="G100" s="11">
        <v>4332</v>
      </c>
      <c r="H100" s="120">
        <f>_xlfn.XLOOKUP(Table1[[#This Row],[Shipment Number]], 'pivot '!A:A,'pivot '!G:G, "NF")</f>
        <v>1.5178395094718695</v>
      </c>
      <c r="I100" s="121">
        <f>Table1[[#This Row],[Tiyaar/gaz]]/1.0936</f>
        <v>3961.2289685442579</v>
      </c>
      <c r="J100" s="121" cm="1">
        <f t="array" ref="J10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47534.747622531097</v>
      </c>
      <c r="K100" s="119"/>
      <c r="M100"/>
      <c r="P100"/>
      <c r="Q100"/>
      <c r="R100"/>
    </row>
    <row r="101" spans="1:18" x14ac:dyDescent="0.3">
      <c r="A101" s="122">
        <v>46020</v>
      </c>
      <c r="B101" s="124" t="s">
        <v>193</v>
      </c>
      <c r="C101" s="119" t="s">
        <v>333</v>
      </c>
      <c r="D101" s="119" t="s">
        <v>85</v>
      </c>
      <c r="E101" s="11">
        <v>1984</v>
      </c>
      <c r="F101" s="11">
        <v>28662</v>
      </c>
      <c r="G101" s="11">
        <v>4276</v>
      </c>
      <c r="H101" s="120">
        <f>_xlfn.XLOOKUP(Table1[[#This Row],[Shipment Number]], 'pivot '!A:A,'pivot '!G:G, "NF")</f>
        <v>1.5178395094718695</v>
      </c>
      <c r="I101" s="121">
        <f>Table1[[#This Row],[Tiyaar/gaz]]/1.0936</f>
        <v>3910.0219458668621</v>
      </c>
      <c r="J101" s="121" cm="1">
        <f t="array" ref="J101">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39100.219458668624</v>
      </c>
      <c r="K101" s="119"/>
      <c r="M101"/>
      <c r="P101"/>
      <c r="Q101"/>
      <c r="R101"/>
    </row>
    <row r="102" spans="1:18" x14ac:dyDescent="0.3">
      <c r="A102" s="122">
        <v>46020</v>
      </c>
      <c r="B102" s="124" t="s">
        <v>26</v>
      </c>
      <c r="C102" s="119">
        <v>1297</v>
      </c>
      <c r="D102" s="119" t="s">
        <v>85</v>
      </c>
      <c r="E102" s="11">
        <v>1941</v>
      </c>
      <c r="F102" s="11">
        <v>23896</v>
      </c>
      <c r="G102" s="11">
        <v>22958</v>
      </c>
      <c r="H102" s="120">
        <f>_xlfn.XLOOKUP(Table1[[#This Row],[Shipment Number]], 'pivot '!A:A,'pivot '!G:G, "NF")</f>
        <v>2.700320016340001</v>
      </c>
      <c r="I102" s="121">
        <f>Table1[[#This Row],[Tiyaar/gaz]]/1.0936</f>
        <v>20993.050475493783</v>
      </c>
      <c r="J102" s="121" cm="1">
        <f t="array" ref="J102">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209930.50475493784</v>
      </c>
      <c r="K102" s="119"/>
      <c r="M102"/>
      <c r="P102"/>
      <c r="Q102"/>
      <c r="R102"/>
    </row>
    <row r="103" spans="1:18" x14ac:dyDescent="0.3">
      <c r="A103" s="122">
        <v>46020</v>
      </c>
      <c r="B103" s="124" t="s">
        <v>21</v>
      </c>
      <c r="C103" s="119">
        <v>1298</v>
      </c>
      <c r="D103" s="119" t="s">
        <v>85</v>
      </c>
      <c r="E103" s="11">
        <v>2000</v>
      </c>
      <c r="F103" s="11">
        <v>7853</v>
      </c>
      <c r="G103" s="11">
        <v>8579</v>
      </c>
      <c r="H103" s="120">
        <f>_xlfn.XLOOKUP(Table1[[#This Row],[Shipment Number]], 'pivot '!A:A,'pivot '!G:G, "NF")</f>
        <v>0.1052719730907512</v>
      </c>
      <c r="I103" s="121">
        <f>Table1[[#This Row],[Tiyaar/gaz]]/1.0936</f>
        <v>7844.732991953183</v>
      </c>
      <c r="J103" s="121" cm="1">
        <f t="array" ref="J103">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78447.329919531825</v>
      </c>
      <c r="K103" s="119"/>
      <c r="M103"/>
      <c r="P103"/>
      <c r="Q103"/>
      <c r="R103"/>
    </row>
    <row r="104" spans="1:18" x14ac:dyDescent="0.3">
      <c r="A104" s="126">
        <v>46020</v>
      </c>
      <c r="B104" s="124" t="s">
        <v>26</v>
      </c>
      <c r="C104" s="119">
        <v>1299</v>
      </c>
      <c r="D104" s="119" t="s">
        <v>85</v>
      </c>
      <c r="E104" s="11">
        <v>1941</v>
      </c>
      <c r="F104" s="11">
        <v>23896</v>
      </c>
      <c r="G104" s="11">
        <v>2469</v>
      </c>
      <c r="H104" s="120">
        <f>_xlfn.XLOOKUP(Table1[[#This Row],[Shipment Number]], 'pivot '!A:A,'pivot '!G:G, "NF")</f>
        <v>2.700320016340001</v>
      </c>
      <c r="I104" s="121">
        <f>Table1[[#This Row],[Tiyaar/gaz]]/1.0936</f>
        <v>2257.6810534016095</v>
      </c>
      <c r="J104" s="121" cm="1">
        <f t="array" ref="J104">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22576.810534016095</v>
      </c>
      <c r="K104" s="119"/>
      <c r="M104"/>
      <c r="P104"/>
      <c r="Q104"/>
      <c r="R104"/>
    </row>
    <row r="105" spans="1:18" x14ac:dyDescent="0.3">
      <c r="A105" s="122">
        <v>46020</v>
      </c>
      <c r="B105" s="124" t="s">
        <v>193</v>
      </c>
      <c r="C105" s="119">
        <v>1300</v>
      </c>
      <c r="D105" s="119" t="s">
        <v>85</v>
      </c>
      <c r="E105" s="11">
        <v>1985</v>
      </c>
      <c r="F105" s="11">
        <v>28429</v>
      </c>
      <c r="G105" s="11">
        <v>2251</v>
      </c>
      <c r="H105" s="120">
        <f>_xlfn.XLOOKUP(Table1[[#This Row],[Shipment Number]], 'pivot '!A:A,'pivot '!G:G, "NF")</f>
        <v>1.0452070653406906</v>
      </c>
      <c r="I105" s="121">
        <f>Table1[[#This Row],[Tiyaar/gaz]]/1.0936</f>
        <v>2058.3394294074619</v>
      </c>
      <c r="J105" s="121" cm="1">
        <f t="array" ref="J105">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20583.39429407462</v>
      </c>
      <c r="K105" s="119"/>
      <c r="M105"/>
      <c r="P105"/>
      <c r="Q105"/>
      <c r="R105"/>
    </row>
    <row r="106" spans="1:18" x14ac:dyDescent="0.3">
      <c r="A106" s="122">
        <v>46020</v>
      </c>
      <c r="B106" s="124" t="s">
        <v>27</v>
      </c>
      <c r="C106" s="119">
        <v>1301</v>
      </c>
      <c r="D106" s="119" t="s">
        <v>85</v>
      </c>
      <c r="E106" s="11">
        <v>1995</v>
      </c>
      <c r="F106" s="11">
        <v>23540</v>
      </c>
      <c r="G106" s="11">
        <v>23101</v>
      </c>
      <c r="H106" s="120">
        <f>_xlfn.XLOOKUP(Table1[[#This Row],[Shipment Number]], 'pivot '!A:A,'pivot '!G:G, "NF")</f>
        <v>1.3609109989751005</v>
      </c>
      <c r="I106" s="121">
        <f>Table1[[#This Row],[Tiyaar/gaz]]/1.0936</f>
        <v>21123.811265544991</v>
      </c>
      <c r="J106" s="121" cm="1">
        <f t="array" ref="J106">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211238.11265544992</v>
      </c>
      <c r="K106" s="119"/>
      <c r="P106"/>
      <c r="Q106"/>
      <c r="R106"/>
    </row>
    <row r="107" spans="1:18" x14ac:dyDescent="0.3">
      <c r="A107" s="122">
        <v>46020</v>
      </c>
      <c r="B107" s="124" t="s">
        <v>27</v>
      </c>
      <c r="C107" s="119">
        <v>1302</v>
      </c>
      <c r="D107" s="119" t="s">
        <v>85</v>
      </c>
      <c r="E107" s="11">
        <v>1992</v>
      </c>
      <c r="F107" s="11">
        <v>27665</v>
      </c>
      <c r="G107" s="11">
        <v>16213</v>
      </c>
      <c r="H107" s="120">
        <f>_xlfn.XLOOKUP(Table1[[#This Row],[Shipment Number]], 'pivot '!A:A,'pivot '!G:G, "NF")</f>
        <v>1.3202820716189478</v>
      </c>
      <c r="I107" s="121">
        <f>Table1[[#This Row],[Tiyaar/gaz]]/1.0936</f>
        <v>14825.347476225312</v>
      </c>
      <c r="J107" s="121" cm="1">
        <f t="array" ref="J107">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148253.47476225311</v>
      </c>
      <c r="K107" s="119"/>
      <c r="L107"/>
      <c r="P107"/>
      <c r="Q107"/>
      <c r="R107"/>
    </row>
    <row r="108" spans="1:18" x14ac:dyDescent="0.3">
      <c r="A108" s="122">
        <v>46021</v>
      </c>
      <c r="B108" s="124" t="s">
        <v>27</v>
      </c>
      <c r="C108" s="119">
        <v>1303</v>
      </c>
      <c r="D108" s="119" t="s">
        <v>85</v>
      </c>
      <c r="E108" s="11">
        <v>1992</v>
      </c>
      <c r="F108" s="11">
        <v>27665</v>
      </c>
      <c r="G108" s="11">
        <v>13642</v>
      </c>
      <c r="H108" s="120">
        <f>_xlfn.XLOOKUP(Table1[[#This Row],[Shipment Number]], 'pivot '!A:A,'pivot '!G:G, "NF")</f>
        <v>1.3202820716189478</v>
      </c>
      <c r="I108" s="121">
        <f>Table1[[#This Row],[Tiyaar/gaz]]/1.0936</f>
        <v>12474.396488661303</v>
      </c>
      <c r="J108" s="121" cm="1">
        <f t="array" ref="J108">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124743.96488661303</v>
      </c>
      <c r="K108" s="119"/>
      <c r="L108"/>
      <c r="P108"/>
      <c r="Q108"/>
      <c r="R108"/>
    </row>
    <row r="109" spans="1:18" x14ac:dyDescent="0.3">
      <c r="A109" s="122">
        <v>46021</v>
      </c>
      <c r="B109" s="124" t="s">
        <v>27</v>
      </c>
      <c r="C109" s="119">
        <v>1304</v>
      </c>
      <c r="D109" s="119" t="s">
        <v>85</v>
      </c>
      <c r="E109" s="11">
        <v>1995</v>
      </c>
      <c r="F109" s="11">
        <v>23540</v>
      </c>
      <c r="G109" s="11">
        <v>2292</v>
      </c>
      <c r="H109" s="120">
        <f>_xlfn.XLOOKUP(Table1[[#This Row],[Shipment Number]], 'pivot '!A:A,'pivot '!G:G, "NF")</f>
        <v>1.3609109989751005</v>
      </c>
      <c r="I109" s="121">
        <f>Table1[[#This Row],[Tiyaar/gaz]]/1.0936</f>
        <v>2095.8302852962693</v>
      </c>
      <c r="J109" s="121" cm="1">
        <f t="array" ref="J109">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
)</f>
        <v>20958.302852962694</v>
      </c>
      <c r="K109" s="119"/>
      <c r="L109"/>
      <c r="O109"/>
      <c r="P109"/>
      <c r="Q109"/>
    </row>
    <row r="110" spans="1:18" x14ac:dyDescent="0.3">
      <c r="A110" s="122">
        <v>46021</v>
      </c>
      <c r="B110" s="124" t="s">
        <v>24</v>
      </c>
      <c r="C110" s="119">
        <v>1305</v>
      </c>
      <c r="D110" s="119" t="s">
        <v>186</v>
      </c>
      <c r="E110" s="11">
        <v>1718</v>
      </c>
      <c r="F110" s="11">
        <f>26310-278</f>
        <v>26032</v>
      </c>
      <c r="G110" s="11">
        <v>26242</v>
      </c>
      <c r="H110" s="120">
        <f>_xlfn.XLOOKUP(Table1[[#This Row],[Shipment Number]], 'pivot '!A:A,'pivot '!G:G, "NF")</f>
        <v>7.8212331320092545</v>
      </c>
      <c r="I110" s="121">
        <f>Table1[[#This Row],[Tiyaar/gaz]]/1.0936</f>
        <v>23995.976591075349</v>
      </c>
      <c r="J110" s="121" cm="1">
        <f t="array" ref="J110">_xlfn.IFS(
  AND(Table1[[#This Row],[Party Name]]="Faizan",Table1[[#This Row],[Quality]]="Silky"),Table1[[#This Row],[tiyar/meters]]*13,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239959.76591075349</v>
      </c>
      <c r="K110" s="119"/>
      <c r="L110"/>
      <c r="O110"/>
      <c r="P110"/>
      <c r="Q110"/>
    </row>
    <row r="111" spans="1:18" x14ac:dyDescent="0.3">
      <c r="A111" s="122">
        <v>46021</v>
      </c>
      <c r="B111" s="124" t="s">
        <v>21</v>
      </c>
      <c r="C111" s="119">
        <v>1306</v>
      </c>
      <c r="D111" s="119" t="s">
        <v>85</v>
      </c>
      <c r="E111" s="11">
        <v>1990</v>
      </c>
      <c r="F111" s="11">
        <v>45681</v>
      </c>
      <c r="G111" s="11">
        <v>35092</v>
      </c>
      <c r="H111" s="120">
        <f>_xlfn.XLOOKUP(Table1[[#This Row],[Shipment Number]], 'pivot '!A:A,'pivot '!G:G, "NF")</f>
        <v>29.755226469774399</v>
      </c>
      <c r="I111" s="121">
        <f>Table1[[#This Row],[Tiyaar/gaz]]/1.0936</f>
        <v>32088.514996342357</v>
      </c>
      <c r="J111" s="121" cm="1">
        <f t="array" ref="J11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320885.14996342355</v>
      </c>
      <c r="K111" s="119"/>
      <c r="L111"/>
      <c r="O111"/>
      <c r="P111"/>
      <c r="Q111"/>
    </row>
    <row r="112" spans="1:18" x14ac:dyDescent="0.3">
      <c r="A112" s="122">
        <v>46021</v>
      </c>
      <c r="B112" s="124" t="s">
        <v>351</v>
      </c>
      <c r="C112" s="119">
        <v>1307</v>
      </c>
      <c r="D112" s="119" t="s">
        <v>85</v>
      </c>
      <c r="E112" s="11">
        <v>1989</v>
      </c>
      <c r="F112" s="11">
        <v>61388</v>
      </c>
      <c r="G112" s="11">
        <v>8547</v>
      </c>
      <c r="H112" s="120">
        <f>_xlfn.XLOOKUP(Table1[[#This Row],[Shipment Number]], 'pivot '!A:A,'pivot '!G:G, "NF")</f>
        <v>87.268730311889087</v>
      </c>
      <c r="I112" s="121">
        <f>Table1[[#This Row],[Tiyaar/gaz]]/1.0936</f>
        <v>7815.471836137528</v>
      </c>
      <c r="J112" s="121" cm="1">
        <f t="array" ref="J11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78154.718361375286</v>
      </c>
      <c r="K112" s="119"/>
      <c r="L112"/>
      <c r="O112"/>
      <c r="P112"/>
      <c r="Q112"/>
    </row>
    <row r="113" spans="1:17" x14ac:dyDescent="0.3">
      <c r="A113" s="122">
        <v>46021</v>
      </c>
      <c r="B113" s="124" t="s">
        <v>23</v>
      </c>
      <c r="C113" s="119">
        <v>1308</v>
      </c>
      <c r="D113" s="119" t="s">
        <v>85</v>
      </c>
      <c r="E113" s="11">
        <v>2001</v>
      </c>
      <c r="F113" s="11">
        <v>8245</v>
      </c>
      <c r="G113" s="11">
        <v>8850</v>
      </c>
      <c r="H113" s="120">
        <f>_xlfn.XLOOKUP(Table1[[#This Row],[Shipment Number]], 'pivot '!A:A,'pivot '!G:G, "NF")</f>
        <v>1.8491400210186981</v>
      </c>
      <c r="I113" s="121">
        <f>Table1[[#This Row],[Tiyaar/gaz]]/1.0936</f>
        <v>8092.5384052670088</v>
      </c>
      <c r="J113" s="121" cm="1">
        <f t="array" ref="J11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84971.653255303594</v>
      </c>
      <c r="K113" s="119"/>
      <c r="O113"/>
      <c r="P113"/>
      <c r="Q113"/>
    </row>
    <row r="114" spans="1:17" x14ac:dyDescent="0.3">
      <c r="A114"/>
      <c r="B114"/>
      <c r="C114"/>
      <c r="D114"/>
      <c r="E114" s="14"/>
      <c r="F114" s="14"/>
      <c r="G114" s="14"/>
      <c r="H114" s="43"/>
      <c r="I114" s="94" cm="1">
        <f t="array" aca="1" ref="I114" ca="1">SUMPRODUCT( SUBTOTAL(109, OFFSET(Table1[tiyar/meters], ROW(Table1[tiyar/meters])-MIN(ROW(Table1[tiyar/meters])), 0, 1)), --(Table1[Bill Number]&lt;&gt;"November Closing CF") )</f>
        <v>750349.19751280185</v>
      </c>
      <c r="J114" s="43" cm="1">
        <f t="array" aca="1" ref="J114" ca="1">SUMPRODUCT( SUBTOTAL(109, OFFSET(Table1[billing], ROW(Table1[billing])-MIN(ROW(Table1[billing])), 0, 1)), --(Table1[Bill Number]&lt;&gt;"November Closing CF") )</f>
        <v>7678658.3979517194</v>
      </c>
      <c r="K114" s="14">
        <f>SUMIFS(Table1[billing], Table1[Bill Number], "&lt;&gt;November Closing CF")</f>
        <v>7678658.3979517194</v>
      </c>
      <c r="O114"/>
      <c r="P114"/>
      <c r="Q114"/>
    </row>
    <row r="115" spans="1:17" x14ac:dyDescent="0.3">
      <c r="O115"/>
      <c r="P115"/>
      <c r="Q115"/>
    </row>
    <row r="116" spans="1:17" x14ac:dyDescent="0.3">
      <c r="O116"/>
      <c r="P116"/>
      <c r="Q116"/>
    </row>
    <row r="117" spans="1:17" x14ac:dyDescent="0.3">
      <c r="O117"/>
      <c r="P117"/>
      <c r="Q117"/>
    </row>
    <row r="118" spans="1:17" x14ac:dyDescent="0.3">
      <c r="O118"/>
      <c r="P118"/>
      <c r="Q118"/>
    </row>
    <row r="119" spans="1:17" x14ac:dyDescent="0.3">
      <c r="O119"/>
      <c r="P119"/>
      <c r="Q119"/>
    </row>
    <row r="120" spans="1:17" x14ac:dyDescent="0.3">
      <c r="P120"/>
      <c r="Q120"/>
    </row>
    <row r="121" spans="1:17" x14ac:dyDescent="0.3">
      <c r="P121"/>
      <c r="Q121"/>
    </row>
    <row r="122" spans="1:17" x14ac:dyDescent="0.3">
      <c r="P122"/>
      <c r="Q122"/>
    </row>
    <row r="123" spans="1:17" x14ac:dyDescent="0.3">
      <c r="P123"/>
      <c r="Q123"/>
    </row>
    <row r="124" spans="1:17" x14ac:dyDescent="0.3">
      <c r="P124"/>
      <c r="Q124"/>
    </row>
    <row r="125" spans="1:17" x14ac:dyDescent="0.3">
      <c r="P125"/>
      <c r="Q125"/>
    </row>
    <row r="126" spans="1:17" x14ac:dyDescent="0.3">
      <c r="P126"/>
      <c r="Q126"/>
    </row>
    <row r="127" spans="1:17" x14ac:dyDescent="0.3">
      <c r="P127"/>
      <c r="Q127"/>
    </row>
    <row r="128" spans="1:17" x14ac:dyDescent="0.3">
      <c r="P128"/>
      <c r="Q128"/>
    </row>
    <row r="129" spans="13:17" x14ac:dyDescent="0.3">
      <c r="P129"/>
      <c r="Q129"/>
    </row>
    <row r="130" spans="13:17" x14ac:dyDescent="0.3">
      <c r="P130"/>
      <c r="Q130"/>
    </row>
    <row r="131" spans="13:17" x14ac:dyDescent="0.3">
      <c r="O131"/>
      <c r="P131"/>
      <c r="Q131"/>
    </row>
    <row r="132" spans="13:17" x14ac:dyDescent="0.3">
      <c r="M132"/>
      <c r="N132"/>
    </row>
    <row r="163" spans="12:12" x14ac:dyDescent="0.3">
      <c r="L163"/>
    </row>
  </sheetData>
  <phoneticPr fontId="7" alignment="center"/>
  <conditionalFormatting sqref="H2:H114">
    <cfRule type="cellIs" dxfId="6" priority="1" operator="greaterThan">
      <formula>3.5</formula>
    </cfRule>
  </conditionalFormatting>
  <pageMargins left="0.7" right="0.7" top="0.75" bottom="0.75" header="0.3" footer="0.3"/>
  <pageSetup scale="47"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A4BE-4176-4481-B8C4-81155CC199DF}">
  <sheetPr>
    <pageSetUpPr fitToPage="1"/>
  </sheetPr>
  <dimension ref="A1:P60"/>
  <sheetViews>
    <sheetView topLeftCell="A45" zoomScale="145" zoomScaleNormal="90" workbookViewId="0">
      <selection activeCell="H59" sqref="H59"/>
    </sheetView>
  </sheetViews>
  <sheetFormatPr defaultRowHeight="14.4" x14ac:dyDescent="0.3"/>
  <cols>
    <col min="1" max="1" width="19.6640625" bestFit="1" customWidth="1"/>
    <col min="2" max="2" width="17.33203125" bestFit="1" customWidth="1"/>
    <col min="3" max="3" width="18.6640625" customWidth="1"/>
    <col min="4" max="4" width="10.6640625" bestFit="1" customWidth="1"/>
    <col min="5" max="5" width="20" bestFit="1" customWidth="1"/>
    <col min="6" max="6" width="13" bestFit="1" customWidth="1"/>
    <col min="7" max="7" width="12.6640625" customWidth="1"/>
    <col min="8" max="8" width="13.33203125" customWidth="1"/>
    <col min="9" max="9" width="13.88671875" bestFit="1" customWidth="1"/>
    <col min="10" max="10" width="12.88671875" customWidth="1"/>
    <col min="11" max="11" width="20" bestFit="1" customWidth="1"/>
    <col min="12" max="12" width="21" bestFit="1" customWidth="1"/>
    <col min="13" max="13" width="13.33203125" bestFit="1" customWidth="1"/>
    <col min="14" max="14" width="11.21875" bestFit="1" customWidth="1"/>
    <col min="15" max="15" width="11" bestFit="1" customWidth="1"/>
    <col min="16" max="16" width="14.109375" bestFit="1" customWidth="1"/>
  </cols>
  <sheetData>
    <row r="1" spans="1:16" x14ac:dyDescent="0.3">
      <c r="A1" s="8" t="s">
        <v>75</v>
      </c>
      <c r="B1" s="8" t="s">
        <v>2</v>
      </c>
      <c r="C1" s="8" t="s">
        <v>89</v>
      </c>
      <c r="D1" s="12" t="s">
        <v>90</v>
      </c>
      <c r="E1" s="12" t="s">
        <v>4</v>
      </c>
      <c r="F1" s="12" t="s">
        <v>91</v>
      </c>
      <c r="G1" s="12" t="s">
        <v>5</v>
      </c>
      <c r="H1" s="12" t="s">
        <v>92</v>
      </c>
      <c r="I1" s="13" t="s">
        <v>93</v>
      </c>
    </row>
    <row r="2" spans="1:16" x14ac:dyDescent="0.3">
      <c r="A2" s="85">
        <v>46008</v>
      </c>
      <c r="B2" s="82" t="s">
        <v>94</v>
      </c>
      <c r="C2" s="82" t="s">
        <v>95</v>
      </c>
      <c r="D2" s="83"/>
      <c r="E2" s="83"/>
      <c r="F2" s="83"/>
      <c r="G2" s="83">
        <f>D2*E2</f>
        <v>0</v>
      </c>
      <c r="H2" s="11"/>
      <c r="I2" s="84">
        <v>1546255</v>
      </c>
    </row>
    <row r="3" spans="1:16" x14ac:dyDescent="0.3">
      <c r="A3" s="85">
        <v>46008</v>
      </c>
      <c r="B3" s="82" t="s">
        <v>96</v>
      </c>
      <c r="C3" s="82" t="s">
        <v>95</v>
      </c>
      <c r="D3" s="83"/>
      <c r="E3" s="83"/>
      <c r="F3" s="83"/>
      <c r="G3" s="83">
        <f>D3*E3</f>
        <v>0</v>
      </c>
      <c r="H3" s="11">
        <v>0</v>
      </c>
      <c r="I3" s="84">
        <v>0</v>
      </c>
    </row>
    <row r="4" spans="1:16" x14ac:dyDescent="0.3">
      <c r="A4" s="85">
        <v>46008</v>
      </c>
      <c r="B4" s="82" t="s">
        <v>149</v>
      </c>
      <c r="C4" s="82" t="s">
        <v>95</v>
      </c>
      <c r="D4" s="11"/>
      <c r="E4" s="11"/>
      <c r="F4" s="11"/>
      <c r="G4" s="11">
        <f>D4*E4</f>
        <v>0</v>
      </c>
      <c r="H4" s="11">
        <v>0</v>
      </c>
      <c r="I4" s="87">
        <v>136060</v>
      </c>
    </row>
    <row r="5" spans="1:16" ht="15" thickBot="1" x14ac:dyDescent="0.35">
      <c r="A5" s="85">
        <v>46008</v>
      </c>
      <c r="B5" s="82" t="s">
        <v>169</v>
      </c>
      <c r="C5" s="82" t="s">
        <v>95</v>
      </c>
      <c r="D5" s="11"/>
      <c r="E5" s="11"/>
      <c r="F5" s="11"/>
      <c r="G5" s="11">
        <f t="shared" ref="G5:G6" si="0">D5*E5</f>
        <v>0</v>
      </c>
      <c r="H5" s="11"/>
      <c r="I5" s="87">
        <v>650823</v>
      </c>
    </row>
    <row r="6" spans="1:16" ht="15" thickTop="1" x14ac:dyDescent="0.3">
      <c r="A6" s="85">
        <v>46008</v>
      </c>
      <c r="B6" s="82" t="s">
        <v>172</v>
      </c>
      <c r="C6" s="82" t="s">
        <v>95</v>
      </c>
      <c r="D6" s="11"/>
      <c r="E6" s="11"/>
      <c r="F6" s="11"/>
      <c r="G6" s="11">
        <f t="shared" si="0"/>
        <v>0</v>
      </c>
      <c r="H6" s="11"/>
      <c r="I6" s="11">
        <v>97520</v>
      </c>
      <c r="K6" s="17">
        <f>SUM(Table3[Total])</f>
        <v>2637760</v>
      </c>
      <c r="L6" s="3" t="s">
        <v>2</v>
      </c>
      <c r="M6" t="s">
        <v>87</v>
      </c>
    </row>
    <row r="7" spans="1:16" x14ac:dyDescent="0.3">
      <c r="A7" s="85">
        <v>46008</v>
      </c>
      <c r="B7" s="82" t="s">
        <v>182</v>
      </c>
      <c r="C7" s="82" t="s">
        <v>95</v>
      </c>
      <c r="D7" s="11"/>
      <c r="E7" s="11"/>
      <c r="F7" s="11"/>
      <c r="G7" s="11">
        <f>D7*E7</f>
        <v>0</v>
      </c>
      <c r="H7" s="11"/>
      <c r="I7" s="11">
        <v>326400</v>
      </c>
    </row>
    <row r="8" spans="1:16" x14ac:dyDescent="0.3">
      <c r="A8" s="85">
        <v>46008</v>
      </c>
      <c r="B8" s="82" t="s">
        <v>200</v>
      </c>
      <c r="C8" s="82" t="s">
        <v>95</v>
      </c>
      <c r="D8" s="11"/>
      <c r="E8" s="11"/>
      <c r="F8" s="11"/>
      <c r="G8" s="11">
        <f t="shared" ref="G8:G12" si="1">D8*E8</f>
        <v>0</v>
      </c>
      <c r="H8" s="11"/>
      <c r="I8" s="11">
        <v>457410</v>
      </c>
      <c r="K8" s="11"/>
      <c r="L8" s="3" t="s">
        <v>98</v>
      </c>
      <c r="M8" t="s">
        <v>99</v>
      </c>
      <c r="N8" t="s">
        <v>100</v>
      </c>
      <c r="O8" t="s">
        <v>101</v>
      </c>
      <c r="P8" t="s">
        <v>102</v>
      </c>
    </row>
    <row r="9" spans="1:16" x14ac:dyDescent="0.3">
      <c r="A9" s="85">
        <v>46008</v>
      </c>
      <c r="B9" s="82" t="s">
        <v>202</v>
      </c>
      <c r="C9" s="82" t="s">
        <v>95</v>
      </c>
      <c r="D9" s="11"/>
      <c r="E9" s="11"/>
      <c r="F9" s="11"/>
      <c r="G9" s="11">
        <f t="shared" si="1"/>
        <v>0</v>
      </c>
      <c r="H9" s="11"/>
      <c r="I9" s="11">
        <v>106960</v>
      </c>
      <c r="K9" s="11"/>
      <c r="L9" s="26">
        <v>46008</v>
      </c>
      <c r="M9" s="14">
        <v>140</v>
      </c>
      <c r="N9" s="14">
        <v>108500</v>
      </c>
      <c r="O9" s="14">
        <v>0</v>
      </c>
      <c r="P9" s="14">
        <v>3429928</v>
      </c>
    </row>
    <row r="10" spans="1:16" x14ac:dyDescent="0.3">
      <c r="A10" s="1">
        <v>46009</v>
      </c>
      <c r="B10" t="s">
        <v>94</v>
      </c>
      <c r="C10" t="s">
        <v>191</v>
      </c>
      <c r="D10" s="11">
        <v>250</v>
      </c>
      <c r="E10" s="11">
        <v>810</v>
      </c>
      <c r="F10" s="11">
        <v>53250</v>
      </c>
      <c r="G10" s="11">
        <f t="shared" si="1"/>
        <v>202500</v>
      </c>
      <c r="H10" s="11">
        <f>SUMIFS(Table14[Debit], Table14[Date], Table3[[#This Row],[Date]], Table14[Party], Table3[[#This Row],[Party Name]])</f>
        <v>53250</v>
      </c>
      <c r="I10" s="11">
        <f>(D10*E10)-Table3[[#This Row],[Paid]]</f>
        <v>149250</v>
      </c>
      <c r="K10" s="11"/>
      <c r="L10" s="42" t="s">
        <v>95</v>
      </c>
      <c r="M10" s="14"/>
      <c r="N10" s="14">
        <v>0</v>
      </c>
      <c r="O10" s="14">
        <v>0</v>
      </c>
      <c r="P10" s="14">
        <v>3321428</v>
      </c>
    </row>
    <row r="11" spans="1:16" x14ac:dyDescent="0.3">
      <c r="A11" s="1">
        <v>46008</v>
      </c>
      <c r="B11" t="s">
        <v>169</v>
      </c>
      <c r="C11">
        <v>9662</v>
      </c>
      <c r="D11" s="11">
        <v>140</v>
      </c>
      <c r="E11" s="11">
        <v>775</v>
      </c>
      <c r="F11" s="11"/>
      <c r="G11" s="11">
        <f t="shared" si="1"/>
        <v>108500</v>
      </c>
      <c r="H11" s="11"/>
      <c r="I11" s="11">
        <f>(D11*E11)-Table3[[#This Row],[Paid]]</f>
        <v>108500</v>
      </c>
      <c r="K11" s="11"/>
      <c r="L11" s="42">
        <v>9662</v>
      </c>
      <c r="M11" s="14">
        <v>140</v>
      </c>
      <c r="N11" s="14">
        <v>108500</v>
      </c>
      <c r="O11" s="14"/>
      <c r="P11" s="14">
        <v>108500</v>
      </c>
    </row>
    <row r="12" spans="1:16" x14ac:dyDescent="0.3">
      <c r="A12" s="1">
        <v>46009</v>
      </c>
      <c r="B12" t="s">
        <v>169</v>
      </c>
      <c r="C12">
        <v>9662</v>
      </c>
      <c r="D12" s="11">
        <v>102</v>
      </c>
      <c r="E12" s="11">
        <v>775</v>
      </c>
      <c r="F12" s="11"/>
      <c r="G12" s="11">
        <f t="shared" si="1"/>
        <v>79050</v>
      </c>
      <c r="H12" s="11"/>
      <c r="I12" s="11">
        <f>(D12*E12)-Table3[[#This Row],[Paid]]</f>
        <v>79050</v>
      </c>
      <c r="K12" s="11"/>
      <c r="L12" s="26">
        <v>46009</v>
      </c>
      <c r="M12" s="14">
        <v>385</v>
      </c>
      <c r="N12" s="14">
        <v>300690</v>
      </c>
      <c r="O12" s="14">
        <v>53250</v>
      </c>
      <c r="P12" s="14">
        <v>247440</v>
      </c>
    </row>
    <row r="13" spans="1:16" x14ac:dyDescent="0.3">
      <c r="A13" s="1">
        <v>46009</v>
      </c>
      <c r="B13" t="s">
        <v>169</v>
      </c>
      <c r="C13">
        <v>9662</v>
      </c>
      <c r="D13" s="11">
        <v>33</v>
      </c>
      <c r="E13" s="11">
        <v>580</v>
      </c>
      <c r="F13" s="11"/>
      <c r="G13" s="11">
        <f t="shared" ref="G13:G20" si="2">D13*E13</f>
        <v>19140</v>
      </c>
      <c r="H13" s="11"/>
      <c r="I13" s="11">
        <f>(D13*E13)-Table3[[#This Row],[Paid]]</f>
        <v>19140</v>
      </c>
      <c r="K13" s="11"/>
      <c r="L13" s="42" t="s">
        <v>191</v>
      </c>
      <c r="M13" s="14">
        <v>250</v>
      </c>
      <c r="N13" s="14">
        <v>202500</v>
      </c>
      <c r="O13" s="14">
        <v>53250</v>
      </c>
      <c r="P13" s="14">
        <v>149250</v>
      </c>
    </row>
    <row r="14" spans="1:16" x14ac:dyDescent="0.3">
      <c r="A14" s="1">
        <v>46010</v>
      </c>
      <c r="B14" t="s">
        <v>200</v>
      </c>
      <c r="C14" t="s">
        <v>240</v>
      </c>
      <c r="D14" s="11">
        <v>173</v>
      </c>
      <c r="E14" s="11">
        <v>810</v>
      </c>
      <c r="F14" s="11"/>
      <c r="G14" s="11">
        <f t="shared" si="2"/>
        <v>140130</v>
      </c>
      <c r="H14" s="11">
        <f>SUMIFS(Table14[Debit], Table14[Date], Table3[[#This Row],[Date]], Table14[Party], Table3[[#This Row],[Party Name]])</f>
        <v>200025</v>
      </c>
      <c r="I14" s="11">
        <f>(D14*E14)-Table3[[#This Row],[Paid]]</f>
        <v>-59895</v>
      </c>
      <c r="K14" s="11"/>
      <c r="L14" s="42">
        <v>9662</v>
      </c>
      <c r="M14" s="14">
        <v>135</v>
      </c>
      <c r="N14" s="14">
        <v>98190</v>
      </c>
      <c r="O14" s="14"/>
      <c r="P14" s="14">
        <v>98190</v>
      </c>
    </row>
    <row r="15" spans="1:16" x14ac:dyDescent="0.3">
      <c r="A15" s="1">
        <v>46010</v>
      </c>
      <c r="B15" t="s">
        <v>241</v>
      </c>
      <c r="C15" t="s">
        <v>242</v>
      </c>
      <c r="D15" s="11">
        <v>55</v>
      </c>
      <c r="E15" s="11">
        <v>720</v>
      </c>
      <c r="F15" s="11"/>
      <c r="G15" s="11">
        <f t="shared" si="2"/>
        <v>39600</v>
      </c>
      <c r="H15" s="11"/>
      <c r="I15" s="11">
        <f>(D15*E15)-Table3[[#This Row],[Paid]]</f>
        <v>39600</v>
      </c>
      <c r="K15" s="11"/>
      <c r="L15" s="26">
        <v>46010</v>
      </c>
      <c r="M15" s="14">
        <v>275</v>
      </c>
      <c r="N15" s="14">
        <v>206990</v>
      </c>
      <c r="O15" s="14">
        <v>605034</v>
      </c>
      <c r="P15" s="14">
        <v>-398044</v>
      </c>
    </row>
    <row r="16" spans="1:16" x14ac:dyDescent="0.3">
      <c r="A16" s="1">
        <v>46010</v>
      </c>
      <c r="B16" t="s">
        <v>241</v>
      </c>
      <c r="C16" t="s">
        <v>243</v>
      </c>
      <c r="D16" s="11">
        <v>47</v>
      </c>
      <c r="E16" s="11">
        <v>580</v>
      </c>
      <c r="F16" s="11"/>
      <c r="G16" s="11">
        <f t="shared" si="2"/>
        <v>27260</v>
      </c>
      <c r="H16" s="11">
        <f>SUMIFS(Table14[Debit], Table14[Date], Table3[[#This Row],[Date]], Table14[Party], Table3[[#This Row],[Party Name]])</f>
        <v>0</v>
      </c>
      <c r="I16" s="11">
        <f>(D16*E16)-Table3[[#This Row],[Paid]]</f>
        <v>27260</v>
      </c>
      <c r="K16" s="11"/>
      <c r="L16" s="42" t="s">
        <v>103</v>
      </c>
      <c r="M16" s="14"/>
      <c r="N16" s="14">
        <v>0</v>
      </c>
      <c r="O16" s="14">
        <v>405009</v>
      </c>
      <c r="P16" s="14">
        <v>-405009</v>
      </c>
    </row>
    <row r="17" spans="1:16" x14ac:dyDescent="0.3">
      <c r="A17" s="1">
        <v>46010</v>
      </c>
      <c r="B17" t="s">
        <v>94</v>
      </c>
      <c r="D17" s="11"/>
      <c r="E17" s="11"/>
      <c r="F17" s="11"/>
      <c r="G17" s="11">
        <f t="shared" si="2"/>
        <v>0</v>
      </c>
      <c r="H17" s="11">
        <f>SUMIFS(Table14[Debit], Table14[Date], Table3[[#This Row],[Date]], Table14[Party], Table3[[#This Row],[Party Name]])</f>
        <v>200009</v>
      </c>
      <c r="I17" s="11">
        <f>(D17*E17)-Table3[[#This Row],[Paid]]</f>
        <v>-200009</v>
      </c>
      <c r="K17" s="11"/>
      <c r="L17" s="42" t="s">
        <v>240</v>
      </c>
      <c r="M17" s="14">
        <v>173</v>
      </c>
      <c r="N17" s="14">
        <v>140130</v>
      </c>
      <c r="O17" s="14">
        <v>200025</v>
      </c>
      <c r="P17" s="14">
        <v>-59895</v>
      </c>
    </row>
    <row r="18" spans="1:16" x14ac:dyDescent="0.3">
      <c r="A18" s="1">
        <v>46010</v>
      </c>
      <c r="B18" t="s">
        <v>169</v>
      </c>
      <c r="D18" s="11"/>
      <c r="E18" s="11"/>
      <c r="F18" s="11"/>
      <c r="G18" s="11">
        <f t="shared" si="2"/>
        <v>0</v>
      </c>
      <c r="H18" s="11">
        <f>SUMIFS(Table14[Debit], Table14[Date], Table3[[#This Row],[Date]], Table14[Party], Table3[[#This Row],[Party Name]])</f>
        <v>115000</v>
      </c>
      <c r="I18" s="11">
        <f>(D18*E18)-Table3[[#This Row],[Paid]]</f>
        <v>-115000</v>
      </c>
      <c r="L18" s="42" t="s">
        <v>242</v>
      </c>
      <c r="M18" s="14">
        <v>102</v>
      </c>
      <c r="N18" s="14">
        <v>66860</v>
      </c>
      <c r="O18" s="14">
        <v>0</v>
      </c>
      <c r="P18" s="14">
        <v>66860</v>
      </c>
    </row>
    <row r="19" spans="1:16" x14ac:dyDescent="0.3">
      <c r="A19" s="1">
        <v>46010</v>
      </c>
      <c r="B19" t="s">
        <v>202</v>
      </c>
      <c r="D19" s="11"/>
      <c r="E19" s="11"/>
      <c r="F19" s="11"/>
      <c r="G19" s="11">
        <f t="shared" si="2"/>
        <v>0</v>
      </c>
      <c r="H19" s="11">
        <f>SUMIFS(Table14[Debit], Table14[Date], Table3[[#This Row],[Date]], Table14[Party], Table3[[#This Row],[Party Name]])</f>
        <v>40000</v>
      </c>
      <c r="I19" s="11">
        <f>(D19*E19)-Table3[[#This Row],[Paid]]</f>
        <v>-40000</v>
      </c>
      <c r="L19" s="26">
        <v>46011</v>
      </c>
      <c r="M19" s="14">
        <v>316</v>
      </c>
      <c r="N19" s="14">
        <v>242800</v>
      </c>
      <c r="O19" s="14">
        <v>0</v>
      </c>
      <c r="P19" s="14">
        <v>242800</v>
      </c>
    </row>
    <row r="20" spans="1:16" x14ac:dyDescent="0.3">
      <c r="A20" s="1">
        <v>46010</v>
      </c>
      <c r="B20" t="s">
        <v>149</v>
      </c>
      <c r="D20" s="11"/>
      <c r="E20" s="11"/>
      <c r="F20" s="11"/>
      <c r="G20" s="11">
        <f t="shared" si="2"/>
        <v>0</v>
      </c>
      <c r="H20" s="11">
        <f>SUMIFS(Table14[Debit], Table14[Date], Table3[[#This Row],[Date]], Table14[Party], Table3[[#This Row],[Party Name]])</f>
        <v>50000</v>
      </c>
      <c r="I20" s="11">
        <f>(D20*E20)-Table3[[#This Row],[Paid]]</f>
        <v>-50000</v>
      </c>
      <c r="L20" s="42">
        <v>9662</v>
      </c>
      <c r="M20" s="14">
        <v>142</v>
      </c>
      <c r="N20" s="14">
        <v>101860</v>
      </c>
      <c r="O20" s="14">
        <v>0</v>
      </c>
      <c r="P20" s="14">
        <v>101860</v>
      </c>
    </row>
    <row r="21" spans="1:16" x14ac:dyDescent="0.3">
      <c r="A21" s="1">
        <v>46011</v>
      </c>
      <c r="B21" t="s">
        <v>200</v>
      </c>
      <c r="C21">
        <v>2223</v>
      </c>
      <c r="D21" s="11">
        <v>174</v>
      </c>
      <c r="E21" s="11">
        <v>810</v>
      </c>
      <c r="F21" s="11"/>
      <c r="G21" s="11">
        <f t="shared" ref="G21:G24" si="3">D21*E21</f>
        <v>140940</v>
      </c>
      <c r="H21" s="11">
        <f>SUMIFS(Table14[Debit], Table14[Date], Table3[[#This Row],[Date]], Table14[Party], Table3[[#This Row],[Party Name]])</f>
        <v>0</v>
      </c>
      <c r="I21" s="11">
        <f>(D21*E21)-Table3[[#This Row],[Paid]]</f>
        <v>140940</v>
      </c>
      <c r="L21" s="42">
        <v>2223</v>
      </c>
      <c r="M21" s="14">
        <v>174</v>
      </c>
      <c r="N21" s="14">
        <v>140940</v>
      </c>
      <c r="O21" s="14">
        <v>0</v>
      </c>
      <c r="P21" s="14">
        <v>140940</v>
      </c>
    </row>
    <row r="22" spans="1:16" x14ac:dyDescent="0.3">
      <c r="A22" s="1">
        <v>46011</v>
      </c>
      <c r="B22" t="s">
        <v>169</v>
      </c>
      <c r="C22">
        <v>9662</v>
      </c>
      <c r="D22" s="11">
        <v>100</v>
      </c>
      <c r="E22" s="11">
        <v>775</v>
      </c>
      <c r="F22" s="11"/>
      <c r="G22" s="11">
        <f>D22*E22</f>
        <v>77500</v>
      </c>
      <c r="H22" s="11"/>
      <c r="I22" s="11">
        <f>(D22*E22)-Table3[[#This Row],[Paid]]</f>
        <v>77500</v>
      </c>
      <c r="L22" s="26">
        <v>46013</v>
      </c>
      <c r="M22" s="14"/>
      <c r="N22" s="14">
        <v>0</v>
      </c>
      <c r="O22" s="14">
        <v>110500</v>
      </c>
      <c r="P22" s="14">
        <v>-110500</v>
      </c>
    </row>
    <row r="23" spans="1:16" x14ac:dyDescent="0.3">
      <c r="A23" s="1">
        <v>46011</v>
      </c>
      <c r="B23" t="s">
        <v>169</v>
      </c>
      <c r="C23">
        <v>9662</v>
      </c>
      <c r="D23" s="11">
        <v>42</v>
      </c>
      <c r="E23" s="11">
        <v>580</v>
      </c>
      <c r="F23" s="11"/>
      <c r="G23" s="11">
        <f t="shared" si="3"/>
        <v>24360</v>
      </c>
      <c r="H23" s="11">
        <f>SUMIFS(Table14[Debit], Table14[Date], Table3[[#This Row],[Date]], Table14[Party], Table3[[#This Row],[Party Name]])</f>
        <v>0</v>
      </c>
      <c r="I23" s="11">
        <f>(D23*E23)-Table3[[#This Row],[Paid]]</f>
        <v>24360</v>
      </c>
      <c r="L23" s="42" t="s">
        <v>103</v>
      </c>
      <c r="M23" s="14"/>
      <c r="N23" s="14">
        <v>0</v>
      </c>
      <c r="O23" s="14">
        <v>110500</v>
      </c>
      <c r="P23" s="14">
        <v>-110500</v>
      </c>
    </row>
    <row r="24" spans="1:16" x14ac:dyDescent="0.3">
      <c r="A24" s="1">
        <v>46013</v>
      </c>
      <c r="B24" t="s">
        <v>241</v>
      </c>
      <c r="D24" s="11"/>
      <c r="E24" s="11"/>
      <c r="F24" s="11"/>
      <c r="G24" s="11">
        <f t="shared" si="3"/>
        <v>0</v>
      </c>
      <c r="H24" s="11">
        <f>SUMIFS(Table14[Debit], Table14[Date], Table3[[#This Row],[Date]], Table14[Party], Table3[[#This Row],[Party Name]])</f>
        <v>10000</v>
      </c>
      <c r="I24" s="11">
        <f>(D24*E24)-Table3[[#This Row],[Paid]]</f>
        <v>-10000</v>
      </c>
      <c r="L24" s="26">
        <v>46012</v>
      </c>
      <c r="M24" s="14">
        <v>144</v>
      </c>
      <c r="N24" s="14">
        <v>83520</v>
      </c>
      <c r="O24" s="14">
        <v>50000</v>
      </c>
      <c r="P24" s="14">
        <v>33520</v>
      </c>
    </row>
    <row r="25" spans="1:16" x14ac:dyDescent="0.3">
      <c r="A25" s="1">
        <v>46012</v>
      </c>
      <c r="B25" t="s">
        <v>200</v>
      </c>
      <c r="D25" s="11"/>
      <c r="E25" s="11"/>
      <c r="F25" s="11"/>
      <c r="G25" s="11">
        <f>D25*E25</f>
        <v>0</v>
      </c>
      <c r="H25" s="11">
        <f>SUMIFS(Table14[Debit], Table14[Date], Table3[[#This Row],[Date]], Table14[Party], Table3[[#This Row],[Party Name]])</f>
        <v>50000</v>
      </c>
      <c r="I25" s="11">
        <f>(D25*E25)-Table3[[#This Row],[Paid]]</f>
        <v>-50000</v>
      </c>
      <c r="L25" s="42" t="s">
        <v>103</v>
      </c>
      <c r="M25" s="14"/>
      <c r="N25" s="14">
        <v>0</v>
      </c>
      <c r="O25" s="14">
        <v>50000</v>
      </c>
      <c r="P25" s="14">
        <v>-50000</v>
      </c>
    </row>
    <row r="26" spans="1:16" x14ac:dyDescent="0.3">
      <c r="A26" s="1">
        <v>46012</v>
      </c>
      <c r="B26" t="s">
        <v>169</v>
      </c>
      <c r="C26">
        <v>9662</v>
      </c>
      <c r="D26" s="11">
        <v>144</v>
      </c>
      <c r="E26" s="11">
        <v>580</v>
      </c>
      <c r="F26" s="11"/>
      <c r="G26" s="11">
        <f>D26*E26</f>
        <v>83520</v>
      </c>
      <c r="H26" s="11"/>
      <c r="I26" s="11">
        <f>(D26*E26)-Table3[[#This Row],[Paid]]</f>
        <v>83520</v>
      </c>
      <c r="L26" s="42">
        <v>9662</v>
      </c>
      <c r="M26" s="14">
        <v>144</v>
      </c>
      <c r="N26" s="14">
        <v>83520</v>
      </c>
      <c r="O26" s="14"/>
      <c r="P26" s="14">
        <v>83520</v>
      </c>
    </row>
    <row r="27" spans="1:16" x14ac:dyDescent="0.3">
      <c r="A27" s="1">
        <v>46013</v>
      </c>
      <c r="B27" t="s">
        <v>169</v>
      </c>
      <c r="D27" s="11"/>
      <c r="E27" s="11"/>
      <c r="F27" s="11"/>
      <c r="G27" s="11">
        <f>D27*E27</f>
        <v>0</v>
      </c>
      <c r="H27" s="11">
        <f>SUMIFS(Table14[Debit], Table14[Date], Table3[[#This Row],[Date]], Table14[Party], Table3[[#This Row],[Party Name]])</f>
        <v>100500</v>
      </c>
      <c r="I27" s="11">
        <f>(D27*E27)-Table3[[#This Row],[Paid]]</f>
        <v>-100500</v>
      </c>
      <c r="L27" s="26">
        <v>46014</v>
      </c>
      <c r="M27" s="14">
        <v>253</v>
      </c>
      <c r="N27" s="14">
        <v>191200</v>
      </c>
      <c r="O27" s="14">
        <v>150000</v>
      </c>
      <c r="P27" s="14">
        <v>41200</v>
      </c>
    </row>
    <row r="28" spans="1:16" x14ac:dyDescent="0.3">
      <c r="A28" s="1">
        <v>46014</v>
      </c>
      <c r="B28" t="s">
        <v>169</v>
      </c>
      <c r="C28">
        <v>9662</v>
      </c>
      <c r="D28" s="11">
        <v>109</v>
      </c>
      <c r="E28" s="11">
        <v>775</v>
      </c>
      <c r="F28" s="11"/>
      <c r="G28" s="11">
        <f t="shared" ref="G28:G30" si="4">D28*E28</f>
        <v>84475</v>
      </c>
      <c r="H28" s="11"/>
      <c r="I28" s="11">
        <f>(D28*E28)-Table3[[#This Row],[Paid]]</f>
        <v>84475</v>
      </c>
      <c r="L28" s="42" t="s">
        <v>103</v>
      </c>
      <c r="M28" s="14"/>
      <c r="N28" s="14">
        <v>0</v>
      </c>
      <c r="O28" s="14">
        <v>150000</v>
      </c>
      <c r="P28" s="14">
        <v>-150000</v>
      </c>
    </row>
    <row r="29" spans="1:16" x14ac:dyDescent="0.3">
      <c r="A29" s="1">
        <v>46014</v>
      </c>
      <c r="B29" t="s">
        <v>169</v>
      </c>
      <c r="C29">
        <v>9662</v>
      </c>
      <c r="D29" s="11">
        <v>25</v>
      </c>
      <c r="E29" s="11">
        <v>580</v>
      </c>
      <c r="F29" s="11"/>
      <c r="G29" s="11">
        <f t="shared" si="4"/>
        <v>14500</v>
      </c>
      <c r="H29" s="11"/>
      <c r="I29" s="11">
        <f>(D29*E29)-Table3[[#This Row],[Paid]]</f>
        <v>14500</v>
      </c>
      <c r="K29" s="14"/>
      <c r="L29" s="42">
        <v>9662</v>
      </c>
      <c r="M29" s="14">
        <v>253</v>
      </c>
      <c r="N29" s="14">
        <v>191200</v>
      </c>
      <c r="O29" s="14"/>
      <c r="P29" s="14">
        <v>191200</v>
      </c>
    </row>
    <row r="30" spans="1:16" x14ac:dyDescent="0.3">
      <c r="A30" s="1">
        <v>46014</v>
      </c>
      <c r="B30" t="s">
        <v>169</v>
      </c>
      <c r="C30">
        <v>9662</v>
      </c>
      <c r="D30" s="11">
        <v>119</v>
      </c>
      <c r="E30" s="11">
        <v>775</v>
      </c>
      <c r="F30" s="11"/>
      <c r="G30" s="11">
        <f t="shared" si="4"/>
        <v>92225</v>
      </c>
      <c r="H30" s="11"/>
      <c r="I30" s="11">
        <f>(D30*E30)-Table3[[#This Row],[Paid]]</f>
        <v>92225</v>
      </c>
      <c r="L30" s="26">
        <v>46015</v>
      </c>
      <c r="M30" s="14">
        <v>447</v>
      </c>
      <c r="N30" s="14">
        <v>330445</v>
      </c>
      <c r="O30" s="14">
        <v>296000</v>
      </c>
      <c r="P30" s="14">
        <v>34445</v>
      </c>
    </row>
    <row r="31" spans="1:16" x14ac:dyDescent="0.3">
      <c r="A31" s="1">
        <v>46014</v>
      </c>
      <c r="B31" t="s">
        <v>200</v>
      </c>
      <c r="D31" s="11"/>
      <c r="E31" s="11"/>
      <c r="F31" s="11"/>
      <c r="G31" s="11">
        <f>D31*E31</f>
        <v>0</v>
      </c>
      <c r="H31" s="11">
        <f>SUMIFS(Table14[Debit], Table14[Date], Table3[[#This Row],[Date]], Table14[Party], Table3[[#This Row],[Party Name]])</f>
        <v>150000</v>
      </c>
      <c r="I31" s="11">
        <f>(D31*E31)-Table3[[#This Row],[Paid]]</f>
        <v>-150000</v>
      </c>
      <c r="L31" s="42">
        <v>9662</v>
      </c>
      <c r="M31" s="14">
        <v>235</v>
      </c>
      <c r="N31" s="14">
        <v>158725</v>
      </c>
      <c r="O31" s="14">
        <v>150000</v>
      </c>
      <c r="P31" s="14">
        <v>8725</v>
      </c>
    </row>
    <row r="32" spans="1:16" x14ac:dyDescent="0.3">
      <c r="A32" s="1">
        <v>46015</v>
      </c>
      <c r="B32" t="s">
        <v>200</v>
      </c>
      <c r="C32" t="s">
        <v>297</v>
      </c>
      <c r="D32" s="11">
        <v>212</v>
      </c>
      <c r="E32" s="11">
        <v>810</v>
      </c>
      <c r="F32" s="11"/>
      <c r="G32" s="11">
        <f t="shared" ref="G32:G44" si="5">D32*E32</f>
        <v>171720</v>
      </c>
      <c r="H32" s="11">
        <f>SUMIFS(Table14[Debit], Table14[Date], Table3[[#This Row],[Date]], Table14[Party], Table3[[#This Row],[Party Name]])</f>
        <v>146000</v>
      </c>
      <c r="I32" s="11">
        <f>(D32*E32)-Table3[[#This Row],[Paid]]</f>
        <v>25720</v>
      </c>
      <c r="L32" s="42" t="s">
        <v>297</v>
      </c>
      <c r="M32" s="14">
        <v>212</v>
      </c>
      <c r="N32" s="14">
        <v>171720</v>
      </c>
      <c r="O32" s="14">
        <v>146000</v>
      </c>
      <c r="P32" s="14">
        <v>25720</v>
      </c>
    </row>
    <row r="33" spans="1:16" x14ac:dyDescent="0.3">
      <c r="A33" s="1">
        <v>46015</v>
      </c>
      <c r="B33" t="s">
        <v>169</v>
      </c>
      <c r="C33">
        <v>9662</v>
      </c>
      <c r="D33" s="11">
        <v>120</v>
      </c>
      <c r="E33" s="11">
        <v>580</v>
      </c>
      <c r="F33" s="11"/>
      <c r="G33" s="11">
        <f t="shared" si="5"/>
        <v>69600</v>
      </c>
      <c r="H33" s="11">
        <f>SUMIFS(Table14[Debit], Table14[Date], Table3[[#This Row],[Date]], Table14[Party], Table3[[#This Row],[Party Name]])</f>
        <v>150000</v>
      </c>
      <c r="I33" s="11">
        <f>(D33*E33)-Table3[[#This Row],[Paid]]</f>
        <v>-80400</v>
      </c>
      <c r="L33" s="26" t="s">
        <v>103</v>
      </c>
      <c r="M33" s="14"/>
      <c r="N33" s="14">
        <v>0</v>
      </c>
      <c r="O33" s="14"/>
      <c r="P33" s="14">
        <v>0</v>
      </c>
    </row>
    <row r="34" spans="1:16" x14ac:dyDescent="0.3">
      <c r="A34" s="1">
        <v>46015</v>
      </c>
      <c r="B34" t="s">
        <v>169</v>
      </c>
      <c r="C34">
        <v>9662</v>
      </c>
      <c r="D34" s="11">
        <v>115</v>
      </c>
      <c r="E34" s="11">
        <v>775</v>
      </c>
      <c r="F34" s="11"/>
      <c r="G34" s="11">
        <f t="shared" si="5"/>
        <v>89125</v>
      </c>
      <c r="H34" s="11"/>
      <c r="I34" s="11">
        <f>(D34*E34)-Table3[[#This Row],[Paid]]</f>
        <v>89125</v>
      </c>
      <c r="L34" s="42" t="s">
        <v>103</v>
      </c>
      <c r="M34" s="14"/>
      <c r="N34" s="14">
        <v>0</v>
      </c>
      <c r="O34" s="14"/>
      <c r="P34" s="14">
        <v>0</v>
      </c>
    </row>
    <row r="35" spans="1:16" x14ac:dyDescent="0.3">
      <c r="A35" s="1">
        <v>46016</v>
      </c>
      <c r="B35" t="s">
        <v>169</v>
      </c>
      <c r="C35">
        <v>9662</v>
      </c>
      <c r="D35" s="11">
        <v>117</v>
      </c>
      <c r="E35" s="11">
        <v>775</v>
      </c>
      <c r="F35" s="11"/>
      <c r="G35" s="11">
        <f t="shared" si="5"/>
        <v>90675</v>
      </c>
      <c r="H35" s="11">
        <f>SUMIFS(Table14[Debit], Table14[Date], Table3[[#This Row],[Date]], Table14[Party], Table3[[#This Row],[Party Name]])</f>
        <v>0</v>
      </c>
      <c r="I35" s="11">
        <f>(D35*E35)-Table3[[#This Row],[Paid]]</f>
        <v>90675</v>
      </c>
      <c r="L35" s="26">
        <v>46016</v>
      </c>
      <c r="M35" s="14">
        <v>306</v>
      </c>
      <c r="N35" s="14">
        <v>237325</v>
      </c>
      <c r="O35" s="14">
        <v>50000</v>
      </c>
      <c r="P35" s="14">
        <v>187325</v>
      </c>
    </row>
    <row r="36" spans="1:16" x14ac:dyDescent="0.3">
      <c r="A36" s="1">
        <v>46016</v>
      </c>
      <c r="B36" t="s">
        <v>169</v>
      </c>
      <c r="C36">
        <v>9662</v>
      </c>
      <c r="D36" s="11">
        <v>28</v>
      </c>
      <c r="E36" s="11">
        <v>580</v>
      </c>
      <c r="F36" s="11"/>
      <c r="G36" s="11">
        <f t="shared" si="5"/>
        <v>16240</v>
      </c>
      <c r="H36" s="11">
        <f>SUMIFS(Table14[Debit], Table14[Date], Table3[[#This Row],[Date]], Table14[Party], Table3[[#This Row],[Party Name]])</f>
        <v>0</v>
      </c>
      <c r="I36" s="11">
        <f>(D36*E36)-Table3[[#This Row],[Paid]]</f>
        <v>16240</v>
      </c>
      <c r="L36" s="42">
        <v>9662</v>
      </c>
      <c r="M36" s="14">
        <v>145</v>
      </c>
      <c r="N36" s="14">
        <v>106915</v>
      </c>
      <c r="O36" s="14">
        <v>0</v>
      </c>
      <c r="P36" s="14">
        <v>106915</v>
      </c>
    </row>
    <row r="37" spans="1:16" x14ac:dyDescent="0.3">
      <c r="A37" s="1">
        <v>46016</v>
      </c>
      <c r="B37" t="s">
        <v>200</v>
      </c>
      <c r="C37" t="s">
        <v>97</v>
      </c>
      <c r="D37" s="11">
        <v>161</v>
      </c>
      <c r="E37" s="11">
        <v>810</v>
      </c>
      <c r="F37" s="11"/>
      <c r="G37" s="11">
        <f t="shared" ref="G37:G38" si="6">D37*E37</f>
        <v>130410</v>
      </c>
      <c r="H37" s="11">
        <f>SUMIFS(Table14[Debit], Table14[Date], Table3[[#This Row],[Date]], Table14[Party], Table3[[#This Row],[Party Name]])</f>
        <v>50000</v>
      </c>
      <c r="I37" s="11">
        <f>(D37*E37)-Table3[[#This Row],[Paid]]</f>
        <v>80410</v>
      </c>
      <c r="L37" s="42" t="s">
        <v>97</v>
      </c>
      <c r="M37" s="14">
        <v>161</v>
      </c>
      <c r="N37" s="14">
        <v>130410</v>
      </c>
      <c r="O37" s="14">
        <v>50000</v>
      </c>
      <c r="P37" s="14">
        <v>80410</v>
      </c>
    </row>
    <row r="38" spans="1:16" x14ac:dyDescent="0.3">
      <c r="A38" s="1"/>
      <c r="D38" s="11"/>
      <c r="E38" s="11"/>
      <c r="F38" s="11"/>
      <c r="G38" s="11">
        <f t="shared" si="6"/>
        <v>0</v>
      </c>
      <c r="H38" s="11"/>
      <c r="I38" s="11">
        <f>(D38*E38)-Table3[[#This Row],[Paid]]</f>
        <v>0</v>
      </c>
      <c r="L38" s="26">
        <v>46017</v>
      </c>
      <c r="M38" s="14"/>
      <c r="N38" s="14">
        <v>0</v>
      </c>
      <c r="O38" s="14">
        <v>601866</v>
      </c>
      <c r="P38" s="14">
        <v>-601866</v>
      </c>
    </row>
    <row r="39" spans="1:16" x14ac:dyDescent="0.3">
      <c r="A39" s="1">
        <v>46017</v>
      </c>
      <c r="B39" t="s">
        <v>169</v>
      </c>
      <c r="D39" s="11"/>
      <c r="E39" s="11"/>
      <c r="F39" s="11"/>
      <c r="G39" s="11">
        <f t="shared" si="5"/>
        <v>0</v>
      </c>
      <c r="H39" s="11">
        <f>SUMIFS(Table14[Debit], Table14[Date], Table3[[#This Row],[Date]], Table14[Party], Table3[[#This Row],[Party Name]])</f>
        <v>200300</v>
      </c>
      <c r="I39" s="11">
        <f>(D39*E39)-Table3[[#This Row],[Paid]]</f>
        <v>-200300</v>
      </c>
      <c r="L39" s="42" t="s">
        <v>103</v>
      </c>
      <c r="M39" s="14"/>
      <c r="N39" s="14">
        <v>0</v>
      </c>
      <c r="O39" s="14">
        <v>601866</v>
      </c>
      <c r="P39" s="14">
        <v>-601866</v>
      </c>
    </row>
    <row r="40" spans="1:16" x14ac:dyDescent="0.3">
      <c r="A40" s="1">
        <v>46017</v>
      </c>
      <c r="B40" t="s">
        <v>94</v>
      </c>
      <c r="D40" s="11"/>
      <c r="E40" s="11"/>
      <c r="F40" s="11"/>
      <c r="G40" s="11">
        <f t="shared" si="5"/>
        <v>0</v>
      </c>
      <c r="H40" s="11">
        <f>SUMIFS(Table14[Debit], Table14[Date], Table3[[#This Row],[Date]], Table14[Party], Table3[[#This Row],[Party Name]])</f>
        <v>200566</v>
      </c>
      <c r="I40" s="11">
        <f>(D40*E40)-Table3[[#This Row],[Paid]]</f>
        <v>-200566</v>
      </c>
      <c r="L40" s="26">
        <v>46018</v>
      </c>
      <c r="M40" s="14">
        <v>960</v>
      </c>
      <c r="N40" s="14">
        <v>731400</v>
      </c>
      <c r="O40" s="14">
        <v>185000</v>
      </c>
      <c r="P40" s="14">
        <v>546400</v>
      </c>
    </row>
    <row r="41" spans="1:16" x14ac:dyDescent="0.3">
      <c r="A41" s="1">
        <v>46017</v>
      </c>
      <c r="B41" t="s">
        <v>200</v>
      </c>
      <c r="D41" s="11"/>
      <c r="E41" s="11"/>
      <c r="F41" s="11"/>
      <c r="G41" s="11">
        <f t="shared" si="5"/>
        <v>0</v>
      </c>
      <c r="H41" s="11">
        <f>SUMIFS(Table14[Debit], Table14[Date], Table3[[#This Row],[Date]], Table14[Party], Table3[[#This Row],[Party Name]])</f>
        <v>201000</v>
      </c>
      <c r="I41" s="11">
        <f>(D41*E41)-Table3[[#This Row],[Paid]]</f>
        <v>-201000</v>
      </c>
      <c r="L41" s="42" t="s">
        <v>103</v>
      </c>
      <c r="M41" s="14">
        <v>496</v>
      </c>
      <c r="N41" s="14">
        <v>414040</v>
      </c>
      <c r="O41" s="14">
        <v>185000</v>
      </c>
      <c r="P41" s="14">
        <v>229040</v>
      </c>
    </row>
    <row r="42" spans="1:16" x14ac:dyDescent="0.3">
      <c r="A42" s="1">
        <v>46018</v>
      </c>
      <c r="B42" t="s">
        <v>200</v>
      </c>
      <c r="D42" s="11">
        <v>252</v>
      </c>
      <c r="E42" s="11">
        <v>820</v>
      </c>
      <c r="F42" s="11"/>
      <c r="G42" s="11">
        <f t="shared" si="5"/>
        <v>206640</v>
      </c>
      <c r="H42" s="11">
        <f>SUMIFS(Table14[Debit], Table14[Date], Table3[[#This Row],[Date]], Table14[Party], Table3[[#This Row],[Party Name]])</f>
        <v>100000</v>
      </c>
      <c r="I42" s="11">
        <f>(D42*E42)-Table3[[#This Row],[Paid]]</f>
        <v>106640</v>
      </c>
      <c r="L42" s="42" t="s">
        <v>297</v>
      </c>
      <c r="M42" s="14">
        <v>201</v>
      </c>
      <c r="N42" s="14">
        <v>164820</v>
      </c>
      <c r="O42" s="14"/>
      <c r="P42" s="14">
        <v>164820</v>
      </c>
    </row>
    <row r="43" spans="1:16" x14ac:dyDescent="0.3">
      <c r="A43" s="1">
        <v>46018</v>
      </c>
      <c r="B43" t="s">
        <v>200</v>
      </c>
      <c r="D43" s="11">
        <v>244</v>
      </c>
      <c r="E43" s="11">
        <v>850</v>
      </c>
      <c r="F43" s="11"/>
      <c r="G43" s="11">
        <f t="shared" si="5"/>
        <v>207400</v>
      </c>
      <c r="H43" s="11"/>
      <c r="I43" s="11">
        <f>(D43*E43)-Table3[[#This Row],[Paid]]</f>
        <v>207400</v>
      </c>
      <c r="L43" s="42" t="s">
        <v>334</v>
      </c>
      <c r="M43" s="14">
        <v>263</v>
      </c>
      <c r="N43" s="14">
        <v>152540</v>
      </c>
      <c r="O43" s="14"/>
      <c r="P43" s="14">
        <v>152540</v>
      </c>
    </row>
    <row r="44" spans="1:16" x14ac:dyDescent="0.3">
      <c r="A44" s="1">
        <v>46018</v>
      </c>
      <c r="B44" t="s">
        <v>169</v>
      </c>
      <c r="C44" t="s">
        <v>334</v>
      </c>
      <c r="D44" s="11">
        <v>135</v>
      </c>
      <c r="E44" s="11">
        <v>580</v>
      </c>
      <c r="F44" s="11"/>
      <c r="G44" s="11">
        <f t="shared" si="5"/>
        <v>78300</v>
      </c>
      <c r="H44" s="11"/>
      <c r="I44" s="11">
        <f>(D44*E44)-Table3[[#This Row],[Paid]]</f>
        <v>78300</v>
      </c>
      <c r="L44" s="26">
        <v>46020</v>
      </c>
      <c r="M44" s="14"/>
      <c r="N44" s="14">
        <v>0</v>
      </c>
      <c r="O44" s="14">
        <v>100000</v>
      </c>
      <c r="P44" s="14">
        <v>-100000</v>
      </c>
    </row>
    <row r="45" spans="1:16" x14ac:dyDescent="0.3">
      <c r="A45" s="1">
        <v>46018</v>
      </c>
      <c r="B45" t="s">
        <v>200</v>
      </c>
      <c r="C45" t="s">
        <v>297</v>
      </c>
      <c r="D45" s="11">
        <v>201</v>
      </c>
      <c r="E45" s="11">
        <v>820</v>
      </c>
      <c r="F45" s="11"/>
      <c r="G45" s="11">
        <f>D45*E45</f>
        <v>164820</v>
      </c>
      <c r="H45" s="11"/>
      <c r="I45" s="11">
        <f>(D45*E45)-Table3[[#This Row],[Paid]]</f>
        <v>164820</v>
      </c>
      <c r="L45" s="42" t="s">
        <v>103</v>
      </c>
      <c r="M45" s="14"/>
      <c r="N45" s="14">
        <v>0</v>
      </c>
      <c r="O45" s="14">
        <v>100000</v>
      </c>
      <c r="P45" s="14">
        <v>-100000</v>
      </c>
    </row>
    <row r="46" spans="1:16" x14ac:dyDescent="0.3">
      <c r="A46" s="1">
        <v>46018</v>
      </c>
      <c r="B46" t="s">
        <v>241</v>
      </c>
      <c r="D46" s="11"/>
      <c r="E46" s="11"/>
      <c r="F46" s="11"/>
      <c r="G46" s="11">
        <f t="shared" ref="G46:G47" si="7">D46*E46</f>
        <v>0</v>
      </c>
      <c r="H46" s="11">
        <f>SUMIFS(Table14[Debit], Table14[Date], Table3[[#This Row],[Date]], Table14[Party], Table3[[#This Row],[Party Name]])</f>
        <v>45000</v>
      </c>
      <c r="I46" s="11">
        <f>(D46*E46)-Table3[[#This Row],[Paid]]</f>
        <v>-45000</v>
      </c>
      <c r="L46" s="26">
        <v>46019</v>
      </c>
      <c r="M46" s="14"/>
      <c r="N46" s="14">
        <v>0</v>
      </c>
      <c r="O46" s="14">
        <v>0</v>
      </c>
      <c r="P46" s="14">
        <v>0</v>
      </c>
    </row>
    <row r="47" spans="1:16" x14ac:dyDescent="0.3">
      <c r="A47" s="1">
        <v>46018</v>
      </c>
      <c r="B47" t="s">
        <v>202</v>
      </c>
      <c r="D47" s="11"/>
      <c r="E47" s="11"/>
      <c r="F47" s="11"/>
      <c r="G47" s="11">
        <f t="shared" si="7"/>
        <v>0</v>
      </c>
      <c r="H47" s="11">
        <f>SUMIFS(Table14[Debit], Table14[Date], Table3[[#This Row],[Date]], Table14[Party], Table3[[#This Row],[Party Name]])</f>
        <v>40000</v>
      </c>
      <c r="I47" s="11">
        <f>(D47*E47)-Table3[[#This Row],[Paid]]</f>
        <v>-40000</v>
      </c>
      <c r="L47" s="42" t="s">
        <v>103</v>
      </c>
      <c r="M47" s="14"/>
      <c r="N47" s="14">
        <v>0</v>
      </c>
      <c r="O47" s="14">
        <v>0</v>
      </c>
      <c r="P47" s="14">
        <v>0</v>
      </c>
    </row>
    <row r="48" spans="1:16" x14ac:dyDescent="0.3">
      <c r="A48" s="1">
        <v>46018</v>
      </c>
      <c r="B48" t="s">
        <v>169</v>
      </c>
      <c r="C48" t="s">
        <v>334</v>
      </c>
      <c r="D48" s="11">
        <v>128</v>
      </c>
      <c r="E48" s="11">
        <v>580</v>
      </c>
      <c r="F48" s="11"/>
      <c r="G48" s="11">
        <f t="shared" ref="G48:G50" si="8">D48*E48</f>
        <v>74240</v>
      </c>
      <c r="H48" s="11"/>
      <c r="I48" s="11">
        <f>(D48*E48)-Table3[[#This Row],[Paid]]</f>
        <v>74240</v>
      </c>
      <c r="L48" s="26" t="s">
        <v>28</v>
      </c>
      <c r="M48" s="14">
        <v>3226</v>
      </c>
      <c r="N48" s="14">
        <v>2432870</v>
      </c>
      <c r="O48" s="14">
        <v>2201650</v>
      </c>
      <c r="P48" s="14">
        <v>3552648</v>
      </c>
    </row>
    <row r="49" spans="1:9" x14ac:dyDescent="0.3">
      <c r="A49" s="1">
        <v>46020</v>
      </c>
      <c r="B49" t="s">
        <v>169</v>
      </c>
      <c r="D49" s="11"/>
      <c r="E49" s="11"/>
      <c r="F49" s="11"/>
      <c r="G49" s="11">
        <f t="shared" si="8"/>
        <v>0</v>
      </c>
      <c r="H49" s="11">
        <f>SUMIFS(Table14[Debit], Table14[Date], Table3[[#This Row],[Date]], Table14[Party], Table3[[#This Row],[Party Name]])</f>
        <v>100000</v>
      </c>
      <c r="I49" s="11">
        <f>(D49*E49)-Table3[[#This Row],[Paid]]</f>
        <v>-100000</v>
      </c>
    </row>
    <row r="50" spans="1:9" x14ac:dyDescent="0.3">
      <c r="A50" s="1">
        <v>46019</v>
      </c>
      <c r="B50" t="s">
        <v>200</v>
      </c>
      <c r="D50" s="11"/>
      <c r="E50" s="11"/>
      <c r="F50" s="11"/>
      <c r="G50" s="11">
        <f t="shared" si="8"/>
        <v>0</v>
      </c>
      <c r="H50" s="11">
        <f>SUMIFS(Table14[Debit], Table14[Date], Table3[[#This Row],[Date]], Table14[Party], Table3[[#This Row],[Party Name]])</f>
        <v>0</v>
      </c>
      <c r="I50" s="11">
        <f>(D50*E50)-Table3[[#This Row],[Paid]]</f>
        <v>0</v>
      </c>
    </row>
    <row r="51" spans="1:9" x14ac:dyDescent="0.3">
      <c r="A51" s="1">
        <v>46019</v>
      </c>
      <c r="B51" t="s">
        <v>169</v>
      </c>
      <c r="D51" s="11">
        <v>116</v>
      </c>
      <c r="E51" s="11">
        <v>775</v>
      </c>
      <c r="F51" s="11"/>
      <c r="G51" s="11">
        <f t="shared" ref="G51:G52" si="9">D51*E51</f>
        <v>89900</v>
      </c>
      <c r="H51" s="11"/>
      <c r="I51" s="11">
        <f>(D51*E51)-Table3[[#This Row],[Paid]]</f>
        <v>89900</v>
      </c>
    </row>
    <row r="52" spans="1:9" x14ac:dyDescent="0.3">
      <c r="A52" s="1">
        <v>46019</v>
      </c>
      <c r="B52" t="s">
        <v>169</v>
      </c>
      <c r="D52" s="11">
        <v>20</v>
      </c>
      <c r="E52" s="11">
        <v>580</v>
      </c>
      <c r="F52" s="11"/>
      <c r="G52" s="11">
        <f t="shared" si="9"/>
        <v>11600</v>
      </c>
      <c r="H52" s="11"/>
      <c r="I52" s="11">
        <f>(D52*E52)-Table3[[#This Row],[Paid]]</f>
        <v>11600</v>
      </c>
    </row>
    <row r="53" spans="1:9" x14ac:dyDescent="0.3">
      <c r="A53" s="1">
        <v>46020</v>
      </c>
      <c r="B53" t="s">
        <v>169</v>
      </c>
      <c r="D53" s="11">
        <v>90</v>
      </c>
      <c r="E53" s="11">
        <v>775</v>
      </c>
      <c r="F53" s="11"/>
      <c r="G53" s="11">
        <f t="shared" ref="G53:G59" si="10">D53*E53</f>
        <v>69750</v>
      </c>
      <c r="H53" s="11"/>
      <c r="I53" s="11">
        <f>(D53*E53)-Table3[[#This Row],[Paid]]</f>
        <v>69750</v>
      </c>
    </row>
    <row r="54" spans="1:9" x14ac:dyDescent="0.3">
      <c r="A54" s="1">
        <v>46020</v>
      </c>
      <c r="B54" t="s">
        <v>169</v>
      </c>
      <c r="D54" s="11">
        <v>58</v>
      </c>
      <c r="E54" s="11">
        <v>580</v>
      </c>
      <c r="F54" s="11"/>
      <c r="G54" s="11">
        <f t="shared" si="10"/>
        <v>33640</v>
      </c>
      <c r="H54" s="11"/>
      <c r="I54" s="11">
        <f>(D54*E54)-Table3[[#This Row],[Paid]]</f>
        <v>33640</v>
      </c>
    </row>
    <row r="55" spans="1:9" x14ac:dyDescent="0.3">
      <c r="A55" s="1">
        <v>46021</v>
      </c>
      <c r="B55" t="s">
        <v>169</v>
      </c>
      <c r="D55" s="11"/>
      <c r="E55" s="11"/>
      <c r="F55" s="11"/>
      <c r="G55" s="11">
        <f t="shared" si="10"/>
        <v>0</v>
      </c>
      <c r="H55" s="11">
        <f>SUMIFS(Table14[Debit], Table14[Date], Table3[[#This Row],[Date]], Table14[Party], Table3[[#This Row],[Party Name]])</f>
        <v>250000</v>
      </c>
      <c r="I55" s="11">
        <f>(D55*E55)-Table3[[#This Row],[Paid]]</f>
        <v>-250000</v>
      </c>
    </row>
    <row r="56" spans="1:9" x14ac:dyDescent="0.3">
      <c r="A56" s="1">
        <v>46021</v>
      </c>
      <c r="B56" t="s">
        <v>200</v>
      </c>
      <c r="D56" s="11"/>
      <c r="E56" s="11"/>
      <c r="F56" s="11"/>
      <c r="G56" s="11">
        <f t="shared" si="10"/>
        <v>0</v>
      </c>
      <c r="H56" s="11">
        <f>SUMIFS(Table14[Debit], Table14[Date], Table3[[#This Row],[Date]], Table14[Party], Table3[[#This Row],[Party Name]])</f>
        <v>205401</v>
      </c>
      <c r="I56" s="11">
        <f>(D56*E56)-Table3[[#This Row],[Paid]]</f>
        <v>-205401</v>
      </c>
    </row>
    <row r="57" spans="1:9" x14ac:dyDescent="0.3">
      <c r="A57" s="1">
        <v>46021</v>
      </c>
      <c r="B57" t="s">
        <v>241</v>
      </c>
      <c r="D57" s="11"/>
      <c r="E57" s="11"/>
      <c r="F57" s="11"/>
      <c r="G57" s="11">
        <f t="shared" si="10"/>
        <v>0</v>
      </c>
      <c r="H57" s="11">
        <f>SUMIFS(Table14[Debit], Table14[Date], Table3[[#This Row],[Date]], Table14[Party], Table3[[#This Row],[Party Name]])</f>
        <v>11850</v>
      </c>
      <c r="I57" s="11">
        <f>(D57*E57)-Table3[[#This Row],[Paid]]</f>
        <v>-11850</v>
      </c>
    </row>
    <row r="58" spans="1:9" x14ac:dyDescent="0.3">
      <c r="A58" s="1">
        <v>46021</v>
      </c>
      <c r="B58" t="s">
        <v>202</v>
      </c>
      <c r="D58" s="11"/>
      <c r="E58" s="11"/>
      <c r="F58" s="11"/>
      <c r="G58" s="11">
        <f t="shared" si="10"/>
        <v>0</v>
      </c>
      <c r="H58" s="11">
        <f>SUMIFS(Table14[Debit], Table14[Date], Table3[[#This Row],[Date]], Table14[Party], Table3[[#This Row],[Party Name]])</f>
        <v>27000</v>
      </c>
      <c r="I58" s="11">
        <f>(D58*E58)-Table3[[#This Row],[Paid]]</f>
        <v>-27000</v>
      </c>
    </row>
    <row r="59" spans="1:9" x14ac:dyDescent="0.3">
      <c r="A59" s="1">
        <v>46021</v>
      </c>
      <c r="B59" t="s">
        <v>94</v>
      </c>
      <c r="D59" s="11"/>
      <c r="E59" s="11"/>
      <c r="F59" s="11"/>
      <c r="G59" s="11">
        <f t="shared" si="10"/>
        <v>0</v>
      </c>
      <c r="H59" s="11">
        <f>SUMIFS(Table14[Debit], Table14[Date], Table3[[#This Row],[Date]], Table14[Party], Table3[[#This Row],[Party Name]])</f>
        <v>1000</v>
      </c>
      <c r="I59" s="11">
        <f>(D59*E59)-Table3[[#This Row],[Paid]]</f>
        <v>-1000</v>
      </c>
    </row>
    <row r="60" spans="1:9" x14ac:dyDescent="0.3">
      <c r="A60" s="1"/>
      <c r="D60" s="14"/>
      <c r="E60" s="14"/>
      <c r="F60" s="14"/>
      <c r="G60" s="14">
        <f>SUBTOTAL(109,Table3[Total])</f>
        <v>2637760</v>
      </c>
      <c r="H60" s="14">
        <f>SUBTOTAL(109,Table3[Paid])</f>
        <v>2696901</v>
      </c>
      <c r="I60" s="14">
        <f>SUBTOTAL(109,Table3[balance])</f>
        <v>3262287</v>
      </c>
    </row>
  </sheetData>
  <phoneticPr fontId="4" type="noConversion"/>
  <pageMargins left="0.7" right="0.7" top="0.75" bottom="0.75" header="0.3" footer="0.3"/>
  <pageSetup scale="37" firstPageNumber="0" fitToHeight="0"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C7D8-36BA-4EBA-8685-891B9162141F}">
  <dimension ref="A1:P467"/>
  <sheetViews>
    <sheetView topLeftCell="A228" zoomScale="158" workbookViewId="0">
      <selection activeCell="C243" sqref="C243"/>
    </sheetView>
  </sheetViews>
  <sheetFormatPr defaultRowHeight="14.4" x14ac:dyDescent="0.3"/>
  <cols>
    <col min="1" max="1" width="12.109375" customWidth="1"/>
    <col min="2" max="2" width="19.6640625" bestFit="1" customWidth="1"/>
    <col min="3" max="3" width="13.5546875" bestFit="1" customWidth="1"/>
    <col min="4" max="4" width="12.6640625" bestFit="1" customWidth="1"/>
    <col min="5" max="5" width="14.88671875" customWidth="1"/>
    <col min="6" max="6" width="13.33203125" bestFit="1" customWidth="1"/>
    <col min="7" max="7" width="14.6640625" bestFit="1" customWidth="1"/>
    <col min="8" max="8" width="16.109375" customWidth="1"/>
    <col min="9" max="9" width="14.44140625" bestFit="1" customWidth="1"/>
    <col min="10" max="10" width="16.33203125" bestFit="1" customWidth="1"/>
    <col min="11" max="11" width="12.21875" bestFit="1" customWidth="1"/>
    <col min="12" max="12" width="11.6640625" bestFit="1" customWidth="1"/>
    <col min="13" max="13" width="11.109375" customWidth="1"/>
    <col min="14" max="14" width="10.88671875" customWidth="1"/>
    <col min="15" max="15" width="12.5546875" customWidth="1"/>
    <col min="16" max="16" width="13.6640625" customWidth="1"/>
    <col min="18" max="18" width="11.5546875" customWidth="1"/>
  </cols>
  <sheetData>
    <row r="1" spans="1:16" x14ac:dyDescent="0.3">
      <c r="A1" t="s">
        <v>75</v>
      </c>
      <c r="B1" t="s">
        <v>110</v>
      </c>
      <c r="C1" t="s">
        <v>70</v>
      </c>
      <c r="D1" t="s">
        <v>69</v>
      </c>
      <c r="E1" t="s">
        <v>36</v>
      </c>
      <c r="F1" t="s">
        <v>111</v>
      </c>
      <c r="G1" t="s">
        <v>112</v>
      </c>
    </row>
    <row r="2" spans="1:16" x14ac:dyDescent="0.3">
      <c r="A2" s="86">
        <v>46008</v>
      </c>
      <c r="B2" s="81" t="s">
        <v>216</v>
      </c>
      <c r="C2" s="11"/>
      <c r="D2" s="87">
        <f>[1]Cashbook!$N$5</f>
        <v>7651062</v>
      </c>
      <c r="E2" s="81"/>
      <c r="F2" s="88" t="s">
        <v>108</v>
      </c>
    </row>
    <row r="3" spans="1:16" x14ac:dyDescent="0.3">
      <c r="A3" s="86">
        <v>46008</v>
      </c>
      <c r="B3" s="81" t="s">
        <v>216</v>
      </c>
      <c r="C3" s="11"/>
      <c r="D3" s="87">
        <f>[1]Cashbook!$N$6</f>
        <v>-610916</v>
      </c>
      <c r="E3" s="81"/>
      <c r="F3" s="88" t="s">
        <v>109</v>
      </c>
      <c r="J3" s="47" t="s">
        <v>45</v>
      </c>
      <c r="K3" s="35" t="s">
        <v>46</v>
      </c>
      <c r="M3" s="47" t="s">
        <v>45</v>
      </c>
      <c r="N3" s="50" t="s">
        <v>104</v>
      </c>
      <c r="O3" s="89" t="s">
        <v>105</v>
      </c>
      <c r="P3" t="s">
        <v>106</v>
      </c>
    </row>
    <row r="4" spans="1:16" x14ac:dyDescent="0.3">
      <c r="A4" s="116">
        <v>46014</v>
      </c>
      <c r="B4" s="81" t="s">
        <v>222</v>
      </c>
      <c r="C4" s="11"/>
      <c r="D4" s="87">
        <v>323372</v>
      </c>
      <c r="E4" s="81" t="s">
        <v>262</v>
      </c>
      <c r="F4" s="88" t="s">
        <v>108</v>
      </c>
      <c r="J4" s="45" t="s">
        <v>70</v>
      </c>
      <c r="K4" s="46">
        <f>Table14[[#Totals],[Debit]]</f>
        <v>20589837</v>
      </c>
      <c r="M4" s="45" t="s">
        <v>107</v>
      </c>
      <c r="N4" s="51">
        <f>SUMIFS(Table14[Withdrawal],Table14[Party],"Cash",Table14[Mode],"Transfer")</f>
        <v>0</v>
      </c>
    </row>
    <row r="5" spans="1:16" x14ac:dyDescent="0.3">
      <c r="A5" s="116">
        <v>46009</v>
      </c>
      <c r="B5" t="s">
        <v>177</v>
      </c>
      <c r="C5" s="11">
        <v>500</v>
      </c>
      <c r="D5" s="11"/>
      <c r="E5" t="s">
        <v>217</v>
      </c>
      <c r="F5" s="111" t="s">
        <v>108</v>
      </c>
      <c r="J5" s="45" t="s">
        <v>69</v>
      </c>
      <c r="K5" s="46">
        <f>Table14[[#Totals],[Credit]]</f>
        <v>20676731</v>
      </c>
      <c r="M5" s="45" t="s">
        <v>108</v>
      </c>
      <c r="N5" s="46">
        <f>(SUMIFS(Table14[Credit],Table14[Mode],"Bank")-SUMIFS(Table14[Debit],Table14[Mode],"Bank")-SUMIFS(Table14[Withdrawal],Table14[Mode],"Transfer"))</f>
        <v>697810</v>
      </c>
      <c r="O5">
        <v>360000</v>
      </c>
    </row>
    <row r="6" spans="1:16" x14ac:dyDescent="0.3">
      <c r="A6" s="38">
        <v>46009</v>
      </c>
      <c r="B6" t="s">
        <v>177</v>
      </c>
      <c r="C6" s="96">
        <v>3600</v>
      </c>
      <c r="D6" s="96"/>
      <c r="E6" t="s">
        <v>218</v>
      </c>
      <c r="F6" s="111" t="s">
        <v>108</v>
      </c>
      <c r="J6" s="52" t="s">
        <v>43</v>
      </c>
      <c r="K6" s="53">
        <f>(K5-K4)</f>
        <v>86894</v>
      </c>
      <c r="M6" s="45" t="s">
        <v>109</v>
      </c>
      <c r="N6" s="46">
        <f>((SUMIFS(Table14[Credit],Table14[Mode],"Cash")-SUMIFS(Table14[Debit],Table14[Mode],"Cash"))+SUMIFS(Table14[Withdrawal],Table14[Party],"Cash",Table14[Mode],"Transfer"))</f>
        <v>-610916</v>
      </c>
      <c r="O6">
        <v>50000</v>
      </c>
    </row>
    <row r="7" spans="1:16" x14ac:dyDescent="0.3">
      <c r="A7" s="38">
        <v>46009</v>
      </c>
      <c r="B7" t="s">
        <v>219</v>
      </c>
      <c r="C7" s="96">
        <v>5000</v>
      </c>
      <c r="D7" s="96"/>
      <c r="E7" t="s">
        <v>220</v>
      </c>
      <c r="F7" s="111" t="s">
        <v>108</v>
      </c>
      <c r="M7" s="48" t="s">
        <v>5</v>
      </c>
      <c r="N7" s="49">
        <f>SUM(N5:N6)</f>
        <v>86894</v>
      </c>
      <c r="O7" s="90">
        <f>SUM(O5,O6)</f>
        <v>410000</v>
      </c>
      <c r="P7" s="14">
        <f>Table18[[#Totals],[amount]]-Table18[[#Totals],[Actual]]</f>
        <v>-323106</v>
      </c>
    </row>
    <row r="8" spans="1:16" x14ac:dyDescent="0.3">
      <c r="A8" s="38">
        <v>46009</v>
      </c>
      <c r="B8" t="s">
        <v>52</v>
      </c>
      <c r="C8" s="96"/>
      <c r="D8" s="96"/>
      <c r="E8" t="s">
        <v>221</v>
      </c>
      <c r="F8" s="111" t="s">
        <v>108</v>
      </c>
    </row>
    <row r="9" spans="1:16" x14ac:dyDescent="0.3">
      <c r="A9" s="38">
        <v>46009</v>
      </c>
      <c r="B9" t="s">
        <v>222</v>
      </c>
      <c r="C9" s="96">
        <v>580</v>
      </c>
      <c r="D9" s="96"/>
      <c r="E9" t="s">
        <v>223</v>
      </c>
      <c r="F9" s="111" t="s">
        <v>108</v>
      </c>
    </row>
    <row r="10" spans="1:16" x14ac:dyDescent="0.3">
      <c r="A10" s="38">
        <v>46009</v>
      </c>
      <c r="B10" t="s">
        <v>94</v>
      </c>
      <c r="C10" s="96">
        <v>53250</v>
      </c>
      <c r="D10" s="96"/>
      <c r="E10" t="s">
        <v>191</v>
      </c>
      <c r="F10" s="111" t="s">
        <v>108</v>
      </c>
    </row>
    <row r="11" spans="1:16" x14ac:dyDescent="0.3">
      <c r="A11" s="38">
        <v>46009</v>
      </c>
      <c r="B11" t="s">
        <v>192</v>
      </c>
      <c r="C11" s="96">
        <v>8189253</v>
      </c>
      <c r="D11" s="96"/>
      <c r="E11" t="s">
        <v>262</v>
      </c>
      <c r="F11" s="111" t="s">
        <v>108</v>
      </c>
    </row>
    <row r="12" spans="1:16" x14ac:dyDescent="0.3">
      <c r="A12" s="38">
        <v>46009</v>
      </c>
      <c r="B12" t="s">
        <v>192</v>
      </c>
      <c r="C12" s="96"/>
      <c r="D12" s="96">
        <v>66250</v>
      </c>
      <c r="F12" s="111" t="s">
        <v>108</v>
      </c>
    </row>
    <row r="13" spans="1:16" x14ac:dyDescent="0.3">
      <c r="A13" s="38">
        <v>46009</v>
      </c>
      <c r="B13" t="s">
        <v>198</v>
      </c>
      <c r="C13" s="96">
        <v>183750</v>
      </c>
      <c r="D13" s="96"/>
      <c r="E13" t="s">
        <v>64</v>
      </c>
      <c r="F13" s="111" t="s">
        <v>108</v>
      </c>
    </row>
    <row r="14" spans="1:16" x14ac:dyDescent="0.3">
      <c r="A14" s="38">
        <v>46009</v>
      </c>
      <c r="B14" t="s">
        <v>192</v>
      </c>
      <c r="C14" s="11"/>
      <c r="D14" s="11">
        <v>183750</v>
      </c>
      <c r="E14" t="s">
        <v>198</v>
      </c>
      <c r="F14" s="111" t="s">
        <v>108</v>
      </c>
    </row>
    <row r="15" spans="1:16" x14ac:dyDescent="0.3">
      <c r="A15" s="38">
        <v>46010</v>
      </c>
      <c r="B15" t="s">
        <v>224</v>
      </c>
      <c r="C15" s="11"/>
      <c r="D15" s="11">
        <v>36500</v>
      </c>
      <c r="E15" t="s">
        <v>225</v>
      </c>
      <c r="F15" s="111" t="s">
        <v>108</v>
      </c>
    </row>
    <row r="16" spans="1:16" x14ac:dyDescent="0.3">
      <c r="A16" s="38">
        <v>46010</v>
      </c>
      <c r="B16" t="s">
        <v>192</v>
      </c>
      <c r="C16" s="11">
        <v>26500</v>
      </c>
      <c r="D16" s="11"/>
      <c r="E16" t="s">
        <v>226</v>
      </c>
      <c r="F16" s="111" t="s">
        <v>108</v>
      </c>
    </row>
    <row r="17" spans="1:6" x14ac:dyDescent="0.3">
      <c r="A17" s="38">
        <v>46010</v>
      </c>
      <c r="B17" t="s">
        <v>177</v>
      </c>
      <c r="C17" s="11">
        <v>3600</v>
      </c>
      <c r="D17" s="11"/>
      <c r="E17" t="s">
        <v>218</v>
      </c>
      <c r="F17" s="111" t="s">
        <v>108</v>
      </c>
    </row>
    <row r="18" spans="1:6" x14ac:dyDescent="0.3">
      <c r="A18" s="38">
        <v>46010</v>
      </c>
      <c r="B18" t="s">
        <v>55</v>
      </c>
      <c r="C18" s="11">
        <v>2100</v>
      </c>
      <c r="D18" s="11"/>
      <c r="E18" t="s">
        <v>227</v>
      </c>
      <c r="F18" s="111" t="s">
        <v>108</v>
      </c>
    </row>
    <row r="19" spans="1:6" x14ac:dyDescent="0.3">
      <c r="A19" s="38">
        <v>46010</v>
      </c>
      <c r="B19" t="s">
        <v>222</v>
      </c>
      <c r="C19" s="11">
        <v>140</v>
      </c>
      <c r="D19" s="11"/>
      <c r="E19" t="s">
        <v>217</v>
      </c>
      <c r="F19" s="111" t="s">
        <v>108</v>
      </c>
    </row>
    <row r="20" spans="1:6" x14ac:dyDescent="0.3">
      <c r="A20" s="38">
        <v>46010</v>
      </c>
      <c r="B20" t="s">
        <v>222</v>
      </c>
      <c r="C20" s="96">
        <v>1230</v>
      </c>
      <c r="D20" s="96"/>
      <c r="F20" s="111" t="s">
        <v>108</v>
      </c>
    </row>
    <row r="21" spans="1:6" x14ac:dyDescent="0.3">
      <c r="A21" s="38">
        <v>46009</v>
      </c>
      <c r="B21" t="s">
        <v>222</v>
      </c>
      <c r="C21" s="11">
        <v>1100</v>
      </c>
      <c r="D21" s="11"/>
      <c r="F21" s="111" t="s">
        <v>108</v>
      </c>
    </row>
    <row r="22" spans="1:6" x14ac:dyDescent="0.3">
      <c r="A22" s="38">
        <v>46010</v>
      </c>
      <c r="B22" t="s">
        <v>192</v>
      </c>
      <c r="C22" s="11"/>
      <c r="D22" s="11">
        <v>500000</v>
      </c>
      <c r="E22" t="s">
        <v>225</v>
      </c>
      <c r="F22" s="111" t="s">
        <v>108</v>
      </c>
    </row>
    <row r="23" spans="1:6" x14ac:dyDescent="0.3">
      <c r="A23" s="38">
        <v>46010</v>
      </c>
      <c r="B23" t="s">
        <v>192</v>
      </c>
      <c r="C23" s="11"/>
      <c r="D23" s="11">
        <v>53000</v>
      </c>
      <c r="F23" s="111" t="s">
        <v>108</v>
      </c>
    </row>
    <row r="24" spans="1:6" x14ac:dyDescent="0.3">
      <c r="A24" s="38">
        <v>46010</v>
      </c>
      <c r="B24" t="s">
        <v>94</v>
      </c>
      <c r="C24" s="11">
        <v>200009</v>
      </c>
      <c r="D24" s="11"/>
      <c r="E24" t="s">
        <v>228</v>
      </c>
      <c r="F24" s="111" t="s">
        <v>108</v>
      </c>
    </row>
    <row r="25" spans="1:6" x14ac:dyDescent="0.3">
      <c r="A25" s="38">
        <v>46010</v>
      </c>
      <c r="B25" t="s">
        <v>229</v>
      </c>
      <c r="C25" s="11">
        <v>200025</v>
      </c>
      <c r="D25" s="11"/>
      <c r="F25" s="111" t="s">
        <v>108</v>
      </c>
    </row>
    <row r="26" spans="1:6" x14ac:dyDescent="0.3">
      <c r="A26" s="38">
        <v>46010</v>
      </c>
      <c r="B26" t="s">
        <v>202</v>
      </c>
      <c r="C26" s="11">
        <v>40000</v>
      </c>
      <c r="D26" s="11"/>
      <c r="E26" t="s">
        <v>230</v>
      </c>
      <c r="F26" s="111" t="s">
        <v>108</v>
      </c>
    </row>
    <row r="27" spans="1:6" x14ac:dyDescent="0.3">
      <c r="A27" s="38">
        <v>46010</v>
      </c>
      <c r="B27" t="s">
        <v>149</v>
      </c>
      <c r="C27" s="96">
        <v>50000</v>
      </c>
      <c r="D27" s="96"/>
      <c r="F27" s="111" t="s">
        <v>108</v>
      </c>
    </row>
    <row r="28" spans="1:6" x14ac:dyDescent="0.3">
      <c r="A28" s="38">
        <v>46010</v>
      </c>
      <c r="B28" t="s">
        <v>169</v>
      </c>
      <c r="C28" s="96">
        <v>115000</v>
      </c>
      <c r="D28" s="96"/>
      <c r="F28" s="111" t="s">
        <v>108</v>
      </c>
    </row>
    <row r="29" spans="1:6" x14ac:dyDescent="0.3">
      <c r="A29" s="116">
        <v>46010</v>
      </c>
      <c r="B29" t="s">
        <v>152</v>
      </c>
      <c r="C29" s="96"/>
      <c r="D29" s="96">
        <v>440000</v>
      </c>
      <c r="E29" t="s">
        <v>69</v>
      </c>
      <c r="F29" s="111" t="s">
        <v>108</v>
      </c>
    </row>
    <row r="30" spans="1:6" x14ac:dyDescent="0.3">
      <c r="A30" s="116">
        <v>46010</v>
      </c>
      <c r="B30" t="s">
        <v>192</v>
      </c>
      <c r="C30" s="96">
        <v>440000</v>
      </c>
      <c r="D30" s="96"/>
      <c r="E30" t="s">
        <v>298</v>
      </c>
      <c r="F30" s="111" t="s">
        <v>108</v>
      </c>
    </row>
    <row r="31" spans="1:6" x14ac:dyDescent="0.3">
      <c r="A31" s="38">
        <v>46010</v>
      </c>
      <c r="B31" t="s">
        <v>192</v>
      </c>
      <c r="C31" s="96"/>
      <c r="D31" s="96">
        <v>100000</v>
      </c>
      <c r="F31" s="111" t="s">
        <v>108</v>
      </c>
    </row>
    <row r="32" spans="1:6" x14ac:dyDescent="0.3">
      <c r="A32" s="38">
        <v>46010</v>
      </c>
      <c r="B32" t="s">
        <v>55</v>
      </c>
      <c r="C32" s="96">
        <v>1400</v>
      </c>
      <c r="D32" s="96"/>
      <c r="E32" t="s">
        <v>231</v>
      </c>
      <c r="F32" s="111" t="s">
        <v>108</v>
      </c>
    </row>
    <row r="33" spans="1:6" x14ac:dyDescent="0.3">
      <c r="A33" s="38">
        <v>46010</v>
      </c>
      <c r="B33" t="s">
        <v>55</v>
      </c>
      <c r="C33" s="11">
        <v>8575</v>
      </c>
      <c r="D33" s="11"/>
      <c r="E33" t="s">
        <v>232</v>
      </c>
      <c r="F33" s="111" t="s">
        <v>108</v>
      </c>
    </row>
    <row r="34" spans="1:6" x14ac:dyDescent="0.3">
      <c r="A34" s="38">
        <v>46010</v>
      </c>
      <c r="B34" t="s">
        <v>233</v>
      </c>
      <c r="C34" s="11">
        <v>20000</v>
      </c>
      <c r="D34" s="11"/>
      <c r="E34" t="s">
        <v>234</v>
      </c>
      <c r="F34" s="111" t="s">
        <v>108</v>
      </c>
    </row>
    <row r="35" spans="1:6" x14ac:dyDescent="0.3">
      <c r="A35" s="38">
        <v>46010</v>
      </c>
      <c r="B35" t="s">
        <v>50</v>
      </c>
      <c r="C35" s="11">
        <v>1470</v>
      </c>
      <c r="D35" s="11"/>
      <c r="E35" t="s">
        <v>235</v>
      </c>
      <c r="F35" s="111" t="s">
        <v>108</v>
      </c>
    </row>
    <row r="36" spans="1:6" x14ac:dyDescent="0.3">
      <c r="A36" s="38">
        <v>46010</v>
      </c>
      <c r="B36" t="s">
        <v>50</v>
      </c>
      <c r="C36" s="11">
        <v>1040</v>
      </c>
      <c r="D36" s="11"/>
      <c r="E36" t="s">
        <v>235</v>
      </c>
      <c r="F36" s="111" t="s">
        <v>108</v>
      </c>
    </row>
    <row r="37" spans="1:6" x14ac:dyDescent="0.3">
      <c r="A37" s="38">
        <v>46010</v>
      </c>
      <c r="B37" t="s">
        <v>54</v>
      </c>
      <c r="C37" s="11">
        <v>3000</v>
      </c>
      <c r="D37" s="11"/>
      <c r="E37" t="s">
        <v>236</v>
      </c>
      <c r="F37" s="111" t="s">
        <v>108</v>
      </c>
    </row>
    <row r="38" spans="1:6" x14ac:dyDescent="0.3">
      <c r="A38" s="38">
        <v>46010</v>
      </c>
      <c r="B38" t="s">
        <v>54</v>
      </c>
      <c r="C38" s="11">
        <v>13000</v>
      </c>
      <c r="D38" s="11"/>
      <c r="E38" t="s">
        <v>236</v>
      </c>
      <c r="F38" s="111" t="s">
        <v>108</v>
      </c>
    </row>
    <row r="39" spans="1:6" x14ac:dyDescent="0.3">
      <c r="A39" s="38">
        <v>46010</v>
      </c>
      <c r="B39" t="s">
        <v>192</v>
      </c>
      <c r="C39" s="11"/>
      <c r="D39" s="11">
        <v>13000</v>
      </c>
      <c r="E39" t="s">
        <v>236</v>
      </c>
      <c r="F39" s="111" t="s">
        <v>108</v>
      </c>
    </row>
    <row r="40" spans="1:6" x14ac:dyDescent="0.3">
      <c r="A40" s="38">
        <v>46010</v>
      </c>
      <c r="B40" t="s">
        <v>233</v>
      </c>
      <c r="C40" s="11">
        <v>7000</v>
      </c>
      <c r="D40" s="11"/>
      <c r="E40" t="s">
        <v>237</v>
      </c>
      <c r="F40" s="111" t="s">
        <v>108</v>
      </c>
    </row>
    <row r="41" spans="1:6" x14ac:dyDescent="0.3">
      <c r="A41" s="38">
        <v>46010</v>
      </c>
      <c r="B41" t="s">
        <v>192</v>
      </c>
      <c r="C41" s="11"/>
      <c r="D41" s="11">
        <v>7000</v>
      </c>
      <c r="E41" t="s">
        <v>238</v>
      </c>
      <c r="F41" s="111" t="s">
        <v>108</v>
      </c>
    </row>
    <row r="42" spans="1:6" x14ac:dyDescent="0.3">
      <c r="A42" s="38">
        <v>46010</v>
      </c>
      <c r="B42" t="s">
        <v>52</v>
      </c>
      <c r="C42" s="11"/>
      <c r="D42" s="11"/>
      <c r="E42" t="s">
        <v>239</v>
      </c>
      <c r="F42" s="111" t="s">
        <v>108</v>
      </c>
    </row>
    <row r="43" spans="1:6" x14ac:dyDescent="0.3">
      <c r="A43" s="38">
        <v>46010</v>
      </c>
      <c r="B43" t="s">
        <v>192</v>
      </c>
      <c r="C43" s="11"/>
      <c r="D43" s="11">
        <v>22000</v>
      </c>
      <c r="E43" t="s">
        <v>239</v>
      </c>
      <c r="F43" s="111" t="s">
        <v>108</v>
      </c>
    </row>
    <row r="44" spans="1:6" x14ac:dyDescent="0.3">
      <c r="A44" s="38">
        <v>46011</v>
      </c>
      <c r="B44" t="s">
        <v>233</v>
      </c>
      <c r="C44" s="11">
        <v>2000</v>
      </c>
      <c r="D44" s="11"/>
      <c r="E44" t="s">
        <v>244</v>
      </c>
      <c r="F44" s="111" t="s">
        <v>108</v>
      </c>
    </row>
    <row r="45" spans="1:6" x14ac:dyDescent="0.3">
      <c r="A45" s="38">
        <v>46011</v>
      </c>
      <c r="B45" t="s">
        <v>152</v>
      </c>
      <c r="C45" s="11"/>
      <c r="D45" s="11">
        <v>48000</v>
      </c>
      <c r="E45" t="s">
        <v>245</v>
      </c>
      <c r="F45" s="111" t="s">
        <v>108</v>
      </c>
    </row>
    <row r="46" spans="1:6" x14ac:dyDescent="0.3">
      <c r="A46" s="38">
        <v>46011</v>
      </c>
      <c r="B46" t="s">
        <v>54</v>
      </c>
      <c r="C46" s="11">
        <v>6530</v>
      </c>
      <c r="D46" s="11"/>
      <c r="E46" t="s">
        <v>246</v>
      </c>
      <c r="F46" s="111" t="s">
        <v>108</v>
      </c>
    </row>
    <row r="47" spans="1:6" x14ac:dyDescent="0.3">
      <c r="A47" s="38">
        <v>46011</v>
      </c>
      <c r="B47" t="s">
        <v>55</v>
      </c>
      <c r="C47" s="11">
        <v>1100</v>
      </c>
      <c r="D47" s="11"/>
      <c r="E47" t="s">
        <v>247</v>
      </c>
      <c r="F47" s="111" t="s">
        <v>108</v>
      </c>
    </row>
    <row r="48" spans="1:6" x14ac:dyDescent="0.3">
      <c r="A48" s="38">
        <v>46011</v>
      </c>
      <c r="B48" t="s">
        <v>52</v>
      </c>
      <c r="C48" s="11"/>
      <c r="D48" s="11"/>
      <c r="E48" t="s">
        <v>248</v>
      </c>
      <c r="F48" s="111" t="s">
        <v>108</v>
      </c>
    </row>
    <row r="49" spans="1:6" x14ac:dyDescent="0.3">
      <c r="A49" s="116">
        <v>46011</v>
      </c>
      <c r="B49" t="s">
        <v>177</v>
      </c>
      <c r="C49" s="11">
        <v>2000</v>
      </c>
      <c r="D49" s="11"/>
      <c r="E49" t="s">
        <v>259</v>
      </c>
      <c r="F49" s="111" t="s">
        <v>108</v>
      </c>
    </row>
    <row r="50" spans="1:6" x14ac:dyDescent="0.3">
      <c r="A50" s="38">
        <v>46012</v>
      </c>
      <c r="B50" t="s">
        <v>192</v>
      </c>
      <c r="C50" s="11"/>
      <c r="D50" s="11">
        <v>700000</v>
      </c>
      <c r="E50" t="s">
        <v>249</v>
      </c>
      <c r="F50" s="111" t="s">
        <v>108</v>
      </c>
    </row>
    <row r="51" spans="1:6" x14ac:dyDescent="0.3">
      <c r="A51" s="38">
        <v>46012</v>
      </c>
      <c r="B51" t="s">
        <v>229</v>
      </c>
      <c r="C51" s="11">
        <v>50000</v>
      </c>
      <c r="D51" s="11"/>
      <c r="F51" s="111" t="s">
        <v>108</v>
      </c>
    </row>
    <row r="52" spans="1:6" x14ac:dyDescent="0.3">
      <c r="A52" s="38">
        <v>46013</v>
      </c>
      <c r="B52" t="s">
        <v>192</v>
      </c>
      <c r="C52" s="11"/>
      <c r="D52" s="11">
        <v>200000</v>
      </c>
      <c r="E52" t="s">
        <v>250</v>
      </c>
      <c r="F52" s="111" t="s">
        <v>108</v>
      </c>
    </row>
    <row r="53" spans="1:6" x14ac:dyDescent="0.3">
      <c r="A53" s="38">
        <v>46013</v>
      </c>
      <c r="B53" t="s">
        <v>192</v>
      </c>
      <c r="C53" s="11"/>
      <c r="D53" s="11">
        <v>500000</v>
      </c>
      <c r="E53" t="s">
        <v>251</v>
      </c>
      <c r="F53" s="111" t="s">
        <v>108</v>
      </c>
    </row>
    <row r="54" spans="1:6" x14ac:dyDescent="0.3">
      <c r="A54" s="38">
        <v>46013</v>
      </c>
      <c r="B54" t="s">
        <v>192</v>
      </c>
      <c r="C54" s="11"/>
      <c r="D54" s="11">
        <v>635000</v>
      </c>
      <c r="F54" s="111" t="s">
        <v>108</v>
      </c>
    </row>
    <row r="55" spans="1:6" x14ac:dyDescent="0.3">
      <c r="A55" s="38">
        <v>46013</v>
      </c>
      <c r="B55" t="s">
        <v>192</v>
      </c>
      <c r="C55" s="11"/>
      <c r="D55" s="11">
        <v>20000</v>
      </c>
      <c r="E55" t="s">
        <v>248</v>
      </c>
      <c r="F55" s="111" t="s">
        <v>108</v>
      </c>
    </row>
    <row r="56" spans="1:6" x14ac:dyDescent="0.3">
      <c r="A56" s="38">
        <v>46013</v>
      </c>
      <c r="B56" t="s">
        <v>192</v>
      </c>
      <c r="C56" s="11"/>
      <c r="D56" s="11">
        <v>50000</v>
      </c>
      <c r="E56" t="s">
        <v>252</v>
      </c>
      <c r="F56" s="111" t="s">
        <v>108</v>
      </c>
    </row>
    <row r="57" spans="1:6" x14ac:dyDescent="0.3">
      <c r="A57" s="38">
        <v>46013</v>
      </c>
      <c r="B57" t="s">
        <v>51</v>
      </c>
      <c r="C57" s="96">
        <v>2047865</v>
      </c>
      <c r="D57" s="96"/>
      <c r="E57" t="s">
        <v>249</v>
      </c>
      <c r="F57" s="111" t="s">
        <v>108</v>
      </c>
    </row>
    <row r="58" spans="1:6" x14ac:dyDescent="0.3">
      <c r="A58" s="38">
        <v>46013</v>
      </c>
      <c r="B58" t="s">
        <v>9</v>
      </c>
      <c r="C58" s="11"/>
      <c r="D58" s="11">
        <v>200000</v>
      </c>
      <c r="E58" t="s">
        <v>253</v>
      </c>
      <c r="F58" s="111" t="s">
        <v>108</v>
      </c>
    </row>
    <row r="59" spans="1:6" x14ac:dyDescent="0.3">
      <c r="A59" s="38">
        <v>46013</v>
      </c>
      <c r="B59" t="s">
        <v>198</v>
      </c>
      <c r="C59" s="11">
        <v>111250</v>
      </c>
      <c r="D59" s="11"/>
      <c r="E59" t="s">
        <v>64</v>
      </c>
      <c r="F59" s="111" t="s">
        <v>108</v>
      </c>
    </row>
    <row r="60" spans="1:6" x14ac:dyDescent="0.3">
      <c r="A60" s="38">
        <v>46013</v>
      </c>
      <c r="B60" t="s">
        <v>192</v>
      </c>
      <c r="C60" s="11"/>
      <c r="D60" s="11">
        <v>48000</v>
      </c>
      <c r="E60" t="s">
        <v>254</v>
      </c>
      <c r="F60" s="111" t="s">
        <v>108</v>
      </c>
    </row>
    <row r="61" spans="1:6" x14ac:dyDescent="0.3">
      <c r="A61" s="38">
        <v>46013</v>
      </c>
      <c r="B61" t="s">
        <v>52</v>
      </c>
      <c r="C61" s="11"/>
      <c r="D61" s="11"/>
      <c r="E61" t="s">
        <v>255</v>
      </c>
      <c r="F61" s="111" t="s">
        <v>108</v>
      </c>
    </row>
    <row r="62" spans="1:6" x14ac:dyDescent="0.3">
      <c r="A62" s="38">
        <v>46013</v>
      </c>
      <c r="B62" t="s">
        <v>177</v>
      </c>
      <c r="C62" s="11">
        <v>13000</v>
      </c>
      <c r="D62" s="11"/>
      <c r="E62" t="s">
        <v>218</v>
      </c>
      <c r="F62" s="111" t="s">
        <v>108</v>
      </c>
    </row>
    <row r="63" spans="1:6" x14ac:dyDescent="0.3">
      <c r="A63" s="38">
        <v>46013</v>
      </c>
      <c r="B63" t="s">
        <v>222</v>
      </c>
      <c r="C63" s="11">
        <f>2000+1300+760</f>
        <v>4060</v>
      </c>
      <c r="D63" s="11"/>
      <c r="F63" s="111" t="s">
        <v>108</v>
      </c>
    </row>
    <row r="64" spans="1:6" x14ac:dyDescent="0.3">
      <c r="A64" s="38">
        <v>46013</v>
      </c>
      <c r="B64" t="s">
        <v>256</v>
      </c>
      <c r="C64" s="96">
        <v>10000</v>
      </c>
      <c r="D64" s="96"/>
      <c r="F64" s="111" t="s">
        <v>108</v>
      </c>
    </row>
    <row r="65" spans="1:6" x14ac:dyDescent="0.3">
      <c r="A65" s="38">
        <v>46011</v>
      </c>
      <c r="B65" t="s">
        <v>54</v>
      </c>
      <c r="C65" s="96">
        <v>5306</v>
      </c>
      <c r="D65" s="96"/>
      <c r="F65" s="111" t="s">
        <v>108</v>
      </c>
    </row>
    <row r="66" spans="1:6" x14ac:dyDescent="0.3">
      <c r="A66" s="38">
        <v>46011</v>
      </c>
      <c r="B66" t="s">
        <v>222</v>
      </c>
      <c r="C66" s="11">
        <v>1200</v>
      </c>
      <c r="D66" s="11"/>
      <c r="E66" t="s">
        <v>223</v>
      </c>
      <c r="F66" s="111" t="s">
        <v>108</v>
      </c>
    </row>
    <row r="67" spans="1:6" x14ac:dyDescent="0.3">
      <c r="A67" s="38">
        <v>46011</v>
      </c>
      <c r="B67" t="s">
        <v>222</v>
      </c>
      <c r="C67" s="11">
        <v>1280</v>
      </c>
      <c r="D67" s="11"/>
      <c r="F67" s="111" t="s">
        <v>108</v>
      </c>
    </row>
    <row r="68" spans="1:6" x14ac:dyDescent="0.3">
      <c r="A68" s="38">
        <v>46011</v>
      </c>
      <c r="B68" t="s">
        <v>199</v>
      </c>
      <c r="C68" s="11"/>
      <c r="D68" s="11">
        <v>85000</v>
      </c>
      <c r="F68" s="111" t="s">
        <v>108</v>
      </c>
    </row>
    <row r="69" spans="1:6" x14ac:dyDescent="0.3">
      <c r="A69" s="38">
        <v>46011</v>
      </c>
      <c r="B69" t="s">
        <v>192</v>
      </c>
      <c r="C69" s="11">
        <v>85000</v>
      </c>
      <c r="D69" s="11"/>
      <c r="E69" t="s">
        <v>257</v>
      </c>
      <c r="F69" s="111" t="s">
        <v>108</v>
      </c>
    </row>
    <row r="70" spans="1:6" x14ac:dyDescent="0.3">
      <c r="A70" s="116">
        <v>46012</v>
      </c>
      <c r="B70" t="s">
        <v>277</v>
      </c>
      <c r="C70" s="11"/>
      <c r="D70" s="11">
        <v>600000</v>
      </c>
      <c r="E70" t="s">
        <v>278</v>
      </c>
      <c r="F70" s="111" t="s">
        <v>108</v>
      </c>
    </row>
    <row r="71" spans="1:6" x14ac:dyDescent="0.3">
      <c r="A71" s="116">
        <v>46012</v>
      </c>
      <c r="B71" t="s">
        <v>192</v>
      </c>
      <c r="C71" s="11">
        <v>600000</v>
      </c>
      <c r="D71" s="11"/>
      <c r="E71" t="s">
        <v>279</v>
      </c>
      <c r="F71" s="111" t="s">
        <v>108</v>
      </c>
    </row>
    <row r="72" spans="1:6" x14ac:dyDescent="0.3">
      <c r="A72" s="38">
        <v>46013</v>
      </c>
      <c r="B72" t="s">
        <v>169</v>
      </c>
      <c r="C72" s="11">
        <v>100500</v>
      </c>
      <c r="D72" s="11"/>
      <c r="F72" s="111" t="s">
        <v>108</v>
      </c>
    </row>
    <row r="73" spans="1:6" x14ac:dyDescent="0.3">
      <c r="A73" s="116">
        <v>46013</v>
      </c>
      <c r="B73" t="s">
        <v>50</v>
      </c>
      <c r="C73" s="11">
        <v>300</v>
      </c>
      <c r="D73" s="11"/>
      <c r="E73" t="s">
        <v>260</v>
      </c>
      <c r="F73" s="111" t="s">
        <v>108</v>
      </c>
    </row>
    <row r="74" spans="1:6" x14ac:dyDescent="0.3">
      <c r="A74" s="38">
        <v>46011</v>
      </c>
      <c r="B74" t="s">
        <v>177</v>
      </c>
      <c r="C74" s="96">
        <f>2000+200</f>
        <v>2200</v>
      </c>
      <c r="D74" s="96"/>
      <c r="E74" t="s">
        <v>261</v>
      </c>
      <c r="F74" s="111" t="s">
        <v>108</v>
      </c>
    </row>
    <row r="75" spans="1:6" x14ac:dyDescent="0.3">
      <c r="A75" s="116">
        <v>46014</v>
      </c>
      <c r="B75" t="s">
        <v>177</v>
      </c>
      <c r="C75" s="11">
        <v>770</v>
      </c>
      <c r="D75" s="11"/>
      <c r="E75" t="s">
        <v>263</v>
      </c>
      <c r="F75" s="111" t="s">
        <v>108</v>
      </c>
    </row>
    <row r="76" spans="1:6" x14ac:dyDescent="0.3">
      <c r="A76" s="116">
        <v>46014</v>
      </c>
      <c r="B76" t="s">
        <v>177</v>
      </c>
      <c r="C76" s="11">
        <v>631454</v>
      </c>
      <c r="D76" s="11"/>
      <c r="E76" t="s">
        <v>262</v>
      </c>
      <c r="F76" s="111" t="s">
        <v>108</v>
      </c>
    </row>
    <row r="77" spans="1:6" x14ac:dyDescent="0.3">
      <c r="A77" s="116">
        <v>46014</v>
      </c>
      <c r="B77" t="s">
        <v>192</v>
      </c>
      <c r="C77" s="11"/>
      <c r="D77" s="11">
        <v>150000</v>
      </c>
      <c r="E77" t="s">
        <v>252</v>
      </c>
      <c r="F77" s="111" t="s">
        <v>108</v>
      </c>
    </row>
    <row r="78" spans="1:6" x14ac:dyDescent="0.3">
      <c r="A78" s="116">
        <v>46014</v>
      </c>
      <c r="B78" t="s">
        <v>229</v>
      </c>
      <c r="C78" s="11">
        <v>150000</v>
      </c>
      <c r="D78" s="11"/>
      <c r="E78" t="s">
        <v>264</v>
      </c>
      <c r="F78" s="111" t="s">
        <v>108</v>
      </c>
    </row>
    <row r="79" spans="1:6" x14ac:dyDescent="0.3">
      <c r="A79" s="116">
        <v>46014</v>
      </c>
      <c r="B79" t="s">
        <v>192</v>
      </c>
      <c r="C79" s="11"/>
      <c r="D79" s="11">
        <v>100000</v>
      </c>
      <c r="E79" t="s">
        <v>265</v>
      </c>
      <c r="F79" s="111" t="s">
        <v>108</v>
      </c>
    </row>
    <row r="80" spans="1:6" x14ac:dyDescent="0.3">
      <c r="A80" s="116">
        <v>46014</v>
      </c>
      <c r="B80" t="s">
        <v>52</v>
      </c>
      <c r="C80" s="11"/>
      <c r="D80" s="11"/>
      <c r="E80" t="s">
        <v>266</v>
      </c>
      <c r="F80" s="111" t="s">
        <v>108</v>
      </c>
    </row>
    <row r="81" spans="1:6" x14ac:dyDescent="0.3">
      <c r="A81" s="116">
        <v>46014</v>
      </c>
      <c r="B81" t="s">
        <v>52</v>
      </c>
      <c r="C81" s="11"/>
      <c r="D81" s="11"/>
      <c r="E81" t="s">
        <v>267</v>
      </c>
      <c r="F81" s="111" t="s">
        <v>108</v>
      </c>
    </row>
    <row r="82" spans="1:6" x14ac:dyDescent="0.3">
      <c r="A82" s="116">
        <v>46014</v>
      </c>
      <c r="B82" t="s">
        <v>55</v>
      </c>
      <c r="C82" s="11">
        <v>3400</v>
      </c>
      <c r="D82" s="11"/>
      <c r="E82" t="s">
        <v>268</v>
      </c>
      <c r="F82" s="111" t="s">
        <v>108</v>
      </c>
    </row>
    <row r="83" spans="1:6" x14ac:dyDescent="0.3">
      <c r="A83" s="116">
        <v>46014</v>
      </c>
      <c r="B83" t="s">
        <v>54</v>
      </c>
      <c r="C83" s="96">
        <v>5306</v>
      </c>
      <c r="D83" s="96"/>
      <c r="E83" t="s">
        <v>236</v>
      </c>
      <c r="F83" s="111" t="s">
        <v>108</v>
      </c>
    </row>
    <row r="84" spans="1:6" x14ac:dyDescent="0.3">
      <c r="A84" s="38">
        <v>46011</v>
      </c>
      <c r="B84" t="s">
        <v>166</v>
      </c>
      <c r="C84" s="96"/>
      <c r="D84" s="96">
        <v>150000</v>
      </c>
      <c r="E84" t="s">
        <v>273</v>
      </c>
      <c r="F84" s="111" t="s">
        <v>108</v>
      </c>
    </row>
    <row r="85" spans="1:6" x14ac:dyDescent="0.3">
      <c r="A85" s="38">
        <v>46011</v>
      </c>
      <c r="B85" t="s">
        <v>192</v>
      </c>
      <c r="C85" s="96">
        <v>150000</v>
      </c>
      <c r="D85" s="96"/>
      <c r="E85" t="s">
        <v>274</v>
      </c>
      <c r="F85" s="111" t="s">
        <v>108</v>
      </c>
    </row>
    <row r="86" spans="1:6" x14ac:dyDescent="0.3">
      <c r="A86" s="116">
        <v>46011</v>
      </c>
      <c r="B86" t="s">
        <v>166</v>
      </c>
      <c r="C86" s="96"/>
      <c r="D86" s="96">
        <v>100000</v>
      </c>
      <c r="E86" t="s">
        <v>275</v>
      </c>
      <c r="F86" s="111" t="s">
        <v>108</v>
      </c>
    </row>
    <row r="87" spans="1:6" x14ac:dyDescent="0.3">
      <c r="A87" s="116">
        <v>46011</v>
      </c>
      <c r="B87" t="s">
        <v>192</v>
      </c>
      <c r="C87" s="96">
        <v>100000</v>
      </c>
      <c r="D87" s="96"/>
      <c r="E87" t="s">
        <v>276</v>
      </c>
      <c r="F87" s="111" t="s">
        <v>108</v>
      </c>
    </row>
    <row r="88" spans="1:6" x14ac:dyDescent="0.3">
      <c r="A88" s="116">
        <v>46013</v>
      </c>
      <c r="B88" t="s">
        <v>166</v>
      </c>
      <c r="C88" s="11"/>
      <c r="D88" s="11">
        <v>140000</v>
      </c>
      <c r="E88" t="s">
        <v>269</v>
      </c>
      <c r="F88" s="111" t="s">
        <v>108</v>
      </c>
    </row>
    <row r="89" spans="1:6" x14ac:dyDescent="0.3">
      <c r="A89" s="116">
        <v>46013</v>
      </c>
      <c r="B89" t="s">
        <v>192</v>
      </c>
      <c r="C89" s="11">
        <v>140000</v>
      </c>
      <c r="D89" s="11"/>
      <c r="E89" t="s">
        <v>270</v>
      </c>
      <c r="F89" s="111" t="s">
        <v>108</v>
      </c>
    </row>
    <row r="90" spans="1:6" x14ac:dyDescent="0.3">
      <c r="A90" s="38">
        <v>46014</v>
      </c>
      <c r="B90" t="s">
        <v>166</v>
      </c>
      <c r="C90" s="96"/>
      <c r="D90" s="96">
        <v>150000</v>
      </c>
      <c r="E90" t="s">
        <v>271</v>
      </c>
      <c r="F90" s="111" t="s">
        <v>108</v>
      </c>
    </row>
    <row r="91" spans="1:6" x14ac:dyDescent="0.3">
      <c r="A91" s="38">
        <v>46014</v>
      </c>
      <c r="B91" t="s">
        <v>192</v>
      </c>
      <c r="C91" s="96">
        <v>150000</v>
      </c>
      <c r="D91" s="96"/>
      <c r="E91" t="s">
        <v>272</v>
      </c>
      <c r="F91" s="111" t="s">
        <v>108</v>
      </c>
    </row>
    <row r="92" spans="1:6" x14ac:dyDescent="0.3">
      <c r="A92" s="116">
        <v>46014</v>
      </c>
      <c r="B92" t="s">
        <v>199</v>
      </c>
      <c r="C92" s="11"/>
      <c r="D92" s="11">
        <v>104770</v>
      </c>
      <c r="E92" t="s">
        <v>280</v>
      </c>
      <c r="F92" s="111" t="s">
        <v>108</v>
      </c>
    </row>
    <row r="93" spans="1:6" x14ac:dyDescent="0.3">
      <c r="A93" s="116">
        <v>46014</v>
      </c>
      <c r="B93" t="s">
        <v>192</v>
      </c>
      <c r="C93" s="11">
        <v>104770</v>
      </c>
      <c r="D93" s="11"/>
      <c r="E93" t="s">
        <v>281</v>
      </c>
      <c r="F93" s="111" t="s">
        <v>108</v>
      </c>
    </row>
    <row r="94" spans="1:6" x14ac:dyDescent="0.3">
      <c r="A94" s="38">
        <v>46014</v>
      </c>
      <c r="B94" t="s">
        <v>116</v>
      </c>
      <c r="C94" s="96">
        <v>150000</v>
      </c>
      <c r="D94" s="96"/>
      <c r="E94" t="s">
        <v>282</v>
      </c>
      <c r="F94" s="111" t="s">
        <v>108</v>
      </c>
    </row>
    <row r="95" spans="1:6" x14ac:dyDescent="0.3">
      <c r="A95" s="38">
        <v>46014</v>
      </c>
      <c r="B95" t="s">
        <v>192</v>
      </c>
      <c r="C95" s="96"/>
      <c r="D95" s="96">
        <v>150000</v>
      </c>
      <c r="E95" t="s">
        <v>116</v>
      </c>
      <c r="F95" s="111" t="s">
        <v>108</v>
      </c>
    </row>
    <row r="96" spans="1:6" x14ac:dyDescent="0.3">
      <c r="A96" s="38">
        <v>46014</v>
      </c>
      <c r="B96" t="s">
        <v>192</v>
      </c>
      <c r="C96" s="96"/>
      <c r="D96" s="96">
        <v>80000</v>
      </c>
      <c r="E96" t="s">
        <v>283</v>
      </c>
      <c r="F96" s="111" t="s">
        <v>108</v>
      </c>
    </row>
    <row r="97" spans="1:6" x14ac:dyDescent="0.3">
      <c r="A97" s="38">
        <v>46014</v>
      </c>
      <c r="B97" t="s">
        <v>192</v>
      </c>
      <c r="C97" s="96"/>
      <c r="D97" s="96">
        <v>52000</v>
      </c>
      <c r="E97" t="s">
        <v>284</v>
      </c>
      <c r="F97" s="111" t="s">
        <v>108</v>
      </c>
    </row>
    <row r="98" spans="1:6" x14ac:dyDescent="0.3">
      <c r="A98" s="116">
        <v>46014</v>
      </c>
      <c r="B98" t="s">
        <v>286</v>
      </c>
      <c r="C98" s="11"/>
      <c r="D98" s="11">
        <v>713525</v>
      </c>
      <c r="E98" t="s">
        <v>287</v>
      </c>
      <c r="F98" s="111" t="s">
        <v>108</v>
      </c>
    </row>
    <row r="99" spans="1:6" x14ac:dyDescent="0.3">
      <c r="A99" s="38">
        <v>46014</v>
      </c>
      <c r="B99" t="s">
        <v>192</v>
      </c>
      <c r="C99" s="96">
        <v>713525</v>
      </c>
      <c r="D99" s="96"/>
      <c r="E99" t="s">
        <v>288</v>
      </c>
      <c r="F99" s="111" t="s">
        <v>108</v>
      </c>
    </row>
    <row r="100" spans="1:6" x14ac:dyDescent="0.3">
      <c r="A100" s="116">
        <v>46015</v>
      </c>
      <c r="B100" t="s">
        <v>229</v>
      </c>
      <c r="C100" s="11">
        <v>46000</v>
      </c>
      <c r="D100" s="11"/>
      <c r="E100" t="s">
        <v>289</v>
      </c>
      <c r="F100" s="111" t="s">
        <v>108</v>
      </c>
    </row>
    <row r="101" spans="1:6" x14ac:dyDescent="0.3">
      <c r="A101" s="116">
        <v>46015</v>
      </c>
      <c r="B101" t="s">
        <v>233</v>
      </c>
      <c r="C101" s="11">
        <v>10000</v>
      </c>
      <c r="D101" s="11"/>
      <c r="E101" t="s">
        <v>290</v>
      </c>
      <c r="F101" s="111" t="s">
        <v>108</v>
      </c>
    </row>
    <row r="102" spans="1:6" x14ac:dyDescent="0.3">
      <c r="A102" s="116">
        <v>46015</v>
      </c>
      <c r="B102" t="s">
        <v>54</v>
      </c>
      <c r="C102" s="11">
        <v>14900</v>
      </c>
      <c r="D102" s="11"/>
      <c r="E102" t="s">
        <v>236</v>
      </c>
      <c r="F102" s="111" t="s">
        <v>108</v>
      </c>
    </row>
    <row r="103" spans="1:6" x14ac:dyDescent="0.3">
      <c r="A103" s="116">
        <v>46015</v>
      </c>
      <c r="B103" t="s">
        <v>177</v>
      </c>
      <c r="C103" s="11">
        <f>6445+291</f>
        <v>6736</v>
      </c>
      <c r="D103" s="11"/>
      <c r="E103" t="s">
        <v>291</v>
      </c>
      <c r="F103" s="111" t="s">
        <v>108</v>
      </c>
    </row>
    <row r="104" spans="1:6" x14ac:dyDescent="0.3">
      <c r="A104" s="116">
        <v>46015</v>
      </c>
      <c r="B104" t="s">
        <v>9</v>
      </c>
      <c r="C104" s="96"/>
      <c r="D104" s="96">
        <v>130000</v>
      </c>
      <c r="E104" t="s">
        <v>253</v>
      </c>
      <c r="F104" s="111" t="s">
        <v>108</v>
      </c>
    </row>
    <row r="105" spans="1:6" x14ac:dyDescent="0.3">
      <c r="A105" s="116">
        <v>46015</v>
      </c>
      <c r="B105" t="s">
        <v>177</v>
      </c>
      <c r="C105" s="11">
        <v>1880</v>
      </c>
      <c r="D105" s="11"/>
      <c r="E105" t="s">
        <v>292</v>
      </c>
      <c r="F105" s="111" t="s">
        <v>108</v>
      </c>
    </row>
    <row r="106" spans="1:6" x14ac:dyDescent="0.3">
      <c r="A106" s="116">
        <v>46015</v>
      </c>
      <c r="B106" t="s">
        <v>50</v>
      </c>
      <c r="C106" s="11">
        <f>1500+225+200</f>
        <v>1925</v>
      </c>
      <c r="D106" s="11"/>
      <c r="E106" t="s">
        <v>293</v>
      </c>
      <c r="F106" s="111" t="s">
        <v>108</v>
      </c>
    </row>
    <row r="107" spans="1:6" x14ac:dyDescent="0.3">
      <c r="A107" s="116">
        <v>46015</v>
      </c>
      <c r="B107" t="s">
        <v>55</v>
      </c>
      <c r="C107" s="11">
        <v>1500</v>
      </c>
      <c r="D107" s="11"/>
      <c r="F107" s="111" t="s">
        <v>108</v>
      </c>
    </row>
    <row r="108" spans="1:6" x14ac:dyDescent="0.3">
      <c r="A108" s="116">
        <v>46015</v>
      </c>
      <c r="B108" t="s">
        <v>113</v>
      </c>
      <c r="C108" s="11">
        <v>16865</v>
      </c>
      <c r="D108" s="11"/>
      <c r="E108" t="s">
        <v>294</v>
      </c>
      <c r="F108" s="111" t="s">
        <v>108</v>
      </c>
    </row>
    <row r="109" spans="1:6" x14ac:dyDescent="0.3">
      <c r="A109" s="116">
        <v>46015</v>
      </c>
      <c r="B109" t="s">
        <v>52</v>
      </c>
      <c r="C109" s="11"/>
      <c r="D109" s="11"/>
      <c r="E109" t="s">
        <v>221</v>
      </c>
      <c r="F109" s="111" t="s">
        <v>108</v>
      </c>
    </row>
    <row r="110" spans="1:6" x14ac:dyDescent="0.3">
      <c r="A110" s="38">
        <v>46015</v>
      </c>
      <c r="B110" t="s">
        <v>55</v>
      </c>
      <c r="C110" s="96">
        <v>2500</v>
      </c>
      <c r="D110" s="96"/>
      <c r="E110" t="s">
        <v>295</v>
      </c>
      <c r="F110" s="111" t="s">
        <v>108</v>
      </c>
    </row>
    <row r="111" spans="1:6" x14ac:dyDescent="0.3">
      <c r="A111" s="38">
        <v>46015</v>
      </c>
      <c r="B111" t="s">
        <v>152</v>
      </c>
      <c r="C111" s="96"/>
      <c r="D111" s="96">
        <v>120000</v>
      </c>
      <c r="F111" s="111" t="s">
        <v>108</v>
      </c>
    </row>
    <row r="112" spans="1:6" x14ac:dyDescent="0.3">
      <c r="A112" s="38">
        <v>46015</v>
      </c>
      <c r="B112" t="s">
        <v>9</v>
      </c>
      <c r="C112" s="96"/>
      <c r="D112" s="96">
        <v>20000</v>
      </c>
      <c r="E112" t="s">
        <v>109</v>
      </c>
      <c r="F112" s="111" t="s">
        <v>108</v>
      </c>
    </row>
    <row r="113" spans="1:6" x14ac:dyDescent="0.3">
      <c r="A113" s="38">
        <v>46015</v>
      </c>
      <c r="B113" t="s">
        <v>169</v>
      </c>
      <c r="C113" s="96">
        <v>150000</v>
      </c>
      <c r="D113" s="96"/>
      <c r="E113" t="s">
        <v>253</v>
      </c>
      <c r="F113" s="111" t="s">
        <v>108</v>
      </c>
    </row>
    <row r="114" spans="1:6" x14ac:dyDescent="0.3">
      <c r="A114" s="38">
        <v>46015</v>
      </c>
      <c r="B114" t="s">
        <v>229</v>
      </c>
      <c r="C114" s="11">
        <v>100000</v>
      </c>
      <c r="D114" s="11"/>
      <c r="E114" t="s">
        <v>253</v>
      </c>
      <c r="F114" s="111" t="s">
        <v>108</v>
      </c>
    </row>
    <row r="115" spans="1:6" x14ac:dyDescent="0.3">
      <c r="A115" s="38">
        <v>46015</v>
      </c>
      <c r="B115" t="s">
        <v>166</v>
      </c>
      <c r="C115" s="11"/>
      <c r="D115" s="11">
        <v>150000</v>
      </c>
      <c r="E115" t="s">
        <v>296</v>
      </c>
      <c r="F115" s="111" t="s">
        <v>108</v>
      </c>
    </row>
    <row r="116" spans="1:6" x14ac:dyDescent="0.3">
      <c r="A116" s="38">
        <v>46015</v>
      </c>
      <c r="B116" t="s">
        <v>222</v>
      </c>
      <c r="C116" s="11">
        <v>1500</v>
      </c>
      <c r="D116" s="11"/>
      <c r="E116" t="s">
        <v>299</v>
      </c>
      <c r="F116" s="111" t="s">
        <v>108</v>
      </c>
    </row>
    <row r="117" spans="1:6" x14ac:dyDescent="0.3">
      <c r="A117" s="38">
        <v>46016</v>
      </c>
      <c r="B117" t="s">
        <v>177</v>
      </c>
      <c r="C117" s="11">
        <v>1500</v>
      </c>
      <c r="D117" s="11"/>
      <c r="E117" t="s">
        <v>299</v>
      </c>
      <c r="F117" s="111" t="s">
        <v>108</v>
      </c>
    </row>
    <row r="118" spans="1:6" x14ac:dyDescent="0.3">
      <c r="A118" s="38">
        <v>46016</v>
      </c>
      <c r="B118" t="s">
        <v>55</v>
      </c>
      <c r="C118" s="11">
        <v>1800</v>
      </c>
      <c r="D118" s="11"/>
      <c r="F118" s="111" t="s">
        <v>108</v>
      </c>
    </row>
    <row r="119" spans="1:6" x14ac:dyDescent="0.3">
      <c r="A119" s="38">
        <v>46016</v>
      </c>
      <c r="B119" t="s">
        <v>54</v>
      </c>
      <c r="C119" s="11">
        <v>5313</v>
      </c>
      <c r="D119" s="11"/>
      <c r="E119" t="s">
        <v>300</v>
      </c>
      <c r="F119" s="111" t="s">
        <v>108</v>
      </c>
    </row>
    <row r="120" spans="1:6" x14ac:dyDescent="0.3">
      <c r="A120" s="38">
        <v>46016</v>
      </c>
      <c r="B120" t="s">
        <v>192</v>
      </c>
      <c r="C120" s="11"/>
      <c r="D120" s="11">
        <v>162500</v>
      </c>
      <c r="E120" t="s">
        <v>301</v>
      </c>
      <c r="F120" s="111" t="s">
        <v>108</v>
      </c>
    </row>
    <row r="121" spans="1:6" x14ac:dyDescent="0.3">
      <c r="A121" s="38">
        <v>46016</v>
      </c>
      <c r="B121" t="s">
        <v>302</v>
      </c>
      <c r="C121" s="11">
        <v>162500</v>
      </c>
      <c r="D121" s="11"/>
      <c r="F121" s="111" t="s">
        <v>108</v>
      </c>
    </row>
    <row r="122" spans="1:6" x14ac:dyDescent="0.3">
      <c r="A122" s="38">
        <v>46016</v>
      </c>
      <c r="B122" t="s">
        <v>192</v>
      </c>
      <c r="C122" s="11"/>
      <c r="D122" s="11">
        <v>650</v>
      </c>
      <c r="E122" t="s">
        <v>303</v>
      </c>
      <c r="F122" s="111" t="s">
        <v>108</v>
      </c>
    </row>
    <row r="123" spans="1:6" x14ac:dyDescent="0.3">
      <c r="A123" s="38">
        <v>46016</v>
      </c>
      <c r="B123" t="s">
        <v>55</v>
      </c>
      <c r="C123" s="11">
        <v>650</v>
      </c>
      <c r="D123" s="11"/>
      <c r="E123" t="s">
        <v>303</v>
      </c>
      <c r="F123" s="111" t="s">
        <v>108</v>
      </c>
    </row>
    <row r="124" spans="1:6" x14ac:dyDescent="0.3">
      <c r="A124" s="38">
        <v>46016</v>
      </c>
      <c r="B124" t="s">
        <v>55</v>
      </c>
      <c r="C124" s="11">
        <v>180</v>
      </c>
      <c r="D124" s="11"/>
      <c r="F124" s="111" t="s">
        <v>108</v>
      </c>
    </row>
    <row r="125" spans="1:6" x14ac:dyDescent="0.3">
      <c r="A125" s="38">
        <v>46016</v>
      </c>
      <c r="B125" t="s">
        <v>192</v>
      </c>
      <c r="C125" s="11"/>
      <c r="D125" s="11">
        <v>180</v>
      </c>
      <c r="E125" t="s">
        <v>303</v>
      </c>
      <c r="F125" s="111" t="s">
        <v>108</v>
      </c>
    </row>
    <row r="126" spans="1:6" x14ac:dyDescent="0.3">
      <c r="A126" s="38">
        <v>46016</v>
      </c>
      <c r="B126" t="s">
        <v>50</v>
      </c>
      <c r="C126" s="11">
        <v>1100</v>
      </c>
      <c r="D126" s="11"/>
      <c r="E126" t="s">
        <v>235</v>
      </c>
      <c r="F126" s="111" t="s">
        <v>108</v>
      </c>
    </row>
    <row r="127" spans="1:6" x14ac:dyDescent="0.3">
      <c r="A127" s="38">
        <v>46016</v>
      </c>
      <c r="B127" t="s">
        <v>113</v>
      </c>
      <c r="C127" s="11">
        <v>20000</v>
      </c>
      <c r="D127" s="11"/>
      <c r="E127" t="s">
        <v>304</v>
      </c>
      <c r="F127" s="111" t="s">
        <v>108</v>
      </c>
    </row>
    <row r="128" spans="1:6" x14ac:dyDescent="0.3">
      <c r="A128" s="38">
        <v>46016</v>
      </c>
      <c r="B128" t="s">
        <v>192</v>
      </c>
      <c r="C128" s="11"/>
      <c r="D128" s="11">
        <v>25000</v>
      </c>
      <c r="E128" t="s">
        <v>253</v>
      </c>
      <c r="F128" s="111" t="s">
        <v>108</v>
      </c>
    </row>
    <row r="129" spans="1:6" x14ac:dyDescent="0.3">
      <c r="A129" s="38">
        <v>46016</v>
      </c>
      <c r="B129" t="s">
        <v>229</v>
      </c>
      <c r="C129" s="11">
        <v>50000</v>
      </c>
      <c r="D129" s="11"/>
      <c r="E129" t="s">
        <v>289</v>
      </c>
      <c r="F129" s="111" t="s">
        <v>108</v>
      </c>
    </row>
    <row r="130" spans="1:6" x14ac:dyDescent="0.3">
      <c r="A130" s="38">
        <v>46017</v>
      </c>
      <c r="B130" t="s">
        <v>192</v>
      </c>
      <c r="C130" s="11"/>
      <c r="D130" s="11">
        <v>2600</v>
      </c>
      <c r="E130" t="s">
        <v>305</v>
      </c>
      <c r="F130" s="111" t="s">
        <v>108</v>
      </c>
    </row>
    <row r="131" spans="1:6" x14ac:dyDescent="0.3">
      <c r="A131" s="38">
        <v>46017</v>
      </c>
      <c r="B131" t="s">
        <v>55</v>
      </c>
      <c r="C131" s="11">
        <v>2600</v>
      </c>
      <c r="D131" s="11"/>
      <c r="F131" s="111" t="s">
        <v>108</v>
      </c>
    </row>
    <row r="132" spans="1:6" x14ac:dyDescent="0.3">
      <c r="A132" s="38">
        <v>46017</v>
      </c>
      <c r="B132" t="s">
        <v>152</v>
      </c>
      <c r="C132" s="11"/>
      <c r="D132" s="11">
        <v>300000</v>
      </c>
      <c r="E132" t="s">
        <v>306</v>
      </c>
      <c r="F132" s="111" t="s">
        <v>108</v>
      </c>
    </row>
    <row r="133" spans="1:6" x14ac:dyDescent="0.3">
      <c r="A133" s="38">
        <v>46017</v>
      </c>
      <c r="B133" t="s">
        <v>286</v>
      </c>
      <c r="C133" s="11"/>
      <c r="D133" s="11">
        <v>100000</v>
      </c>
      <c r="E133" t="s">
        <v>306</v>
      </c>
      <c r="F133" s="111" t="s">
        <v>108</v>
      </c>
    </row>
    <row r="134" spans="1:6" x14ac:dyDescent="0.3">
      <c r="A134" s="38">
        <v>46017</v>
      </c>
      <c r="B134" t="s">
        <v>94</v>
      </c>
      <c r="C134" s="11">
        <v>200566</v>
      </c>
      <c r="D134" s="11"/>
      <c r="E134" t="s">
        <v>307</v>
      </c>
      <c r="F134" s="111" t="s">
        <v>108</v>
      </c>
    </row>
    <row r="135" spans="1:6" x14ac:dyDescent="0.3">
      <c r="A135" s="38">
        <v>46017</v>
      </c>
      <c r="B135" t="s">
        <v>169</v>
      </c>
      <c r="C135" s="11">
        <v>200300</v>
      </c>
      <c r="D135" s="11"/>
      <c r="F135" s="111" t="s">
        <v>108</v>
      </c>
    </row>
    <row r="136" spans="1:6" x14ac:dyDescent="0.3">
      <c r="A136" s="38">
        <v>46017</v>
      </c>
      <c r="B136" t="s">
        <v>198</v>
      </c>
      <c r="C136" s="11">
        <v>50000</v>
      </c>
      <c r="D136" s="11"/>
      <c r="E136" t="s">
        <v>311</v>
      </c>
      <c r="F136" s="111" t="s">
        <v>108</v>
      </c>
    </row>
    <row r="137" spans="1:6" x14ac:dyDescent="0.3">
      <c r="A137" s="38">
        <v>46017</v>
      </c>
      <c r="B137" t="s">
        <v>192</v>
      </c>
      <c r="C137" s="11"/>
      <c r="D137" s="11">
        <v>50000</v>
      </c>
      <c r="E137" t="s">
        <v>308</v>
      </c>
      <c r="F137" s="111" t="s">
        <v>108</v>
      </c>
    </row>
    <row r="138" spans="1:6" x14ac:dyDescent="0.3">
      <c r="A138" s="38">
        <v>46017</v>
      </c>
      <c r="B138" t="s">
        <v>192</v>
      </c>
      <c r="C138" s="11"/>
      <c r="D138" s="11">
        <v>200000</v>
      </c>
      <c r="F138" s="111" t="s">
        <v>108</v>
      </c>
    </row>
    <row r="139" spans="1:6" x14ac:dyDescent="0.3">
      <c r="A139" s="38">
        <v>46017</v>
      </c>
      <c r="B139" t="s">
        <v>229</v>
      </c>
      <c r="C139" s="11">
        <v>201000</v>
      </c>
      <c r="D139" s="11"/>
      <c r="E139" t="s">
        <v>309</v>
      </c>
      <c r="F139" s="111" t="s">
        <v>108</v>
      </c>
    </row>
    <row r="140" spans="1:6" x14ac:dyDescent="0.3">
      <c r="A140" s="38">
        <v>46017</v>
      </c>
      <c r="B140" t="s">
        <v>222</v>
      </c>
      <c r="C140" s="11">
        <v>770</v>
      </c>
      <c r="D140" s="11"/>
      <c r="F140" s="111" t="s">
        <v>108</v>
      </c>
    </row>
    <row r="141" spans="1:6" x14ac:dyDescent="0.3">
      <c r="A141" s="38">
        <v>46018</v>
      </c>
      <c r="B141" t="s">
        <v>192</v>
      </c>
      <c r="C141" s="11"/>
      <c r="D141" s="11">
        <v>100000</v>
      </c>
      <c r="E141" t="s">
        <v>109</v>
      </c>
      <c r="F141" s="111" t="s">
        <v>108</v>
      </c>
    </row>
    <row r="142" spans="1:6" x14ac:dyDescent="0.3">
      <c r="A142" s="38">
        <v>46018</v>
      </c>
      <c r="B142" t="s">
        <v>256</v>
      </c>
      <c r="C142" s="11">
        <v>45000</v>
      </c>
      <c r="D142" s="11"/>
      <c r="E142" t="s">
        <v>109</v>
      </c>
      <c r="F142" s="111" t="s">
        <v>108</v>
      </c>
    </row>
    <row r="143" spans="1:6" x14ac:dyDescent="0.3">
      <c r="A143" s="38">
        <v>46018</v>
      </c>
      <c r="B143" t="s">
        <v>202</v>
      </c>
      <c r="C143" s="11">
        <v>40000</v>
      </c>
      <c r="D143" s="11"/>
      <c r="E143" t="s">
        <v>109</v>
      </c>
      <c r="F143" s="111" t="s">
        <v>108</v>
      </c>
    </row>
    <row r="144" spans="1:6" x14ac:dyDescent="0.3">
      <c r="A144" s="38">
        <v>46018</v>
      </c>
      <c r="B144" t="s">
        <v>233</v>
      </c>
      <c r="C144" s="11">
        <v>5000</v>
      </c>
      <c r="D144" s="11"/>
      <c r="E144" t="s">
        <v>312</v>
      </c>
      <c r="F144" s="111" t="s">
        <v>108</v>
      </c>
    </row>
    <row r="145" spans="1:6" x14ac:dyDescent="0.3">
      <c r="A145" s="38">
        <v>46018</v>
      </c>
      <c r="B145" t="s">
        <v>50</v>
      </c>
      <c r="C145" s="11">
        <v>3440</v>
      </c>
      <c r="D145" s="11"/>
      <c r="E145" t="s">
        <v>313</v>
      </c>
      <c r="F145" s="111" t="s">
        <v>108</v>
      </c>
    </row>
    <row r="146" spans="1:6" x14ac:dyDescent="0.3">
      <c r="A146" s="38">
        <v>46018</v>
      </c>
      <c r="B146" t="s">
        <v>52</v>
      </c>
      <c r="C146" s="11"/>
      <c r="D146" s="11"/>
      <c r="E146" t="s">
        <v>314</v>
      </c>
      <c r="F146" s="111" t="s">
        <v>108</v>
      </c>
    </row>
    <row r="147" spans="1:6" x14ac:dyDescent="0.3">
      <c r="A147" s="38">
        <v>46018</v>
      </c>
      <c r="B147" t="s">
        <v>192</v>
      </c>
      <c r="C147" s="11"/>
      <c r="D147" s="11">
        <v>34000</v>
      </c>
      <c r="E147" t="s">
        <v>198</v>
      </c>
      <c r="F147" s="111" t="s">
        <v>108</v>
      </c>
    </row>
    <row r="148" spans="1:6" x14ac:dyDescent="0.3">
      <c r="A148" s="38">
        <v>46018</v>
      </c>
      <c r="B148" t="s">
        <v>198</v>
      </c>
      <c r="C148" s="11">
        <v>34000</v>
      </c>
      <c r="D148" s="11"/>
      <c r="E148" t="s">
        <v>18</v>
      </c>
      <c r="F148" s="111" t="s">
        <v>108</v>
      </c>
    </row>
    <row r="149" spans="1:6" x14ac:dyDescent="0.3">
      <c r="A149" s="38">
        <v>46018</v>
      </c>
      <c r="B149" t="s">
        <v>224</v>
      </c>
      <c r="C149" s="11"/>
      <c r="D149" s="11">
        <v>200000</v>
      </c>
      <c r="E149" t="s">
        <v>315</v>
      </c>
      <c r="F149" s="111" t="s">
        <v>108</v>
      </c>
    </row>
    <row r="150" spans="1:6" x14ac:dyDescent="0.3">
      <c r="A150" s="38">
        <v>46018</v>
      </c>
      <c r="B150" t="s">
        <v>192</v>
      </c>
      <c r="C150" s="96">
        <v>200000</v>
      </c>
      <c r="D150" s="96"/>
      <c r="E150" t="s">
        <v>316</v>
      </c>
      <c r="F150" s="111" t="s">
        <v>108</v>
      </c>
    </row>
    <row r="151" spans="1:6" x14ac:dyDescent="0.3">
      <c r="A151" s="38">
        <v>46018</v>
      </c>
      <c r="B151" t="s">
        <v>192</v>
      </c>
      <c r="C151" s="11"/>
      <c r="D151" s="11">
        <v>111000</v>
      </c>
      <c r="F151" s="111" t="s">
        <v>108</v>
      </c>
    </row>
    <row r="152" spans="1:6" x14ac:dyDescent="0.3">
      <c r="A152" s="38">
        <v>46018</v>
      </c>
      <c r="B152" t="s">
        <v>229</v>
      </c>
      <c r="C152" s="11">
        <v>100000</v>
      </c>
      <c r="D152" s="11"/>
      <c r="E152" t="s">
        <v>317</v>
      </c>
      <c r="F152" s="111" t="s">
        <v>108</v>
      </c>
    </row>
    <row r="153" spans="1:6" x14ac:dyDescent="0.3">
      <c r="A153" s="38">
        <v>46018</v>
      </c>
      <c r="B153" t="s">
        <v>199</v>
      </c>
      <c r="C153" s="11"/>
      <c r="D153" s="11">
        <v>150000</v>
      </c>
      <c r="E153" t="s">
        <v>318</v>
      </c>
      <c r="F153" s="111" t="s">
        <v>108</v>
      </c>
    </row>
    <row r="154" spans="1:6" x14ac:dyDescent="0.3">
      <c r="A154" s="38">
        <v>46018</v>
      </c>
      <c r="B154" t="s">
        <v>192</v>
      </c>
      <c r="C154" s="11">
        <v>150000</v>
      </c>
      <c r="D154" s="11"/>
      <c r="E154" t="s">
        <v>319</v>
      </c>
      <c r="F154" s="111" t="s">
        <v>108</v>
      </c>
    </row>
    <row r="155" spans="1:6" x14ac:dyDescent="0.3">
      <c r="A155" s="38">
        <v>46018</v>
      </c>
      <c r="B155" t="s">
        <v>192</v>
      </c>
      <c r="C155" s="11"/>
      <c r="D155" s="11">
        <v>50000</v>
      </c>
      <c r="F155" s="111" t="s">
        <v>108</v>
      </c>
    </row>
    <row r="156" spans="1:6" x14ac:dyDescent="0.3">
      <c r="A156" s="38">
        <v>46018</v>
      </c>
      <c r="B156" t="s">
        <v>55</v>
      </c>
      <c r="C156" s="11">
        <v>4150</v>
      </c>
      <c r="D156" s="11"/>
      <c r="E156" t="s">
        <v>320</v>
      </c>
      <c r="F156" s="111" t="s">
        <v>108</v>
      </c>
    </row>
    <row r="157" spans="1:6" x14ac:dyDescent="0.3">
      <c r="A157" s="38">
        <v>46018</v>
      </c>
      <c r="B157" t="s">
        <v>198</v>
      </c>
      <c r="C157" s="11">
        <v>50000</v>
      </c>
      <c r="D157" s="11"/>
      <c r="E157" t="s">
        <v>321</v>
      </c>
      <c r="F157" s="111" t="s">
        <v>108</v>
      </c>
    </row>
    <row r="158" spans="1:6" x14ac:dyDescent="0.3">
      <c r="A158" s="38">
        <v>46018</v>
      </c>
      <c r="B158" t="s">
        <v>192</v>
      </c>
      <c r="C158" s="11"/>
      <c r="D158" s="11">
        <v>50000</v>
      </c>
      <c r="E158" t="s">
        <v>198</v>
      </c>
      <c r="F158" s="111" t="s">
        <v>108</v>
      </c>
    </row>
    <row r="159" spans="1:6" x14ac:dyDescent="0.3">
      <c r="A159" s="38">
        <v>46018</v>
      </c>
      <c r="B159" t="s">
        <v>166</v>
      </c>
      <c r="C159" s="11"/>
      <c r="D159" s="11">
        <v>100000</v>
      </c>
      <c r="E159" t="s">
        <v>322</v>
      </c>
      <c r="F159" s="111" t="s">
        <v>108</v>
      </c>
    </row>
    <row r="160" spans="1:6" x14ac:dyDescent="0.3">
      <c r="A160" s="38">
        <v>46018</v>
      </c>
      <c r="B160" t="s">
        <v>152</v>
      </c>
      <c r="C160" s="11"/>
      <c r="D160" s="11">
        <v>99920</v>
      </c>
      <c r="E160" t="s">
        <v>323</v>
      </c>
      <c r="F160" s="111" t="s">
        <v>108</v>
      </c>
    </row>
    <row r="161" spans="1:12" x14ac:dyDescent="0.3">
      <c r="A161" s="38">
        <v>46018</v>
      </c>
      <c r="B161" t="s">
        <v>192</v>
      </c>
      <c r="C161" s="11">
        <v>100000</v>
      </c>
      <c r="D161" s="11"/>
      <c r="E161" t="s">
        <v>324</v>
      </c>
      <c r="F161" s="111" t="s">
        <v>108</v>
      </c>
    </row>
    <row r="162" spans="1:12" x14ac:dyDescent="0.3">
      <c r="A162" s="38">
        <v>46018</v>
      </c>
      <c r="B162" t="s">
        <v>192</v>
      </c>
      <c r="C162" s="11">
        <v>99920</v>
      </c>
      <c r="D162" s="11"/>
      <c r="E162" t="s">
        <v>325</v>
      </c>
      <c r="F162" s="111" t="s">
        <v>108</v>
      </c>
    </row>
    <row r="163" spans="1:12" x14ac:dyDescent="0.3">
      <c r="A163" s="38">
        <v>46018</v>
      </c>
      <c r="B163" t="s">
        <v>326</v>
      </c>
      <c r="C163" s="11"/>
      <c r="D163" s="11">
        <v>148088</v>
      </c>
      <c r="E163" t="s">
        <v>327</v>
      </c>
      <c r="F163" s="111" t="s">
        <v>108</v>
      </c>
      <c r="J163" s="3" t="s">
        <v>6</v>
      </c>
      <c r="K163" t="s">
        <v>118</v>
      </c>
      <c r="L163" t="s">
        <v>119</v>
      </c>
    </row>
    <row r="164" spans="1:12" x14ac:dyDescent="0.3">
      <c r="A164" s="38">
        <v>46018</v>
      </c>
      <c r="B164" t="s">
        <v>55</v>
      </c>
      <c r="C164" s="11">
        <v>590</v>
      </c>
      <c r="D164" s="11"/>
      <c r="F164" s="111" t="s">
        <v>108</v>
      </c>
      <c r="J164" s="4" t="s">
        <v>233</v>
      </c>
      <c r="K164" s="14"/>
      <c r="L164" s="14">
        <v>120300</v>
      </c>
    </row>
    <row r="165" spans="1:12" x14ac:dyDescent="0.3">
      <c r="A165" s="38">
        <v>46018</v>
      </c>
      <c r="B165" t="s">
        <v>54</v>
      </c>
      <c r="C165" s="11">
        <v>2500</v>
      </c>
      <c r="D165" s="11"/>
      <c r="E165" t="s">
        <v>236</v>
      </c>
      <c r="F165" s="111" t="s">
        <v>108</v>
      </c>
      <c r="J165" s="4" t="s">
        <v>9</v>
      </c>
      <c r="K165" s="14">
        <v>550000</v>
      </c>
      <c r="L165" s="14"/>
    </row>
    <row r="166" spans="1:12" x14ac:dyDescent="0.3">
      <c r="A166" s="38">
        <v>46018</v>
      </c>
      <c r="B166" t="s">
        <v>55</v>
      </c>
      <c r="C166" s="11">
        <v>1000</v>
      </c>
      <c r="D166" s="11"/>
      <c r="F166" s="111" t="s">
        <v>108</v>
      </c>
      <c r="J166" s="4" t="s">
        <v>94</v>
      </c>
      <c r="K166" s="14"/>
      <c r="L166" s="14">
        <v>454825</v>
      </c>
    </row>
    <row r="167" spans="1:12" x14ac:dyDescent="0.3">
      <c r="A167" s="38">
        <v>46018</v>
      </c>
      <c r="B167" t="s">
        <v>50</v>
      </c>
      <c r="C167" s="11">
        <v>1000</v>
      </c>
      <c r="D167" s="11"/>
      <c r="E167" t="s">
        <v>217</v>
      </c>
      <c r="F167" s="111" t="s">
        <v>108</v>
      </c>
      <c r="J167" s="4" t="s">
        <v>50</v>
      </c>
      <c r="K167" s="14"/>
      <c r="L167" s="14">
        <v>11275</v>
      </c>
    </row>
    <row r="168" spans="1:12" x14ac:dyDescent="0.3">
      <c r="A168" s="38">
        <v>46019</v>
      </c>
      <c r="B168" t="s">
        <v>55</v>
      </c>
      <c r="C168" s="96">
        <v>2630</v>
      </c>
      <c r="D168" s="96"/>
      <c r="E168" t="s">
        <v>328</v>
      </c>
      <c r="F168" s="111" t="s">
        <v>108</v>
      </c>
      <c r="J168" s="4" t="s">
        <v>55</v>
      </c>
      <c r="K168" s="14"/>
      <c r="L168" s="14">
        <v>65775</v>
      </c>
    </row>
    <row r="169" spans="1:12" x14ac:dyDescent="0.3">
      <c r="A169" s="116">
        <v>46019</v>
      </c>
      <c r="B169" t="s">
        <v>55</v>
      </c>
      <c r="C169" s="11">
        <v>21000</v>
      </c>
      <c r="D169" s="11"/>
      <c r="E169" t="s">
        <v>329</v>
      </c>
      <c r="F169" s="111" t="s">
        <v>108</v>
      </c>
      <c r="J169" s="4" t="s">
        <v>113</v>
      </c>
      <c r="K169" s="14"/>
      <c r="L169" s="14">
        <v>36865</v>
      </c>
    </row>
    <row r="170" spans="1:12" x14ac:dyDescent="0.3">
      <c r="A170" s="38">
        <v>46019</v>
      </c>
      <c r="B170" t="s">
        <v>54</v>
      </c>
      <c r="C170" s="11">
        <v>1000</v>
      </c>
      <c r="D170" s="11"/>
      <c r="E170" t="s">
        <v>236</v>
      </c>
      <c r="F170" s="111" t="s">
        <v>108</v>
      </c>
      <c r="J170" s="4" t="s">
        <v>52</v>
      </c>
      <c r="K170" s="14"/>
      <c r="L170" s="14"/>
    </row>
    <row r="171" spans="1:12" x14ac:dyDescent="0.3">
      <c r="A171" s="116">
        <v>46020</v>
      </c>
      <c r="B171" t="s">
        <v>198</v>
      </c>
      <c r="C171" s="11">
        <v>61000</v>
      </c>
      <c r="D171" s="11"/>
      <c r="E171" t="s">
        <v>18</v>
      </c>
      <c r="F171" s="111" t="s">
        <v>108</v>
      </c>
      <c r="J171" s="4" t="s">
        <v>339</v>
      </c>
      <c r="K171" s="14">
        <v>84970</v>
      </c>
      <c r="L171" s="14"/>
    </row>
    <row r="172" spans="1:12" x14ac:dyDescent="0.3">
      <c r="A172" s="38">
        <v>46020</v>
      </c>
      <c r="B172" t="s">
        <v>198</v>
      </c>
      <c r="C172" s="11">
        <v>100000</v>
      </c>
      <c r="D172" s="11"/>
      <c r="F172" s="111" t="s">
        <v>108</v>
      </c>
      <c r="J172" s="4" t="s">
        <v>54</v>
      </c>
      <c r="K172" s="14"/>
      <c r="L172" s="14">
        <v>74805</v>
      </c>
    </row>
    <row r="173" spans="1:12" x14ac:dyDescent="0.3">
      <c r="A173" s="116">
        <v>46020</v>
      </c>
      <c r="B173" t="s">
        <v>9</v>
      </c>
      <c r="C173" s="11"/>
      <c r="D173" s="11">
        <v>200000</v>
      </c>
      <c r="F173" s="111" t="s">
        <v>108</v>
      </c>
      <c r="J173" s="4" t="s">
        <v>116</v>
      </c>
      <c r="K173" s="14"/>
      <c r="L173" s="14">
        <v>150000</v>
      </c>
    </row>
    <row r="174" spans="1:12" x14ac:dyDescent="0.3">
      <c r="A174" s="38">
        <v>46020</v>
      </c>
      <c r="B174" t="s">
        <v>169</v>
      </c>
      <c r="C174" s="11">
        <v>100000</v>
      </c>
      <c r="D174" s="11"/>
      <c r="F174" s="111" t="s">
        <v>108</v>
      </c>
      <c r="J174" s="4" t="s">
        <v>177</v>
      </c>
      <c r="K174" s="14"/>
      <c r="L174" s="14">
        <v>678040</v>
      </c>
    </row>
    <row r="175" spans="1:12" x14ac:dyDescent="0.3">
      <c r="A175" s="116">
        <v>46020</v>
      </c>
      <c r="B175" t="s">
        <v>192</v>
      </c>
      <c r="C175" s="11"/>
      <c r="D175" s="11">
        <v>975000</v>
      </c>
      <c r="E175" t="s">
        <v>330</v>
      </c>
      <c r="F175" s="111" t="s">
        <v>108</v>
      </c>
      <c r="J175" s="4" t="s">
        <v>337</v>
      </c>
      <c r="K175" s="14">
        <v>68900</v>
      </c>
      <c r="L175" s="14">
        <v>14000</v>
      </c>
    </row>
    <row r="176" spans="1:12" x14ac:dyDescent="0.3">
      <c r="A176" s="38">
        <v>46020</v>
      </c>
      <c r="B176" t="s">
        <v>54</v>
      </c>
      <c r="C176" s="11">
        <v>10000</v>
      </c>
      <c r="D176" s="11"/>
      <c r="E176" t="s">
        <v>236</v>
      </c>
      <c r="F176" s="111" t="s">
        <v>108</v>
      </c>
      <c r="J176" s="4" t="s">
        <v>222</v>
      </c>
      <c r="K176" s="14">
        <v>323372</v>
      </c>
      <c r="L176" s="14">
        <v>113043</v>
      </c>
    </row>
    <row r="177" spans="1:12" x14ac:dyDescent="0.3">
      <c r="A177" s="116">
        <v>46020</v>
      </c>
      <c r="B177" t="s">
        <v>54</v>
      </c>
      <c r="C177" s="11">
        <v>7950</v>
      </c>
      <c r="D177" s="11"/>
      <c r="E177" t="s">
        <v>236</v>
      </c>
      <c r="F177" s="111" t="s">
        <v>108</v>
      </c>
      <c r="J177" s="4" t="s">
        <v>326</v>
      </c>
      <c r="K177" s="14">
        <v>208088</v>
      </c>
      <c r="L177" s="14"/>
    </row>
    <row r="178" spans="1:12" x14ac:dyDescent="0.3">
      <c r="A178" s="38">
        <v>46020</v>
      </c>
      <c r="B178" t="s">
        <v>233</v>
      </c>
      <c r="C178" s="11">
        <v>15000</v>
      </c>
      <c r="D178" s="11"/>
      <c r="E178" t="s">
        <v>238</v>
      </c>
      <c r="F178" s="111" t="s">
        <v>108</v>
      </c>
      <c r="J178" s="4" t="s">
        <v>103</v>
      </c>
      <c r="K178" s="14"/>
      <c r="L178" s="14"/>
    </row>
    <row r="179" spans="1:12" x14ac:dyDescent="0.3">
      <c r="A179" s="116">
        <v>46020</v>
      </c>
      <c r="B179" t="s">
        <v>219</v>
      </c>
      <c r="C179" s="11">
        <v>5000</v>
      </c>
      <c r="D179" s="11"/>
      <c r="E179" t="s">
        <v>220</v>
      </c>
      <c r="F179" s="111" t="s">
        <v>108</v>
      </c>
      <c r="J179" s="4" t="s">
        <v>277</v>
      </c>
      <c r="K179" s="14">
        <v>600000</v>
      </c>
      <c r="L179" s="14"/>
    </row>
    <row r="180" spans="1:12" x14ac:dyDescent="0.3">
      <c r="A180" s="38">
        <v>46020</v>
      </c>
      <c r="B180" t="s">
        <v>177</v>
      </c>
      <c r="C180" s="11">
        <v>7200</v>
      </c>
      <c r="D180" s="11"/>
      <c r="F180" s="111" t="s">
        <v>108</v>
      </c>
      <c r="J180" s="4" t="s">
        <v>341</v>
      </c>
      <c r="K180" s="14">
        <v>239960</v>
      </c>
      <c r="L180" s="14"/>
    </row>
    <row r="181" spans="1:12" x14ac:dyDescent="0.3">
      <c r="A181" s="116">
        <v>46020</v>
      </c>
      <c r="B181" t="s">
        <v>192</v>
      </c>
      <c r="C181" s="96"/>
      <c r="D181" s="96">
        <v>50000</v>
      </c>
      <c r="E181" t="s">
        <v>284</v>
      </c>
      <c r="F181" s="111" t="s">
        <v>108</v>
      </c>
      <c r="J181" s="4" t="s">
        <v>224</v>
      </c>
      <c r="K181" s="14">
        <v>236500</v>
      </c>
      <c r="L181" s="14"/>
    </row>
    <row r="182" spans="1:12" x14ac:dyDescent="0.3">
      <c r="A182" s="38">
        <v>46020</v>
      </c>
      <c r="B182" t="s">
        <v>192</v>
      </c>
      <c r="C182" s="11"/>
      <c r="D182" s="11">
        <v>30000</v>
      </c>
      <c r="E182" t="s">
        <v>234</v>
      </c>
      <c r="F182" s="111" t="s">
        <v>108</v>
      </c>
      <c r="J182" s="4" t="s">
        <v>149</v>
      </c>
      <c r="K182" s="14"/>
      <c r="L182" s="14">
        <v>50000</v>
      </c>
    </row>
    <row r="183" spans="1:12" x14ac:dyDescent="0.3">
      <c r="A183" s="116">
        <v>46020</v>
      </c>
      <c r="B183" t="s">
        <v>166</v>
      </c>
      <c r="C183" s="11"/>
      <c r="D183" s="11">
        <v>100000</v>
      </c>
      <c r="E183" t="s">
        <v>21</v>
      </c>
      <c r="F183" s="111" t="s">
        <v>108</v>
      </c>
      <c r="J183" s="4" t="s">
        <v>152</v>
      </c>
      <c r="K183" s="14">
        <v>1007920</v>
      </c>
      <c r="L183" s="14"/>
    </row>
    <row r="184" spans="1:12" x14ac:dyDescent="0.3">
      <c r="A184" s="38">
        <v>46020</v>
      </c>
      <c r="B184" t="s">
        <v>192</v>
      </c>
      <c r="C184" s="11">
        <v>100000</v>
      </c>
      <c r="D184" s="11"/>
      <c r="E184" t="s">
        <v>335</v>
      </c>
      <c r="F184" s="111" t="s">
        <v>108</v>
      </c>
      <c r="J184" s="4" t="s">
        <v>166</v>
      </c>
      <c r="K184" s="14">
        <v>890000</v>
      </c>
      <c r="L184" s="14"/>
    </row>
    <row r="185" spans="1:12" x14ac:dyDescent="0.3">
      <c r="A185" s="116">
        <v>46021</v>
      </c>
      <c r="B185" t="s">
        <v>224</v>
      </c>
      <c r="C185" s="11"/>
      <c r="D185" s="11">
        <v>68900</v>
      </c>
      <c r="E185" t="s">
        <v>352</v>
      </c>
      <c r="F185" s="111" t="s">
        <v>108</v>
      </c>
      <c r="J185" s="4" t="s">
        <v>169</v>
      </c>
      <c r="K185" s="14"/>
      <c r="L185" s="14">
        <v>915800</v>
      </c>
    </row>
    <row r="186" spans="1:12" x14ac:dyDescent="0.3">
      <c r="A186" s="38">
        <v>46021</v>
      </c>
      <c r="B186" t="s">
        <v>192</v>
      </c>
      <c r="C186" s="96"/>
      <c r="D186" s="96">
        <v>194000</v>
      </c>
      <c r="F186" s="111" t="s">
        <v>108</v>
      </c>
      <c r="J186" s="4" t="s">
        <v>192</v>
      </c>
      <c r="K186" s="14">
        <v>5664930</v>
      </c>
      <c r="L186" s="14">
        <v>11608968</v>
      </c>
    </row>
    <row r="187" spans="1:12" x14ac:dyDescent="0.3">
      <c r="A187" s="116">
        <v>46021</v>
      </c>
      <c r="B187" t="s">
        <v>199</v>
      </c>
      <c r="C187" s="11"/>
      <c r="D187" s="11">
        <v>100000</v>
      </c>
      <c r="E187" t="s">
        <v>338</v>
      </c>
      <c r="F187" s="111" t="s">
        <v>108</v>
      </c>
      <c r="J187" s="4" t="s">
        <v>198</v>
      </c>
      <c r="K187" s="14"/>
      <c r="L187" s="14">
        <v>590000</v>
      </c>
    </row>
    <row r="188" spans="1:12" x14ac:dyDescent="0.3">
      <c r="A188" s="38">
        <v>46021</v>
      </c>
      <c r="B188" t="s">
        <v>199</v>
      </c>
      <c r="C188" s="96"/>
      <c r="D188" s="96">
        <v>100000</v>
      </c>
      <c r="E188" t="s">
        <v>225</v>
      </c>
      <c r="F188" s="111" t="s">
        <v>108</v>
      </c>
      <c r="J188" s="4" t="s">
        <v>51</v>
      </c>
      <c r="K188" s="14"/>
      <c r="L188" s="14">
        <v>2047865</v>
      </c>
    </row>
    <row r="189" spans="1:12" x14ac:dyDescent="0.3">
      <c r="A189" s="116">
        <v>46021</v>
      </c>
      <c r="B189" t="s">
        <v>339</v>
      </c>
      <c r="C189" s="11"/>
      <c r="D189" s="11">
        <v>84970</v>
      </c>
      <c r="F189" s="111" t="s">
        <v>108</v>
      </c>
      <c r="J189" s="4" t="s">
        <v>219</v>
      </c>
      <c r="K189" s="14"/>
      <c r="L189" s="14">
        <v>10000</v>
      </c>
    </row>
    <row r="190" spans="1:12" x14ac:dyDescent="0.3">
      <c r="A190" s="38">
        <v>46021</v>
      </c>
      <c r="B190" t="s">
        <v>222</v>
      </c>
      <c r="C190" s="11">
        <f>883+150+150</f>
        <v>1183</v>
      </c>
      <c r="D190" s="11"/>
      <c r="F190" s="111" t="s">
        <v>108</v>
      </c>
      <c r="J190" s="4" t="s">
        <v>199</v>
      </c>
      <c r="K190" s="14">
        <v>539770</v>
      </c>
      <c r="L190" s="14"/>
    </row>
    <row r="191" spans="1:12" x14ac:dyDescent="0.3">
      <c r="A191" s="116">
        <v>46021</v>
      </c>
      <c r="B191" t="s">
        <v>229</v>
      </c>
      <c r="C191" s="11">
        <v>200401</v>
      </c>
      <c r="D191" s="11"/>
      <c r="E191" t="s">
        <v>340</v>
      </c>
      <c r="F191" s="111" t="s">
        <v>108</v>
      </c>
      <c r="J191" s="4" t="s">
        <v>229</v>
      </c>
      <c r="K191" s="14"/>
      <c r="L191" s="14">
        <v>1102426</v>
      </c>
    </row>
    <row r="192" spans="1:12" x14ac:dyDescent="0.3">
      <c r="A192" s="38">
        <v>46021</v>
      </c>
      <c r="B192" t="s">
        <v>341</v>
      </c>
      <c r="C192" s="11"/>
      <c r="D192" s="11">
        <v>239960</v>
      </c>
      <c r="F192" s="111" t="s">
        <v>108</v>
      </c>
      <c r="J192" s="4" t="s">
        <v>202</v>
      </c>
      <c r="K192" s="14"/>
      <c r="L192" s="14">
        <v>107000</v>
      </c>
    </row>
    <row r="193" spans="1:12" x14ac:dyDescent="0.3">
      <c r="A193" s="116">
        <v>46021</v>
      </c>
      <c r="B193" t="s">
        <v>169</v>
      </c>
      <c r="C193" s="11">
        <v>250000</v>
      </c>
      <c r="D193" s="11"/>
      <c r="F193" s="111" t="s">
        <v>108</v>
      </c>
      <c r="J193" s="4" t="s">
        <v>216</v>
      </c>
      <c r="K193" s="14">
        <v>7180146</v>
      </c>
      <c r="L193" s="14"/>
    </row>
    <row r="194" spans="1:12" x14ac:dyDescent="0.3">
      <c r="A194" s="38">
        <v>46021</v>
      </c>
      <c r="B194" t="s">
        <v>326</v>
      </c>
      <c r="C194" s="11"/>
      <c r="D194" s="11">
        <v>60000</v>
      </c>
      <c r="E194" t="s">
        <v>342</v>
      </c>
      <c r="F194" s="111" t="s">
        <v>108</v>
      </c>
      <c r="J194" s="4" t="s">
        <v>256</v>
      </c>
      <c r="K194" s="14"/>
      <c r="L194" s="14">
        <v>66850</v>
      </c>
    </row>
    <row r="195" spans="1:12" x14ac:dyDescent="0.3">
      <c r="A195" s="116">
        <v>46021</v>
      </c>
      <c r="B195" t="s">
        <v>192</v>
      </c>
      <c r="C195" s="11">
        <v>60000</v>
      </c>
      <c r="D195" s="11"/>
      <c r="E195" t="s">
        <v>343</v>
      </c>
      <c r="F195" s="111" t="s">
        <v>108</v>
      </c>
      <c r="J195" s="4" t="s">
        <v>286</v>
      </c>
      <c r="K195" s="14">
        <v>813525</v>
      </c>
      <c r="L195" s="14"/>
    </row>
    <row r="196" spans="1:12" x14ac:dyDescent="0.3">
      <c r="A196" s="38">
        <v>46021</v>
      </c>
      <c r="B196" t="s">
        <v>256</v>
      </c>
      <c r="C196" s="11">
        <v>11850</v>
      </c>
      <c r="D196" s="11"/>
      <c r="E196" t="s">
        <v>294</v>
      </c>
      <c r="F196" s="111" t="s">
        <v>108</v>
      </c>
      <c r="J196" s="4" t="s">
        <v>302</v>
      </c>
      <c r="K196" s="14"/>
      <c r="L196" s="14">
        <v>162500</v>
      </c>
    </row>
    <row r="197" spans="1:12" x14ac:dyDescent="0.3">
      <c r="A197" s="116">
        <v>46021</v>
      </c>
      <c r="B197" t="s">
        <v>202</v>
      </c>
      <c r="C197" s="11">
        <v>27000</v>
      </c>
      <c r="D197" s="11"/>
      <c r="E197" t="s">
        <v>230</v>
      </c>
      <c r="F197" s="111" t="s">
        <v>108</v>
      </c>
      <c r="J197" s="4" t="s">
        <v>28</v>
      </c>
      <c r="K197" s="14">
        <v>18408081</v>
      </c>
      <c r="L197" s="14">
        <v>18380337</v>
      </c>
    </row>
    <row r="198" spans="1:12" x14ac:dyDescent="0.3">
      <c r="A198" s="38">
        <v>46021</v>
      </c>
      <c r="B198" t="s">
        <v>233</v>
      </c>
      <c r="C198" s="11">
        <v>1300</v>
      </c>
      <c r="D198" s="11"/>
      <c r="E198" t="s">
        <v>344</v>
      </c>
      <c r="F198" s="111" t="s">
        <v>108</v>
      </c>
    </row>
    <row r="199" spans="1:12" x14ac:dyDescent="0.3">
      <c r="A199" s="116">
        <v>46021</v>
      </c>
      <c r="B199" t="s">
        <v>233</v>
      </c>
      <c r="C199" s="11">
        <v>60000</v>
      </c>
      <c r="D199" s="11"/>
      <c r="E199" t="s">
        <v>290</v>
      </c>
      <c r="F199" s="111" t="s">
        <v>108</v>
      </c>
    </row>
    <row r="200" spans="1:12" x14ac:dyDescent="0.3">
      <c r="A200" s="38">
        <v>46021</v>
      </c>
      <c r="B200" t="s">
        <v>94</v>
      </c>
      <c r="C200" s="11">
        <v>1000</v>
      </c>
      <c r="D200" s="11"/>
      <c r="E200" t="s">
        <v>345</v>
      </c>
      <c r="F200" s="111" t="s">
        <v>108</v>
      </c>
    </row>
    <row r="201" spans="1:12" x14ac:dyDescent="0.3">
      <c r="A201" s="116">
        <v>46021</v>
      </c>
      <c r="B201" t="s">
        <v>229</v>
      </c>
      <c r="C201" s="11">
        <v>5000</v>
      </c>
      <c r="D201" s="11"/>
      <c r="E201" t="s">
        <v>345</v>
      </c>
      <c r="F201" s="111" t="s">
        <v>108</v>
      </c>
    </row>
    <row r="202" spans="1:12" x14ac:dyDescent="0.3">
      <c r="A202" s="38">
        <v>46021</v>
      </c>
      <c r="B202" t="s">
        <v>50</v>
      </c>
      <c r="C202" s="11">
        <v>1000</v>
      </c>
      <c r="D202" s="11"/>
      <c r="E202" t="s">
        <v>345</v>
      </c>
      <c r="F202" s="111" t="s">
        <v>108</v>
      </c>
    </row>
    <row r="203" spans="1:12" x14ac:dyDescent="0.3">
      <c r="A203" s="116">
        <v>46021</v>
      </c>
      <c r="B203" t="s">
        <v>177</v>
      </c>
      <c r="C203" s="11">
        <v>3600</v>
      </c>
      <c r="D203" s="11"/>
      <c r="E203" t="s">
        <v>218</v>
      </c>
      <c r="F203" s="111" t="s">
        <v>108</v>
      </c>
    </row>
    <row r="204" spans="1:12" x14ac:dyDescent="0.3">
      <c r="A204" s="38">
        <v>46021</v>
      </c>
      <c r="B204" t="s">
        <v>192</v>
      </c>
      <c r="C204" s="11">
        <v>200000</v>
      </c>
      <c r="D204" s="11"/>
      <c r="E204" t="s">
        <v>346</v>
      </c>
      <c r="F204" s="111" t="s">
        <v>108</v>
      </c>
    </row>
    <row r="205" spans="1:12" x14ac:dyDescent="0.3">
      <c r="A205" s="116">
        <v>46021</v>
      </c>
      <c r="B205" t="s">
        <v>55</v>
      </c>
      <c r="C205" s="11">
        <v>1000</v>
      </c>
      <c r="D205" s="11"/>
      <c r="E205" t="s">
        <v>347</v>
      </c>
      <c r="F205" s="111" t="s">
        <v>108</v>
      </c>
    </row>
    <row r="206" spans="1:12" x14ac:dyDescent="0.3">
      <c r="A206" s="38">
        <v>46021</v>
      </c>
      <c r="B206" t="s">
        <v>55</v>
      </c>
      <c r="C206" s="11">
        <v>850</v>
      </c>
      <c r="D206" s="11"/>
      <c r="F206" s="111" t="s">
        <v>108</v>
      </c>
    </row>
    <row r="207" spans="1:12" x14ac:dyDescent="0.3">
      <c r="A207" s="116">
        <v>46021</v>
      </c>
      <c r="B207" t="s">
        <v>337</v>
      </c>
      <c r="C207" s="11">
        <v>14000</v>
      </c>
      <c r="D207" s="11"/>
      <c r="E207" t="s">
        <v>348</v>
      </c>
      <c r="F207" s="111" t="s">
        <v>108</v>
      </c>
    </row>
    <row r="208" spans="1:12" x14ac:dyDescent="0.3">
      <c r="A208" s="38">
        <v>46021</v>
      </c>
      <c r="B208" t="s">
        <v>55</v>
      </c>
      <c r="C208" s="11">
        <v>5250</v>
      </c>
      <c r="D208" s="11"/>
      <c r="F208" s="111" t="s">
        <v>108</v>
      </c>
    </row>
    <row r="209" spans="1:6" x14ac:dyDescent="0.3">
      <c r="A209" s="116">
        <v>46021</v>
      </c>
      <c r="B209" t="s">
        <v>55</v>
      </c>
      <c r="C209" s="11">
        <v>3500</v>
      </c>
      <c r="D209" s="11"/>
      <c r="E209" t="s">
        <v>349</v>
      </c>
      <c r="F209" s="111" t="s">
        <v>108</v>
      </c>
    </row>
    <row r="210" spans="1:6" x14ac:dyDescent="0.3">
      <c r="A210" s="38">
        <v>46021</v>
      </c>
      <c r="B210" t="s">
        <v>222</v>
      </c>
      <c r="C210" s="11">
        <v>100000</v>
      </c>
      <c r="D210" s="11"/>
      <c r="E210" t="s">
        <v>350</v>
      </c>
      <c r="F210" s="111" t="s">
        <v>108</v>
      </c>
    </row>
    <row r="211" spans="1:6" x14ac:dyDescent="0.3">
      <c r="A211" s="116">
        <v>46022</v>
      </c>
      <c r="B211" t="s">
        <v>326</v>
      </c>
      <c r="C211" s="96"/>
      <c r="D211" s="11">
        <v>200000</v>
      </c>
      <c r="E211" t="s">
        <v>353</v>
      </c>
      <c r="F211" s="111" t="s">
        <v>108</v>
      </c>
    </row>
    <row r="212" spans="1:6" x14ac:dyDescent="0.3">
      <c r="A212" s="116">
        <v>46022</v>
      </c>
      <c r="B212" t="s">
        <v>9</v>
      </c>
      <c r="C212" s="11"/>
      <c r="D212" s="11">
        <v>152366</v>
      </c>
      <c r="E212" t="s">
        <v>253</v>
      </c>
      <c r="F212" s="111" t="s">
        <v>108</v>
      </c>
    </row>
    <row r="213" spans="1:6" x14ac:dyDescent="0.3">
      <c r="A213" s="116">
        <v>46022</v>
      </c>
      <c r="B213" t="s">
        <v>94</v>
      </c>
      <c r="C213" s="11">
        <v>200010</v>
      </c>
      <c r="D213" s="11"/>
      <c r="E213" t="s">
        <v>354</v>
      </c>
      <c r="F213" s="111" t="s">
        <v>108</v>
      </c>
    </row>
    <row r="214" spans="1:6" x14ac:dyDescent="0.3">
      <c r="A214" s="116">
        <v>46022</v>
      </c>
      <c r="B214" t="s">
        <v>52</v>
      </c>
      <c r="C214" s="11"/>
      <c r="D214" s="11"/>
      <c r="E214" t="s">
        <v>221</v>
      </c>
      <c r="F214" s="111" t="s">
        <v>108</v>
      </c>
    </row>
    <row r="215" spans="1:6" x14ac:dyDescent="0.3">
      <c r="A215" s="116">
        <v>46022</v>
      </c>
      <c r="B215" t="s">
        <v>192</v>
      </c>
      <c r="C215" s="11"/>
      <c r="D215" s="11">
        <v>2270</v>
      </c>
      <c r="E215" t="s">
        <v>355</v>
      </c>
      <c r="F215" s="111" t="s">
        <v>108</v>
      </c>
    </row>
    <row r="216" spans="1:6" x14ac:dyDescent="0.3">
      <c r="A216" s="116">
        <v>46022</v>
      </c>
      <c r="B216" t="s">
        <v>55</v>
      </c>
      <c r="C216" s="11">
        <v>2270</v>
      </c>
      <c r="D216" s="11"/>
      <c r="F216" s="111" t="s">
        <v>108</v>
      </c>
    </row>
    <row r="217" spans="1:6" x14ac:dyDescent="0.3">
      <c r="A217" s="116">
        <v>46022</v>
      </c>
      <c r="B217" t="s">
        <v>26</v>
      </c>
      <c r="C217" s="96"/>
      <c r="D217" s="96">
        <v>200000</v>
      </c>
      <c r="F217" s="111" t="s">
        <v>108</v>
      </c>
    </row>
    <row r="218" spans="1:6" x14ac:dyDescent="0.3">
      <c r="A218" s="116">
        <v>46022</v>
      </c>
      <c r="B218" t="s">
        <v>224</v>
      </c>
      <c r="C218" s="11"/>
      <c r="D218" s="11">
        <v>150000</v>
      </c>
      <c r="F218" s="111" t="s">
        <v>108</v>
      </c>
    </row>
    <row r="219" spans="1:6" x14ac:dyDescent="0.3">
      <c r="A219" s="116">
        <v>46022</v>
      </c>
      <c r="B219" t="s">
        <v>199</v>
      </c>
      <c r="C219" s="11"/>
      <c r="D219" s="11">
        <v>100000</v>
      </c>
      <c r="F219" s="111" t="s">
        <v>108</v>
      </c>
    </row>
    <row r="220" spans="1:6" x14ac:dyDescent="0.3">
      <c r="A220" s="116">
        <v>46022</v>
      </c>
      <c r="B220" t="s">
        <v>192</v>
      </c>
      <c r="C220" s="96">
        <v>200000</v>
      </c>
      <c r="D220" s="11"/>
      <c r="E220" t="s">
        <v>26</v>
      </c>
      <c r="F220" s="111" t="s">
        <v>108</v>
      </c>
    </row>
    <row r="221" spans="1:6" x14ac:dyDescent="0.3">
      <c r="A221" s="116">
        <v>46022</v>
      </c>
      <c r="B221" t="s">
        <v>192</v>
      </c>
      <c r="C221" s="11">
        <v>150000</v>
      </c>
      <c r="D221" s="11"/>
      <c r="E221" t="s">
        <v>224</v>
      </c>
      <c r="F221" s="111" t="s">
        <v>108</v>
      </c>
    </row>
    <row r="222" spans="1:6" x14ac:dyDescent="0.3">
      <c r="A222" s="116">
        <v>46022</v>
      </c>
      <c r="B222" t="s">
        <v>192</v>
      </c>
      <c r="C222" s="11">
        <v>100000</v>
      </c>
      <c r="D222" s="11"/>
      <c r="E222" t="s">
        <v>199</v>
      </c>
      <c r="F222" s="111" t="s">
        <v>108</v>
      </c>
    </row>
    <row r="223" spans="1:6" x14ac:dyDescent="0.3">
      <c r="A223" s="116">
        <v>46022</v>
      </c>
      <c r="B223" t="s">
        <v>177</v>
      </c>
      <c r="C223" s="11">
        <v>6350</v>
      </c>
      <c r="D223" s="11"/>
      <c r="E223" t="s">
        <v>291</v>
      </c>
      <c r="F223" s="111" t="s">
        <v>108</v>
      </c>
    </row>
    <row r="224" spans="1:6" x14ac:dyDescent="0.3">
      <c r="A224" s="116">
        <v>46022</v>
      </c>
      <c r="B224" t="s">
        <v>229</v>
      </c>
      <c r="C224" s="11">
        <v>50000</v>
      </c>
      <c r="D224" s="11"/>
      <c r="F224" s="111" t="s">
        <v>108</v>
      </c>
    </row>
    <row r="225" spans="1:7" x14ac:dyDescent="0.3">
      <c r="A225" s="38">
        <v>46021</v>
      </c>
      <c r="B225" t="s">
        <v>286</v>
      </c>
      <c r="C225" s="96"/>
      <c r="D225" s="96">
        <v>60000</v>
      </c>
      <c r="F225" s="111" t="s">
        <v>108</v>
      </c>
    </row>
    <row r="226" spans="1:7" x14ac:dyDescent="0.3">
      <c r="A226" s="127">
        <v>46021</v>
      </c>
      <c r="B226" t="s">
        <v>166</v>
      </c>
      <c r="C226" s="11"/>
      <c r="D226" s="11">
        <v>100000</v>
      </c>
      <c r="E226" t="s">
        <v>356</v>
      </c>
      <c r="F226" s="111" t="s">
        <v>108</v>
      </c>
    </row>
    <row r="227" spans="1:7" x14ac:dyDescent="0.3">
      <c r="A227" s="38">
        <v>46021</v>
      </c>
      <c r="B227" t="s">
        <v>192</v>
      </c>
      <c r="C227" s="11">
        <v>160000</v>
      </c>
      <c r="D227" s="11"/>
      <c r="E227" t="s">
        <v>357</v>
      </c>
      <c r="F227" s="111" t="s">
        <v>108</v>
      </c>
    </row>
    <row r="228" spans="1:7" x14ac:dyDescent="0.3">
      <c r="A228" s="127">
        <v>46023</v>
      </c>
      <c r="B228" t="s">
        <v>166</v>
      </c>
      <c r="C228" s="11"/>
      <c r="D228" s="11">
        <v>100000</v>
      </c>
      <c r="E228" t="s">
        <v>358</v>
      </c>
      <c r="F228" s="111" t="s">
        <v>108</v>
      </c>
    </row>
    <row r="229" spans="1:7" x14ac:dyDescent="0.3">
      <c r="A229" s="38">
        <v>46023</v>
      </c>
      <c r="B229" t="s">
        <v>233</v>
      </c>
      <c r="C229" s="11">
        <v>20000</v>
      </c>
      <c r="D229" s="11"/>
      <c r="E229" t="s">
        <v>238</v>
      </c>
      <c r="F229" s="111" t="s">
        <v>108</v>
      </c>
    </row>
    <row r="230" spans="1:7" x14ac:dyDescent="0.3">
      <c r="A230" s="127">
        <v>46023</v>
      </c>
      <c r="B230" t="s">
        <v>199</v>
      </c>
      <c r="C230" s="11"/>
      <c r="D230" s="11">
        <v>100000</v>
      </c>
      <c r="E230" t="s">
        <v>359</v>
      </c>
      <c r="F230" s="111" t="s">
        <v>108</v>
      </c>
    </row>
    <row r="231" spans="1:7" x14ac:dyDescent="0.3">
      <c r="A231" s="38">
        <v>46023</v>
      </c>
      <c r="B231" t="s">
        <v>229</v>
      </c>
      <c r="C231" s="11">
        <v>100111</v>
      </c>
      <c r="D231" s="11"/>
      <c r="E231" t="s">
        <v>360</v>
      </c>
      <c r="F231" s="111" t="s">
        <v>108</v>
      </c>
    </row>
    <row r="232" spans="1:7" x14ac:dyDescent="0.3">
      <c r="A232" s="127">
        <v>46023</v>
      </c>
      <c r="B232" s="129" t="s">
        <v>199</v>
      </c>
      <c r="C232" s="96"/>
      <c r="D232" s="96">
        <v>125000</v>
      </c>
      <c r="E232" s="129" t="s">
        <v>361</v>
      </c>
      <c r="F232" s="130" t="s">
        <v>108</v>
      </c>
      <c r="G232" s="129"/>
    </row>
    <row r="233" spans="1:7" x14ac:dyDescent="0.3">
      <c r="A233" s="38">
        <v>46023</v>
      </c>
      <c r="B233" t="s">
        <v>52</v>
      </c>
      <c r="C233" s="11"/>
      <c r="D233" s="11"/>
      <c r="E233" t="s">
        <v>248</v>
      </c>
      <c r="F233" s="111" t="s">
        <v>108</v>
      </c>
    </row>
    <row r="234" spans="1:7" x14ac:dyDescent="0.3">
      <c r="A234" s="127">
        <v>46023</v>
      </c>
      <c r="B234" t="s">
        <v>169</v>
      </c>
      <c r="C234" s="11">
        <v>175000</v>
      </c>
      <c r="D234" s="11"/>
      <c r="E234" t="s">
        <v>362</v>
      </c>
      <c r="F234" s="111" t="s">
        <v>108</v>
      </c>
    </row>
    <row r="235" spans="1:7" x14ac:dyDescent="0.3">
      <c r="A235" s="38">
        <v>46023</v>
      </c>
      <c r="B235" t="s">
        <v>286</v>
      </c>
      <c r="C235" s="11"/>
      <c r="D235" s="11">
        <v>100000</v>
      </c>
      <c r="E235" t="s">
        <v>363</v>
      </c>
      <c r="F235" s="111" t="s">
        <v>108</v>
      </c>
    </row>
    <row r="236" spans="1:7" x14ac:dyDescent="0.3">
      <c r="A236" s="127">
        <v>46023</v>
      </c>
      <c r="B236" t="s">
        <v>113</v>
      </c>
      <c r="C236" s="11">
        <v>17595</v>
      </c>
      <c r="D236" s="11"/>
      <c r="E236" t="s">
        <v>364</v>
      </c>
      <c r="F236" s="111" t="s">
        <v>108</v>
      </c>
    </row>
    <row r="237" spans="1:7" x14ac:dyDescent="0.3">
      <c r="A237" s="128">
        <v>46023</v>
      </c>
      <c r="B237" s="129" t="s">
        <v>177</v>
      </c>
      <c r="C237" s="96">
        <v>7200</v>
      </c>
      <c r="D237" s="96"/>
      <c r="E237" s="129" t="s">
        <v>218</v>
      </c>
      <c r="F237" s="130" t="s">
        <v>108</v>
      </c>
      <c r="G237" s="129"/>
    </row>
    <row r="238" spans="1:7" x14ac:dyDescent="0.3">
      <c r="A238" s="128">
        <v>46023</v>
      </c>
      <c r="B238" s="129" t="s">
        <v>55</v>
      </c>
      <c r="C238" s="96">
        <v>1950</v>
      </c>
      <c r="D238" s="96"/>
      <c r="E238" s="129" t="s">
        <v>365</v>
      </c>
      <c r="F238" s="130" t="s">
        <v>108</v>
      </c>
      <c r="G238" s="129"/>
    </row>
    <row r="239" spans="1:7" x14ac:dyDescent="0.3">
      <c r="A239" s="128">
        <v>46032</v>
      </c>
      <c r="B239" s="129" t="s">
        <v>341</v>
      </c>
      <c r="C239" s="96"/>
      <c r="D239" s="96">
        <v>609704</v>
      </c>
      <c r="E239" s="129" t="s">
        <v>366</v>
      </c>
      <c r="F239" s="130" t="s">
        <v>108</v>
      </c>
      <c r="G239" s="129"/>
    </row>
    <row r="240" spans="1:7" x14ac:dyDescent="0.3">
      <c r="A240" s="128">
        <v>46032</v>
      </c>
      <c r="B240" s="129" t="s">
        <v>192</v>
      </c>
      <c r="C240" s="96">
        <v>609704</v>
      </c>
      <c r="D240" s="96"/>
      <c r="E240" s="129" t="s">
        <v>367</v>
      </c>
      <c r="F240" s="130" t="s">
        <v>108</v>
      </c>
      <c r="G240" s="129"/>
    </row>
    <row r="241" spans="1:7" x14ac:dyDescent="0.3">
      <c r="A241" s="128">
        <v>46023</v>
      </c>
      <c r="B241" s="129" t="s">
        <v>179</v>
      </c>
      <c r="C241" s="96"/>
      <c r="D241" s="96">
        <v>409310</v>
      </c>
      <c r="E241" s="129" t="s">
        <v>368</v>
      </c>
      <c r="F241" s="130" t="s">
        <v>108</v>
      </c>
      <c r="G241" s="129"/>
    </row>
    <row r="242" spans="1:7" x14ac:dyDescent="0.3">
      <c r="A242" s="128">
        <v>46023</v>
      </c>
      <c r="B242" s="129" t="s">
        <v>192</v>
      </c>
      <c r="C242" s="96">
        <v>409310</v>
      </c>
      <c r="D242" s="96"/>
      <c r="E242" s="129" t="s">
        <v>369</v>
      </c>
      <c r="F242" s="130" t="s">
        <v>108</v>
      </c>
      <c r="G242" s="129"/>
    </row>
    <row r="243" spans="1:7" x14ac:dyDescent="0.3">
      <c r="A243" s="38"/>
      <c r="C243" s="14">
        <f>SUBTOTAL(109,Table14[Debit])</f>
        <v>20589837</v>
      </c>
      <c r="D243" s="14">
        <f>SUBTOTAL(109,Table14[Credit])</f>
        <v>20676731</v>
      </c>
      <c r="F243" s="54">
        <f>(Table14[[#Totals],[Credit]]-Table14[[#Totals],[Debit]])</f>
        <v>86894</v>
      </c>
    </row>
    <row r="438" spans="12:14" x14ac:dyDescent="0.3">
      <c r="L438" s="19">
        <v>48600</v>
      </c>
      <c r="N438" s="19">
        <v>27400</v>
      </c>
    </row>
    <row r="439" spans="12:14" x14ac:dyDescent="0.3">
      <c r="L439">
        <v>49200</v>
      </c>
      <c r="N439">
        <v>3400</v>
      </c>
    </row>
    <row r="440" spans="12:14" x14ac:dyDescent="0.3">
      <c r="L440">
        <v>52000</v>
      </c>
      <c r="N440" s="19">
        <v>6200</v>
      </c>
    </row>
    <row r="441" spans="12:14" x14ac:dyDescent="0.3">
      <c r="L441">
        <v>42800</v>
      </c>
      <c r="N441">
        <v>3400</v>
      </c>
    </row>
    <row r="442" spans="12:14" x14ac:dyDescent="0.3">
      <c r="L442">
        <v>25200</v>
      </c>
      <c r="N442" s="19">
        <v>25200</v>
      </c>
    </row>
    <row r="443" spans="12:14" x14ac:dyDescent="0.3">
      <c r="L443">
        <v>37600</v>
      </c>
      <c r="N443" s="19">
        <v>19500</v>
      </c>
    </row>
    <row r="444" spans="12:14" x14ac:dyDescent="0.3">
      <c r="L444">
        <v>23000</v>
      </c>
      <c r="N444" s="19">
        <v>20300</v>
      </c>
    </row>
    <row r="445" spans="12:14" x14ac:dyDescent="0.3">
      <c r="L445">
        <v>6200</v>
      </c>
      <c r="N445" s="19">
        <v>21000</v>
      </c>
    </row>
    <row r="446" spans="12:14" x14ac:dyDescent="0.3">
      <c r="L446">
        <v>3400</v>
      </c>
      <c r="N446" s="19">
        <v>40000</v>
      </c>
    </row>
    <row r="447" spans="12:14" x14ac:dyDescent="0.3">
      <c r="L447">
        <v>19800</v>
      </c>
      <c r="N447" s="19">
        <v>3000</v>
      </c>
    </row>
    <row r="448" spans="12:14" x14ac:dyDescent="0.3">
      <c r="L448">
        <v>3400</v>
      </c>
      <c r="N448" s="19">
        <v>20600</v>
      </c>
    </row>
    <row r="449" spans="12:14" x14ac:dyDescent="0.3">
      <c r="L449">
        <v>31150</v>
      </c>
      <c r="N449" s="19">
        <v>12750</v>
      </c>
    </row>
    <row r="450" spans="12:14" x14ac:dyDescent="0.3">
      <c r="L450">
        <v>12750</v>
      </c>
      <c r="N450" s="19">
        <v>14400</v>
      </c>
    </row>
    <row r="451" spans="12:14" x14ac:dyDescent="0.3">
      <c r="L451">
        <v>27400</v>
      </c>
      <c r="N451" s="19">
        <v>9000</v>
      </c>
    </row>
    <row r="452" spans="12:14" x14ac:dyDescent="0.3">
      <c r="L452">
        <v>15700</v>
      </c>
      <c r="N452" s="19">
        <v>17400</v>
      </c>
    </row>
    <row r="453" spans="12:14" x14ac:dyDescent="0.3">
      <c r="L453">
        <v>12550</v>
      </c>
      <c r="N453" s="19">
        <v>19782</v>
      </c>
    </row>
    <row r="454" spans="12:14" x14ac:dyDescent="0.3">
      <c r="L454">
        <v>14800</v>
      </c>
      <c r="N454" s="19">
        <v>23000</v>
      </c>
    </row>
    <row r="455" spans="12:14" x14ac:dyDescent="0.3">
      <c r="L455">
        <v>14350</v>
      </c>
      <c r="N455" s="19">
        <v>15700</v>
      </c>
    </row>
    <row r="456" spans="12:14" x14ac:dyDescent="0.3">
      <c r="L456">
        <v>40000</v>
      </c>
      <c r="N456" s="19">
        <v>14800</v>
      </c>
    </row>
    <row r="457" spans="12:14" x14ac:dyDescent="0.3">
      <c r="L457">
        <v>17400</v>
      </c>
      <c r="N457" s="19">
        <v>12550</v>
      </c>
    </row>
    <row r="458" spans="12:14" x14ac:dyDescent="0.3">
      <c r="L458">
        <v>19500</v>
      </c>
      <c r="N458" s="19">
        <v>31150</v>
      </c>
    </row>
    <row r="459" spans="12:14" x14ac:dyDescent="0.3">
      <c r="L459">
        <v>3000</v>
      </c>
      <c r="N459" s="19">
        <v>27500</v>
      </c>
    </row>
    <row r="460" spans="12:14" x14ac:dyDescent="0.3">
      <c r="L460">
        <v>1000</v>
      </c>
      <c r="N460" s="19">
        <v>20000</v>
      </c>
    </row>
    <row r="461" spans="12:14" x14ac:dyDescent="0.3">
      <c r="L461">
        <v>9000</v>
      </c>
      <c r="N461" s="19">
        <v>52000</v>
      </c>
    </row>
    <row r="462" spans="12:14" x14ac:dyDescent="0.3">
      <c r="L462">
        <v>21000</v>
      </c>
      <c r="N462" s="19">
        <v>49200</v>
      </c>
    </row>
    <row r="463" spans="12:14" x14ac:dyDescent="0.3">
      <c r="L463">
        <v>20300</v>
      </c>
      <c r="N463" s="19">
        <v>37600</v>
      </c>
    </row>
    <row r="464" spans="12:14" x14ac:dyDescent="0.3">
      <c r="L464">
        <v>27500</v>
      </c>
      <c r="N464" s="19">
        <v>48600</v>
      </c>
    </row>
    <row r="465" spans="12:14" x14ac:dyDescent="0.3">
      <c r="L465">
        <v>20000</v>
      </c>
      <c r="N465" s="19">
        <v>42800</v>
      </c>
    </row>
    <row r="466" spans="12:14" x14ac:dyDescent="0.3">
      <c r="L466">
        <v>20600</v>
      </c>
    </row>
    <row r="467" spans="12:14" x14ac:dyDescent="0.3">
      <c r="L467">
        <v>3400</v>
      </c>
    </row>
  </sheetData>
  <phoneticPr fontId="4" type="noConversion"/>
  <pageMargins left="0.7" right="0.7" top="0.75" bottom="0.75" header="0.3" footer="0.3"/>
  <pageSetup paperSize="129" orientation="portrait" r:id="rId2"/>
  <drawing r:id="rId3"/>
  <tableParts count="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DB14-19DB-4B01-8C13-74C417326C5D}">
  <dimension ref="A1:P56"/>
  <sheetViews>
    <sheetView zoomScale="107" zoomScaleNormal="210" workbookViewId="0">
      <selection activeCell="A12" sqref="A12"/>
    </sheetView>
  </sheetViews>
  <sheetFormatPr defaultRowHeight="14.4" x14ac:dyDescent="0.3"/>
  <cols>
    <col min="1" max="1" width="11.109375" customWidth="1"/>
    <col min="2" max="2" width="15.5546875" customWidth="1"/>
    <col min="3" max="3" width="11.5546875" customWidth="1"/>
    <col min="5" max="5" width="12.33203125" bestFit="1" customWidth="1"/>
    <col min="6" max="6" width="11.33203125" bestFit="1" customWidth="1"/>
    <col min="7" max="7" width="10.33203125" bestFit="1" customWidth="1"/>
    <col min="8" max="8" width="12.33203125" bestFit="1" customWidth="1"/>
    <col min="9" max="9" width="15.5546875" customWidth="1"/>
    <col min="10" max="10" width="14.44140625" bestFit="1" customWidth="1"/>
    <col min="11" max="11" width="12.6640625" bestFit="1" customWidth="1"/>
    <col min="12" max="12" width="11.88671875" bestFit="1" customWidth="1"/>
    <col min="13" max="13" width="14.44140625" bestFit="1" customWidth="1"/>
  </cols>
  <sheetData>
    <row r="1" spans="1:14" x14ac:dyDescent="0.3">
      <c r="A1" s="2" t="s">
        <v>75</v>
      </c>
      <c r="B1" s="2" t="s">
        <v>120</v>
      </c>
      <c r="C1" s="2" t="s">
        <v>121</v>
      </c>
      <c r="D1" s="8" t="s">
        <v>4</v>
      </c>
      <c r="E1" s="8" t="s">
        <v>122</v>
      </c>
      <c r="F1" s="8" t="s">
        <v>110</v>
      </c>
      <c r="G1" s="8" t="s">
        <v>92</v>
      </c>
      <c r="H1" s="8" t="s">
        <v>18</v>
      </c>
      <c r="I1" s="8" t="s">
        <v>123</v>
      </c>
    </row>
    <row r="2" spans="1:14" x14ac:dyDescent="0.3">
      <c r="A2" s="85">
        <v>46008</v>
      </c>
      <c r="B2" s="82" t="s">
        <v>64</v>
      </c>
      <c r="C2" s="82"/>
      <c r="D2" s="82"/>
      <c r="E2" s="82"/>
      <c r="F2" s="97" t="s">
        <v>115</v>
      </c>
      <c r="G2" s="82">
        <f>SUMIFS(Table14[Debit], Table14[Date], Table8[[#This Row],[Date]], Table14[Party], Table8[[#This Row],[Party]])</f>
        <v>0</v>
      </c>
      <c r="H2" s="82">
        <v>0</v>
      </c>
      <c r="I2" s="82" t="s">
        <v>187</v>
      </c>
      <c r="K2" t="s">
        <v>75</v>
      </c>
      <c r="L2" t="s">
        <v>45</v>
      </c>
      <c r="M2" t="s">
        <v>36</v>
      </c>
      <c r="N2" t="s">
        <v>5</v>
      </c>
    </row>
    <row r="3" spans="1:14" x14ac:dyDescent="0.3">
      <c r="A3" s="95">
        <v>46008</v>
      </c>
      <c r="B3" s="82" t="s">
        <v>64</v>
      </c>
      <c r="C3" s="81"/>
      <c r="D3" s="81"/>
      <c r="E3" s="81"/>
      <c r="F3" s="81" t="s">
        <v>176</v>
      </c>
      <c r="G3" s="82">
        <f>SUMIFS(Table14[Debit], Table14[Date], Table8[[#This Row],[Date]], Table14[Party], Table8[[#This Row],[Party]])</f>
        <v>0</v>
      </c>
      <c r="H3" s="82">
        <v>0</v>
      </c>
      <c r="I3" s="82" t="s">
        <v>187</v>
      </c>
      <c r="K3" s="1"/>
      <c r="L3" t="s">
        <v>124</v>
      </c>
      <c r="N3" s="11">
        <f t="shared" ref="N3" si="0">47000+28750</f>
        <v>75750</v>
      </c>
    </row>
    <row r="4" spans="1:14" x14ac:dyDescent="0.3">
      <c r="A4" s="85">
        <v>46008</v>
      </c>
      <c r="B4" s="82" t="s">
        <v>64</v>
      </c>
      <c r="F4" s="81" t="s">
        <v>183</v>
      </c>
      <c r="G4" s="82">
        <f>SUMIFS(Table14[Debit], Table14[Date], Table8[[#This Row],[Date]], Table14[Party], Table8[[#This Row],[Party]])</f>
        <v>0</v>
      </c>
      <c r="H4" s="82">
        <v>0</v>
      </c>
      <c r="I4" s="82" t="s">
        <v>187</v>
      </c>
      <c r="K4" s="1"/>
      <c r="N4" s="11"/>
    </row>
    <row r="5" spans="1:14" x14ac:dyDescent="0.3">
      <c r="A5" s="95">
        <v>46008</v>
      </c>
      <c r="B5" s="82" t="s">
        <v>64</v>
      </c>
      <c r="F5" t="s">
        <v>197</v>
      </c>
      <c r="G5" s="82">
        <f>SUMIFS(Table14[Debit], Table14[Date], Table8[[#This Row],[Date]], Table14[Party], Table8[[#This Row],[Party]])</f>
        <v>0</v>
      </c>
      <c r="H5" s="82">
        <v>0</v>
      </c>
      <c r="I5" s="82" t="s">
        <v>187</v>
      </c>
      <c r="K5" s="1"/>
      <c r="N5" s="14">
        <f>SUM(Table7[Total])</f>
        <v>75750</v>
      </c>
    </row>
    <row r="6" spans="1:14" x14ac:dyDescent="0.3">
      <c r="A6" s="1">
        <v>46009</v>
      </c>
      <c r="B6" t="s">
        <v>64</v>
      </c>
      <c r="E6">
        <v>183750</v>
      </c>
      <c r="F6" t="s">
        <v>176</v>
      </c>
      <c r="G6">
        <f>SUMIFS(Table14[Debit], Table14[Date], Table8[[#This Row],[Date]], Table14[Party], Table8[[#This Row],[Party]])</f>
        <v>183750</v>
      </c>
      <c r="H6">
        <f>Table8[[#This Row],[Price]]-Table8[[#This Row],[Paid]]</f>
        <v>0</v>
      </c>
    </row>
    <row r="7" spans="1:14" x14ac:dyDescent="0.3">
      <c r="A7" s="1">
        <v>46013</v>
      </c>
      <c r="B7" t="s">
        <v>64</v>
      </c>
      <c r="E7">
        <v>111250</v>
      </c>
      <c r="F7" t="s">
        <v>176</v>
      </c>
      <c r="G7">
        <f>SUMIFS(Table14[Debit], Table14[Date], Table8[[#This Row],[Date]], Table14[Party], Table8[[#This Row],[Party]])</f>
        <v>111250</v>
      </c>
      <c r="H7">
        <f>Table8[[#This Row],[Price]]-Table8[[#This Row],[Paid]]</f>
        <v>0</v>
      </c>
      <c r="K7" s="3" t="s">
        <v>110</v>
      </c>
      <c r="L7" t="s">
        <v>87</v>
      </c>
    </row>
    <row r="8" spans="1:14" x14ac:dyDescent="0.3">
      <c r="A8" s="1">
        <v>46017</v>
      </c>
      <c r="B8" t="s">
        <v>64</v>
      </c>
      <c r="E8">
        <v>84000</v>
      </c>
      <c r="F8" t="s">
        <v>176</v>
      </c>
      <c r="G8">
        <v>50000</v>
      </c>
      <c r="H8">
        <f>Table8[[#This Row],[Price]]-Table8[[#This Row],[Paid]]</f>
        <v>34000</v>
      </c>
    </row>
    <row r="9" spans="1:14" x14ac:dyDescent="0.3">
      <c r="A9" s="1">
        <v>46016</v>
      </c>
      <c r="B9" t="s">
        <v>64</v>
      </c>
      <c r="E9">
        <v>162500</v>
      </c>
      <c r="F9" t="s">
        <v>310</v>
      </c>
      <c r="G9">
        <f>SUMIFS(Table14[Debit], Table14[Date], Table8[[#This Row],[Date]], Table14[Party], Table8[[#This Row],[Party]])</f>
        <v>162500</v>
      </c>
      <c r="H9">
        <f>Table8[[#This Row],[Price]]-Table8[[#This Row],[Paid]]</f>
        <v>0</v>
      </c>
      <c r="K9" s="3" t="s">
        <v>6</v>
      </c>
      <c r="L9" t="s">
        <v>127</v>
      </c>
      <c r="M9" t="s">
        <v>128</v>
      </c>
    </row>
    <row r="10" spans="1:14" x14ac:dyDescent="0.3">
      <c r="A10" s="1">
        <v>46018</v>
      </c>
      <c r="B10" t="s">
        <v>64</v>
      </c>
      <c r="E10">
        <v>111000</v>
      </c>
      <c r="F10" t="s">
        <v>176</v>
      </c>
      <c r="G10">
        <f>SUMIFS(Table14[Debit], Table14[Date], Table8[[#This Row],[Date]], Table14[Party], Table8[[#This Row],[Party]])</f>
        <v>84000</v>
      </c>
      <c r="H10">
        <f>Table8[[#This Row],[Price]]-Table8[[#This Row],[Paid]]</f>
        <v>27000</v>
      </c>
      <c r="K10" s="26">
        <v>46008</v>
      </c>
      <c r="M10">
        <v>0</v>
      </c>
    </row>
    <row r="11" spans="1:14" x14ac:dyDescent="0.3">
      <c r="A11" s="125">
        <v>46020</v>
      </c>
      <c r="B11" t="s">
        <v>64</v>
      </c>
      <c r="E11">
        <v>180250</v>
      </c>
      <c r="F11" t="s">
        <v>176</v>
      </c>
      <c r="G11">
        <f>SUMIFS(Table14[Debit], Table14[Date], Table8[[#This Row],[Date]], Table14[Party], Table8[[#This Row],[Party]])</f>
        <v>161000</v>
      </c>
      <c r="H11">
        <f>Table8[[#This Row],[Price]]-Table8[[#This Row],[Paid]]</f>
        <v>19250</v>
      </c>
      <c r="K11" s="26">
        <v>46009</v>
      </c>
      <c r="L11">
        <v>183750</v>
      </c>
      <c r="M11">
        <v>0</v>
      </c>
    </row>
    <row r="12" spans="1:14" x14ac:dyDescent="0.3">
      <c r="E12">
        <f>SUBTOTAL(109,Table8[Price])</f>
        <v>832750</v>
      </c>
      <c r="H12">
        <f>SUBTOTAL(109,Table8[Balance])</f>
        <v>80250</v>
      </c>
      <c r="K12" s="26">
        <v>46013</v>
      </c>
      <c r="L12">
        <v>111250</v>
      </c>
      <c r="M12">
        <v>0</v>
      </c>
    </row>
    <row r="13" spans="1:14" x14ac:dyDescent="0.3">
      <c r="K13" s="26">
        <v>46017</v>
      </c>
      <c r="L13">
        <v>84000</v>
      </c>
      <c r="M13">
        <v>34000</v>
      </c>
    </row>
    <row r="14" spans="1:14" x14ac:dyDescent="0.3">
      <c r="A14" t="s">
        <v>57</v>
      </c>
      <c r="B14" t="s">
        <v>156</v>
      </c>
      <c r="C14" t="s">
        <v>157</v>
      </c>
      <c r="D14" t="s">
        <v>4</v>
      </c>
      <c r="E14" t="s">
        <v>158</v>
      </c>
      <c r="K14" s="26">
        <v>46016</v>
      </c>
      <c r="L14">
        <v>162500</v>
      </c>
      <c r="M14">
        <v>0</v>
      </c>
    </row>
    <row r="15" spans="1:14" x14ac:dyDescent="0.3">
      <c r="A15" t="s">
        <v>131</v>
      </c>
      <c r="B15">
        <v>1</v>
      </c>
      <c r="C15">
        <v>25</v>
      </c>
      <c r="D15">
        <v>1400</v>
      </c>
      <c r="E15">
        <f>Table2325[[#This Row],[boxes]]*Table2325[[#This Row],[kgs]]*Table2325[[#This Row],[Rate]]</f>
        <v>35000</v>
      </c>
      <c r="K15" s="26">
        <v>46018</v>
      </c>
      <c r="L15">
        <v>111000</v>
      </c>
      <c r="M15">
        <v>27000</v>
      </c>
    </row>
    <row r="16" spans="1:14" x14ac:dyDescent="0.3">
      <c r="A16" t="s">
        <v>129</v>
      </c>
      <c r="B16">
        <v>1</v>
      </c>
      <c r="C16">
        <v>3</v>
      </c>
      <c r="D16">
        <v>1340</v>
      </c>
      <c r="E16">
        <f>Table2325[[#This Row],[boxes]]*Table2325[[#This Row],[kgs]]*Table2325[[#This Row],[Rate]]</f>
        <v>4020</v>
      </c>
      <c r="K16" s="26">
        <v>46020</v>
      </c>
      <c r="L16">
        <v>180250</v>
      </c>
      <c r="M16">
        <v>19250</v>
      </c>
    </row>
    <row r="17" spans="1:13" x14ac:dyDescent="0.3">
      <c r="A17" t="s">
        <v>147</v>
      </c>
      <c r="B17">
        <v>1</v>
      </c>
      <c r="D17">
        <v>1120</v>
      </c>
      <c r="E17">
        <f>Table2325[[#This Row],[boxes]]*Table2325[[#This Row],[kgs]]*Table2325[[#This Row],[Rate]]</f>
        <v>0</v>
      </c>
      <c r="K17" s="4" t="s">
        <v>28</v>
      </c>
      <c r="L17">
        <v>832750</v>
      </c>
      <c r="M17">
        <v>80250</v>
      </c>
    </row>
    <row r="18" spans="1:13" x14ac:dyDescent="0.3">
      <c r="A18" t="s">
        <v>126</v>
      </c>
      <c r="B18">
        <v>1</v>
      </c>
      <c r="C18">
        <v>25</v>
      </c>
      <c r="D18">
        <v>1120</v>
      </c>
      <c r="E18">
        <f>Table2325[[#This Row],[boxes]]*Table2325[[#This Row],[kgs]]*Table2325[[#This Row],[Rate]]</f>
        <v>28000</v>
      </c>
    </row>
    <row r="19" spans="1:13" x14ac:dyDescent="0.3">
      <c r="A19" t="s">
        <v>125</v>
      </c>
      <c r="B19">
        <v>1</v>
      </c>
      <c r="C19">
        <v>25</v>
      </c>
      <c r="D19">
        <v>1120</v>
      </c>
      <c r="E19">
        <f>Table2325[[#This Row],[boxes]]*Table2325[[#This Row],[kgs]]*Table2325[[#This Row],[Rate]]</f>
        <v>28000</v>
      </c>
    </row>
    <row r="20" spans="1:13" x14ac:dyDescent="0.3">
      <c r="A20" t="s">
        <v>146</v>
      </c>
      <c r="B20">
        <v>1</v>
      </c>
      <c r="D20">
        <v>1300</v>
      </c>
      <c r="E20">
        <f>Table2325[[#This Row],[boxes]]*Table2325[[#This Row],[kgs]]*Table2325[[#This Row],[Rate]]</f>
        <v>0</v>
      </c>
    </row>
    <row r="21" spans="1:13" x14ac:dyDescent="0.3">
      <c r="A21" t="s">
        <v>132</v>
      </c>
      <c r="B21">
        <v>1</v>
      </c>
      <c r="C21">
        <v>25</v>
      </c>
      <c r="D21">
        <v>1450</v>
      </c>
      <c r="E21">
        <f>Table2325[[#This Row],[boxes]]*Table2325[[#This Row],[kgs]]*Table2325[[#This Row],[Rate]]</f>
        <v>36250</v>
      </c>
    </row>
    <row r="22" spans="1:13" x14ac:dyDescent="0.3">
      <c r="A22" t="s">
        <v>159</v>
      </c>
      <c r="B22">
        <v>1</v>
      </c>
      <c r="C22">
        <v>25</v>
      </c>
      <c r="D22">
        <v>940</v>
      </c>
      <c r="E22">
        <f>Table2325[[#This Row],[boxes]]*Table2325[[#This Row],[kgs]]*Table2325[[#This Row],[Rate]]</f>
        <v>23500</v>
      </c>
    </row>
    <row r="23" spans="1:13" x14ac:dyDescent="0.3">
      <c r="A23" t="s">
        <v>125</v>
      </c>
      <c r="D23">
        <v>1130</v>
      </c>
      <c r="E23">
        <f>Table2325[[#This Row],[boxes]]*Table2325[[#This Row],[kgs]]*Table2325[[#This Row],[Rate]]</f>
        <v>0</v>
      </c>
    </row>
    <row r="24" spans="1:13" x14ac:dyDescent="0.3">
      <c r="A24" t="s">
        <v>146</v>
      </c>
      <c r="B24">
        <v>1</v>
      </c>
      <c r="C24">
        <v>12</v>
      </c>
      <c r="D24">
        <v>1300</v>
      </c>
      <c r="E24">
        <f>Table2325[[#This Row],[boxes]]*Table2325[[#This Row],[kgs]]*Table2325[[#This Row],[Rate]]</f>
        <v>15600</v>
      </c>
    </row>
    <row r="25" spans="1:13" x14ac:dyDescent="0.3">
      <c r="A25" t="s">
        <v>133</v>
      </c>
      <c r="B25">
        <v>1</v>
      </c>
      <c r="C25">
        <v>8</v>
      </c>
      <c r="D25">
        <v>1650</v>
      </c>
      <c r="E25">
        <f>Table2325[[#This Row],[boxes]]*Table2325[[#This Row],[kgs]]*Table2325[[#This Row],[Rate]]</f>
        <v>13200</v>
      </c>
    </row>
    <row r="26" spans="1:13" x14ac:dyDescent="0.3">
      <c r="A26" t="s">
        <v>129</v>
      </c>
      <c r="D26">
        <v>1340</v>
      </c>
      <c r="E26">
        <f>Table2325[[#This Row],[boxes]]*Table2325[[#This Row],[kgs]]*Table2325[[#This Row],[Rate]]</f>
        <v>0</v>
      </c>
    </row>
    <row r="27" spans="1:13" x14ac:dyDescent="0.3">
      <c r="A27" t="s">
        <v>132</v>
      </c>
      <c r="B27">
        <v>1</v>
      </c>
      <c r="C27">
        <v>12</v>
      </c>
      <c r="D27">
        <v>1450</v>
      </c>
      <c r="E27">
        <f>Table2325[[#This Row],[boxes]]*Table2325[[#This Row],[kgs]]*Table2325[[#This Row],[Rate]]</f>
        <v>17400</v>
      </c>
    </row>
    <row r="28" spans="1:13" x14ac:dyDescent="0.3">
      <c r="A28" t="s">
        <v>131</v>
      </c>
      <c r="B28">
        <v>1</v>
      </c>
      <c r="C28">
        <v>4</v>
      </c>
      <c r="D28">
        <v>1400</v>
      </c>
      <c r="E28">
        <f>Table2325[[#This Row],[boxes]]*Table2325[[#This Row],[kgs]]*Table2325[[#This Row],[Rate]]</f>
        <v>5600</v>
      </c>
    </row>
    <row r="29" spans="1:13" x14ac:dyDescent="0.3">
      <c r="A29" t="s">
        <v>160</v>
      </c>
      <c r="D29">
        <v>1000</v>
      </c>
      <c r="E29">
        <f>Table2325[[#This Row],[boxes]]*Table2325[[#This Row],[kgs]]*Table2325[[#This Row],[Rate]]</f>
        <v>0</v>
      </c>
    </row>
    <row r="30" spans="1:13" x14ac:dyDescent="0.3">
      <c r="A30" t="s">
        <v>130</v>
      </c>
      <c r="B30">
        <v>1</v>
      </c>
      <c r="C30">
        <v>12</v>
      </c>
      <c r="D30">
        <v>1650</v>
      </c>
      <c r="E30">
        <f>Table2325[[#This Row],[boxes]]*Table2325[[#This Row],[kgs]]*Table2325[[#This Row],[Rate]]</f>
        <v>19800</v>
      </c>
    </row>
    <row r="31" spans="1:13" x14ac:dyDescent="0.3">
      <c r="A31" t="s">
        <v>114</v>
      </c>
      <c r="D31">
        <v>1130</v>
      </c>
      <c r="E31">
        <f>Table2325[[#This Row],[boxes]]*Table2325[[#This Row],[kgs]]*Table2325[[#This Row],[Rate]]</f>
        <v>0</v>
      </c>
    </row>
    <row r="32" spans="1:13" x14ac:dyDescent="0.3">
      <c r="A32" t="s">
        <v>153</v>
      </c>
      <c r="B32">
        <v>1</v>
      </c>
      <c r="C32">
        <v>5</v>
      </c>
      <c r="D32">
        <v>3100</v>
      </c>
      <c r="E32">
        <f>Table2325[[#This Row],[boxes]]*Table2325[[#This Row],[kgs]]*Table2325[[#This Row],[Rate]]</f>
        <v>15500</v>
      </c>
      <c r="L32" t="s">
        <v>163</v>
      </c>
    </row>
    <row r="33" spans="1:16" x14ac:dyDescent="0.3">
      <c r="A33" t="s">
        <v>126</v>
      </c>
      <c r="B33">
        <v>1</v>
      </c>
      <c r="C33">
        <v>8</v>
      </c>
      <c r="D33">
        <v>1140</v>
      </c>
      <c r="E33">
        <f>Table2325[[#This Row],[boxes]]*Table2325[[#This Row],[kgs]]*Table2325[[#This Row],[Rate]]</f>
        <v>9120</v>
      </c>
      <c r="L33" t="s">
        <v>57</v>
      </c>
      <c r="M33" t="s">
        <v>156</v>
      </c>
      <c r="N33" t="s">
        <v>157</v>
      </c>
      <c r="O33" t="s">
        <v>4</v>
      </c>
      <c r="P33" t="s">
        <v>158</v>
      </c>
    </row>
    <row r="34" spans="1:16" x14ac:dyDescent="0.3">
      <c r="A34" t="s">
        <v>147</v>
      </c>
      <c r="B34">
        <v>1</v>
      </c>
      <c r="C34">
        <v>6</v>
      </c>
      <c r="D34">
        <v>1140</v>
      </c>
      <c r="E34">
        <f>Table2325[[#This Row],[boxes]]*Table2325[[#This Row],[kgs]]*Table2325[[#This Row],[Rate]]</f>
        <v>6840</v>
      </c>
      <c r="L34" t="s">
        <v>131</v>
      </c>
      <c r="M34">
        <v>1</v>
      </c>
      <c r="N34">
        <v>5</v>
      </c>
      <c r="O34">
        <v>1400</v>
      </c>
      <c r="P34">
        <f>Table23[[#This Row],[boxes]]*Table23[[#This Row],[kgs]]*Table23[[#This Row],[Rate]]</f>
        <v>7000</v>
      </c>
    </row>
    <row r="35" spans="1:16" x14ac:dyDescent="0.3">
      <c r="A35" t="s">
        <v>161</v>
      </c>
      <c r="D35">
        <v>1000</v>
      </c>
      <c r="E35">
        <f>Table2325[[#This Row],[boxes]]*Table2325[[#This Row],[kgs]]*Table2325[[#This Row],[Rate]]</f>
        <v>0</v>
      </c>
      <c r="L35" t="s">
        <v>129</v>
      </c>
      <c r="M35">
        <v>1</v>
      </c>
      <c r="N35">
        <v>30</v>
      </c>
      <c r="O35">
        <v>1340</v>
      </c>
      <c r="P35">
        <f>Table23[[#This Row],[boxes]]*Table23[[#This Row],[kgs]]*Table23[[#This Row],[Rate]]</f>
        <v>40200</v>
      </c>
    </row>
    <row r="36" spans="1:16" x14ac:dyDescent="0.3">
      <c r="A36" t="s">
        <v>162</v>
      </c>
      <c r="B36">
        <v>1</v>
      </c>
      <c r="C36">
        <v>10</v>
      </c>
      <c r="D36">
        <v>1600</v>
      </c>
      <c r="E36">
        <f>Table2325[[#This Row],[boxes]]*Table2325[[#This Row],[kgs]]*Table2325[[#This Row],[Rate]]</f>
        <v>16000</v>
      </c>
      <c r="L36" t="s">
        <v>147</v>
      </c>
      <c r="M36">
        <v>1</v>
      </c>
      <c r="O36">
        <v>1140</v>
      </c>
      <c r="P36">
        <f>Table23[[#This Row],[boxes]]*Table23[[#This Row],[kgs]]*Table23[[#This Row],[Rate]]</f>
        <v>0</v>
      </c>
    </row>
    <row r="37" spans="1:16" x14ac:dyDescent="0.3">
      <c r="A37" t="s">
        <v>114</v>
      </c>
      <c r="B37">
        <v>1</v>
      </c>
      <c r="C37">
        <v>3</v>
      </c>
      <c r="D37">
        <v>1120</v>
      </c>
      <c r="E37">
        <f>Table2325[[#This Row],[boxes]]*Table2325[[#This Row],[kgs]]*Table2325[[#This Row],[Rate]]</f>
        <v>3360</v>
      </c>
      <c r="L37" t="s">
        <v>126</v>
      </c>
      <c r="M37">
        <v>1</v>
      </c>
      <c r="N37">
        <v>28</v>
      </c>
      <c r="O37">
        <v>1140</v>
      </c>
      <c r="P37">
        <f>Table23[[#This Row],[boxes]]*Table23[[#This Row],[kgs]]*Table23[[#This Row],[Rate]]</f>
        <v>31920</v>
      </c>
    </row>
    <row r="38" spans="1:16" x14ac:dyDescent="0.3">
      <c r="A38" t="s">
        <v>188</v>
      </c>
      <c r="B38">
        <v>1</v>
      </c>
      <c r="C38">
        <v>4</v>
      </c>
      <c r="D38">
        <v>920</v>
      </c>
      <c r="E38">
        <f>Table2325[[#This Row],[boxes]]*Table2325[[#This Row],[kgs]]*Table2325[[#This Row],[Rate]]</f>
        <v>3680</v>
      </c>
      <c r="L38" t="s">
        <v>125</v>
      </c>
      <c r="M38">
        <v>1</v>
      </c>
      <c r="N38">
        <v>8</v>
      </c>
      <c r="O38">
        <v>1130</v>
      </c>
      <c r="P38">
        <f>Table23[[#This Row],[boxes]]*Table23[[#This Row],[kgs]]*Table23[[#This Row],[Rate]]</f>
        <v>9040</v>
      </c>
    </row>
    <row r="39" spans="1:16" x14ac:dyDescent="0.3">
      <c r="L39" t="s">
        <v>146</v>
      </c>
      <c r="M39">
        <v>1</v>
      </c>
      <c r="O39">
        <v>1300</v>
      </c>
      <c r="P39">
        <f>Table23[[#This Row],[boxes]]*Table23[[#This Row],[kgs]]*Table23[[#This Row],[Rate]]</f>
        <v>0</v>
      </c>
    </row>
    <row r="40" spans="1:16" x14ac:dyDescent="0.3">
      <c r="L40" t="s">
        <v>132</v>
      </c>
      <c r="M40">
        <v>1</v>
      </c>
      <c r="N40">
        <v>30</v>
      </c>
      <c r="O40">
        <v>1450</v>
      </c>
      <c r="P40">
        <f>Table23[[#This Row],[boxes]]*Table23[[#This Row],[kgs]]*Table23[[#This Row],[Rate]]</f>
        <v>43500</v>
      </c>
    </row>
    <row r="41" spans="1:16" x14ac:dyDescent="0.3">
      <c r="E41">
        <f>SUM(Table2325[total])</f>
        <v>280870</v>
      </c>
      <c r="L41" t="s">
        <v>159</v>
      </c>
      <c r="M41">
        <v>1</v>
      </c>
      <c r="N41">
        <v>40</v>
      </c>
      <c r="O41">
        <v>910</v>
      </c>
      <c r="P41">
        <f>Table23[[#This Row],[boxes]]*Table23[[#This Row],[kgs]]*Table23[[#This Row],[Rate]]</f>
        <v>36400</v>
      </c>
    </row>
    <row r="42" spans="1:16" x14ac:dyDescent="0.3">
      <c r="L42" t="s">
        <v>125</v>
      </c>
      <c r="M42">
        <v>1</v>
      </c>
      <c r="O42">
        <v>1130</v>
      </c>
      <c r="P42">
        <f>Table23[[#This Row],[boxes]]*Table23[[#This Row],[kgs]]*Table23[[#This Row],[Rate]]</f>
        <v>0</v>
      </c>
    </row>
    <row r="43" spans="1:16" x14ac:dyDescent="0.3">
      <c r="L43" t="s">
        <v>146</v>
      </c>
      <c r="M43">
        <v>1</v>
      </c>
      <c r="N43">
        <v>10</v>
      </c>
      <c r="O43">
        <v>1300</v>
      </c>
      <c r="P43">
        <f>Table23[[#This Row],[boxes]]*Table23[[#This Row],[kgs]]*Table23[[#This Row],[Rate]]</f>
        <v>13000</v>
      </c>
    </row>
    <row r="44" spans="1:16" x14ac:dyDescent="0.3">
      <c r="L44" t="s">
        <v>133</v>
      </c>
      <c r="M44">
        <v>1</v>
      </c>
      <c r="N44">
        <v>4</v>
      </c>
      <c r="O44">
        <v>1650</v>
      </c>
      <c r="P44">
        <f>Table23[[#This Row],[boxes]]*Table23[[#This Row],[kgs]]*Table23[[#This Row],[Rate]]</f>
        <v>6600</v>
      </c>
    </row>
    <row r="45" spans="1:16" x14ac:dyDescent="0.3">
      <c r="L45" t="s">
        <v>129</v>
      </c>
      <c r="M45">
        <v>1</v>
      </c>
      <c r="O45">
        <v>1340</v>
      </c>
      <c r="P45">
        <f>Table23[[#This Row],[boxes]]*Table23[[#This Row],[kgs]]*Table23[[#This Row],[Rate]]</f>
        <v>0</v>
      </c>
    </row>
    <row r="46" spans="1:16" x14ac:dyDescent="0.3">
      <c r="L46" t="s">
        <v>132</v>
      </c>
      <c r="M46">
        <v>1</v>
      </c>
      <c r="O46">
        <v>1450</v>
      </c>
      <c r="P46">
        <f>Table23[[#This Row],[boxes]]*Table23[[#This Row],[kgs]]*Table23[[#This Row],[Rate]]</f>
        <v>0</v>
      </c>
    </row>
    <row r="47" spans="1:16" x14ac:dyDescent="0.3">
      <c r="L47" t="s">
        <v>131</v>
      </c>
      <c r="M47">
        <v>1</v>
      </c>
      <c r="O47">
        <v>1400</v>
      </c>
      <c r="P47">
        <f>Table23[[#This Row],[boxes]]*Table23[[#This Row],[kgs]]*Table23[[#This Row],[Rate]]</f>
        <v>0</v>
      </c>
    </row>
    <row r="48" spans="1:16" x14ac:dyDescent="0.3">
      <c r="L48" t="s">
        <v>160</v>
      </c>
      <c r="M48">
        <v>1</v>
      </c>
      <c r="O48">
        <v>1000</v>
      </c>
      <c r="P48">
        <f>Table23[[#This Row],[boxes]]*Table23[[#This Row],[kgs]]*Table23[[#This Row],[Rate]]</f>
        <v>0</v>
      </c>
    </row>
    <row r="49" spans="12:16" x14ac:dyDescent="0.3">
      <c r="L49" t="s">
        <v>130</v>
      </c>
      <c r="M49">
        <v>1</v>
      </c>
      <c r="N49">
        <v>5</v>
      </c>
      <c r="O49">
        <v>1650</v>
      </c>
      <c r="P49">
        <f>Table23[[#This Row],[boxes]]*Table23[[#This Row],[kgs]]*Table23[[#This Row],[Rate]]</f>
        <v>8250</v>
      </c>
    </row>
    <row r="50" spans="12:16" x14ac:dyDescent="0.3">
      <c r="L50" t="s">
        <v>114</v>
      </c>
      <c r="M50">
        <v>1</v>
      </c>
      <c r="N50">
        <v>20</v>
      </c>
      <c r="O50">
        <v>1130</v>
      </c>
      <c r="P50">
        <f>Table23[[#This Row],[boxes]]*Table23[[#This Row],[kgs]]*Table23[[#This Row],[Rate]]</f>
        <v>22600</v>
      </c>
    </row>
    <row r="51" spans="12:16" x14ac:dyDescent="0.3">
      <c r="L51" t="s">
        <v>153</v>
      </c>
      <c r="M51">
        <v>1</v>
      </c>
      <c r="O51">
        <v>3100</v>
      </c>
      <c r="P51">
        <f>Table23[[#This Row],[boxes]]*Table23[[#This Row],[kgs]]*Table23[[#This Row],[Rate]]</f>
        <v>0</v>
      </c>
    </row>
    <row r="52" spans="12:16" x14ac:dyDescent="0.3">
      <c r="L52" t="s">
        <v>126</v>
      </c>
      <c r="M52">
        <v>1</v>
      </c>
      <c r="O52">
        <v>1140</v>
      </c>
      <c r="P52">
        <f>Table23[[#This Row],[boxes]]*Table23[[#This Row],[kgs]]*Table23[[#This Row],[Rate]]</f>
        <v>0</v>
      </c>
    </row>
    <row r="53" spans="12:16" x14ac:dyDescent="0.3">
      <c r="L53" t="s">
        <v>147</v>
      </c>
      <c r="M53">
        <v>1</v>
      </c>
      <c r="N53">
        <v>10</v>
      </c>
      <c r="O53">
        <v>1140</v>
      </c>
      <c r="P53">
        <f>Table23[[#This Row],[boxes]]*Table23[[#This Row],[kgs]]*Table23[[#This Row],[Rate]]</f>
        <v>11400</v>
      </c>
    </row>
    <row r="54" spans="12:16" x14ac:dyDescent="0.3">
      <c r="L54" t="s">
        <v>161</v>
      </c>
      <c r="M54">
        <v>1</v>
      </c>
      <c r="N54">
        <v>10</v>
      </c>
      <c r="O54">
        <v>1000</v>
      </c>
      <c r="P54">
        <f>Table23[[#This Row],[boxes]]*Table23[[#This Row],[kgs]]*Table23[[#This Row],[Rate]]</f>
        <v>10000</v>
      </c>
    </row>
    <row r="55" spans="12:16" x14ac:dyDescent="0.3">
      <c r="L55" t="s">
        <v>162</v>
      </c>
      <c r="M55">
        <v>1</v>
      </c>
      <c r="N55">
        <v>5</v>
      </c>
      <c r="O55">
        <v>1000</v>
      </c>
      <c r="P55">
        <f>Table23[[#This Row],[boxes]]*Table23[[#This Row],[kgs]]*Table23[[#This Row],[Rate]]</f>
        <v>5000</v>
      </c>
    </row>
    <row r="56" spans="12:16" x14ac:dyDescent="0.3">
      <c r="L56" t="s">
        <v>5</v>
      </c>
      <c r="P56">
        <f>SUM(P34:P55)</f>
        <v>244910</v>
      </c>
    </row>
  </sheetData>
  <pageMargins left="0.7" right="0.7" top="0.75" bottom="0.75" header="0.3" footer="0.3"/>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B8EA-7CD9-455D-A87F-F3555B03CAC4}">
  <dimension ref="A4:M30"/>
  <sheetViews>
    <sheetView zoomScale="104" workbookViewId="0">
      <selection activeCell="D11" sqref="D11"/>
    </sheetView>
  </sheetViews>
  <sheetFormatPr defaultRowHeight="14.4" x14ac:dyDescent="0.3"/>
  <cols>
    <col min="1" max="1" width="13.88671875" customWidth="1"/>
    <col min="2" max="2" width="14.109375" customWidth="1"/>
    <col min="3" max="3" width="13" customWidth="1"/>
    <col min="4" max="4" width="10.6640625" bestFit="1" customWidth="1"/>
    <col min="7" max="8" width="12.33203125" bestFit="1" customWidth="1"/>
    <col min="9" max="9" width="11.33203125" bestFit="1" customWidth="1"/>
    <col min="10" max="10" width="12.6640625" bestFit="1" customWidth="1"/>
    <col min="11" max="11" width="11.33203125" bestFit="1" customWidth="1"/>
    <col min="12" max="12" width="10.77734375" bestFit="1" customWidth="1"/>
    <col min="13" max="13" width="13.88671875" bestFit="1" customWidth="1"/>
  </cols>
  <sheetData>
    <row r="4" spans="1:13" x14ac:dyDescent="0.3">
      <c r="A4" s="2" t="s">
        <v>75</v>
      </c>
      <c r="B4" s="8" t="s">
        <v>2</v>
      </c>
      <c r="C4" s="2" t="s">
        <v>134</v>
      </c>
      <c r="D4" s="2" t="s">
        <v>121</v>
      </c>
      <c r="E4" s="8" t="s">
        <v>135</v>
      </c>
      <c r="F4" s="8" t="s">
        <v>122</v>
      </c>
      <c r="G4" s="8" t="s">
        <v>92</v>
      </c>
      <c r="H4" s="8" t="s">
        <v>18</v>
      </c>
      <c r="J4" s="3" t="s">
        <v>6</v>
      </c>
      <c r="K4" t="s">
        <v>127</v>
      </c>
      <c r="L4" t="s">
        <v>101</v>
      </c>
      <c r="M4" t="s">
        <v>128</v>
      </c>
    </row>
    <row r="5" spans="1:13" hidden="1" x14ac:dyDescent="0.3">
      <c r="A5" s="85">
        <v>46008</v>
      </c>
      <c r="B5" s="85" t="s">
        <v>117</v>
      </c>
      <c r="C5" s="82" t="s">
        <v>216</v>
      </c>
      <c r="D5" s="82"/>
      <c r="E5" s="82"/>
      <c r="F5" s="82">
        <f>Table2[[#This Row],[Quantity]]*200*Table2[[#This Row],[Boxes]]</f>
        <v>0</v>
      </c>
      <c r="G5" s="82">
        <f>SUMIFS(Table14[Debit], Table14[Date], Table2[[#This Row],[Date]], Table14[Party], Table2[[#This Row],[Party Name]],Table14[Description],Table2[[#This Row],[Item]])</f>
        <v>0</v>
      </c>
      <c r="H5" s="82">
        <v>0</v>
      </c>
      <c r="J5" s="4" t="s">
        <v>103</v>
      </c>
      <c r="K5">
        <v>0</v>
      </c>
      <c r="L5">
        <v>0</v>
      </c>
      <c r="M5">
        <v>0</v>
      </c>
    </row>
    <row r="6" spans="1:13" x14ac:dyDescent="0.3">
      <c r="A6" s="85">
        <v>46008</v>
      </c>
      <c r="B6" s="85" t="s">
        <v>116</v>
      </c>
      <c r="C6" s="82" t="s">
        <v>216</v>
      </c>
      <c r="D6" s="82"/>
      <c r="E6" s="82"/>
      <c r="F6" s="82">
        <f>Table2[[#This Row],[Quantity]]*200*Table2[[#This Row],[Boxes]]</f>
        <v>0</v>
      </c>
      <c r="G6" s="82">
        <f>SUMIFS(Table14[Debit], Table14[Date], Table2[[#This Row],[Date]], Table14[Party], Table2[[#This Row],[Party Name]],Table14[Description],Table2[[#This Row],[Item]])</f>
        <v>0</v>
      </c>
      <c r="H6" s="82">
        <v>268000</v>
      </c>
      <c r="J6" s="4" t="s">
        <v>116</v>
      </c>
      <c r="K6">
        <v>0</v>
      </c>
      <c r="L6">
        <v>150000</v>
      </c>
      <c r="M6">
        <v>118000</v>
      </c>
    </row>
    <row r="7" spans="1:13" hidden="1" x14ac:dyDescent="0.3">
      <c r="A7" s="85">
        <v>46008</v>
      </c>
      <c r="B7" s="85" t="s">
        <v>165</v>
      </c>
      <c r="C7" s="82" t="s">
        <v>216</v>
      </c>
      <c r="F7" s="82">
        <f>Table2[[#This Row],[Quantity]]*200*Table2[[#This Row],[Boxes]]</f>
        <v>0</v>
      </c>
      <c r="G7" s="82">
        <f>SUMIFS(Table14[Debit], Table14[Date], Table2[[#This Row],[Date]], Table14[Party], Table2[[#This Row],[Party Name]],Table14[Description],Table2[[#This Row],[Item]])</f>
        <v>0</v>
      </c>
      <c r="H7" s="81">
        <v>0</v>
      </c>
      <c r="J7" s="4" t="s">
        <v>117</v>
      </c>
      <c r="K7">
        <v>351000</v>
      </c>
      <c r="L7">
        <v>0</v>
      </c>
      <c r="M7">
        <v>351000</v>
      </c>
    </row>
    <row r="8" spans="1:13" hidden="1" x14ac:dyDescent="0.3">
      <c r="A8" s="85">
        <v>46008</v>
      </c>
      <c r="B8" s="95" t="s">
        <v>194</v>
      </c>
      <c r="C8" s="82" t="s">
        <v>216</v>
      </c>
      <c r="F8" s="82">
        <f>Table2[[#This Row],[Quantity]]*200*Table2[[#This Row],[Boxes]]</f>
        <v>0</v>
      </c>
      <c r="G8" s="82">
        <f>SUMIFS(Table14[Debit], Table14[Date], Table2[[#This Row],[Date]], Table14[Party], Table2[[#This Row],[Party Name]],Table14[Description],Table2[[#This Row],[Item]])</f>
        <v>0</v>
      </c>
      <c r="H8" s="81">
        <v>0</v>
      </c>
      <c r="J8" s="4" t="s">
        <v>165</v>
      </c>
      <c r="K8">
        <v>0</v>
      </c>
      <c r="L8">
        <v>0</v>
      </c>
      <c r="M8">
        <v>0</v>
      </c>
    </row>
    <row r="9" spans="1:13" hidden="1" x14ac:dyDescent="0.3">
      <c r="A9" s="117">
        <v>46008</v>
      </c>
      <c r="B9" s="117" t="s">
        <v>198</v>
      </c>
      <c r="C9" s="88" t="s">
        <v>216</v>
      </c>
      <c r="F9" s="82">
        <f>Table2[[#This Row],[Quantity]]*200*Table2[[#This Row],[Boxes]]</f>
        <v>0</v>
      </c>
      <c r="G9" s="82">
        <f>SUMIFS(Table14[Debit], Table14[Date], Table2[[#This Row],[Date]], Table14[Party], Table2[[#This Row],[Party Name]],Table14[Description],Table2[[#This Row],[Item]])</f>
        <v>0</v>
      </c>
      <c r="H9" s="81">
        <f>Table2[[#This Row],[Price]]-Table2[[#This Row],[Paid]]</f>
        <v>0</v>
      </c>
      <c r="J9" s="4" t="s">
        <v>194</v>
      </c>
      <c r="K9">
        <v>0</v>
      </c>
      <c r="L9">
        <v>0</v>
      </c>
      <c r="M9">
        <v>0</v>
      </c>
    </row>
    <row r="10" spans="1:13" hidden="1" x14ac:dyDescent="0.3">
      <c r="A10" s="1">
        <v>46011</v>
      </c>
      <c r="B10" s="1" t="s">
        <v>117</v>
      </c>
      <c r="C10" t="s">
        <v>61</v>
      </c>
      <c r="D10">
        <v>45</v>
      </c>
      <c r="F10">
        <v>351000</v>
      </c>
      <c r="G10">
        <f>SUMIFS(Table14[Debit], Table14[Date], Table2[[#This Row],[Date]], Table14[Party], Table2[[#This Row],[Party Name]],Table14[Description],Table2[[#This Row],[Item]])</f>
        <v>0</v>
      </c>
      <c r="H10">
        <f>Table2[[#This Row],[Price]]-Table2[[#This Row],[Paid]]</f>
        <v>351000</v>
      </c>
      <c r="J10" s="4" t="s">
        <v>198</v>
      </c>
      <c r="K10">
        <v>0</v>
      </c>
      <c r="L10">
        <v>0</v>
      </c>
      <c r="M10">
        <v>0</v>
      </c>
    </row>
    <row r="11" spans="1:13" x14ac:dyDescent="0.3">
      <c r="A11" s="1">
        <v>46014</v>
      </c>
      <c r="B11" s="1" t="s">
        <v>116</v>
      </c>
      <c r="C11" t="s">
        <v>282</v>
      </c>
      <c r="F11">
        <f>Table2[[#This Row],[Quantity]]*200*Table2[[#This Row],[Boxes]]</f>
        <v>0</v>
      </c>
      <c r="G11">
        <f>SUMIFS(Table14[Debit], Table14[Date], Table2[[#This Row],[Date]], Table14[Party], Table2[[#This Row],[Party Name]],Table14[Description],Table2[[#This Row],[Item]])</f>
        <v>150000</v>
      </c>
      <c r="H11">
        <f>Table2[[#This Row],[Price]]-Table2[[#This Row],[Paid]]</f>
        <v>-150000</v>
      </c>
      <c r="J11" s="4" t="s">
        <v>28</v>
      </c>
      <c r="K11">
        <v>351000</v>
      </c>
      <c r="L11">
        <v>150000</v>
      </c>
      <c r="M11">
        <v>469000</v>
      </c>
    </row>
    <row r="12" spans="1:13" hidden="1" x14ac:dyDescent="0.3">
      <c r="A12" s="1"/>
      <c r="B12" s="1"/>
      <c r="F12">
        <f>Table2[[#This Row],[Quantity]]*200*Table2[[#This Row],[Boxes]]</f>
        <v>0</v>
      </c>
      <c r="G12">
        <f>SUMIFS(Table14[Debit], Table14[Date], Table2[[#This Row],[Date]], Table14[Party], Table2[[#This Row],[Party Name]],Table14[Description],Table2[[#This Row],[Item]])</f>
        <v>0</v>
      </c>
      <c r="H12">
        <f>Table2[[#This Row],[Price]]-Table2[[#This Row],[Paid]]</f>
        <v>0</v>
      </c>
    </row>
    <row r="13" spans="1:13" hidden="1" x14ac:dyDescent="0.3">
      <c r="A13" s="1"/>
      <c r="B13" s="1"/>
      <c r="F13">
        <f>Table2[[#This Row],[Quantity]]*200*Table2[[#This Row],[Boxes]]</f>
        <v>0</v>
      </c>
      <c r="G13">
        <f>SUMIFS(Table14[Debit], Table14[Date], Table2[[#This Row],[Date]], Table14[Party], Table2[[#This Row],[Party Name]],Table14[Description],Table2[[#This Row],[Item]])</f>
        <v>0</v>
      </c>
      <c r="H13">
        <f>Table2[[#This Row],[Price]]-Table2[[#This Row],[Paid]]</f>
        <v>0</v>
      </c>
    </row>
    <row r="14" spans="1:13" x14ac:dyDescent="0.3">
      <c r="A14" s="1"/>
      <c r="F14">
        <f>SUBTOTAL(109,Table2[Price])</f>
        <v>0</v>
      </c>
      <c r="G14">
        <f>SUBTOTAL(109,Table2[Paid])</f>
        <v>150000</v>
      </c>
      <c r="H14">
        <f>SUBTOTAL(109,Table2[Balance])</f>
        <v>118000</v>
      </c>
    </row>
    <row r="24" spans="9:11" x14ac:dyDescent="0.3">
      <c r="I24" t="s">
        <v>57</v>
      </c>
      <c r="J24" t="s">
        <v>174</v>
      </c>
      <c r="K24" t="s">
        <v>207</v>
      </c>
    </row>
    <row r="25" spans="9:11" x14ac:dyDescent="0.3">
      <c r="I25" t="s">
        <v>61</v>
      </c>
      <c r="J25">
        <f>7800*60</f>
        <v>468000</v>
      </c>
      <c r="K25">
        <f>2*7800</f>
        <v>15600</v>
      </c>
    </row>
    <row r="26" spans="9:11" x14ac:dyDescent="0.3">
      <c r="I26" t="s">
        <v>61</v>
      </c>
      <c r="K26">
        <f>13*4000</f>
        <v>52000</v>
      </c>
    </row>
    <row r="27" spans="9:11" x14ac:dyDescent="0.3">
      <c r="I27" t="s">
        <v>164</v>
      </c>
      <c r="J27">
        <f>13000*3</f>
        <v>39000</v>
      </c>
      <c r="K27">
        <f>13000*3</f>
        <v>39000</v>
      </c>
    </row>
    <row r="30" spans="9:11" x14ac:dyDescent="0.3">
      <c r="I30" t="s">
        <v>158</v>
      </c>
      <c r="J30">
        <f>SUM(J25:J27)</f>
        <v>507000</v>
      </c>
      <c r="K30">
        <f>SUM(K25:K27)</f>
        <v>106600</v>
      </c>
    </row>
  </sheetData>
  <phoneticPr fontId="4" type="noConversion"/>
  <pageMargins left="0.7" right="0.7" top="0.75" bottom="0.75" header="0.3" footer="0.3"/>
  <pageSetup scale="0" firstPageNumber="0" fitToWidth="0" fitToHeight="0" orientation="portrait" horizontalDpi="0" verticalDpi="0" copies="0"/>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7EB1-FAC4-4151-BC54-C60611322E2D}">
  <dimension ref="B2:E3"/>
  <sheetViews>
    <sheetView workbookViewId="0">
      <selection activeCell="B4" sqref="B4"/>
    </sheetView>
  </sheetViews>
  <sheetFormatPr defaultRowHeight="14.4" x14ac:dyDescent="0.3"/>
  <cols>
    <col min="3" max="3" width="12.33203125" customWidth="1"/>
    <col min="5" max="5" width="11.44140625" bestFit="1" customWidth="1"/>
  </cols>
  <sheetData>
    <row r="2" spans="2:5" x14ac:dyDescent="0.3">
      <c r="B2" t="s">
        <v>75</v>
      </c>
      <c r="C2" t="s">
        <v>136</v>
      </c>
      <c r="D2" t="s">
        <v>137</v>
      </c>
      <c r="E2" t="s">
        <v>5</v>
      </c>
    </row>
    <row r="3" spans="2:5" x14ac:dyDescent="0.3">
      <c r="B3" s="19" t="s">
        <v>285</v>
      </c>
      <c r="C3" s="19" t="s">
        <v>97</v>
      </c>
      <c r="D3" s="19" t="s">
        <v>97</v>
      </c>
      <c r="E3" s="20"/>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BF89-1A2A-4F2E-9BAA-643F24136016}">
  <dimension ref="B2:E6"/>
  <sheetViews>
    <sheetView workbookViewId="0">
      <selection activeCell="C4" sqref="C4"/>
    </sheetView>
  </sheetViews>
  <sheetFormatPr defaultRowHeight="14.4" x14ac:dyDescent="0.3"/>
  <cols>
    <col min="2" max="2" width="16.21875" customWidth="1"/>
    <col min="3" max="3" width="12.5546875" customWidth="1"/>
    <col min="4" max="4" width="13.33203125" customWidth="1"/>
    <col min="5" max="5" width="15.5546875" customWidth="1"/>
  </cols>
  <sheetData>
    <row r="2" spans="2:5" x14ac:dyDescent="0.3">
      <c r="B2" t="s">
        <v>75</v>
      </c>
      <c r="C2" t="s">
        <v>45</v>
      </c>
      <c r="D2" t="s">
        <v>46</v>
      </c>
      <c r="E2" t="s">
        <v>66</v>
      </c>
    </row>
    <row r="3" spans="2:5" x14ac:dyDescent="0.3">
      <c r="B3" s="1"/>
      <c r="D3" s="11"/>
    </row>
    <row r="4" spans="2:5" x14ac:dyDescent="0.3">
      <c r="D4" s="11"/>
    </row>
    <row r="5" spans="2:5" x14ac:dyDescent="0.3">
      <c r="D5" s="11"/>
    </row>
    <row r="6" spans="2:5" x14ac:dyDescent="0.3">
      <c r="B6" t="s">
        <v>5</v>
      </c>
      <c r="D6" s="14">
        <f>SUBTOTAL(109,Table210[Amount])</f>
        <v>0</v>
      </c>
      <c r="E6">
        <f>SUBTOTAL(103,Table210[Column1])</f>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2331-540A-4BE5-B987-3C6225CFE23F}">
  <dimension ref="B2:J43"/>
  <sheetViews>
    <sheetView zoomScale="118" workbookViewId="0">
      <selection activeCell="Q16" sqref="Q16"/>
    </sheetView>
  </sheetViews>
  <sheetFormatPr defaultRowHeight="14.4" x14ac:dyDescent="0.3"/>
  <cols>
    <col min="2" max="2" width="12.33203125" customWidth="1"/>
    <col min="3" max="3" width="11.33203125" customWidth="1"/>
    <col min="4" max="4" width="10.33203125" bestFit="1" customWidth="1"/>
    <col min="8" max="8" width="14" customWidth="1"/>
    <col min="9" max="9" width="10" customWidth="1"/>
    <col min="10" max="10" width="13.33203125" customWidth="1"/>
  </cols>
  <sheetData>
    <row r="2" spans="2:10" x14ac:dyDescent="0.3">
      <c r="B2" t="s">
        <v>75</v>
      </c>
      <c r="C2" t="s">
        <v>46</v>
      </c>
      <c r="D2" t="s">
        <v>66</v>
      </c>
      <c r="E2" t="s">
        <v>67</v>
      </c>
      <c r="H2" t="s">
        <v>75</v>
      </c>
      <c r="I2" t="s">
        <v>138</v>
      </c>
      <c r="J2" t="s">
        <v>139</v>
      </c>
    </row>
    <row r="3" spans="2:10" x14ac:dyDescent="0.3">
      <c r="B3" s="1">
        <v>46008</v>
      </c>
      <c r="C3" s="20">
        <f>SUMIFS(Table14[Debit], Table14[Date], Table11[[#This Row],[Date]], Table14[Party],"Salary ", Table14[Description],Table11[[#This Row],[Column1]])</f>
        <v>0</v>
      </c>
      <c r="H3" s="1">
        <v>46008</v>
      </c>
      <c r="I3">
        <f>SUMIFS(Table14[Debit], Table14[Date], Table16[[#This Row],[Date]], Table14[Party], "Advance Salary", Table14[Description], Table16[[#This Row],[Person]] )</f>
        <v>0</v>
      </c>
    </row>
    <row r="4" spans="2:10" x14ac:dyDescent="0.3">
      <c r="B4" s="1">
        <v>46009</v>
      </c>
      <c r="C4" s="20">
        <f>SUMIFS(Table14[Debit], Table14[Date], Table11[[#This Row],[Date]], Table14[Party],"Salary", Table14[Description],Table11[[#This Row],[Column1]])</f>
        <v>0</v>
      </c>
      <c r="H4" s="1">
        <v>46009</v>
      </c>
      <c r="I4">
        <f>SUMIFS(Table14[Debit], Table14[Date], Table16[[#This Row],[Date]], Table14[Party], "Advance Salary", Table14[Description], Table16[[#This Row],[Person]] )</f>
        <v>0</v>
      </c>
    </row>
    <row r="5" spans="2:10" x14ac:dyDescent="0.3">
      <c r="B5" s="1">
        <v>46010</v>
      </c>
      <c r="C5" s="20">
        <f>SUMIFS(Table14[Debit], Table14[Date], Table11[[#This Row],[Date]], Table14[Party],"Salary", Table14[Description],Table11[[#This Row],[Column1]])</f>
        <v>0</v>
      </c>
      <c r="H5" s="1">
        <v>46010</v>
      </c>
      <c r="I5">
        <f>SUMIFS(Table14[Debit], Table14[Date], Table16[[#This Row],[Date]], Table14[Party], "Advance Salary", Table14[Description], Table16[[#This Row],[Person]] )</f>
        <v>0</v>
      </c>
    </row>
    <row r="6" spans="2:10" x14ac:dyDescent="0.3">
      <c r="B6" s="1">
        <v>46011</v>
      </c>
      <c r="C6" s="20">
        <f>SUMIFS(Table14[Debit], Table14[Date], Table11[[#This Row],[Date]], Table14[Party],"Salary", Table14[Description],Table11[[#This Row],[Column1]])</f>
        <v>0</v>
      </c>
      <c r="H6" s="1">
        <v>46011</v>
      </c>
      <c r="I6">
        <f>SUMIFS(Table14[Debit], Table14[Date], Table16[[#This Row],[Date]], Table14[Party], "Advance Salary", Table14[Description], Table16[[#This Row],[Person]] )</f>
        <v>0</v>
      </c>
    </row>
    <row r="7" spans="2:10" x14ac:dyDescent="0.3">
      <c r="B7" s="1">
        <v>46012</v>
      </c>
      <c r="C7" s="20">
        <f>SUMIFS(Table14[Debit], Table14[Date], Table11[[#This Row],[Date]], Table14[Party],"Salary", Table14[Description],Table11[[#This Row],[Column1]])</f>
        <v>0</v>
      </c>
      <c r="H7" s="1">
        <v>46012</v>
      </c>
      <c r="I7">
        <f>SUMIFS(Table14[Debit], Table14[Date], Table16[[#This Row],[Date]], Table14[Party], "Advance Salary", Table14[Description], Table16[[#This Row],[Person]] )</f>
        <v>0</v>
      </c>
    </row>
    <row r="8" spans="2:10" x14ac:dyDescent="0.3">
      <c r="B8" s="1">
        <v>46013</v>
      </c>
      <c r="C8" s="20">
        <f>SUMIFS(Table14[Debit], Table14[Date], Table11[[#This Row],[Date]], Table14[Party],"Salary", Table14[Description],Table11[[#This Row],[Column1]])</f>
        <v>0</v>
      </c>
      <c r="H8" s="1">
        <v>46013</v>
      </c>
      <c r="I8">
        <f>SUMIFS(Table14[Debit], Table14[Date], Table16[[#This Row],[Date]], Table14[Party], "Advance Salary", Table14[Description], Table16[[#This Row],[Person]] )</f>
        <v>0</v>
      </c>
    </row>
    <row r="9" spans="2:10" x14ac:dyDescent="0.3">
      <c r="B9" s="1">
        <v>46014</v>
      </c>
      <c r="C9" s="20">
        <f>SUMIFS(Table14[Debit], Table14[Date], Table11[[#This Row],[Date]], Table14[Party],"Salary", Table14[Description],Table11[[#This Row],[Column1]])</f>
        <v>0</v>
      </c>
      <c r="H9" s="1">
        <v>46014</v>
      </c>
      <c r="I9">
        <f>SUMIFS(Table14[Debit], Table14[Date], Table16[[#This Row],[Date]], Table14[Party], "Advance Salary", Table14[Description], Table16[[#This Row],[Person]] )</f>
        <v>0</v>
      </c>
    </row>
    <row r="10" spans="2:10" x14ac:dyDescent="0.3">
      <c r="B10" s="1">
        <v>46015</v>
      </c>
      <c r="C10" s="20">
        <f>SUMIFS(Table14[Debit], Table14[Date], Table11[[#This Row],[Date]], Table14[Party],"Salary", Table14[Description],Table11[[#This Row],[Column1]])</f>
        <v>0</v>
      </c>
      <c r="H10" s="1">
        <v>46015</v>
      </c>
      <c r="I10">
        <f>SUMIFS(Table14[Debit], Table14[Date], Table16[[#This Row],[Date]], Table14[Party], "Advance Salary", Table14[Description], Table16[[#This Row],[Person]] )</f>
        <v>0</v>
      </c>
    </row>
    <row r="11" spans="2:10" x14ac:dyDescent="0.3">
      <c r="B11" s="1">
        <v>46016</v>
      </c>
      <c r="C11" s="20">
        <f>SUMIFS(Table14[Debit], Table14[Date], Table11[[#This Row],[Date]], Table14[Party],"Salary", Table14[Description],Table11[[#This Row],[Column1]])</f>
        <v>0</v>
      </c>
      <c r="H11" s="1">
        <v>46016</v>
      </c>
      <c r="I11">
        <f>SUMIFS(Table14[Debit], Table14[Date], Table16[[#This Row],[Date]], Table14[Party], "Advance Salary", Table14[Description], Table16[[#This Row],[Person]] )</f>
        <v>0</v>
      </c>
    </row>
    <row r="12" spans="2:10" x14ac:dyDescent="0.3">
      <c r="B12" s="1">
        <v>46017</v>
      </c>
      <c r="C12" s="20">
        <f>SUMIFS(Table14[Debit], Table14[Date], Table11[[#This Row],[Date]], Table14[Party],"Salary", Table14[Description],Table11[[#This Row],[Column1]])</f>
        <v>0</v>
      </c>
      <c r="H12" s="1">
        <v>46017</v>
      </c>
      <c r="I12">
        <f>SUMIFS(Table14[Debit], Table14[Date], Table16[[#This Row],[Date]], Table14[Party], "Advance Salary", Table14[Description], Table16[[#This Row],[Person]] )</f>
        <v>0</v>
      </c>
    </row>
    <row r="13" spans="2:10" x14ac:dyDescent="0.3">
      <c r="B13" s="1">
        <v>46018</v>
      </c>
      <c r="C13" s="20">
        <f>SUMIFS(Table14[Debit], Table14[Date], Table11[[#This Row],[Date]], Table14[Party],"Salary", Table14[Description],Table11[[#This Row],[Column1]])</f>
        <v>0</v>
      </c>
      <c r="H13" s="1">
        <v>46018</v>
      </c>
      <c r="I13">
        <f>SUMIFS(Table14[Debit], Table14[Date], Table16[[#This Row],[Date]], Table14[Party], "Advance Salary", Table14[Description], Table16[[#This Row],[Person]] )</f>
        <v>0</v>
      </c>
    </row>
    <row r="14" spans="2:10" x14ac:dyDescent="0.3">
      <c r="B14" s="1">
        <v>46019</v>
      </c>
      <c r="C14" s="20">
        <f>SUMIFS(Table14[Debit], Table14[Date], Table11[[#This Row],[Date]], Table14[Party],"Salary", Table14[Description],Table11[[#This Row],[Column1]])</f>
        <v>0</v>
      </c>
      <c r="H14" s="1">
        <v>46019</v>
      </c>
      <c r="I14">
        <f>SUMIFS(Table14[Debit], Table14[Date], Table16[[#This Row],[Date]], Table14[Party], "Advance Salary", Table14[Description], Table16[[#This Row],[Person]] )</f>
        <v>0</v>
      </c>
    </row>
    <row r="15" spans="2:10" x14ac:dyDescent="0.3">
      <c r="B15" s="1">
        <v>46020</v>
      </c>
      <c r="C15" s="20">
        <f>SUMIFS(Table14[Debit], Table14[Date], Table11[[#This Row],[Date]], Table14[Party],"Salary", Table14[Description],Table11[[#This Row],[Column1]])</f>
        <v>0</v>
      </c>
      <c r="H15" s="1">
        <v>46020</v>
      </c>
      <c r="I15">
        <f>SUMIFS(Table14[Debit], Table14[Date], Table16[[#This Row],[Date]], Table14[Party], "Advance Salary", Table14[Description], Table16[[#This Row],[Person]] )</f>
        <v>0</v>
      </c>
    </row>
    <row r="16" spans="2:10" x14ac:dyDescent="0.3">
      <c r="B16" s="1">
        <v>46021</v>
      </c>
      <c r="C16" s="20">
        <f>SUMIFS(Table14[Debit], Table14[Date], Table11[[#This Row],[Date]], Table14[Party],"Salary", Table14[Description],Table11[[#This Row],[Column1]])</f>
        <v>0</v>
      </c>
      <c r="H16" s="1">
        <v>46021</v>
      </c>
      <c r="I16">
        <f>SUMIFS(Table14[Debit], Table14[Date], Table16[[#This Row],[Date]], Table14[Party], "Advance Salary", Table14[Description], Table16[[#This Row],[Person]] )</f>
        <v>0</v>
      </c>
    </row>
    <row r="17" spans="2:9" x14ac:dyDescent="0.3">
      <c r="B17" s="1">
        <v>46022</v>
      </c>
      <c r="C17" s="20">
        <f>SUMIFS(Table14[Debit], Table14[Date], Table11[[#This Row],[Date]], Table14[Party],"Salary", Table14[Description],Table11[[#This Row],[Column1]])</f>
        <v>0</v>
      </c>
      <c r="H17" s="1">
        <v>46022</v>
      </c>
      <c r="I17">
        <f>SUMIFS(Table14[Debit], Table14[Date], Table16[[#This Row],[Date]], Table14[Party], "Advance Salary", Table14[Description], Table16[[#This Row],[Person]] )</f>
        <v>0</v>
      </c>
    </row>
    <row r="18" spans="2:9" x14ac:dyDescent="0.3">
      <c r="B18" s="1">
        <v>46023</v>
      </c>
      <c r="C18" s="20">
        <f>SUMIFS(Table14[Debit], Table14[Date], Table11[[#This Row],[Date]], Table14[Party],"Salary", Table14[Description],Table11[[#This Row],[Column1]])</f>
        <v>0</v>
      </c>
      <c r="H18" s="1">
        <v>46023</v>
      </c>
      <c r="I18">
        <f>SUMIFS(Table14[Debit], Table14[Date], Table16[[#This Row],[Date]], Table14[Party], "Advance Salary", Table14[Description], Table16[[#This Row],[Person]] )</f>
        <v>0</v>
      </c>
    </row>
    <row r="19" spans="2:9" x14ac:dyDescent="0.3">
      <c r="B19" s="1">
        <v>46024</v>
      </c>
      <c r="C19" s="20">
        <f>SUMIFS(Table14[Debit], Table14[Date], Table11[[#This Row],[Date]], Table14[Party],"Salary", Table14[Description],Table11[[#This Row],[Column1]])</f>
        <v>0</v>
      </c>
      <c r="H19" s="1">
        <v>46024</v>
      </c>
      <c r="I19">
        <f>SUMIFS(Table14[Debit], Table14[Date], Table16[[#This Row],[Date]], Table14[Party], "Advance Salary", Table14[Description], Table16[[#This Row],[Person]] )</f>
        <v>0</v>
      </c>
    </row>
    <row r="20" spans="2:9" x14ac:dyDescent="0.3">
      <c r="B20" s="1">
        <v>46025</v>
      </c>
      <c r="C20" s="20">
        <f>SUMIFS(Table14[Debit], Table14[Date], Table11[[#This Row],[Date]], Table14[Party],"Salary", Table14[Description],Table11[[#This Row],[Column1]])</f>
        <v>0</v>
      </c>
      <c r="H20" s="1">
        <v>46025</v>
      </c>
      <c r="I20">
        <f>SUMIFS(Table14[Debit], Table14[Date], Table16[[#This Row],[Date]], Table14[Party], "Advance Salary", Table14[Description], Table16[[#This Row],[Person]] )</f>
        <v>0</v>
      </c>
    </row>
    <row r="21" spans="2:9" x14ac:dyDescent="0.3">
      <c r="B21" s="1">
        <v>46026</v>
      </c>
      <c r="C21" s="20">
        <f>SUMIFS(Table14[Debit], Table14[Date], Table11[[#This Row],[Date]], Table14[Party],"Salary", Table14[Description],Table11[[#This Row],[Column1]])</f>
        <v>0</v>
      </c>
      <c r="H21" s="1">
        <v>46026</v>
      </c>
      <c r="I21">
        <f>SUMIFS(Table14[Debit], Table14[Date], Table16[[#This Row],[Date]], Table14[Party], "Advance Salary", Table14[Description], Table16[[#This Row],[Person]] )</f>
        <v>0</v>
      </c>
    </row>
    <row r="22" spans="2:9" x14ac:dyDescent="0.3">
      <c r="B22" s="1">
        <v>46027</v>
      </c>
      <c r="C22" s="20">
        <f>SUMIFS(Table14[Debit], Table14[Date], Table11[[#This Row],[Date]], Table14[Party],"Salary", Table14[Description],Table11[[#This Row],[Column1]])</f>
        <v>0</v>
      </c>
      <c r="H22" s="1">
        <v>46027</v>
      </c>
      <c r="I22">
        <f>SUMIFS(Table14[Debit], Table14[Date], Table16[[#This Row],[Date]], Table14[Party], "Advance Salary", Table14[Description], Table16[[#This Row],[Person]] )</f>
        <v>0</v>
      </c>
    </row>
    <row r="23" spans="2:9" x14ac:dyDescent="0.3">
      <c r="B23" s="1">
        <v>46028</v>
      </c>
      <c r="C23" s="20">
        <f>SUMIFS(Table14[Debit], Table14[Date], Table11[[#This Row],[Date]], Table14[Party],"Salary", Table14[Description],Table11[[#This Row],[Column1]])</f>
        <v>0</v>
      </c>
      <c r="H23" s="1">
        <v>46028</v>
      </c>
      <c r="I23">
        <f>SUMIFS(Table14[Debit], Table14[Date], Table16[[#This Row],[Date]], Table14[Party], "Advance Salary", Table14[Description], Table16[[#This Row],[Person]] )</f>
        <v>0</v>
      </c>
    </row>
    <row r="24" spans="2:9" x14ac:dyDescent="0.3">
      <c r="B24" s="1">
        <v>46029</v>
      </c>
      <c r="C24" s="20">
        <f>SUMIFS(Table14[Debit], Table14[Date], Table11[[#This Row],[Date]], Table14[Party],"Salary", Table14[Description],Table11[[#This Row],[Column1]])</f>
        <v>0</v>
      </c>
      <c r="H24" s="1">
        <v>46029</v>
      </c>
      <c r="I24">
        <f>SUMIFS(Table14[Debit], Table14[Date], Table16[[#This Row],[Date]], Table14[Party], "Advance Salary", Table14[Description], Table16[[#This Row],[Person]] )</f>
        <v>0</v>
      </c>
    </row>
    <row r="25" spans="2:9" x14ac:dyDescent="0.3">
      <c r="B25" s="1">
        <v>46030</v>
      </c>
      <c r="C25" s="20">
        <f>SUMIFS(Table14[Debit], Table14[Date], Table11[[#This Row],[Date]], Table14[Party],"Salary", Table14[Description],Table11[[#This Row],[Column1]])</f>
        <v>0</v>
      </c>
      <c r="H25" s="1">
        <v>46030</v>
      </c>
      <c r="I25">
        <f>SUMIFS(Table14[Debit], Table14[Date], Table16[[#This Row],[Date]], Table14[Party], "Advance Salary", Table14[Description], Table16[[#This Row],[Person]] )</f>
        <v>0</v>
      </c>
    </row>
    <row r="26" spans="2:9" x14ac:dyDescent="0.3">
      <c r="B26" s="1">
        <v>46031</v>
      </c>
      <c r="C26" s="20">
        <f>SUMIFS(Table14[Debit], Table14[Date], Table11[[#This Row],[Date]], Table14[Party],"Salary", Table14[Description],Table11[[#This Row],[Column1]])</f>
        <v>0</v>
      </c>
      <c r="H26" s="1">
        <v>46031</v>
      </c>
      <c r="I26">
        <f>SUMIFS(Table14[Debit], Table14[Date], Table16[[#This Row],[Date]], Table14[Party], "Advance Salary", Table14[Description], Table16[[#This Row],[Person]] )</f>
        <v>0</v>
      </c>
    </row>
    <row r="27" spans="2:9" x14ac:dyDescent="0.3">
      <c r="B27" s="1">
        <v>46032</v>
      </c>
      <c r="C27" s="20">
        <f>SUMIFS(Table14[Debit], Table14[Date], Table11[[#This Row],[Date]], Table14[Party],"Salary", Table14[Description],Table11[[#This Row],[Column1]])</f>
        <v>0</v>
      </c>
      <c r="H27" s="1">
        <v>46032</v>
      </c>
      <c r="I27">
        <f>SUMIFS(Table14[Debit], Table14[Date], Table16[[#This Row],[Date]], Table14[Party], "Advance Salary", Table14[Description], Table16[[#This Row],[Person]] )</f>
        <v>0</v>
      </c>
    </row>
    <row r="28" spans="2:9" x14ac:dyDescent="0.3">
      <c r="B28" s="1">
        <v>46033</v>
      </c>
      <c r="C28" s="20">
        <f>SUMIFS(Table14[Debit], Table14[Date], Table11[[#This Row],[Date]], Table14[Party],"Salary", Table14[Description],Table11[[#This Row],[Column1]])</f>
        <v>0</v>
      </c>
      <c r="H28" s="1">
        <v>46033</v>
      </c>
      <c r="I28">
        <f>SUMIFS(Table14[Debit], Table14[Date], Table16[[#This Row],[Date]], Table14[Party], "Advance Salary", Table14[Description], Table16[[#This Row],[Person]] )</f>
        <v>0</v>
      </c>
    </row>
    <row r="29" spans="2:9" x14ac:dyDescent="0.3">
      <c r="B29" s="1">
        <v>46034</v>
      </c>
      <c r="C29" s="20">
        <f>SUMIFS(Table14[Debit], Table14[Date], Table11[[#This Row],[Date]], Table14[Party],"Salary", Table14[Description],Table11[[#This Row],[Column1]])</f>
        <v>0</v>
      </c>
      <c r="H29" s="1">
        <v>46034</v>
      </c>
      <c r="I29">
        <f>SUMIFS(Table14[Debit], Table14[Date], Table16[[#This Row],[Date]], Table14[Party], "Advance Salary", Table14[Description], Table16[[#This Row],[Person]] )</f>
        <v>0</v>
      </c>
    </row>
    <row r="30" spans="2:9" x14ac:dyDescent="0.3">
      <c r="B30" s="1">
        <v>46035</v>
      </c>
      <c r="C30" s="20">
        <f>SUMIFS(Table14[Debit], Table14[Date], Table11[[#This Row],[Date]], Table14[Party],"Salary", Table14[Description],Table11[[#This Row],[Column1]])</f>
        <v>0</v>
      </c>
      <c r="H30" s="1">
        <v>46035</v>
      </c>
      <c r="I30">
        <f>SUMIFS(Table14[Debit], Table14[Date], Table16[[#This Row],[Date]], Table14[Party], "Advance Salary", Table14[Description], Table16[[#This Row],[Person]] )</f>
        <v>0</v>
      </c>
    </row>
    <row r="31" spans="2:9" x14ac:dyDescent="0.3">
      <c r="B31" s="1">
        <v>46036</v>
      </c>
      <c r="C31" s="20">
        <f>SUMIFS(Table14[Debit], Table14[Date], Table11[[#This Row],[Date]], Table14[Party],"Salary", Table14[Description],Table11[[#This Row],[Column1]])</f>
        <v>0</v>
      </c>
      <c r="H31" s="1">
        <v>46036</v>
      </c>
      <c r="I31">
        <f>SUMIFS(Table14[Debit], Table14[Date], Table16[[#This Row],[Date]], Table14[Party], "Advance Salary", Table14[Description], Table16[[#This Row],[Person]] )</f>
        <v>0</v>
      </c>
    </row>
    <row r="32" spans="2:9" x14ac:dyDescent="0.3">
      <c r="B32" s="1">
        <v>46037</v>
      </c>
      <c r="C32" s="20">
        <f>SUMIFS(Table14[Debit], Table14[Date], Table11[[#This Row],[Date]], Table14[Party],"Salary", Table14[Description],Table11[[#This Row],[Column1]])</f>
        <v>0</v>
      </c>
      <c r="H32" s="1">
        <v>46037</v>
      </c>
      <c r="I32">
        <f>SUMIFS(Table14[Debit], Table14[Date], Table16[[#This Row],[Date]], Table14[Party], "Advance Salary", Table14[Description], Table16[[#This Row],[Person]] )</f>
        <v>0</v>
      </c>
    </row>
    <row r="33" spans="2:9" x14ac:dyDescent="0.3">
      <c r="B33" s="1">
        <v>46038</v>
      </c>
      <c r="C33" s="20">
        <f>SUMIFS(Table14[Debit], Table14[Date], Table11[[#This Row],[Date]], Table14[Party],"Salary", Table14[Description],Table11[[#This Row],[Column1]])</f>
        <v>0</v>
      </c>
      <c r="H33" s="1">
        <v>46038</v>
      </c>
      <c r="I33">
        <f>SUMIFS(Table14[Debit], Table14[Date], Table16[[#This Row],[Date]], Table14[Party], "Advance Salary", Table14[Description], Table16[[#This Row],[Person]] )</f>
        <v>0</v>
      </c>
    </row>
    <row r="34" spans="2:9" x14ac:dyDescent="0.3">
      <c r="B34" s="1">
        <v>46039</v>
      </c>
      <c r="C34" s="20">
        <f>SUMIFS(Table14[Debit], Table14[Date], Table11[[#This Row],[Date]], Table14[Party],"Salary", Table14[Description],Table11[[#This Row],[Column1]])</f>
        <v>0</v>
      </c>
      <c r="H34" s="1">
        <v>46039</v>
      </c>
      <c r="I34">
        <f>SUMIFS(Table14[Debit], Table14[Date], Table16[[#This Row],[Date]], Table14[Party], "Advance Salary", Table14[Description], Table16[[#This Row],[Person]] )</f>
        <v>0</v>
      </c>
    </row>
    <row r="35" spans="2:9" x14ac:dyDescent="0.3">
      <c r="B35" s="1">
        <v>46040</v>
      </c>
      <c r="C35" s="20">
        <f>SUMIFS(Table14[Debit], Table14[Date], Table11[[#This Row],[Date]], Table14[Party],"Salary", Table14[Description],Table11[[#This Row],[Column1]])</f>
        <v>0</v>
      </c>
      <c r="H35" s="1">
        <v>46040</v>
      </c>
      <c r="I35">
        <f>SUMIFS(Table14[Debit], Table14[Date], Table16[[#This Row],[Date]], Table14[Party], "Advance Salary", Table14[Description], Table16[[#This Row],[Person]] )</f>
        <v>0</v>
      </c>
    </row>
    <row r="36" spans="2:9" x14ac:dyDescent="0.3">
      <c r="B36" s="1">
        <v>46041</v>
      </c>
      <c r="C36" s="20">
        <f>SUMIFS(Table14[Debit], Table14[Date], Table11[[#This Row],[Date]], Table14[Party],"Salary", Table14[Description],Table11[[#This Row],[Column1]])</f>
        <v>0</v>
      </c>
      <c r="H36" s="1">
        <v>46041</v>
      </c>
      <c r="I36">
        <f>SUMIFS(Table14[Debit], Table14[Date], Table16[[#This Row],[Date]], Table14[Party], "Advance Salary", Table14[Description], Table16[[#This Row],[Person]] )</f>
        <v>0</v>
      </c>
    </row>
    <row r="37" spans="2:9" x14ac:dyDescent="0.3">
      <c r="B37" s="1">
        <v>46042</v>
      </c>
      <c r="C37" s="20">
        <f>SUMIFS(Table14[Debit], Table14[Date], Table11[[#This Row],[Date]], Table14[Party],"Salary", Table14[Description],Table11[[#This Row],[Column1]])</f>
        <v>0</v>
      </c>
      <c r="H37" s="1"/>
      <c r="I37">
        <f>SUBTOTAL(109,Table16[Advance])</f>
        <v>0</v>
      </c>
    </row>
    <row r="38" spans="2:9" x14ac:dyDescent="0.3">
      <c r="B38" s="1">
        <v>46043</v>
      </c>
      <c r="C38" s="20">
        <f>SUMIFS(Table14[Debit], Table14[Date], Table11[[#This Row],[Date]], Table14[Party],"Salary", Table14[Description],Table11[[#This Row],[Column1]])</f>
        <v>0</v>
      </c>
    </row>
    <row r="39" spans="2:9" x14ac:dyDescent="0.3">
      <c r="B39" s="1">
        <v>46044</v>
      </c>
      <c r="C39" s="20">
        <f>SUMIFS(Table14[Debit], Table14[Date], Table11[[#This Row],[Date]], Table14[Party],"Salary", Table14[Description],Table11[[#This Row],[Column1]])</f>
        <v>0</v>
      </c>
    </row>
    <row r="40" spans="2:9" x14ac:dyDescent="0.3">
      <c r="B40" s="1">
        <v>46045</v>
      </c>
      <c r="C40" s="20">
        <f>SUMIFS(Table14[Debit], Table14[Date], Table11[[#This Row],[Date]], Table14[Party],"Salary", Table14[Description],Table11[[#This Row],[Column1]])</f>
        <v>0</v>
      </c>
    </row>
    <row r="41" spans="2:9" x14ac:dyDescent="0.3">
      <c r="B41" s="1">
        <v>46046</v>
      </c>
      <c r="C41" s="20">
        <f>SUMIFS(Table14[Debit], Table14[Date], Table11[[#This Row],[Date]], Table14[Party],"Salary", Table14[Description],Table11[[#This Row],[Column1]])</f>
        <v>0</v>
      </c>
    </row>
    <row r="42" spans="2:9" x14ac:dyDescent="0.3">
      <c r="B42" s="1">
        <v>46047</v>
      </c>
      <c r="C42" s="20">
        <f>SUMIFS(Table14[Debit], Table14[Date], Table11[[#This Row],[Date]], Table14[Party],"Salary", Table14[Description],Table11[[#This Row],[Column1]])</f>
        <v>0</v>
      </c>
    </row>
    <row r="43" spans="2:9" x14ac:dyDescent="0.3">
      <c r="B43" s="1"/>
      <c r="C43" s="25">
        <f>SUM(Table11[Amount])</f>
        <v>0</v>
      </c>
    </row>
  </sheetData>
  <phoneticPr fontId="4" type="noConversion"/>
  <pageMargins left="0.7" right="0.7" top="0.75" bottom="0.75" header="0.3" footer="0.3"/>
  <pageSetup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A8C4-D49C-464B-A701-37B1759EDEA7}">
  <dimension ref="A1:L119"/>
  <sheetViews>
    <sheetView zoomScale="90" workbookViewId="0">
      <selection activeCell="G61" sqref="G61"/>
    </sheetView>
  </sheetViews>
  <sheetFormatPr defaultRowHeight="14.4" x14ac:dyDescent="0.3"/>
  <cols>
    <col min="1" max="1" width="20.5546875" bestFit="1" customWidth="1"/>
    <col min="2" max="2" width="18.5546875" bestFit="1" customWidth="1"/>
    <col min="3" max="3" width="17.6640625" bestFit="1" customWidth="1"/>
    <col min="4" max="4" width="17.109375" bestFit="1" customWidth="1"/>
    <col min="5" max="5" width="16.21875" customWidth="1"/>
    <col min="6" max="6" width="17" customWidth="1"/>
    <col min="7" max="7" width="12.33203125" customWidth="1"/>
    <col min="8" max="8" width="15.33203125" customWidth="1"/>
    <col min="9" max="9" width="13.6640625" customWidth="1"/>
    <col min="10" max="10" width="15.33203125" customWidth="1"/>
    <col min="11" max="11" width="13.5546875" bestFit="1" customWidth="1"/>
  </cols>
  <sheetData>
    <row r="1" spans="1:12" x14ac:dyDescent="0.3">
      <c r="A1" s="44" t="s">
        <v>2</v>
      </c>
      <c r="B1" s="14" t="s">
        <v>87</v>
      </c>
      <c r="C1" s="14"/>
    </row>
    <row r="2" spans="1:12" x14ac:dyDescent="0.3">
      <c r="A2" s="31" t="s">
        <v>28</v>
      </c>
      <c r="B2" s="33">
        <f>SUM(B4:INDEX(B:B, MATCH(1E+100, B:B)-1))</f>
        <v>872676</v>
      </c>
      <c r="C2" s="32">
        <f>GETPIVOTDATA("Sum of Tiyaar/gaz",$A$3)</f>
        <v>820581.8824</v>
      </c>
      <c r="D2" s="31">
        <f>((B2*48)+((C2/1.0936)*10))/C2</f>
        <v>60.191360587524493</v>
      </c>
      <c r="J2">
        <v>48</v>
      </c>
    </row>
    <row r="3" spans="1:12" x14ac:dyDescent="0.3">
      <c r="A3" s="34" t="s">
        <v>140</v>
      </c>
      <c r="B3" s="35" t="s">
        <v>141</v>
      </c>
      <c r="C3" s="36" t="s">
        <v>88</v>
      </c>
      <c r="D3" s="32" t="s">
        <v>142</v>
      </c>
      <c r="E3" s="11" t="s">
        <v>143</v>
      </c>
      <c r="F3" s="11" t="str">
        <f t="shared" ref="F3:F38" si="0">C3</f>
        <v>Sum of Tiyaar/gaz</v>
      </c>
      <c r="G3" s="77" t="s">
        <v>82</v>
      </c>
      <c r="H3" s="11" t="s">
        <v>144</v>
      </c>
      <c r="I3" s="29" t="s">
        <v>145</v>
      </c>
    </row>
    <row r="4" spans="1:12" x14ac:dyDescent="0.3">
      <c r="A4" s="16" t="s">
        <v>103</v>
      </c>
      <c r="B4" s="14"/>
      <c r="C4" s="14"/>
      <c r="D4" s="28" t="e">
        <f>I4</f>
        <v>#DIV/0!</v>
      </c>
      <c r="E4" s="11">
        <f>B4 * 1.0936</f>
        <v>0</v>
      </c>
      <c r="F4" s="11">
        <f t="shared" si="0"/>
        <v>0</v>
      </c>
      <c r="G4" s="78" t="e">
        <f>100- (F4/E4 *100)</f>
        <v>#DIV/0!</v>
      </c>
      <c r="H4" s="28">
        <f>F4/1.0936</f>
        <v>0</v>
      </c>
      <c r="I4" s="28" t="e">
        <f>((B4*48)+(H4*10))/C4</f>
        <v>#DIV/0!</v>
      </c>
      <c r="J4" s="28"/>
      <c r="K4" s="28"/>
      <c r="L4" s="28"/>
    </row>
    <row r="5" spans="1:12" x14ac:dyDescent="0.3">
      <c r="A5" s="16">
        <v>1628</v>
      </c>
      <c r="B5" s="14">
        <v>48198</v>
      </c>
      <c r="C5" s="14">
        <v>41641.188799999996</v>
      </c>
      <c r="D5" s="28">
        <f t="shared" ref="D5:D38" si="1">I5</f>
        <v>64.702179217577779</v>
      </c>
      <c r="E5" s="11">
        <f t="shared" ref="E5:E38" si="2">B5 * 1.0936</f>
        <v>52709.332799999996</v>
      </c>
      <c r="F5" s="11">
        <f t="shared" si="0"/>
        <v>41641.188799999996</v>
      </c>
      <c r="G5" s="78">
        <f>100- (F5/E5 *100)</f>
        <v>20.99845209954924</v>
      </c>
      <c r="H5" s="28">
        <f t="shared" ref="H5:H38" si="3">F5/1.0936</f>
        <v>38077.16605705925</v>
      </c>
      <c r="I5" s="28">
        <f>((B5*48)+(H5*10))/C5</f>
        <v>64.702179217577779</v>
      </c>
      <c r="J5" s="28"/>
      <c r="K5" s="28"/>
      <c r="L5" s="28"/>
    </row>
    <row r="6" spans="1:12" x14ac:dyDescent="0.3">
      <c r="A6" s="16">
        <v>2000</v>
      </c>
      <c r="B6" s="14">
        <v>7853</v>
      </c>
      <c r="C6" s="14">
        <v>8579</v>
      </c>
      <c r="D6" s="28">
        <f t="shared" si="1"/>
        <v>53.082099302894491</v>
      </c>
      <c r="E6" s="11">
        <f t="shared" si="2"/>
        <v>8588.0407999999989</v>
      </c>
      <c r="F6" s="11">
        <f t="shared" si="0"/>
        <v>8579</v>
      </c>
      <c r="G6" s="78">
        <f t="shared" ref="G6:G18" si="4">100- (F6/E6 *100)</f>
        <v>0.1052719730907512</v>
      </c>
      <c r="H6" s="28">
        <f t="shared" si="3"/>
        <v>7844.732991953183</v>
      </c>
      <c r="I6" s="28">
        <f>((B6*48)+(H6*10))/C6</f>
        <v>53.082099302894491</v>
      </c>
      <c r="J6" s="28"/>
      <c r="K6" s="28"/>
      <c r="L6" s="28"/>
    </row>
    <row r="7" spans="1:12" x14ac:dyDescent="0.3">
      <c r="A7" s="16">
        <v>1934</v>
      </c>
      <c r="B7" s="14">
        <v>38741</v>
      </c>
      <c r="C7" s="14">
        <v>41226</v>
      </c>
      <c r="D7" s="28">
        <f t="shared" si="1"/>
        <v>54.250791442719567</v>
      </c>
      <c r="E7" s="11">
        <f t="shared" si="2"/>
        <v>42367.157599999999</v>
      </c>
      <c r="F7" s="11">
        <f t="shared" si="0"/>
        <v>41226</v>
      </c>
      <c r="G7" s="78">
        <f t="shared" si="4"/>
        <v>2.6934957751331297</v>
      </c>
      <c r="H7" s="28">
        <f t="shared" si="3"/>
        <v>37697.512801755671</v>
      </c>
      <c r="I7" s="28">
        <f>((B7*48)+(H7*10))/C7</f>
        <v>54.250791442719567</v>
      </c>
      <c r="J7" s="28"/>
      <c r="K7" s="28"/>
      <c r="L7" s="28"/>
    </row>
    <row r="8" spans="1:12" x14ac:dyDescent="0.3">
      <c r="A8" s="16">
        <v>1958</v>
      </c>
      <c r="B8" s="14">
        <v>80202</v>
      </c>
      <c r="C8" s="14">
        <v>86828</v>
      </c>
      <c r="D8" s="28">
        <f t="shared" si="1"/>
        <v>53.481145328845784</v>
      </c>
      <c r="E8" s="11">
        <f t="shared" si="2"/>
        <v>87708.907199999987</v>
      </c>
      <c r="F8" s="11">
        <f t="shared" si="0"/>
        <v>86828</v>
      </c>
      <c r="G8" s="78">
        <f t="shared" si="4"/>
        <v>1.0043531815888258</v>
      </c>
      <c r="H8" s="28">
        <f t="shared" si="3"/>
        <v>79396.488661302123</v>
      </c>
      <c r="I8" s="28">
        <f t="shared" ref="I8:I38" si="5">((B8*48)+(H8*10))/C8</f>
        <v>53.481145328845784</v>
      </c>
      <c r="J8" s="28"/>
      <c r="K8" s="28"/>
      <c r="L8" s="28"/>
    </row>
    <row r="9" spans="1:12" x14ac:dyDescent="0.3">
      <c r="A9" s="16">
        <v>1924</v>
      </c>
      <c r="B9" s="14">
        <v>24876</v>
      </c>
      <c r="C9" s="14">
        <v>26409</v>
      </c>
      <c r="D9" s="28">
        <f t="shared" si="1"/>
        <v>54.357788347907267</v>
      </c>
      <c r="E9" s="11">
        <f t="shared" si="2"/>
        <v>27204.393599999999</v>
      </c>
      <c r="F9" s="11">
        <f t="shared" si="0"/>
        <v>26409</v>
      </c>
      <c r="G9" s="78">
        <f t="shared" si="4"/>
        <v>2.9237689017997326</v>
      </c>
      <c r="H9" s="28">
        <f t="shared" si="3"/>
        <v>24148.683247988298</v>
      </c>
      <c r="I9" s="28">
        <f t="shared" si="5"/>
        <v>54.357788347907267</v>
      </c>
      <c r="J9" s="28"/>
      <c r="K9" s="28"/>
      <c r="L9" s="28"/>
    </row>
    <row r="10" spans="1:12" x14ac:dyDescent="0.3">
      <c r="A10" s="16">
        <v>1971</v>
      </c>
      <c r="B10" s="14">
        <v>50697</v>
      </c>
      <c r="C10" s="14">
        <v>49746</v>
      </c>
      <c r="D10" s="28">
        <f t="shared" si="1"/>
        <v>58.061732709700024</v>
      </c>
      <c r="E10" s="11">
        <f t="shared" si="2"/>
        <v>55442.239199999996</v>
      </c>
      <c r="F10" s="11">
        <f t="shared" si="0"/>
        <v>49746</v>
      </c>
      <c r="G10" s="78">
        <f t="shared" si="4"/>
        <v>10.274186761201378</v>
      </c>
      <c r="H10" s="28">
        <f t="shared" si="3"/>
        <v>45488.295537673745</v>
      </c>
      <c r="I10" s="28">
        <f t="shared" si="5"/>
        <v>58.061732709700024</v>
      </c>
      <c r="J10" s="28"/>
      <c r="K10" s="28"/>
      <c r="L10" s="28"/>
    </row>
    <row r="11" spans="1:12" x14ac:dyDescent="0.3">
      <c r="A11" s="16">
        <v>1972</v>
      </c>
      <c r="B11" s="14">
        <v>25068</v>
      </c>
      <c r="C11" s="14">
        <v>27057</v>
      </c>
      <c r="D11" s="28"/>
      <c r="E11" s="11">
        <f t="shared" si="2"/>
        <v>27414.364799999999</v>
      </c>
      <c r="F11" s="11">
        <f t="shared" si="0"/>
        <v>27057</v>
      </c>
      <c r="G11" s="78">
        <f t="shared" si="4"/>
        <v>1.3035676828813507</v>
      </c>
      <c r="H11" s="28">
        <f t="shared" si="3"/>
        <v>24741.221653255307</v>
      </c>
      <c r="I11" s="28">
        <f t="shared" si="5"/>
        <v>53.615560355270468</v>
      </c>
      <c r="J11" s="28"/>
      <c r="K11" s="28"/>
      <c r="L11" s="28"/>
    </row>
    <row r="12" spans="1:12" x14ac:dyDescent="0.3">
      <c r="A12" s="16">
        <v>1951</v>
      </c>
      <c r="B12" s="14">
        <v>54197</v>
      </c>
      <c r="C12" s="14">
        <v>58298</v>
      </c>
      <c r="D12" s="28">
        <f t="shared" si="1"/>
        <v>53.767528805346231</v>
      </c>
      <c r="E12" s="11">
        <f t="shared" si="2"/>
        <v>59269.839199999995</v>
      </c>
      <c r="F12" s="11">
        <f t="shared" si="0"/>
        <v>58298</v>
      </c>
      <c r="G12" s="78">
        <f t="shared" si="4"/>
        <v>1.6396859062171956</v>
      </c>
      <c r="H12" s="28">
        <f t="shared" si="3"/>
        <v>53308.339429407468</v>
      </c>
      <c r="I12" s="28">
        <f t="shared" si="5"/>
        <v>53.767528805346231</v>
      </c>
    </row>
    <row r="13" spans="1:12" x14ac:dyDescent="0.3">
      <c r="A13" s="16">
        <v>1835</v>
      </c>
      <c r="B13" s="14">
        <v>50010</v>
      </c>
      <c r="C13" s="14">
        <v>50763</v>
      </c>
      <c r="D13" s="28">
        <f t="shared" si="1"/>
        <v>56.432096536047915</v>
      </c>
      <c r="E13" s="11">
        <f t="shared" si="2"/>
        <v>54690.935999999994</v>
      </c>
      <c r="F13" s="11">
        <f t="shared" si="0"/>
        <v>50763</v>
      </c>
      <c r="G13" s="78">
        <f t="shared" si="4"/>
        <v>7.1820602960607403</v>
      </c>
      <c r="H13" s="28">
        <f t="shared" si="3"/>
        <v>46418.251645940021</v>
      </c>
      <c r="I13" s="28">
        <f t="shared" si="5"/>
        <v>56.432096536047915</v>
      </c>
    </row>
    <row r="14" spans="1:12" x14ac:dyDescent="0.3">
      <c r="A14" s="16">
        <v>1987</v>
      </c>
      <c r="B14" s="14">
        <v>5613</v>
      </c>
      <c r="C14" s="14">
        <v>5795</v>
      </c>
      <c r="D14" s="28">
        <f t="shared" si="1"/>
        <v>55.63660472129633</v>
      </c>
      <c r="E14" s="11">
        <f t="shared" si="2"/>
        <v>6138.3767999999991</v>
      </c>
      <c r="F14" s="11">
        <f t="shared" si="0"/>
        <v>5795</v>
      </c>
      <c r="G14" s="78">
        <f t="shared" si="4"/>
        <v>5.5939348656471992</v>
      </c>
      <c r="H14" s="28">
        <f t="shared" si="3"/>
        <v>5299.0124359912224</v>
      </c>
      <c r="I14" s="28">
        <f t="shared" si="5"/>
        <v>55.63660472129633</v>
      </c>
    </row>
    <row r="15" spans="1:12" x14ac:dyDescent="0.3">
      <c r="A15" s="16">
        <v>1974</v>
      </c>
      <c r="B15" s="14">
        <v>50497</v>
      </c>
      <c r="C15" s="14">
        <v>53971</v>
      </c>
      <c r="D15" s="28">
        <f t="shared" si="1"/>
        <v>54.054451930936878</v>
      </c>
      <c r="E15" s="11">
        <f>B15 * 1.0936</f>
        <v>55223.519199999995</v>
      </c>
      <c r="F15" s="11">
        <f t="shared" si="0"/>
        <v>53971</v>
      </c>
      <c r="G15" s="78">
        <f t="shared" si="4"/>
        <v>2.2680901509804556</v>
      </c>
      <c r="H15" s="28">
        <f t="shared" si="3"/>
        <v>49351.682516459405</v>
      </c>
      <c r="I15" s="28">
        <f>((B15*48)+(H15*10))/C15</f>
        <v>54.054451930936878</v>
      </c>
    </row>
    <row r="16" spans="1:12" x14ac:dyDescent="0.3">
      <c r="A16" s="16">
        <v>1982</v>
      </c>
      <c r="B16" s="14">
        <v>9556</v>
      </c>
      <c r="C16" s="14">
        <v>10218</v>
      </c>
      <c r="D16" s="28">
        <f t="shared" si="1"/>
        <v>54.034304968082061</v>
      </c>
      <c r="E16" s="11">
        <f t="shared" si="2"/>
        <v>10450.441599999998</v>
      </c>
      <c r="F16" s="11">
        <f t="shared" si="0"/>
        <v>10218</v>
      </c>
      <c r="G16" s="78">
        <f t="shared" si="4"/>
        <v>2.2242275388630333</v>
      </c>
      <c r="H16" s="28">
        <f t="shared" si="3"/>
        <v>9343.4528163862487</v>
      </c>
      <c r="I16" s="28">
        <f>((B16*48)+(H16*10))/C16</f>
        <v>54.034304968082061</v>
      </c>
    </row>
    <row r="17" spans="1:9" x14ac:dyDescent="0.3">
      <c r="A17" s="16">
        <v>1986</v>
      </c>
      <c r="B17" s="14">
        <v>25579</v>
      </c>
      <c r="C17" s="14">
        <v>27905</v>
      </c>
      <c r="D17" s="28">
        <f t="shared" si="1"/>
        <v>53.143107787984285</v>
      </c>
      <c r="E17" s="11">
        <f t="shared" si="2"/>
        <v>27973.194399999997</v>
      </c>
      <c r="F17" s="11">
        <f t="shared" si="0"/>
        <v>27905</v>
      </c>
      <c r="G17" s="78">
        <f t="shared" si="4"/>
        <v>0.24378481422199627</v>
      </c>
      <c r="H17" s="28">
        <f t="shared" si="3"/>
        <v>25516.642282370154</v>
      </c>
      <c r="I17" s="28">
        <f>((B17*48)+(H17*10))/C17</f>
        <v>53.143107787984285</v>
      </c>
    </row>
    <row r="18" spans="1:9" x14ac:dyDescent="0.3">
      <c r="A18" s="16">
        <v>1981</v>
      </c>
      <c r="B18" s="14">
        <v>27113</v>
      </c>
      <c r="C18" s="14">
        <v>29187</v>
      </c>
      <c r="D18" s="28">
        <f t="shared" si="1"/>
        <v>53.73327760209505</v>
      </c>
      <c r="E18" s="11">
        <f t="shared" si="2"/>
        <v>29650.776799999996</v>
      </c>
      <c r="F18" s="11">
        <f t="shared" si="0"/>
        <v>29187</v>
      </c>
      <c r="G18" s="78">
        <f t="shared" si="4"/>
        <v>1.5641303535764166</v>
      </c>
      <c r="H18" s="28">
        <f t="shared" si="3"/>
        <v>26688.917337234823</v>
      </c>
      <c r="I18" s="28">
        <f>((B18*48)+(H18*10))/C18</f>
        <v>53.73327760209505</v>
      </c>
    </row>
    <row r="19" spans="1:9" x14ac:dyDescent="0.3">
      <c r="A19" s="16">
        <v>1954</v>
      </c>
      <c r="B19" s="14">
        <v>10254</v>
      </c>
      <c r="C19" s="14">
        <v>4842</v>
      </c>
      <c r="D19" s="28">
        <f t="shared" si="1"/>
        <v>110.79466881320995</v>
      </c>
      <c r="E19" s="11">
        <f t="shared" si="2"/>
        <v>11213.774399999998</v>
      </c>
      <c r="F19" s="11">
        <f t="shared" si="0"/>
        <v>4842</v>
      </c>
      <c r="G19" s="78">
        <f t="shared" ref="G19:G38" si="6">100- (F19/E19 *100)</f>
        <v>56.820961192156666</v>
      </c>
      <c r="H19" s="28">
        <f t="shared" si="3"/>
        <v>4427.5786393562548</v>
      </c>
      <c r="I19" s="28">
        <f t="shared" si="5"/>
        <v>110.79466881320995</v>
      </c>
    </row>
    <row r="20" spans="1:9" x14ac:dyDescent="0.3">
      <c r="A20" s="16">
        <v>1948</v>
      </c>
      <c r="B20" s="14">
        <v>20882</v>
      </c>
      <c r="C20" s="14">
        <v>3112</v>
      </c>
      <c r="D20" s="28">
        <f t="shared" si="1"/>
        <v>331.23151479136385</v>
      </c>
      <c r="E20" s="11">
        <f>B20 * 1.0936</f>
        <v>22836.555199999999</v>
      </c>
      <c r="F20" s="11">
        <f t="shared" si="0"/>
        <v>3112</v>
      </c>
      <c r="G20" s="78">
        <f t="shared" si="6"/>
        <v>86.372725777835356</v>
      </c>
      <c r="H20" s="28">
        <f t="shared" si="3"/>
        <v>2845.6474030724216</v>
      </c>
      <c r="I20" s="28">
        <f t="shared" si="5"/>
        <v>331.23151479136385</v>
      </c>
    </row>
    <row r="21" spans="1:9" x14ac:dyDescent="0.3">
      <c r="A21" s="16">
        <v>1947</v>
      </c>
      <c r="B21" s="14">
        <v>11427</v>
      </c>
      <c r="C21" s="14">
        <v>6074</v>
      </c>
      <c r="D21" s="28">
        <f t="shared" si="1"/>
        <v>99.446383171318672</v>
      </c>
      <c r="E21" s="11">
        <f t="shared" si="2"/>
        <v>12496.5672</v>
      </c>
      <c r="F21" s="11">
        <f t="shared" si="0"/>
        <v>6074</v>
      </c>
      <c r="G21" s="78">
        <f t="shared" si="6"/>
        <v>51.394651804857254</v>
      </c>
      <c r="H21" s="28">
        <f t="shared" si="3"/>
        <v>5554.1331382589615</v>
      </c>
      <c r="I21" s="28">
        <f t="shared" si="5"/>
        <v>99.446383171318672</v>
      </c>
    </row>
    <row r="22" spans="1:9" x14ac:dyDescent="0.3">
      <c r="A22" s="16">
        <v>1985</v>
      </c>
      <c r="B22" s="14">
        <v>28429</v>
      </c>
      <c r="C22" s="14">
        <v>30765</v>
      </c>
      <c r="D22" s="28">
        <f t="shared" si="1"/>
        <v>53.499450051485226</v>
      </c>
      <c r="E22" s="11">
        <f t="shared" si="2"/>
        <v>31089.954399999999</v>
      </c>
      <c r="F22" s="11">
        <f t="shared" si="0"/>
        <v>30765</v>
      </c>
      <c r="G22" s="78">
        <f t="shared" si="6"/>
        <v>1.0452070653406906</v>
      </c>
      <c r="H22" s="28">
        <f t="shared" si="3"/>
        <v>28131.858083394298</v>
      </c>
      <c r="I22" s="28">
        <f t="shared" si="5"/>
        <v>53.499450051485226</v>
      </c>
    </row>
    <row r="23" spans="1:9" x14ac:dyDescent="0.3">
      <c r="A23" s="16">
        <v>1983</v>
      </c>
      <c r="B23" s="14">
        <v>24158</v>
      </c>
      <c r="C23" s="14">
        <v>26055</v>
      </c>
      <c r="D23" s="28">
        <f t="shared" si="1"/>
        <v>53.649350110066251</v>
      </c>
      <c r="E23" s="11">
        <f t="shared" si="2"/>
        <v>26419.188799999996</v>
      </c>
      <c r="F23" s="11">
        <f t="shared" si="0"/>
        <v>26055</v>
      </c>
      <c r="G23" s="78">
        <f t="shared" si="6"/>
        <v>1.378501068889733</v>
      </c>
      <c r="H23" s="28">
        <f t="shared" si="3"/>
        <v>23824.981711777618</v>
      </c>
      <c r="I23" s="28">
        <f t="shared" si="5"/>
        <v>53.649350110066251</v>
      </c>
    </row>
    <row r="24" spans="1:9" x14ac:dyDescent="0.3">
      <c r="A24" s="16">
        <v>1984</v>
      </c>
      <c r="B24" s="14">
        <v>28662</v>
      </c>
      <c r="C24" s="14">
        <v>30869</v>
      </c>
      <c r="D24" s="28">
        <f t="shared" si="1"/>
        <v>53.712318779291579</v>
      </c>
      <c r="E24" s="11">
        <f t="shared" si="2"/>
        <v>31344.763199999998</v>
      </c>
      <c r="F24" s="11">
        <f t="shared" si="0"/>
        <v>30869</v>
      </c>
      <c r="G24" s="78">
        <f t="shared" si="6"/>
        <v>1.5178395094718695</v>
      </c>
      <c r="H24" s="28">
        <f t="shared" si="3"/>
        <v>28226.956839795173</v>
      </c>
      <c r="I24" s="28">
        <f t="shared" si="5"/>
        <v>53.712318779291579</v>
      </c>
    </row>
    <row r="25" spans="1:9" x14ac:dyDescent="0.3">
      <c r="A25" s="16">
        <v>1993</v>
      </c>
      <c r="B25" s="14">
        <v>7587</v>
      </c>
      <c r="C25" s="14">
        <v>8188</v>
      </c>
      <c r="D25" s="28">
        <f t="shared" si="1"/>
        <v>53.620906502602161</v>
      </c>
      <c r="E25" s="11">
        <f t="shared" si="2"/>
        <v>8297.1431999999986</v>
      </c>
      <c r="F25" s="11">
        <f t="shared" si="0"/>
        <v>8188</v>
      </c>
      <c r="G25" s="78">
        <f t="shared" si="6"/>
        <v>1.3154310751199034</v>
      </c>
      <c r="H25" s="28">
        <f t="shared" si="3"/>
        <v>7487.1982443306515</v>
      </c>
      <c r="I25" s="28">
        <f t="shared" si="5"/>
        <v>53.620906502602161</v>
      </c>
    </row>
    <row r="26" spans="1:9" x14ac:dyDescent="0.3">
      <c r="A26" s="16" t="s">
        <v>331</v>
      </c>
      <c r="B26" s="14">
        <v>26630</v>
      </c>
      <c r="C26" s="14">
        <v>28452</v>
      </c>
      <c r="D26" s="28">
        <f t="shared" si="1"/>
        <v>54.070302672780123</v>
      </c>
      <c r="E26" s="11">
        <f t="shared" si="2"/>
        <v>29122.567999999999</v>
      </c>
      <c r="F26" s="11">
        <f t="shared" si="0"/>
        <v>28452</v>
      </c>
      <c r="G26" s="78">
        <f t="shared" si="6"/>
        <v>2.3025716688171087</v>
      </c>
      <c r="H26" s="28">
        <f t="shared" si="3"/>
        <v>26016.825164594004</v>
      </c>
      <c r="I26" s="28">
        <f t="shared" si="5"/>
        <v>54.070302672780123</v>
      </c>
    </row>
    <row r="27" spans="1:9" x14ac:dyDescent="0.3">
      <c r="A27" s="16">
        <v>1775</v>
      </c>
      <c r="B27" s="14">
        <v>0</v>
      </c>
      <c r="C27" s="14">
        <v>5195.6935999999996</v>
      </c>
      <c r="D27" s="28">
        <f t="shared" si="1"/>
        <v>9.144111192392101</v>
      </c>
      <c r="E27" s="11">
        <f t="shared" si="2"/>
        <v>0</v>
      </c>
      <c r="F27" s="11">
        <f t="shared" si="0"/>
        <v>5195.6935999999996</v>
      </c>
      <c r="G27" s="78" t="e">
        <f t="shared" si="6"/>
        <v>#DIV/0!</v>
      </c>
      <c r="H27" s="28">
        <f t="shared" si="3"/>
        <v>4751</v>
      </c>
      <c r="I27" s="28">
        <f t="shared" si="5"/>
        <v>9.144111192392101</v>
      </c>
    </row>
    <row r="28" spans="1:9" x14ac:dyDescent="0.3">
      <c r="A28" s="16">
        <v>1941</v>
      </c>
      <c r="B28" s="14">
        <v>23896</v>
      </c>
      <c r="C28" s="14">
        <v>25427</v>
      </c>
      <c r="D28" s="28">
        <f t="shared" si="1"/>
        <v>54.253955059147913</v>
      </c>
      <c r="E28" s="11">
        <f t="shared" si="2"/>
        <v>26132.665599999997</v>
      </c>
      <c r="F28" s="11">
        <f t="shared" si="0"/>
        <v>25427</v>
      </c>
      <c r="G28" s="78">
        <f t="shared" si="6"/>
        <v>2.700320016340001</v>
      </c>
      <c r="H28" s="28">
        <f t="shared" si="3"/>
        <v>23250.731528895394</v>
      </c>
      <c r="I28" s="28">
        <f t="shared" si="5"/>
        <v>54.253955059147913</v>
      </c>
    </row>
    <row r="29" spans="1:9" x14ac:dyDescent="0.3">
      <c r="A29" s="16">
        <v>1995</v>
      </c>
      <c r="B29" s="14">
        <v>23540</v>
      </c>
      <c r="C29" s="14">
        <v>25393</v>
      </c>
      <c r="D29" s="28">
        <f t="shared" si="1"/>
        <v>53.641413598567027</v>
      </c>
      <c r="E29" s="11">
        <f t="shared" si="2"/>
        <v>25743.343999999997</v>
      </c>
      <c r="F29" s="11">
        <f t="shared" si="0"/>
        <v>25393</v>
      </c>
      <c r="G29" s="78">
        <f t="shared" si="6"/>
        <v>1.3609109989751005</v>
      </c>
      <c r="H29" s="28">
        <f t="shared" si="3"/>
        <v>23219.641550841261</v>
      </c>
      <c r="I29" s="28">
        <f t="shared" si="5"/>
        <v>53.641413598567027</v>
      </c>
    </row>
    <row r="30" spans="1:9" x14ac:dyDescent="0.3">
      <c r="A30" s="16">
        <v>1992</v>
      </c>
      <c r="B30" s="14">
        <v>27665</v>
      </c>
      <c r="C30" s="14">
        <v>29855</v>
      </c>
      <c r="D30" s="28">
        <f t="shared" si="1"/>
        <v>53.623092937493425</v>
      </c>
      <c r="E30" s="11">
        <f t="shared" si="2"/>
        <v>30254.443999999996</v>
      </c>
      <c r="F30" s="11">
        <f t="shared" si="0"/>
        <v>29855</v>
      </c>
      <c r="G30" s="78">
        <f t="shared" si="6"/>
        <v>1.3202820716189478</v>
      </c>
      <c r="H30" s="28">
        <f t="shared" si="3"/>
        <v>27299.743964886617</v>
      </c>
      <c r="I30" s="28">
        <f t="shared" si="5"/>
        <v>53.623092937493425</v>
      </c>
    </row>
    <row r="31" spans="1:9" x14ac:dyDescent="0.3">
      <c r="A31" s="16">
        <v>1718</v>
      </c>
      <c r="B31" s="14">
        <v>26032</v>
      </c>
      <c r="C31" s="14">
        <v>26242</v>
      </c>
      <c r="D31" s="28">
        <f t="shared" si="1"/>
        <v>56.759994128143951</v>
      </c>
      <c r="E31" s="11">
        <f t="shared" si="2"/>
        <v>28468.595199999996</v>
      </c>
      <c r="F31" s="11">
        <f t="shared" si="0"/>
        <v>26242</v>
      </c>
      <c r="G31" s="78">
        <f t="shared" si="6"/>
        <v>7.8212331320092545</v>
      </c>
      <c r="H31" s="28">
        <f t="shared" si="3"/>
        <v>23995.976591075349</v>
      </c>
      <c r="I31" s="28">
        <f t="shared" si="5"/>
        <v>56.759994128143951</v>
      </c>
    </row>
    <row r="32" spans="1:9" x14ac:dyDescent="0.3">
      <c r="A32" s="16">
        <v>1990</v>
      </c>
      <c r="B32" s="14">
        <v>45681</v>
      </c>
      <c r="C32" s="14">
        <v>35092</v>
      </c>
      <c r="D32" s="28">
        <f t="shared" si="1"/>
        <v>71.628096146227733</v>
      </c>
      <c r="E32" s="11">
        <f t="shared" si="2"/>
        <v>49956.741599999994</v>
      </c>
      <c r="F32" s="11">
        <f t="shared" si="0"/>
        <v>35092</v>
      </c>
      <c r="G32" s="78">
        <f t="shared" si="6"/>
        <v>29.755226469774399</v>
      </c>
      <c r="H32" s="28">
        <f t="shared" si="3"/>
        <v>32088.514996342357</v>
      </c>
      <c r="I32" s="28">
        <f t="shared" si="5"/>
        <v>71.628096146227733</v>
      </c>
    </row>
    <row r="33" spans="1:9" x14ac:dyDescent="0.3">
      <c r="A33" s="16">
        <v>1989</v>
      </c>
      <c r="B33" s="14">
        <v>61388</v>
      </c>
      <c r="C33" s="14">
        <v>8547</v>
      </c>
      <c r="D33" s="28">
        <f t="shared" ref="D33:D37" si="7">I33</f>
        <v>353.89946394774489</v>
      </c>
      <c r="E33" s="11">
        <f t="shared" ref="E33:E37" si="8">B33 * 1.0936</f>
        <v>67133.916799999992</v>
      </c>
      <c r="F33" s="11">
        <f t="shared" ref="F33:F37" si="9">C33</f>
        <v>8547</v>
      </c>
      <c r="G33" s="78">
        <f t="shared" ref="G33:G37" si="10">100- (F33/E33 *100)</f>
        <v>87.268730311889087</v>
      </c>
      <c r="H33" s="28">
        <f t="shared" ref="H33:H37" si="11">F33/1.0936</f>
        <v>7815.471836137528</v>
      </c>
      <c r="I33" s="28">
        <f t="shared" ref="I33:I37" si="12">((B33*48)+(H33*10))/C33</f>
        <v>353.89946394774489</v>
      </c>
    </row>
    <row r="34" spans="1:9" x14ac:dyDescent="0.3">
      <c r="A34" s="16">
        <v>2001</v>
      </c>
      <c r="B34" s="14">
        <v>8245</v>
      </c>
      <c r="C34" s="14">
        <v>8850</v>
      </c>
      <c r="D34" s="28">
        <f t="shared" si="7"/>
        <v>53.862755260188713</v>
      </c>
      <c r="E34" s="11">
        <f t="shared" si="8"/>
        <v>9016.732</v>
      </c>
      <c r="F34" s="11">
        <f t="shared" si="9"/>
        <v>8850</v>
      </c>
      <c r="G34" s="78">
        <f t="shared" si="10"/>
        <v>1.8491400210186981</v>
      </c>
      <c r="H34" s="28">
        <f t="shared" si="11"/>
        <v>8092.5384052670088</v>
      </c>
      <c r="I34" s="28">
        <f t="shared" si="12"/>
        <v>53.862755260188713</v>
      </c>
    </row>
    <row r="35" spans="1:9" x14ac:dyDescent="0.3">
      <c r="A35" s="16" t="s">
        <v>28</v>
      </c>
      <c r="B35" s="30">
        <v>80202</v>
      </c>
      <c r="C35" s="30">
        <v>820581.8824</v>
      </c>
      <c r="D35" s="28">
        <f t="shared" si="7"/>
        <v>13.835533319262105</v>
      </c>
      <c r="E35" s="11">
        <f t="shared" si="8"/>
        <v>87708.907199999987</v>
      </c>
      <c r="F35" s="11">
        <f t="shared" si="9"/>
        <v>820581.8824</v>
      </c>
      <c r="G35" s="78">
        <f t="shared" si="10"/>
        <v>-835.57417210643359</v>
      </c>
      <c r="H35" s="28">
        <f t="shared" si="11"/>
        <v>750349.19751280185</v>
      </c>
      <c r="I35" s="28">
        <f t="shared" si="12"/>
        <v>13.835533319262105</v>
      </c>
    </row>
    <row r="36" spans="1:9" x14ac:dyDescent="0.3">
      <c r="D36" s="28" t="e">
        <f t="shared" si="7"/>
        <v>#DIV/0!</v>
      </c>
      <c r="E36" s="11">
        <f t="shared" si="8"/>
        <v>0</v>
      </c>
      <c r="F36" s="11">
        <f t="shared" si="9"/>
        <v>0</v>
      </c>
      <c r="G36" s="78" t="e">
        <f t="shared" si="10"/>
        <v>#DIV/0!</v>
      </c>
      <c r="H36" s="28">
        <f t="shared" si="11"/>
        <v>0</v>
      </c>
      <c r="I36" s="28" t="e">
        <f t="shared" si="12"/>
        <v>#DIV/0!</v>
      </c>
    </row>
    <row r="37" spans="1:9" x14ac:dyDescent="0.3">
      <c r="D37" s="28" t="e">
        <f t="shared" si="7"/>
        <v>#DIV/0!</v>
      </c>
      <c r="E37" s="11">
        <f t="shared" si="8"/>
        <v>0</v>
      </c>
      <c r="F37" s="11">
        <f t="shared" si="9"/>
        <v>0</v>
      </c>
      <c r="G37" s="78" t="e">
        <f t="shared" si="10"/>
        <v>#DIV/0!</v>
      </c>
      <c r="H37" s="28">
        <f t="shared" si="11"/>
        <v>0</v>
      </c>
      <c r="I37" s="28" t="e">
        <f t="shared" si="12"/>
        <v>#DIV/0!</v>
      </c>
    </row>
    <row r="38" spans="1:9" x14ac:dyDescent="0.3">
      <c r="D38" s="28" t="e">
        <f t="shared" si="1"/>
        <v>#DIV/0!</v>
      </c>
      <c r="E38" s="11">
        <f t="shared" si="2"/>
        <v>0</v>
      </c>
      <c r="F38" s="11">
        <f t="shared" si="0"/>
        <v>0</v>
      </c>
      <c r="G38" s="78" t="e">
        <f t="shared" si="6"/>
        <v>#DIV/0!</v>
      </c>
      <c r="H38" s="28">
        <f t="shared" si="3"/>
        <v>0</v>
      </c>
      <c r="I38" s="28" t="e">
        <f t="shared" si="5"/>
        <v>#DIV/0!</v>
      </c>
    </row>
    <row r="39" spans="1:9" x14ac:dyDescent="0.3">
      <c r="D39" s="28" t="e">
        <f t="shared" ref="D39:D44" si="13">I39</f>
        <v>#DIV/0!</v>
      </c>
      <c r="E39" s="11">
        <f t="shared" ref="E39:E44" si="14">B39 * 1.0936</f>
        <v>0</v>
      </c>
      <c r="F39" s="11">
        <f t="shared" ref="F39:F44" si="15">C39</f>
        <v>0</v>
      </c>
      <c r="G39" s="78" t="e">
        <f t="shared" ref="G39:G44" si="16">100- (F39/E39 *100)</f>
        <v>#DIV/0!</v>
      </c>
      <c r="H39" s="28">
        <f t="shared" ref="H39:H44" si="17">F39/1.0936</f>
        <v>0</v>
      </c>
      <c r="I39" s="28" t="e">
        <f t="shared" ref="I39:I44" si="18">((B39*48)+(H39*10))/C39</f>
        <v>#DIV/0!</v>
      </c>
    </row>
    <row r="40" spans="1:9" x14ac:dyDescent="0.3">
      <c r="D40" s="28" t="e">
        <f t="shared" si="13"/>
        <v>#DIV/0!</v>
      </c>
      <c r="E40" s="11">
        <f t="shared" si="14"/>
        <v>0</v>
      </c>
      <c r="F40" s="11">
        <f t="shared" si="15"/>
        <v>0</v>
      </c>
      <c r="G40" s="78" t="e">
        <f t="shared" si="16"/>
        <v>#DIV/0!</v>
      </c>
      <c r="H40" s="28">
        <f t="shared" si="17"/>
        <v>0</v>
      </c>
      <c r="I40" s="28" t="e">
        <f t="shared" si="18"/>
        <v>#DIV/0!</v>
      </c>
    </row>
    <row r="41" spans="1:9" x14ac:dyDescent="0.3">
      <c r="D41" s="28" t="e">
        <f t="shared" si="13"/>
        <v>#DIV/0!</v>
      </c>
      <c r="E41" s="11">
        <f t="shared" si="14"/>
        <v>0</v>
      </c>
      <c r="F41" s="11">
        <f t="shared" si="15"/>
        <v>0</v>
      </c>
      <c r="G41" s="78" t="e">
        <f t="shared" si="16"/>
        <v>#DIV/0!</v>
      </c>
      <c r="H41" s="28">
        <f t="shared" si="17"/>
        <v>0</v>
      </c>
      <c r="I41" s="28" t="e">
        <f t="shared" si="18"/>
        <v>#DIV/0!</v>
      </c>
    </row>
    <row r="42" spans="1:9" x14ac:dyDescent="0.3">
      <c r="D42" s="28" t="e">
        <f t="shared" si="13"/>
        <v>#DIV/0!</v>
      </c>
      <c r="E42" s="11">
        <f t="shared" si="14"/>
        <v>0</v>
      </c>
      <c r="F42" s="11">
        <f t="shared" si="15"/>
        <v>0</v>
      </c>
      <c r="G42" s="78" t="e">
        <f t="shared" si="16"/>
        <v>#DIV/0!</v>
      </c>
      <c r="H42" s="28">
        <f t="shared" si="17"/>
        <v>0</v>
      </c>
      <c r="I42" s="28" t="e">
        <f t="shared" si="18"/>
        <v>#DIV/0!</v>
      </c>
    </row>
    <row r="43" spans="1:9" x14ac:dyDescent="0.3">
      <c r="D43" s="28" t="e">
        <f t="shared" si="13"/>
        <v>#DIV/0!</v>
      </c>
      <c r="E43" s="11">
        <f t="shared" si="14"/>
        <v>0</v>
      </c>
      <c r="F43" s="11">
        <f t="shared" si="15"/>
        <v>0</v>
      </c>
      <c r="G43" s="78" t="e">
        <f t="shared" si="16"/>
        <v>#DIV/0!</v>
      </c>
      <c r="H43" s="28">
        <f t="shared" si="17"/>
        <v>0</v>
      </c>
      <c r="I43" s="28" t="e">
        <f t="shared" si="18"/>
        <v>#DIV/0!</v>
      </c>
    </row>
    <row r="44" spans="1:9" x14ac:dyDescent="0.3">
      <c r="D44" s="28" t="e">
        <f t="shared" si="13"/>
        <v>#DIV/0!</v>
      </c>
      <c r="E44" s="11">
        <f t="shared" si="14"/>
        <v>0</v>
      </c>
      <c r="F44" s="11">
        <f t="shared" si="15"/>
        <v>0</v>
      </c>
      <c r="G44" s="78" t="e">
        <f t="shared" si="16"/>
        <v>#DIV/0!</v>
      </c>
      <c r="H44" s="28">
        <f t="shared" si="17"/>
        <v>0</v>
      </c>
      <c r="I44" s="28" t="e">
        <f t="shared" si="18"/>
        <v>#DIV/0!</v>
      </c>
    </row>
    <row r="45" spans="1:9" x14ac:dyDescent="0.3">
      <c r="D45" s="28" t="e">
        <f t="shared" ref="D45:D58" si="19">I45</f>
        <v>#DIV/0!</v>
      </c>
      <c r="E45" s="11">
        <f t="shared" ref="E45:E58" si="20">B45 * 1.0936</f>
        <v>0</v>
      </c>
      <c r="F45" s="11">
        <f t="shared" ref="F45:F58" si="21">C45</f>
        <v>0</v>
      </c>
      <c r="G45" s="78" t="e">
        <f t="shared" ref="G45:G58" si="22">100- (F45/E45 *100)</f>
        <v>#DIV/0!</v>
      </c>
      <c r="H45" s="28">
        <f t="shared" ref="H45:H58" si="23">F45/1.0936</f>
        <v>0</v>
      </c>
      <c r="I45" s="28" t="e">
        <f t="shared" ref="I45:I58" si="24">((B45*48)+(H45*10))/C45</f>
        <v>#DIV/0!</v>
      </c>
    </row>
    <row r="46" spans="1:9" x14ac:dyDescent="0.3">
      <c r="D46" s="28" t="e">
        <f t="shared" si="19"/>
        <v>#DIV/0!</v>
      </c>
      <c r="E46" s="11">
        <f t="shared" si="20"/>
        <v>0</v>
      </c>
      <c r="F46" s="11">
        <f t="shared" si="21"/>
        <v>0</v>
      </c>
      <c r="G46" s="78" t="e">
        <f t="shared" si="22"/>
        <v>#DIV/0!</v>
      </c>
      <c r="H46" s="28">
        <f t="shared" si="23"/>
        <v>0</v>
      </c>
      <c r="I46" s="28" t="e">
        <f t="shared" si="24"/>
        <v>#DIV/0!</v>
      </c>
    </row>
    <row r="47" spans="1:9" x14ac:dyDescent="0.3">
      <c r="D47" s="28" t="e">
        <f t="shared" si="19"/>
        <v>#DIV/0!</v>
      </c>
      <c r="E47" s="11">
        <f t="shared" si="20"/>
        <v>0</v>
      </c>
      <c r="F47" s="11">
        <f t="shared" si="21"/>
        <v>0</v>
      </c>
      <c r="G47" s="78" t="e">
        <f t="shared" si="22"/>
        <v>#DIV/0!</v>
      </c>
      <c r="H47" s="28">
        <f t="shared" si="23"/>
        <v>0</v>
      </c>
      <c r="I47" s="28" t="e">
        <f t="shared" si="24"/>
        <v>#DIV/0!</v>
      </c>
    </row>
    <row r="48" spans="1:9" x14ac:dyDescent="0.3">
      <c r="D48" s="28" t="e">
        <f t="shared" si="19"/>
        <v>#DIV/0!</v>
      </c>
      <c r="E48" s="11">
        <f t="shared" si="20"/>
        <v>0</v>
      </c>
      <c r="F48" s="11">
        <f t="shared" si="21"/>
        <v>0</v>
      </c>
      <c r="G48" s="78" t="e">
        <f t="shared" si="22"/>
        <v>#DIV/0!</v>
      </c>
      <c r="H48" s="28">
        <f t="shared" si="23"/>
        <v>0</v>
      </c>
      <c r="I48" s="28" t="e">
        <f t="shared" si="24"/>
        <v>#DIV/0!</v>
      </c>
    </row>
    <row r="49" spans="4:9" x14ac:dyDescent="0.3">
      <c r="D49" s="28" t="e">
        <f t="shared" si="19"/>
        <v>#DIV/0!</v>
      </c>
      <c r="E49" s="11">
        <f t="shared" si="20"/>
        <v>0</v>
      </c>
      <c r="F49" s="11">
        <f t="shared" si="21"/>
        <v>0</v>
      </c>
      <c r="G49" s="78" t="e">
        <f t="shared" si="22"/>
        <v>#DIV/0!</v>
      </c>
      <c r="H49" s="28">
        <f t="shared" si="23"/>
        <v>0</v>
      </c>
      <c r="I49" s="28" t="e">
        <f t="shared" si="24"/>
        <v>#DIV/0!</v>
      </c>
    </row>
    <row r="50" spans="4:9" x14ac:dyDescent="0.3">
      <c r="D50" s="28" t="e">
        <f t="shared" si="19"/>
        <v>#DIV/0!</v>
      </c>
      <c r="E50" s="11">
        <f t="shared" si="20"/>
        <v>0</v>
      </c>
      <c r="F50" s="11">
        <f t="shared" si="21"/>
        <v>0</v>
      </c>
      <c r="G50" s="78" t="e">
        <f t="shared" si="22"/>
        <v>#DIV/0!</v>
      </c>
      <c r="H50" s="28">
        <f t="shared" si="23"/>
        <v>0</v>
      </c>
      <c r="I50" s="28" t="e">
        <f t="shared" si="24"/>
        <v>#DIV/0!</v>
      </c>
    </row>
    <row r="51" spans="4:9" x14ac:dyDescent="0.3">
      <c r="D51" s="28" t="e">
        <f t="shared" si="19"/>
        <v>#DIV/0!</v>
      </c>
      <c r="E51" s="11">
        <f t="shared" si="20"/>
        <v>0</v>
      </c>
      <c r="F51" s="11">
        <f t="shared" si="21"/>
        <v>0</v>
      </c>
      <c r="G51" s="78" t="e">
        <f t="shared" si="22"/>
        <v>#DIV/0!</v>
      </c>
      <c r="H51" s="28">
        <f t="shared" si="23"/>
        <v>0</v>
      </c>
      <c r="I51" s="28" t="e">
        <f t="shared" si="24"/>
        <v>#DIV/0!</v>
      </c>
    </row>
    <row r="52" spans="4:9" x14ac:dyDescent="0.3">
      <c r="D52" s="28" t="e">
        <f t="shared" si="19"/>
        <v>#DIV/0!</v>
      </c>
      <c r="E52" s="11">
        <f t="shared" si="20"/>
        <v>0</v>
      </c>
      <c r="F52" s="11">
        <f t="shared" si="21"/>
        <v>0</v>
      </c>
      <c r="G52" s="78" t="e">
        <f t="shared" si="22"/>
        <v>#DIV/0!</v>
      </c>
      <c r="H52" s="28">
        <f t="shared" si="23"/>
        <v>0</v>
      </c>
      <c r="I52" s="28" t="e">
        <f t="shared" si="24"/>
        <v>#DIV/0!</v>
      </c>
    </row>
    <row r="53" spans="4:9" x14ac:dyDescent="0.3">
      <c r="D53" s="28" t="e">
        <f t="shared" si="19"/>
        <v>#DIV/0!</v>
      </c>
      <c r="E53" s="11">
        <f t="shared" si="20"/>
        <v>0</v>
      </c>
      <c r="F53" s="11">
        <f t="shared" si="21"/>
        <v>0</v>
      </c>
      <c r="G53" s="78" t="e">
        <f t="shared" si="22"/>
        <v>#DIV/0!</v>
      </c>
      <c r="H53" s="28">
        <f t="shared" si="23"/>
        <v>0</v>
      </c>
      <c r="I53" s="28" t="e">
        <f t="shared" si="24"/>
        <v>#DIV/0!</v>
      </c>
    </row>
    <row r="54" spans="4:9" x14ac:dyDescent="0.3">
      <c r="D54" s="28" t="e">
        <f t="shared" si="19"/>
        <v>#DIV/0!</v>
      </c>
      <c r="E54" s="11">
        <f t="shared" si="20"/>
        <v>0</v>
      </c>
      <c r="F54" s="11">
        <f t="shared" si="21"/>
        <v>0</v>
      </c>
      <c r="G54" s="78" t="e">
        <f t="shared" si="22"/>
        <v>#DIV/0!</v>
      </c>
      <c r="H54" s="28">
        <f t="shared" si="23"/>
        <v>0</v>
      </c>
      <c r="I54" s="28" t="e">
        <f t="shared" si="24"/>
        <v>#DIV/0!</v>
      </c>
    </row>
    <row r="55" spans="4:9" x14ac:dyDescent="0.3">
      <c r="D55" s="28" t="e">
        <f t="shared" si="19"/>
        <v>#DIV/0!</v>
      </c>
      <c r="E55" s="11">
        <f t="shared" si="20"/>
        <v>0</v>
      </c>
      <c r="F55" s="11">
        <f t="shared" si="21"/>
        <v>0</v>
      </c>
      <c r="G55" s="78" t="e">
        <f t="shared" si="22"/>
        <v>#DIV/0!</v>
      </c>
      <c r="H55" s="28">
        <f t="shared" si="23"/>
        <v>0</v>
      </c>
      <c r="I55" s="28" t="e">
        <f t="shared" si="24"/>
        <v>#DIV/0!</v>
      </c>
    </row>
    <row r="56" spans="4:9" x14ac:dyDescent="0.3">
      <c r="D56" s="28" t="e">
        <f t="shared" si="19"/>
        <v>#DIV/0!</v>
      </c>
      <c r="E56" s="11">
        <f t="shared" si="20"/>
        <v>0</v>
      </c>
      <c r="F56" s="11">
        <f t="shared" si="21"/>
        <v>0</v>
      </c>
      <c r="G56" s="78" t="e">
        <f t="shared" si="22"/>
        <v>#DIV/0!</v>
      </c>
      <c r="H56" s="28">
        <f t="shared" si="23"/>
        <v>0</v>
      </c>
      <c r="I56" s="28" t="e">
        <f t="shared" si="24"/>
        <v>#DIV/0!</v>
      </c>
    </row>
    <row r="57" spans="4:9" x14ac:dyDescent="0.3">
      <c r="D57" s="28" t="e">
        <f t="shared" si="19"/>
        <v>#DIV/0!</v>
      </c>
      <c r="E57" s="11">
        <f t="shared" si="20"/>
        <v>0</v>
      </c>
      <c r="F57" s="11">
        <f t="shared" si="21"/>
        <v>0</v>
      </c>
      <c r="G57" s="78" t="e">
        <f t="shared" si="22"/>
        <v>#DIV/0!</v>
      </c>
      <c r="H57" s="28">
        <f t="shared" si="23"/>
        <v>0</v>
      </c>
      <c r="I57" s="28" t="e">
        <f t="shared" si="24"/>
        <v>#DIV/0!</v>
      </c>
    </row>
    <row r="58" spans="4:9" x14ac:dyDescent="0.3">
      <c r="D58" s="28" t="e">
        <f t="shared" si="19"/>
        <v>#DIV/0!</v>
      </c>
      <c r="E58" s="11">
        <f t="shared" si="20"/>
        <v>0</v>
      </c>
      <c r="F58" s="11">
        <f t="shared" si="21"/>
        <v>0</v>
      </c>
      <c r="G58" s="78" t="e">
        <f t="shared" si="22"/>
        <v>#DIV/0!</v>
      </c>
      <c r="H58" s="28">
        <f t="shared" si="23"/>
        <v>0</v>
      </c>
      <c r="I58" s="28" t="e">
        <f t="shared" si="24"/>
        <v>#DIV/0!</v>
      </c>
    </row>
    <row r="59" spans="4:9" x14ac:dyDescent="0.3">
      <c r="D59" s="28" t="e">
        <f t="shared" ref="D59:D73" si="25">I59</f>
        <v>#DIV/0!</v>
      </c>
      <c r="E59" s="11">
        <f t="shared" ref="E59:E73" si="26">B59 * 1.0936</f>
        <v>0</v>
      </c>
      <c r="F59" s="11">
        <f t="shared" ref="F59:F73" si="27">C59</f>
        <v>0</v>
      </c>
      <c r="G59" s="78" t="e">
        <f t="shared" ref="G59:G73" si="28">100- (F59/E59 *100)</f>
        <v>#DIV/0!</v>
      </c>
      <c r="H59" s="28">
        <f t="shared" ref="H59:H73" si="29">F59/1.0936</f>
        <v>0</v>
      </c>
      <c r="I59" s="28" t="e">
        <f t="shared" ref="I59:I73" si="30">((B59*48)+(H59*10))/C59</f>
        <v>#DIV/0!</v>
      </c>
    </row>
    <row r="60" spans="4:9" x14ac:dyDescent="0.3">
      <c r="D60" s="28" t="e">
        <f t="shared" si="25"/>
        <v>#DIV/0!</v>
      </c>
      <c r="E60" s="11">
        <f t="shared" si="26"/>
        <v>0</v>
      </c>
      <c r="F60" s="11">
        <f t="shared" si="27"/>
        <v>0</v>
      </c>
      <c r="G60" s="78" t="e">
        <f t="shared" si="28"/>
        <v>#DIV/0!</v>
      </c>
      <c r="H60" s="28">
        <f t="shared" si="29"/>
        <v>0</v>
      </c>
      <c r="I60" s="28" t="e">
        <f t="shared" si="30"/>
        <v>#DIV/0!</v>
      </c>
    </row>
    <row r="61" spans="4:9" x14ac:dyDescent="0.3">
      <c r="D61" s="28" t="e">
        <f t="shared" si="25"/>
        <v>#DIV/0!</v>
      </c>
      <c r="E61" s="11">
        <f t="shared" si="26"/>
        <v>0</v>
      </c>
      <c r="F61" s="11">
        <f t="shared" si="27"/>
        <v>0</v>
      </c>
      <c r="G61" s="78" t="e">
        <f t="shared" si="28"/>
        <v>#DIV/0!</v>
      </c>
      <c r="H61" s="28">
        <f t="shared" si="29"/>
        <v>0</v>
      </c>
      <c r="I61" s="28" t="e">
        <f t="shared" si="30"/>
        <v>#DIV/0!</v>
      </c>
    </row>
    <row r="62" spans="4:9" x14ac:dyDescent="0.3">
      <c r="D62" s="28" t="e">
        <f t="shared" si="25"/>
        <v>#DIV/0!</v>
      </c>
      <c r="E62" s="11">
        <f t="shared" si="26"/>
        <v>0</v>
      </c>
      <c r="F62" s="11">
        <f t="shared" si="27"/>
        <v>0</v>
      </c>
      <c r="G62" s="78" t="e">
        <f t="shared" si="28"/>
        <v>#DIV/0!</v>
      </c>
      <c r="H62" s="28">
        <f t="shared" si="29"/>
        <v>0</v>
      </c>
      <c r="I62" s="28" t="e">
        <f t="shared" si="30"/>
        <v>#DIV/0!</v>
      </c>
    </row>
    <row r="63" spans="4:9" x14ac:dyDescent="0.3">
      <c r="D63" s="28" t="e">
        <f t="shared" si="25"/>
        <v>#DIV/0!</v>
      </c>
      <c r="E63" s="11">
        <f t="shared" si="26"/>
        <v>0</v>
      </c>
      <c r="F63" s="11">
        <f t="shared" si="27"/>
        <v>0</v>
      </c>
      <c r="G63" s="78" t="e">
        <f t="shared" si="28"/>
        <v>#DIV/0!</v>
      </c>
      <c r="H63" s="28">
        <f t="shared" si="29"/>
        <v>0</v>
      </c>
      <c r="I63" s="28" t="e">
        <f t="shared" si="30"/>
        <v>#DIV/0!</v>
      </c>
    </row>
    <row r="64" spans="4:9" x14ac:dyDescent="0.3">
      <c r="D64" s="28" t="e">
        <f t="shared" si="25"/>
        <v>#DIV/0!</v>
      </c>
      <c r="E64" s="11">
        <f t="shared" si="26"/>
        <v>0</v>
      </c>
      <c r="F64" s="11">
        <f t="shared" si="27"/>
        <v>0</v>
      </c>
      <c r="G64" s="78" t="e">
        <f t="shared" si="28"/>
        <v>#DIV/0!</v>
      </c>
      <c r="H64" s="28">
        <f t="shared" si="29"/>
        <v>0</v>
      </c>
      <c r="I64" s="28" t="e">
        <f t="shared" si="30"/>
        <v>#DIV/0!</v>
      </c>
    </row>
    <row r="65" spans="4:9" x14ac:dyDescent="0.3">
      <c r="D65" s="28" t="e">
        <f t="shared" si="25"/>
        <v>#DIV/0!</v>
      </c>
      <c r="E65" s="11">
        <f t="shared" si="26"/>
        <v>0</v>
      </c>
      <c r="F65" s="11">
        <f t="shared" si="27"/>
        <v>0</v>
      </c>
      <c r="G65" s="78" t="e">
        <f t="shared" si="28"/>
        <v>#DIV/0!</v>
      </c>
      <c r="H65" s="28">
        <f t="shared" si="29"/>
        <v>0</v>
      </c>
      <c r="I65" s="28" t="e">
        <f t="shared" si="30"/>
        <v>#DIV/0!</v>
      </c>
    </row>
    <row r="66" spans="4:9" x14ac:dyDescent="0.3">
      <c r="D66" s="28" t="e">
        <f t="shared" si="25"/>
        <v>#DIV/0!</v>
      </c>
      <c r="E66" s="11">
        <f t="shared" si="26"/>
        <v>0</v>
      </c>
      <c r="F66" s="11">
        <f t="shared" si="27"/>
        <v>0</v>
      </c>
      <c r="G66" s="78" t="e">
        <f t="shared" si="28"/>
        <v>#DIV/0!</v>
      </c>
      <c r="H66" s="28">
        <f t="shared" si="29"/>
        <v>0</v>
      </c>
      <c r="I66" s="28" t="e">
        <f t="shared" si="30"/>
        <v>#DIV/0!</v>
      </c>
    </row>
    <row r="67" spans="4:9" x14ac:dyDescent="0.3">
      <c r="D67" s="28" t="e">
        <f t="shared" si="25"/>
        <v>#DIV/0!</v>
      </c>
      <c r="E67" s="11">
        <f t="shared" si="26"/>
        <v>0</v>
      </c>
      <c r="F67" s="11">
        <f t="shared" si="27"/>
        <v>0</v>
      </c>
      <c r="G67" s="78" t="e">
        <f t="shared" si="28"/>
        <v>#DIV/0!</v>
      </c>
      <c r="H67" s="28">
        <f t="shared" si="29"/>
        <v>0</v>
      </c>
      <c r="I67" s="28" t="e">
        <f t="shared" si="30"/>
        <v>#DIV/0!</v>
      </c>
    </row>
    <row r="68" spans="4:9" x14ac:dyDescent="0.3">
      <c r="D68" s="28" t="e">
        <f t="shared" si="25"/>
        <v>#DIV/0!</v>
      </c>
      <c r="E68" s="11">
        <f t="shared" si="26"/>
        <v>0</v>
      </c>
      <c r="F68" s="11">
        <f t="shared" si="27"/>
        <v>0</v>
      </c>
      <c r="G68" s="78" t="e">
        <f t="shared" si="28"/>
        <v>#DIV/0!</v>
      </c>
      <c r="H68" s="28">
        <f t="shared" si="29"/>
        <v>0</v>
      </c>
      <c r="I68" s="28" t="e">
        <f t="shared" si="30"/>
        <v>#DIV/0!</v>
      </c>
    </row>
    <row r="69" spans="4:9" x14ac:dyDescent="0.3">
      <c r="D69" s="28" t="e">
        <f t="shared" si="25"/>
        <v>#DIV/0!</v>
      </c>
      <c r="E69" s="11">
        <f t="shared" si="26"/>
        <v>0</v>
      </c>
      <c r="F69" s="11">
        <f t="shared" si="27"/>
        <v>0</v>
      </c>
      <c r="G69" s="78" t="e">
        <f t="shared" si="28"/>
        <v>#DIV/0!</v>
      </c>
      <c r="H69" s="28">
        <f t="shared" si="29"/>
        <v>0</v>
      </c>
      <c r="I69" s="28" t="e">
        <f t="shared" si="30"/>
        <v>#DIV/0!</v>
      </c>
    </row>
    <row r="70" spans="4:9" x14ac:dyDescent="0.3">
      <c r="D70" s="28" t="e">
        <f t="shared" si="25"/>
        <v>#DIV/0!</v>
      </c>
      <c r="E70" s="11">
        <f t="shared" si="26"/>
        <v>0</v>
      </c>
      <c r="F70" s="11">
        <f t="shared" si="27"/>
        <v>0</v>
      </c>
      <c r="G70" s="78" t="e">
        <f t="shared" si="28"/>
        <v>#DIV/0!</v>
      </c>
      <c r="H70" s="28">
        <f t="shared" si="29"/>
        <v>0</v>
      </c>
      <c r="I70" s="28" t="e">
        <f t="shared" si="30"/>
        <v>#DIV/0!</v>
      </c>
    </row>
    <row r="71" spans="4:9" x14ac:dyDescent="0.3">
      <c r="D71" s="28" t="e">
        <f t="shared" si="25"/>
        <v>#DIV/0!</v>
      </c>
      <c r="E71" s="11">
        <f t="shared" si="26"/>
        <v>0</v>
      </c>
      <c r="F71" s="11">
        <f t="shared" si="27"/>
        <v>0</v>
      </c>
      <c r="G71" s="78" t="e">
        <f t="shared" si="28"/>
        <v>#DIV/0!</v>
      </c>
      <c r="H71" s="28">
        <f t="shared" si="29"/>
        <v>0</v>
      </c>
      <c r="I71" s="28" t="e">
        <f t="shared" si="30"/>
        <v>#DIV/0!</v>
      </c>
    </row>
    <row r="72" spans="4:9" x14ac:dyDescent="0.3">
      <c r="D72" s="28" t="e">
        <f t="shared" si="25"/>
        <v>#DIV/0!</v>
      </c>
      <c r="E72" s="11">
        <f t="shared" si="26"/>
        <v>0</v>
      </c>
      <c r="F72" s="11">
        <f t="shared" si="27"/>
        <v>0</v>
      </c>
      <c r="G72" s="78" t="e">
        <f t="shared" si="28"/>
        <v>#DIV/0!</v>
      </c>
      <c r="H72" s="28">
        <f t="shared" si="29"/>
        <v>0</v>
      </c>
      <c r="I72" s="28" t="e">
        <f t="shared" si="30"/>
        <v>#DIV/0!</v>
      </c>
    </row>
    <row r="73" spans="4:9" x14ac:dyDescent="0.3">
      <c r="D73" s="28" t="e">
        <f t="shared" si="25"/>
        <v>#DIV/0!</v>
      </c>
      <c r="E73" s="11">
        <f t="shared" si="26"/>
        <v>0</v>
      </c>
      <c r="F73" s="11">
        <f t="shared" si="27"/>
        <v>0</v>
      </c>
      <c r="G73" s="78" t="e">
        <f t="shared" si="28"/>
        <v>#DIV/0!</v>
      </c>
      <c r="H73" s="28">
        <f t="shared" si="29"/>
        <v>0</v>
      </c>
      <c r="I73" s="28" t="e">
        <f t="shared" si="30"/>
        <v>#DIV/0!</v>
      </c>
    </row>
    <row r="74" spans="4:9" x14ac:dyDescent="0.3">
      <c r="D74" s="28" t="e">
        <f t="shared" ref="D74:D84" si="31">I74</f>
        <v>#DIV/0!</v>
      </c>
      <c r="E74" s="11">
        <f t="shared" ref="E74:E84" si="32">B74 * 1.0936</f>
        <v>0</v>
      </c>
      <c r="F74" s="11">
        <f t="shared" ref="F74:F84" si="33">C74</f>
        <v>0</v>
      </c>
      <c r="G74" s="78" t="e">
        <f t="shared" ref="G74:G84" si="34">100- (F74/E74 *100)</f>
        <v>#DIV/0!</v>
      </c>
      <c r="H74" s="28">
        <f t="shared" ref="H74:H84" si="35">F74/1.0936</f>
        <v>0</v>
      </c>
      <c r="I74" s="28" t="e">
        <f t="shared" ref="I74:I84" si="36">((B74*48)+(H74*10))/C74</f>
        <v>#DIV/0!</v>
      </c>
    </row>
    <row r="75" spans="4:9" x14ac:dyDescent="0.3">
      <c r="D75" s="28" t="e">
        <f t="shared" si="31"/>
        <v>#DIV/0!</v>
      </c>
      <c r="E75" s="11">
        <f t="shared" si="32"/>
        <v>0</v>
      </c>
      <c r="F75" s="11">
        <f t="shared" si="33"/>
        <v>0</v>
      </c>
      <c r="G75" s="78" t="e">
        <f t="shared" si="34"/>
        <v>#DIV/0!</v>
      </c>
      <c r="H75" s="28">
        <f t="shared" si="35"/>
        <v>0</v>
      </c>
      <c r="I75" s="28" t="e">
        <f t="shared" si="36"/>
        <v>#DIV/0!</v>
      </c>
    </row>
    <row r="76" spans="4:9" x14ac:dyDescent="0.3">
      <c r="D76" s="28" t="e">
        <f t="shared" si="31"/>
        <v>#DIV/0!</v>
      </c>
      <c r="E76" s="11">
        <f t="shared" si="32"/>
        <v>0</v>
      </c>
      <c r="F76" s="11">
        <f t="shared" si="33"/>
        <v>0</v>
      </c>
      <c r="G76" s="78" t="e">
        <f t="shared" si="34"/>
        <v>#DIV/0!</v>
      </c>
      <c r="H76" s="28">
        <f t="shared" si="35"/>
        <v>0</v>
      </c>
      <c r="I76" s="28" t="e">
        <f t="shared" si="36"/>
        <v>#DIV/0!</v>
      </c>
    </row>
    <row r="77" spans="4:9" x14ac:dyDescent="0.3">
      <c r="D77" s="28" t="e">
        <f t="shared" si="31"/>
        <v>#DIV/0!</v>
      </c>
      <c r="E77" s="11">
        <f t="shared" si="32"/>
        <v>0</v>
      </c>
      <c r="F77" s="11">
        <f t="shared" si="33"/>
        <v>0</v>
      </c>
      <c r="G77" s="78" t="e">
        <f t="shared" si="34"/>
        <v>#DIV/0!</v>
      </c>
      <c r="H77" s="28">
        <f t="shared" si="35"/>
        <v>0</v>
      </c>
      <c r="I77" s="28" t="e">
        <f t="shared" si="36"/>
        <v>#DIV/0!</v>
      </c>
    </row>
    <row r="78" spans="4:9" x14ac:dyDescent="0.3">
      <c r="D78" s="28" t="e">
        <f t="shared" si="31"/>
        <v>#DIV/0!</v>
      </c>
      <c r="E78" s="11">
        <f t="shared" si="32"/>
        <v>0</v>
      </c>
      <c r="F78" s="11">
        <f t="shared" si="33"/>
        <v>0</v>
      </c>
      <c r="G78" s="78" t="e">
        <f t="shared" si="34"/>
        <v>#DIV/0!</v>
      </c>
      <c r="H78" s="28">
        <f t="shared" si="35"/>
        <v>0</v>
      </c>
      <c r="I78" s="28" t="e">
        <f t="shared" si="36"/>
        <v>#DIV/0!</v>
      </c>
    </row>
    <row r="79" spans="4:9" x14ac:dyDescent="0.3">
      <c r="D79" s="28" t="e">
        <f t="shared" si="31"/>
        <v>#DIV/0!</v>
      </c>
      <c r="E79" s="11">
        <f t="shared" si="32"/>
        <v>0</v>
      </c>
      <c r="F79" s="11">
        <f t="shared" si="33"/>
        <v>0</v>
      </c>
      <c r="G79" s="78" t="e">
        <f t="shared" si="34"/>
        <v>#DIV/0!</v>
      </c>
      <c r="H79" s="28">
        <f t="shared" si="35"/>
        <v>0</v>
      </c>
      <c r="I79" s="28" t="e">
        <f t="shared" si="36"/>
        <v>#DIV/0!</v>
      </c>
    </row>
    <row r="80" spans="4:9" x14ac:dyDescent="0.3">
      <c r="D80" s="28" t="e">
        <f t="shared" si="31"/>
        <v>#DIV/0!</v>
      </c>
      <c r="E80" s="11">
        <f t="shared" si="32"/>
        <v>0</v>
      </c>
      <c r="F80" s="11">
        <f t="shared" si="33"/>
        <v>0</v>
      </c>
      <c r="G80" s="78" t="e">
        <f t="shared" si="34"/>
        <v>#DIV/0!</v>
      </c>
      <c r="H80" s="28">
        <f t="shared" si="35"/>
        <v>0</v>
      </c>
      <c r="I80" s="28" t="e">
        <f t="shared" si="36"/>
        <v>#DIV/0!</v>
      </c>
    </row>
    <row r="81" spans="4:9" x14ac:dyDescent="0.3">
      <c r="D81" s="28" t="e">
        <f t="shared" si="31"/>
        <v>#DIV/0!</v>
      </c>
      <c r="E81" s="11">
        <f t="shared" si="32"/>
        <v>0</v>
      </c>
      <c r="F81" s="11">
        <f t="shared" si="33"/>
        <v>0</v>
      </c>
      <c r="G81" s="78" t="e">
        <f t="shared" si="34"/>
        <v>#DIV/0!</v>
      </c>
      <c r="H81" s="28">
        <f t="shared" si="35"/>
        <v>0</v>
      </c>
      <c r="I81" s="28" t="e">
        <f t="shared" si="36"/>
        <v>#DIV/0!</v>
      </c>
    </row>
    <row r="82" spans="4:9" x14ac:dyDescent="0.3">
      <c r="D82" s="28" t="e">
        <f t="shared" si="31"/>
        <v>#DIV/0!</v>
      </c>
      <c r="E82" s="11">
        <f t="shared" si="32"/>
        <v>0</v>
      </c>
      <c r="F82" s="11">
        <f t="shared" si="33"/>
        <v>0</v>
      </c>
      <c r="G82" s="78" t="e">
        <f t="shared" si="34"/>
        <v>#DIV/0!</v>
      </c>
      <c r="H82" s="28">
        <f t="shared" si="35"/>
        <v>0</v>
      </c>
      <c r="I82" s="28" t="e">
        <f t="shared" si="36"/>
        <v>#DIV/0!</v>
      </c>
    </row>
    <row r="83" spans="4:9" x14ac:dyDescent="0.3">
      <c r="D83" s="28" t="e">
        <f t="shared" si="31"/>
        <v>#DIV/0!</v>
      </c>
      <c r="E83" s="11">
        <f t="shared" si="32"/>
        <v>0</v>
      </c>
      <c r="F83" s="11">
        <f t="shared" si="33"/>
        <v>0</v>
      </c>
      <c r="G83" s="78" t="e">
        <f t="shared" si="34"/>
        <v>#DIV/0!</v>
      </c>
      <c r="H83" s="28">
        <f t="shared" si="35"/>
        <v>0</v>
      </c>
      <c r="I83" s="28" t="e">
        <f t="shared" si="36"/>
        <v>#DIV/0!</v>
      </c>
    </row>
    <row r="84" spans="4:9" x14ac:dyDescent="0.3">
      <c r="D84" s="28" t="e">
        <f t="shared" si="31"/>
        <v>#DIV/0!</v>
      </c>
      <c r="E84" s="11">
        <f t="shared" si="32"/>
        <v>0</v>
      </c>
      <c r="F84" s="11">
        <f t="shared" si="33"/>
        <v>0</v>
      </c>
      <c r="G84" s="78" t="e">
        <f t="shared" si="34"/>
        <v>#DIV/0!</v>
      </c>
      <c r="H84" s="28">
        <f t="shared" si="35"/>
        <v>0</v>
      </c>
      <c r="I84" s="28" t="e">
        <f t="shared" si="36"/>
        <v>#DIV/0!</v>
      </c>
    </row>
    <row r="85" spans="4:9" x14ac:dyDescent="0.3">
      <c r="D85" s="28" t="e">
        <f t="shared" ref="D85:D119" si="37">I85</f>
        <v>#DIV/0!</v>
      </c>
      <c r="E85" s="11">
        <f t="shared" ref="E85:E119" si="38">B85 * 1.0936</f>
        <v>0</v>
      </c>
      <c r="F85" s="11">
        <f t="shared" ref="F85:F119" si="39">C85</f>
        <v>0</v>
      </c>
      <c r="G85" s="78" t="e">
        <f t="shared" ref="G85:G119" si="40">100- (F85/E85 *100)</f>
        <v>#DIV/0!</v>
      </c>
      <c r="H85" s="28">
        <f t="shared" ref="H85:H119" si="41">F85/1.0936</f>
        <v>0</v>
      </c>
      <c r="I85" s="28" t="e">
        <f t="shared" ref="I85:I119" si="42">((B85*48)+(H85*10))/C85</f>
        <v>#DIV/0!</v>
      </c>
    </row>
    <row r="86" spans="4:9" x14ac:dyDescent="0.3">
      <c r="D86" s="28" t="e">
        <f t="shared" si="37"/>
        <v>#DIV/0!</v>
      </c>
      <c r="E86" s="11">
        <f t="shared" si="38"/>
        <v>0</v>
      </c>
      <c r="F86" s="11">
        <f t="shared" si="39"/>
        <v>0</v>
      </c>
      <c r="G86" s="78" t="e">
        <f t="shared" si="40"/>
        <v>#DIV/0!</v>
      </c>
      <c r="H86" s="28">
        <f t="shared" si="41"/>
        <v>0</v>
      </c>
      <c r="I86" s="28" t="e">
        <f t="shared" si="42"/>
        <v>#DIV/0!</v>
      </c>
    </row>
    <row r="87" spans="4:9" x14ac:dyDescent="0.3">
      <c r="D87" s="28" t="e">
        <f t="shared" si="37"/>
        <v>#DIV/0!</v>
      </c>
      <c r="E87" s="11">
        <f t="shared" si="38"/>
        <v>0</v>
      </c>
      <c r="F87" s="11">
        <f t="shared" si="39"/>
        <v>0</v>
      </c>
      <c r="G87" s="78" t="e">
        <f t="shared" si="40"/>
        <v>#DIV/0!</v>
      </c>
      <c r="H87" s="28">
        <f t="shared" si="41"/>
        <v>0</v>
      </c>
      <c r="I87" s="28" t="e">
        <f t="shared" si="42"/>
        <v>#DIV/0!</v>
      </c>
    </row>
    <row r="88" spans="4:9" x14ac:dyDescent="0.3">
      <c r="D88" s="28" t="e">
        <f t="shared" si="37"/>
        <v>#DIV/0!</v>
      </c>
      <c r="E88" s="11">
        <f t="shared" si="38"/>
        <v>0</v>
      </c>
      <c r="F88" s="11">
        <f t="shared" si="39"/>
        <v>0</v>
      </c>
      <c r="G88" s="78" t="e">
        <f t="shared" si="40"/>
        <v>#DIV/0!</v>
      </c>
      <c r="H88" s="28">
        <f t="shared" si="41"/>
        <v>0</v>
      </c>
      <c r="I88" s="28" t="e">
        <f t="shared" si="42"/>
        <v>#DIV/0!</v>
      </c>
    </row>
    <row r="89" spans="4:9" x14ac:dyDescent="0.3">
      <c r="D89" s="28" t="e">
        <f t="shared" si="37"/>
        <v>#DIV/0!</v>
      </c>
      <c r="E89" s="11">
        <f t="shared" si="38"/>
        <v>0</v>
      </c>
      <c r="F89" s="11">
        <f t="shared" si="39"/>
        <v>0</v>
      </c>
      <c r="G89" s="78" t="e">
        <f t="shared" si="40"/>
        <v>#DIV/0!</v>
      </c>
      <c r="H89" s="28">
        <f t="shared" si="41"/>
        <v>0</v>
      </c>
      <c r="I89" s="28" t="e">
        <f t="shared" si="42"/>
        <v>#DIV/0!</v>
      </c>
    </row>
    <row r="90" spans="4:9" x14ac:dyDescent="0.3">
      <c r="D90" s="28" t="e">
        <f t="shared" si="37"/>
        <v>#DIV/0!</v>
      </c>
      <c r="E90" s="11">
        <f t="shared" si="38"/>
        <v>0</v>
      </c>
      <c r="F90" s="11">
        <f t="shared" si="39"/>
        <v>0</v>
      </c>
      <c r="G90" s="78" t="e">
        <f t="shared" si="40"/>
        <v>#DIV/0!</v>
      </c>
      <c r="H90" s="28">
        <f t="shared" si="41"/>
        <v>0</v>
      </c>
      <c r="I90" s="28" t="e">
        <f t="shared" si="42"/>
        <v>#DIV/0!</v>
      </c>
    </row>
    <row r="91" spans="4:9" x14ac:dyDescent="0.3">
      <c r="D91" s="28" t="e">
        <f t="shared" si="37"/>
        <v>#DIV/0!</v>
      </c>
      <c r="E91" s="11">
        <f t="shared" si="38"/>
        <v>0</v>
      </c>
      <c r="F91" s="11">
        <f t="shared" si="39"/>
        <v>0</v>
      </c>
      <c r="G91" s="78" t="e">
        <f t="shared" si="40"/>
        <v>#DIV/0!</v>
      </c>
      <c r="H91" s="28">
        <f t="shared" si="41"/>
        <v>0</v>
      </c>
      <c r="I91" s="28" t="e">
        <f t="shared" si="42"/>
        <v>#DIV/0!</v>
      </c>
    </row>
    <row r="92" spans="4:9" x14ac:dyDescent="0.3">
      <c r="D92" s="28" t="e">
        <f t="shared" si="37"/>
        <v>#DIV/0!</v>
      </c>
      <c r="E92" s="11">
        <f t="shared" si="38"/>
        <v>0</v>
      </c>
      <c r="F92" s="11">
        <f t="shared" si="39"/>
        <v>0</v>
      </c>
      <c r="G92" s="78" t="e">
        <f t="shared" si="40"/>
        <v>#DIV/0!</v>
      </c>
      <c r="H92" s="28">
        <f t="shared" si="41"/>
        <v>0</v>
      </c>
      <c r="I92" s="28" t="e">
        <f t="shared" si="42"/>
        <v>#DIV/0!</v>
      </c>
    </row>
    <row r="93" spans="4:9" x14ac:dyDescent="0.3">
      <c r="D93" s="28" t="e">
        <f t="shared" si="37"/>
        <v>#DIV/0!</v>
      </c>
      <c r="E93" s="11">
        <f t="shared" si="38"/>
        <v>0</v>
      </c>
      <c r="F93" s="11">
        <f t="shared" si="39"/>
        <v>0</v>
      </c>
      <c r="G93" s="78" t="e">
        <f t="shared" si="40"/>
        <v>#DIV/0!</v>
      </c>
      <c r="H93" s="28">
        <f t="shared" si="41"/>
        <v>0</v>
      </c>
      <c r="I93" s="28" t="e">
        <f t="shared" si="42"/>
        <v>#DIV/0!</v>
      </c>
    </row>
    <row r="94" spans="4:9" x14ac:dyDescent="0.3">
      <c r="D94" s="28" t="e">
        <f t="shared" si="37"/>
        <v>#DIV/0!</v>
      </c>
      <c r="E94" s="11">
        <f t="shared" si="38"/>
        <v>0</v>
      </c>
      <c r="F94" s="11">
        <f t="shared" si="39"/>
        <v>0</v>
      </c>
      <c r="G94" s="78" t="e">
        <f t="shared" si="40"/>
        <v>#DIV/0!</v>
      </c>
      <c r="H94" s="28">
        <f t="shared" si="41"/>
        <v>0</v>
      </c>
      <c r="I94" s="28" t="e">
        <f t="shared" si="42"/>
        <v>#DIV/0!</v>
      </c>
    </row>
    <row r="95" spans="4:9" x14ac:dyDescent="0.3">
      <c r="D95" s="28" t="e">
        <f t="shared" si="37"/>
        <v>#DIV/0!</v>
      </c>
      <c r="E95" s="11">
        <f t="shared" si="38"/>
        <v>0</v>
      </c>
      <c r="F95" s="11">
        <f t="shared" si="39"/>
        <v>0</v>
      </c>
      <c r="G95" s="78" t="e">
        <f t="shared" si="40"/>
        <v>#DIV/0!</v>
      </c>
      <c r="H95" s="28">
        <f t="shared" si="41"/>
        <v>0</v>
      </c>
      <c r="I95" s="28" t="e">
        <f t="shared" si="42"/>
        <v>#DIV/0!</v>
      </c>
    </row>
    <row r="96" spans="4:9" x14ac:dyDescent="0.3">
      <c r="D96" s="28" t="e">
        <f t="shared" si="37"/>
        <v>#DIV/0!</v>
      </c>
      <c r="E96" s="11">
        <f t="shared" si="38"/>
        <v>0</v>
      </c>
      <c r="F96" s="11">
        <f t="shared" si="39"/>
        <v>0</v>
      </c>
      <c r="G96" s="78" t="e">
        <f t="shared" si="40"/>
        <v>#DIV/0!</v>
      </c>
      <c r="H96" s="28">
        <f t="shared" si="41"/>
        <v>0</v>
      </c>
      <c r="I96" s="28" t="e">
        <f t="shared" si="42"/>
        <v>#DIV/0!</v>
      </c>
    </row>
    <row r="97" spans="4:9" x14ac:dyDescent="0.3">
      <c r="D97" s="28" t="e">
        <f t="shared" si="37"/>
        <v>#DIV/0!</v>
      </c>
      <c r="E97" s="11">
        <f t="shared" si="38"/>
        <v>0</v>
      </c>
      <c r="F97" s="11">
        <f t="shared" si="39"/>
        <v>0</v>
      </c>
      <c r="G97" s="78" t="e">
        <f t="shared" si="40"/>
        <v>#DIV/0!</v>
      </c>
      <c r="H97" s="28">
        <f t="shared" si="41"/>
        <v>0</v>
      </c>
      <c r="I97" s="28" t="e">
        <f t="shared" si="42"/>
        <v>#DIV/0!</v>
      </c>
    </row>
    <row r="98" spans="4:9" x14ac:dyDescent="0.3">
      <c r="D98" s="28" t="e">
        <f t="shared" si="37"/>
        <v>#DIV/0!</v>
      </c>
      <c r="E98" s="11">
        <f t="shared" si="38"/>
        <v>0</v>
      </c>
      <c r="F98" s="11">
        <f t="shared" si="39"/>
        <v>0</v>
      </c>
      <c r="G98" s="78" t="e">
        <f t="shared" si="40"/>
        <v>#DIV/0!</v>
      </c>
      <c r="H98" s="28">
        <f t="shared" si="41"/>
        <v>0</v>
      </c>
      <c r="I98" s="28" t="e">
        <f t="shared" si="42"/>
        <v>#DIV/0!</v>
      </c>
    </row>
    <row r="99" spans="4:9" x14ac:dyDescent="0.3">
      <c r="D99" s="28" t="e">
        <f t="shared" si="37"/>
        <v>#DIV/0!</v>
      </c>
      <c r="E99" s="11">
        <f t="shared" si="38"/>
        <v>0</v>
      </c>
      <c r="F99" s="11">
        <f t="shared" si="39"/>
        <v>0</v>
      </c>
      <c r="G99" s="78" t="e">
        <f t="shared" si="40"/>
        <v>#DIV/0!</v>
      </c>
      <c r="H99" s="28">
        <f t="shared" si="41"/>
        <v>0</v>
      </c>
      <c r="I99" s="28" t="e">
        <f t="shared" si="42"/>
        <v>#DIV/0!</v>
      </c>
    </row>
    <row r="100" spans="4:9" x14ac:dyDescent="0.3">
      <c r="D100" s="28" t="e">
        <f t="shared" si="37"/>
        <v>#DIV/0!</v>
      </c>
      <c r="E100" s="11">
        <f t="shared" si="38"/>
        <v>0</v>
      </c>
      <c r="F100" s="11">
        <f t="shared" si="39"/>
        <v>0</v>
      </c>
      <c r="G100" s="78" t="e">
        <f t="shared" si="40"/>
        <v>#DIV/0!</v>
      </c>
      <c r="H100" s="28">
        <f t="shared" si="41"/>
        <v>0</v>
      </c>
      <c r="I100" s="28" t="e">
        <f t="shared" si="42"/>
        <v>#DIV/0!</v>
      </c>
    </row>
    <row r="101" spans="4:9" x14ac:dyDescent="0.3">
      <c r="D101" s="28" t="e">
        <f t="shared" si="37"/>
        <v>#DIV/0!</v>
      </c>
      <c r="E101" s="11">
        <f t="shared" si="38"/>
        <v>0</v>
      </c>
      <c r="F101" s="11">
        <f t="shared" si="39"/>
        <v>0</v>
      </c>
      <c r="G101" s="78" t="e">
        <f t="shared" si="40"/>
        <v>#DIV/0!</v>
      </c>
      <c r="H101" s="28">
        <f t="shared" si="41"/>
        <v>0</v>
      </c>
      <c r="I101" s="28" t="e">
        <f t="shared" si="42"/>
        <v>#DIV/0!</v>
      </c>
    </row>
    <row r="102" spans="4:9" x14ac:dyDescent="0.3">
      <c r="D102" s="28" t="e">
        <f t="shared" si="37"/>
        <v>#DIV/0!</v>
      </c>
      <c r="E102" s="11">
        <f t="shared" si="38"/>
        <v>0</v>
      </c>
      <c r="F102" s="11">
        <f t="shared" si="39"/>
        <v>0</v>
      </c>
      <c r="G102" s="78" t="e">
        <f t="shared" si="40"/>
        <v>#DIV/0!</v>
      </c>
      <c r="H102" s="28">
        <f t="shared" si="41"/>
        <v>0</v>
      </c>
      <c r="I102" s="28" t="e">
        <f t="shared" si="42"/>
        <v>#DIV/0!</v>
      </c>
    </row>
    <row r="103" spans="4:9" x14ac:dyDescent="0.3">
      <c r="D103" s="28" t="e">
        <f t="shared" si="37"/>
        <v>#DIV/0!</v>
      </c>
      <c r="E103" s="11">
        <f t="shared" si="38"/>
        <v>0</v>
      </c>
      <c r="F103" s="11">
        <f t="shared" si="39"/>
        <v>0</v>
      </c>
      <c r="G103" s="78" t="e">
        <f t="shared" si="40"/>
        <v>#DIV/0!</v>
      </c>
      <c r="H103" s="28">
        <f t="shared" si="41"/>
        <v>0</v>
      </c>
      <c r="I103" s="28" t="e">
        <f t="shared" si="42"/>
        <v>#DIV/0!</v>
      </c>
    </row>
    <row r="104" spans="4:9" x14ac:dyDescent="0.3">
      <c r="D104" s="28" t="e">
        <f t="shared" si="37"/>
        <v>#DIV/0!</v>
      </c>
      <c r="E104" s="11">
        <f t="shared" si="38"/>
        <v>0</v>
      </c>
      <c r="F104" s="11">
        <f t="shared" si="39"/>
        <v>0</v>
      </c>
      <c r="G104" s="78" t="e">
        <f t="shared" si="40"/>
        <v>#DIV/0!</v>
      </c>
      <c r="H104" s="28">
        <f t="shared" si="41"/>
        <v>0</v>
      </c>
      <c r="I104" s="28" t="e">
        <f t="shared" si="42"/>
        <v>#DIV/0!</v>
      </c>
    </row>
    <row r="105" spans="4:9" x14ac:dyDescent="0.3">
      <c r="D105" s="28" t="e">
        <f t="shared" si="37"/>
        <v>#DIV/0!</v>
      </c>
      <c r="E105" s="11">
        <f t="shared" si="38"/>
        <v>0</v>
      </c>
      <c r="F105" s="11">
        <f t="shared" si="39"/>
        <v>0</v>
      </c>
      <c r="G105" s="78" t="e">
        <f t="shared" si="40"/>
        <v>#DIV/0!</v>
      </c>
      <c r="H105" s="28">
        <f t="shared" si="41"/>
        <v>0</v>
      </c>
      <c r="I105" s="28" t="e">
        <f t="shared" si="42"/>
        <v>#DIV/0!</v>
      </c>
    </row>
    <row r="106" spans="4:9" x14ac:dyDescent="0.3">
      <c r="D106" s="28" t="e">
        <f t="shared" si="37"/>
        <v>#DIV/0!</v>
      </c>
      <c r="E106" s="11">
        <f t="shared" si="38"/>
        <v>0</v>
      </c>
      <c r="F106" s="11">
        <f t="shared" si="39"/>
        <v>0</v>
      </c>
      <c r="G106" s="78" t="e">
        <f t="shared" si="40"/>
        <v>#DIV/0!</v>
      </c>
      <c r="H106" s="28">
        <f t="shared" si="41"/>
        <v>0</v>
      </c>
      <c r="I106" s="28" t="e">
        <f t="shared" si="42"/>
        <v>#DIV/0!</v>
      </c>
    </row>
    <row r="107" spans="4:9" x14ac:dyDescent="0.3">
      <c r="D107" s="28" t="e">
        <f t="shared" si="37"/>
        <v>#DIV/0!</v>
      </c>
      <c r="E107" s="11">
        <f t="shared" si="38"/>
        <v>0</v>
      </c>
      <c r="F107" s="11">
        <f t="shared" si="39"/>
        <v>0</v>
      </c>
      <c r="G107" s="78" t="e">
        <f t="shared" si="40"/>
        <v>#DIV/0!</v>
      </c>
      <c r="H107" s="28">
        <f t="shared" si="41"/>
        <v>0</v>
      </c>
      <c r="I107" s="28" t="e">
        <f t="shared" si="42"/>
        <v>#DIV/0!</v>
      </c>
    </row>
    <row r="108" spans="4:9" x14ac:dyDescent="0.3">
      <c r="D108" s="28" t="e">
        <f t="shared" si="37"/>
        <v>#DIV/0!</v>
      </c>
      <c r="E108" s="11">
        <f t="shared" si="38"/>
        <v>0</v>
      </c>
      <c r="F108" s="11">
        <f t="shared" si="39"/>
        <v>0</v>
      </c>
      <c r="G108" s="78" t="e">
        <f t="shared" si="40"/>
        <v>#DIV/0!</v>
      </c>
      <c r="H108" s="28">
        <f t="shared" si="41"/>
        <v>0</v>
      </c>
      <c r="I108" s="28" t="e">
        <f t="shared" si="42"/>
        <v>#DIV/0!</v>
      </c>
    </row>
    <row r="109" spans="4:9" x14ac:dyDescent="0.3">
      <c r="D109" s="28" t="e">
        <f t="shared" si="37"/>
        <v>#DIV/0!</v>
      </c>
      <c r="E109" s="11">
        <f t="shared" si="38"/>
        <v>0</v>
      </c>
      <c r="F109" s="11">
        <f t="shared" si="39"/>
        <v>0</v>
      </c>
      <c r="G109" s="78" t="e">
        <f t="shared" si="40"/>
        <v>#DIV/0!</v>
      </c>
      <c r="H109" s="28">
        <f t="shared" si="41"/>
        <v>0</v>
      </c>
      <c r="I109" s="28" t="e">
        <f t="shared" si="42"/>
        <v>#DIV/0!</v>
      </c>
    </row>
    <row r="110" spans="4:9" x14ac:dyDescent="0.3">
      <c r="D110" s="28" t="e">
        <f t="shared" si="37"/>
        <v>#DIV/0!</v>
      </c>
      <c r="E110" s="11">
        <f t="shared" si="38"/>
        <v>0</v>
      </c>
      <c r="F110" s="11">
        <f t="shared" si="39"/>
        <v>0</v>
      </c>
      <c r="G110" s="78" t="e">
        <f t="shared" si="40"/>
        <v>#DIV/0!</v>
      </c>
      <c r="H110" s="28">
        <f t="shared" si="41"/>
        <v>0</v>
      </c>
      <c r="I110" s="28" t="e">
        <f t="shared" si="42"/>
        <v>#DIV/0!</v>
      </c>
    </row>
    <row r="111" spans="4:9" x14ac:dyDescent="0.3">
      <c r="D111" s="28" t="e">
        <f t="shared" si="37"/>
        <v>#DIV/0!</v>
      </c>
      <c r="E111" s="11">
        <f t="shared" si="38"/>
        <v>0</v>
      </c>
      <c r="F111" s="11">
        <f t="shared" si="39"/>
        <v>0</v>
      </c>
      <c r="G111" s="78" t="e">
        <f t="shared" si="40"/>
        <v>#DIV/0!</v>
      </c>
      <c r="H111" s="28">
        <f t="shared" si="41"/>
        <v>0</v>
      </c>
      <c r="I111" s="28" t="e">
        <f t="shared" si="42"/>
        <v>#DIV/0!</v>
      </c>
    </row>
    <row r="112" spans="4:9" x14ac:dyDescent="0.3">
      <c r="D112" s="28" t="e">
        <f t="shared" si="37"/>
        <v>#DIV/0!</v>
      </c>
      <c r="E112" s="11">
        <f t="shared" si="38"/>
        <v>0</v>
      </c>
      <c r="F112" s="11">
        <f t="shared" si="39"/>
        <v>0</v>
      </c>
      <c r="G112" s="78" t="e">
        <f t="shared" si="40"/>
        <v>#DIV/0!</v>
      </c>
      <c r="H112" s="28">
        <f t="shared" si="41"/>
        <v>0</v>
      </c>
      <c r="I112" s="28" t="e">
        <f t="shared" si="42"/>
        <v>#DIV/0!</v>
      </c>
    </row>
    <row r="113" spans="4:9" x14ac:dyDescent="0.3">
      <c r="D113" s="28" t="e">
        <f t="shared" si="37"/>
        <v>#DIV/0!</v>
      </c>
      <c r="E113" s="11">
        <f t="shared" si="38"/>
        <v>0</v>
      </c>
      <c r="F113" s="11">
        <f t="shared" si="39"/>
        <v>0</v>
      </c>
      <c r="G113" s="78" t="e">
        <f t="shared" si="40"/>
        <v>#DIV/0!</v>
      </c>
      <c r="H113" s="28">
        <f t="shared" si="41"/>
        <v>0</v>
      </c>
      <c r="I113" s="28" t="e">
        <f t="shared" si="42"/>
        <v>#DIV/0!</v>
      </c>
    </row>
    <row r="114" spans="4:9" x14ac:dyDescent="0.3">
      <c r="D114" s="28" t="e">
        <f t="shared" si="37"/>
        <v>#DIV/0!</v>
      </c>
      <c r="E114" s="11">
        <f t="shared" si="38"/>
        <v>0</v>
      </c>
      <c r="F114" s="11">
        <f t="shared" si="39"/>
        <v>0</v>
      </c>
      <c r="G114" s="78" t="e">
        <f t="shared" si="40"/>
        <v>#DIV/0!</v>
      </c>
      <c r="H114" s="28">
        <f t="shared" si="41"/>
        <v>0</v>
      </c>
      <c r="I114" s="28" t="e">
        <f t="shared" si="42"/>
        <v>#DIV/0!</v>
      </c>
    </row>
    <row r="115" spans="4:9" x14ac:dyDescent="0.3">
      <c r="D115" s="28" t="e">
        <f t="shared" si="37"/>
        <v>#DIV/0!</v>
      </c>
      <c r="E115" s="11">
        <f t="shared" si="38"/>
        <v>0</v>
      </c>
      <c r="F115" s="11">
        <f t="shared" si="39"/>
        <v>0</v>
      </c>
      <c r="G115" s="78" t="e">
        <f t="shared" si="40"/>
        <v>#DIV/0!</v>
      </c>
      <c r="H115" s="28">
        <f t="shared" si="41"/>
        <v>0</v>
      </c>
      <c r="I115" s="28" t="e">
        <f t="shared" si="42"/>
        <v>#DIV/0!</v>
      </c>
    </row>
    <row r="116" spans="4:9" x14ac:dyDescent="0.3">
      <c r="D116" s="28" t="e">
        <f t="shared" si="37"/>
        <v>#DIV/0!</v>
      </c>
      <c r="E116" s="11">
        <f t="shared" si="38"/>
        <v>0</v>
      </c>
      <c r="F116" s="11">
        <f t="shared" si="39"/>
        <v>0</v>
      </c>
      <c r="G116" s="78" t="e">
        <f t="shared" si="40"/>
        <v>#DIV/0!</v>
      </c>
      <c r="H116" s="28">
        <f t="shared" si="41"/>
        <v>0</v>
      </c>
      <c r="I116" s="28" t="e">
        <f t="shared" si="42"/>
        <v>#DIV/0!</v>
      </c>
    </row>
    <row r="117" spans="4:9" x14ac:dyDescent="0.3">
      <c r="D117" s="28" t="e">
        <f t="shared" si="37"/>
        <v>#DIV/0!</v>
      </c>
      <c r="E117" s="11">
        <f t="shared" si="38"/>
        <v>0</v>
      </c>
      <c r="F117" s="11">
        <f t="shared" si="39"/>
        <v>0</v>
      </c>
      <c r="G117" s="78" t="e">
        <f t="shared" si="40"/>
        <v>#DIV/0!</v>
      </c>
      <c r="H117" s="28">
        <f t="shared" si="41"/>
        <v>0</v>
      </c>
      <c r="I117" s="28" t="e">
        <f t="shared" si="42"/>
        <v>#DIV/0!</v>
      </c>
    </row>
    <row r="118" spans="4:9" x14ac:dyDescent="0.3">
      <c r="D118" s="28" t="e">
        <f t="shared" si="37"/>
        <v>#DIV/0!</v>
      </c>
      <c r="E118" s="11">
        <f t="shared" si="38"/>
        <v>0</v>
      </c>
      <c r="F118" s="11">
        <f t="shared" si="39"/>
        <v>0</v>
      </c>
      <c r="G118" s="78" t="e">
        <f t="shared" si="40"/>
        <v>#DIV/0!</v>
      </c>
      <c r="H118" s="28">
        <f t="shared" si="41"/>
        <v>0</v>
      </c>
      <c r="I118" s="28" t="e">
        <f t="shared" si="42"/>
        <v>#DIV/0!</v>
      </c>
    </row>
    <row r="119" spans="4:9" x14ac:dyDescent="0.3">
      <c r="D119" s="28" t="e">
        <f t="shared" si="37"/>
        <v>#DIV/0!</v>
      </c>
      <c r="E119" s="11">
        <f t="shared" si="38"/>
        <v>0</v>
      </c>
      <c r="F119" s="11">
        <f t="shared" si="39"/>
        <v>0</v>
      </c>
      <c r="G119" s="78" t="e">
        <f t="shared" si="40"/>
        <v>#DIV/0!</v>
      </c>
      <c r="H119" s="28">
        <f t="shared" si="41"/>
        <v>0</v>
      </c>
      <c r="I119" s="28" t="e">
        <f t="shared" si="42"/>
        <v>#DIV/0!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D408-891B-4465-8F80-7726ACC6CDF3}">
  <dimension ref="B2:J38"/>
  <sheetViews>
    <sheetView workbookViewId="0">
      <selection activeCell="D3" sqref="D3"/>
    </sheetView>
  </sheetViews>
  <sheetFormatPr defaultRowHeight="14.4" x14ac:dyDescent="0.3"/>
  <cols>
    <col min="2" max="2" width="10.33203125" bestFit="1" customWidth="1"/>
    <col min="4" max="4" width="9.33203125" customWidth="1"/>
    <col min="8" max="8" width="10.33203125" bestFit="1" customWidth="1"/>
    <col min="10" max="10" width="9.33203125" customWidth="1"/>
  </cols>
  <sheetData>
    <row r="2" spans="2:10" x14ac:dyDescent="0.3">
      <c r="B2" t="s">
        <v>75</v>
      </c>
      <c r="C2" t="s">
        <v>45</v>
      </c>
      <c r="D2" t="s">
        <v>46</v>
      </c>
      <c r="E2" t="s">
        <v>66</v>
      </c>
      <c r="H2" t="s">
        <v>75</v>
      </c>
      <c r="I2" t="s">
        <v>45</v>
      </c>
      <c r="J2" t="s">
        <v>46</v>
      </c>
    </row>
    <row r="3" spans="2:10" x14ac:dyDescent="0.3">
      <c r="B3" s="1">
        <v>46008</v>
      </c>
      <c r="C3" t="s">
        <v>113</v>
      </c>
      <c r="D3">
        <f>SUMIFS(Table14[Debit], Table14[Date], Table5[[#This Row],[Date]], Table14[Party], "Rashan")</f>
        <v>0</v>
      </c>
      <c r="H3" s="1">
        <v>46008</v>
      </c>
      <c r="J3">
        <f>SUMIFS(Table14[Debit], Table14[Date], Table15[[#This Row],[Date]], Table14[Party], "Parts")</f>
        <v>0</v>
      </c>
    </row>
    <row r="4" spans="2:10" x14ac:dyDescent="0.3">
      <c r="B4" s="1">
        <v>46009</v>
      </c>
      <c r="C4" t="s">
        <v>113</v>
      </c>
      <c r="D4">
        <f>SUMIFS(Table14[Debit], Table14[Date], Table5[[#This Row],[Date]], Table14[Party], "Rashan")</f>
        <v>0</v>
      </c>
      <c r="H4" s="1">
        <v>46009</v>
      </c>
      <c r="I4" t="s">
        <v>55</v>
      </c>
      <c r="J4">
        <f>SUMIFS(Table14[Debit], Table14[Date], Table15[[#This Row],[Date]], Table14[Party], "Parts")</f>
        <v>0</v>
      </c>
    </row>
    <row r="5" spans="2:10" x14ac:dyDescent="0.3">
      <c r="B5" s="1">
        <v>46010</v>
      </c>
      <c r="C5" t="s">
        <v>113</v>
      </c>
      <c r="D5">
        <f>SUMIFS(Table14[Debit], Table14[Date], Table5[[#This Row],[Date]], Table14[Party], "Rashan")</f>
        <v>0</v>
      </c>
      <c r="H5" s="1">
        <v>46010</v>
      </c>
      <c r="I5" t="s">
        <v>55</v>
      </c>
      <c r="J5">
        <f>SUMIFS(Table14[Debit], Table14[Date], Table15[[#This Row],[Date]], Table14[Party], "Parts")</f>
        <v>12075</v>
      </c>
    </row>
    <row r="6" spans="2:10" x14ac:dyDescent="0.3">
      <c r="B6" s="1">
        <v>46011</v>
      </c>
      <c r="C6" t="s">
        <v>113</v>
      </c>
      <c r="D6">
        <f>SUMIFS(Table14[Debit], Table14[Date], Table5[[#This Row],[Date]], Table14[Party], "Rashan")</f>
        <v>0</v>
      </c>
      <c r="H6" s="1">
        <v>46011</v>
      </c>
      <c r="I6" t="s">
        <v>55</v>
      </c>
      <c r="J6">
        <f>SUMIFS(Table14[Debit], Table14[Date], Table15[[#This Row],[Date]], Table14[Party], "Parts")</f>
        <v>1100</v>
      </c>
    </row>
    <row r="7" spans="2:10" x14ac:dyDescent="0.3">
      <c r="B7" s="1">
        <v>46012</v>
      </c>
      <c r="C7" t="s">
        <v>113</v>
      </c>
      <c r="D7">
        <f>SUMIFS(Table14[Debit], Table14[Date], Table5[[#This Row],[Date]], Table14[Party], "Rashan")</f>
        <v>0</v>
      </c>
      <c r="H7" s="1">
        <v>46012</v>
      </c>
      <c r="I7" t="s">
        <v>55</v>
      </c>
      <c r="J7">
        <f>SUMIFS(Table14[Debit], Table14[Date], Table15[[#This Row],[Date]], Table14[Party], "Parts")</f>
        <v>0</v>
      </c>
    </row>
    <row r="8" spans="2:10" x14ac:dyDescent="0.3">
      <c r="B8" s="1">
        <v>46013</v>
      </c>
      <c r="C8" t="s">
        <v>113</v>
      </c>
      <c r="D8">
        <f>SUMIFS(Table14[Debit], Table14[Date], Table5[[#This Row],[Date]], Table14[Party], "Rashan")</f>
        <v>0</v>
      </c>
      <c r="H8" s="1">
        <v>46013</v>
      </c>
      <c r="J8">
        <f>SUMIFS(Table14[Debit], Table14[Date], Table15[[#This Row],[Date]], Table14[Party], "Parts")</f>
        <v>0</v>
      </c>
    </row>
    <row r="9" spans="2:10" x14ac:dyDescent="0.3">
      <c r="B9" s="1">
        <v>46014</v>
      </c>
      <c r="C9" t="s">
        <v>113</v>
      </c>
      <c r="D9">
        <f>SUMIFS(Table14[Debit], Table14[Date], Table5[[#This Row],[Date]], Table14[Party], "Rashan")</f>
        <v>0</v>
      </c>
      <c r="H9" s="1">
        <v>46014</v>
      </c>
      <c r="J9">
        <f>SUMIFS(Table14[Debit], Table14[Date], Table15[[#This Row],[Date]], Table14[Party], "Parts")</f>
        <v>3400</v>
      </c>
    </row>
    <row r="10" spans="2:10" x14ac:dyDescent="0.3">
      <c r="B10" s="1">
        <v>46015</v>
      </c>
      <c r="C10" t="s">
        <v>113</v>
      </c>
      <c r="D10">
        <f>SUMIFS(Table14[Debit], Table14[Date], Table5[[#This Row],[Date]], Table14[Party], "Rashan")</f>
        <v>16865</v>
      </c>
      <c r="H10" s="1">
        <v>46015</v>
      </c>
      <c r="J10">
        <f>SUMIFS(Table14[Debit], Table14[Date], Table15[[#This Row],[Date]], Table14[Party], "Parts")</f>
        <v>4000</v>
      </c>
    </row>
    <row r="11" spans="2:10" x14ac:dyDescent="0.3">
      <c r="B11" s="1">
        <v>46016</v>
      </c>
      <c r="C11" t="s">
        <v>113</v>
      </c>
      <c r="D11">
        <f>SUMIFS(Table14[Debit], Table14[Date], Table5[[#This Row],[Date]], Table14[Party], "Rashan")</f>
        <v>20000</v>
      </c>
      <c r="H11" s="1">
        <v>46016</v>
      </c>
      <c r="J11">
        <f>SUMIFS(Table14[Debit], Table14[Date], Table15[[#This Row],[Date]], Table14[Party], "Parts")</f>
        <v>2630</v>
      </c>
    </row>
    <row r="12" spans="2:10" x14ac:dyDescent="0.3">
      <c r="B12" s="1">
        <v>46017</v>
      </c>
      <c r="C12" t="s">
        <v>113</v>
      </c>
      <c r="D12">
        <f>SUMIFS(Table14[Debit], Table14[Date], Table5[[#This Row],[Date]], Table14[Party], "Rashan")</f>
        <v>0</v>
      </c>
      <c r="H12" s="1">
        <v>46017</v>
      </c>
      <c r="J12">
        <f>SUMIFS(Table14[Debit], Table14[Date], Table15[[#This Row],[Date]], Table14[Party], "Parts")</f>
        <v>2600</v>
      </c>
    </row>
    <row r="13" spans="2:10" x14ac:dyDescent="0.3">
      <c r="B13" s="1">
        <v>46018</v>
      </c>
      <c r="C13" t="s">
        <v>113</v>
      </c>
      <c r="D13">
        <f>SUMIFS(Table14[Debit], Table14[Date], Table5[[#This Row],[Date]], Table14[Party], "Rashan")</f>
        <v>0</v>
      </c>
      <c r="H13" s="1">
        <v>46018</v>
      </c>
      <c r="J13">
        <f>SUMIFS(Table14[Debit], Table14[Date], Table15[[#This Row],[Date]], Table14[Party], "Parts")</f>
        <v>5740</v>
      </c>
    </row>
    <row r="14" spans="2:10" x14ac:dyDescent="0.3">
      <c r="B14" s="1">
        <v>46019</v>
      </c>
      <c r="C14" t="s">
        <v>113</v>
      </c>
      <c r="D14">
        <f>SUMIFS(Table14[Debit], Table14[Date], Table5[[#This Row],[Date]], Table14[Party], "Rashan")</f>
        <v>0</v>
      </c>
      <c r="H14" s="1">
        <v>46019</v>
      </c>
      <c r="J14">
        <f>SUMIFS(Table14[Debit], Table14[Date], Table15[[#This Row],[Date]], Table14[Party], "Parts")</f>
        <v>23630</v>
      </c>
    </row>
    <row r="15" spans="2:10" x14ac:dyDescent="0.3">
      <c r="B15" s="1">
        <v>46020</v>
      </c>
      <c r="C15" t="s">
        <v>113</v>
      </c>
      <c r="D15">
        <f>SUMIFS(Table14[Debit], Table14[Date], Table5[[#This Row],[Date]], Table14[Party], "Rashan")</f>
        <v>0</v>
      </c>
      <c r="H15" s="1">
        <v>46020</v>
      </c>
      <c r="J15">
        <f>SUMIFS(Table14[Debit], Table14[Date], Table15[[#This Row],[Date]], Table14[Party], "Parts")</f>
        <v>0</v>
      </c>
    </row>
    <row r="16" spans="2:10" x14ac:dyDescent="0.3">
      <c r="B16" s="1">
        <v>46021</v>
      </c>
      <c r="C16" t="s">
        <v>113</v>
      </c>
      <c r="D16">
        <f>SUMIFS(Table14[Debit], Table14[Date], Table5[[#This Row],[Date]], Table14[Party], "Rashan")</f>
        <v>0</v>
      </c>
      <c r="H16" s="1">
        <v>46021</v>
      </c>
      <c r="J16">
        <f>SUMIFS(Table14[Debit], Table14[Date], Table15[[#This Row],[Date]], Table14[Party], "Parts")</f>
        <v>10600</v>
      </c>
    </row>
    <row r="17" spans="2:10" x14ac:dyDescent="0.3">
      <c r="B17" s="1">
        <v>46022</v>
      </c>
      <c r="C17" t="s">
        <v>113</v>
      </c>
      <c r="D17">
        <f>SUMIFS(Table14[Debit], Table14[Date], Table5[[#This Row],[Date]], Table14[Party], "Rashan")</f>
        <v>0</v>
      </c>
      <c r="H17" s="1">
        <v>46022</v>
      </c>
      <c r="J17">
        <f>SUMIFS(Table14[Debit], Table14[Date], Table15[[#This Row],[Date]], Table14[Party], "Parts")</f>
        <v>2270</v>
      </c>
    </row>
    <row r="18" spans="2:10" x14ac:dyDescent="0.3">
      <c r="B18" s="1">
        <v>46023</v>
      </c>
      <c r="C18" t="s">
        <v>113</v>
      </c>
      <c r="D18">
        <f>SUMIFS(Table14[Debit], Table14[Date], Table5[[#This Row],[Date]], Table14[Party], "Rashan")</f>
        <v>17595</v>
      </c>
      <c r="H18" s="1">
        <v>46023</v>
      </c>
      <c r="J18">
        <f>SUMIFS(Table14[Debit], Table14[Date], Table15[[#This Row],[Date]], Table14[Party], "Parts")</f>
        <v>1950</v>
      </c>
    </row>
    <row r="19" spans="2:10" x14ac:dyDescent="0.3">
      <c r="B19" s="1">
        <v>46024</v>
      </c>
      <c r="C19" t="s">
        <v>113</v>
      </c>
      <c r="D19">
        <f>SUMIFS(Table14[Debit], Table14[Date], Table5[[#This Row],[Date]], Table14[Party], "Rashan")</f>
        <v>0</v>
      </c>
      <c r="H19" s="1">
        <v>46024</v>
      </c>
      <c r="J19">
        <f>SUMIFS(Table14[Debit], Table14[Date], Table15[[#This Row],[Date]], Table14[Party], "Parts")</f>
        <v>0</v>
      </c>
    </row>
    <row r="20" spans="2:10" x14ac:dyDescent="0.3">
      <c r="B20" s="1">
        <v>46025</v>
      </c>
      <c r="C20" t="s">
        <v>113</v>
      </c>
      <c r="D20">
        <f>SUMIFS(Table14[Debit], Table14[Date], Table5[[#This Row],[Date]], Table14[Party], "Rashan")</f>
        <v>0</v>
      </c>
      <c r="H20" s="1">
        <v>46025</v>
      </c>
      <c r="J20">
        <f>SUMIFS(Table14[Debit], Table14[Date], Table15[[#This Row],[Date]], Table14[Party], "Parts")</f>
        <v>0</v>
      </c>
    </row>
    <row r="21" spans="2:10" x14ac:dyDescent="0.3">
      <c r="B21" s="1">
        <v>46026</v>
      </c>
      <c r="C21" t="s">
        <v>113</v>
      </c>
      <c r="D21">
        <f>SUMIFS(Table14[Debit], Table14[Date], Table5[[#This Row],[Date]], Table14[Party], "Rashan")</f>
        <v>0</v>
      </c>
      <c r="H21" s="1">
        <v>46026</v>
      </c>
      <c r="J21">
        <f>SUMIFS(Table14[Debit], Table14[Date], Table15[[#This Row],[Date]], Table14[Party], "Parts")</f>
        <v>0</v>
      </c>
    </row>
    <row r="22" spans="2:10" x14ac:dyDescent="0.3">
      <c r="B22" s="1">
        <v>46027</v>
      </c>
      <c r="C22" t="s">
        <v>113</v>
      </c>
      <c r="D22">
        <f>SUMIFS(Table14[Debit], Table14[Date], Table5[[#This Row],[Date]], Table14[Party], "Rashan")</f>
        <v>0</v>
      </c>
      <c r="H22" s="1">
        <v>46027</v>
      </c>
      <c r="J22">
        <f>SUMIFS(Table14[Debit], Table14[Date], Table15[[#This Row],[Date]], Table14[Party], "Parts")</f>
        <v>0</v>
      </c>
    </row>
    <row r="23" spans="2:10" x14ac:dyDescent="0.3">
      <c r="B23" s="1">
        <v>46028</v>
      </c>
      <c r="C23" t="s">
        <v>113</v>
      </c>
      <c r="D23">
        <f>SUMIFS(Table14[Debit], Table14[Date], Table5[[#This Row],[Date]], Table14[Party], "Rashan")</f>
        <v>0</v>
      </c>
      <c r="H23" s="1">
        <v>46028</v>
      </c>
      <c r="J23">
        <f>SUMIFS(Table14[Debit], Table14[Date], Table15[[#This Row],[Date]], Table14[Party], "Parts")</f>
        <v>0</v>
      </c>
    </row>
    <row r="24" spans="2:10" x14ac:dyDescent="0.3">
      <c r="B24" s="1">
        <v>46029</v>
      </c>
      <c r="C24" t="s">
        <v>113</v>
      </c>
      <c r="D24">
        <f>SUMIFS(Table14[Debit], Table14[Date], Table5[[#This Row],[Date]], Table14[Party], "Rashan")</f>
        <v>0</v>
      </c>
      <c r="H24" s="1">
        <v>46029</v>
      </c>
      <c r="J24">
        <f>SUMIFS(Table14[Debit], Table14[Date], Table15[[#This Row],[Date]], Table14[Party], "Parts")</f>
        <v>0</v>
      </c>
    </row>
    <row r="25" spans="2:10" x14ac:dyDescent="0.3">
      <c r="B25" s="1">
        <v>46030</v>
      </c>
      <c r="C25" t="s">
        <v>113</v>
      </c>
      <c r="D25">
        <f>SUMIFS(Table14[Debit], Table14[Date], Table5[[#This Row],[Date]], Table14[Party], "Rashan")</f>
        <v>0</v>
      </c>
      <c r="H25" s="1">
        <v>46030</v>
      </c>
      <c r="J25">
        <f>SUMIFS(Table14[Debit], Table14[Date], Table15[[#This Row],[Date]], Table14[Party], "Parts")</f>
        <v>0</v>
      </c>
    </row>
    <row r="26" spans="2:10" x14ac:dyDescent="0.3">
      <c r="B26" s="1">
        <v>46031</v>
      </c>
      <c r="C26" t="s">
        <v>113</v>
      </c>
      <c r="D26">
        <f>SUMIFS(Table14[Debit], Table14[Date], Table5[[#This Row],[Date]], Table14[Party], "Rashan")</f>
        <v>0</v>
      </c>
      <c r="H26" s="1">
        <v>46031</v>
      </c>
      <c r="J26">
        <f>SUMIFS(Table14[Debit], Table14[Date], Table15[[#This Row],[Date]], Table14[Party], "Parts")</f>
        <v>0</v>
      </c>
    </row>
    <row r="27" spans="2:10" x14ac:dyDescent="0.3">
      <c r="B27" s="1">
        <v>46032</v>
      </c>
      <c r="C27" t="s">
        <v>113</v>
      </c>
      <c r="D27">
        <f>SUMIFS(Table14[Debit], Table14[Date], Table5[[#This Row],[Date]], Table14[Party], "Rashan")</f>
        <v>0</v>
      </c>
      <c r="H27" s="1">
        <v>46032</v>
      </c>
      <c r="J27">
        <f>SUMIFS(Table14[Debit], Table14[Date], Table15[[#This Row],[Date]], Table14[Party], "Parts")</f>
        <v>0</v>
      </c>
    </row>
    <row r="28" spans="2:10" x14ac:dyDescent="0.3">
      <c r="B28" s="1">
        <v>46033</v>
      </c>
      <c r="C28" t="s">
        <v>113</v>
      </c>
      <c r="D28">
        <f>SUMIFS(Table14[Debit], Table14[Date], Table5[[#This Row],[Date]], Table14[Party], "Rashan")</f>
        <v>0</v>
      </c>
      <c r="H28" s="1">
        <v>46033</v>
      </c>
      <c r="J28">
        <f>SUMIFS(Table14[Debit], Table14[Date], Table15[[#This Row],[Date]], Table14[Party], "Parts")</f>
        <v>0</v>
      </c>
    </row>
    <row r="29" spans="2:10" x14ac:dyDescent="0.3">
      <c r="B29" s="1">
        <v>46034</v>
      </c>
      <c r="C29" t="s">
        <v>113</v>
      </c>
      <c r="D29">
        <f>SUMIFS(Table14[Debit], Table14[Date], Table5[[#This Row],[Date]], Table14[Party], "Rashan")</f>
        <v>0</v>
      </c>
      <c r="H29" s="1">
        <v>46034</v>
      </c>
      <c r="J29">
        <f>SUMIFS(Table14[Debit], Table14[Date], Table15[[#This Row],[Date]], Table14[Party], "Parts")</f>
        <v>0</v>
      </c>
    </row>
    <row r="30" spans="2:10" x14ac:dyDescent="0.3">
      <c r="B30" s="1">
        <v>46035</v>
      </c>
      <c r="C30" t="s">
        <v>113</v>
      </c>
      <c r="D30">
        <f>SUMIFS(Table14[Debit], Table14[Date], Table5[[#This Row],[Date]], Table14[Party], "Rashan")</f>
        <v>0</v>
      </c>
      <c r="H30" s="1">
        <v>46035</v>
      </c>
      <c r="J30">
        <f>SUMIFS(Table14[Debit], Table14[Date], Table15[[#This Row],[Date]], Table14[Party], "Parts")</f>
        <v>0</v>
      </c>
    </row>
    <row r="31" spans="2:10" x14ac:dyDescent="0.3">
      <c r="B31" s="1">
        <v>46036</v>
      </c>
      <c r="C31" t="s">
        <v>113</v>
      </c>
      <c r="D31">
        <f>SUMIFS(Table14[Debit], Table14[Date], Table5[[#This Row],[Date]], Table14[Party], "Rashan")</f>
        <v>0</v>
      </c>
      <c r="H31" s="1">
        <v>46036</v>
      </c>
      <c r="J31">
        <f>SUMIFS(Table14[Debit], Table14[Date], Table15[[#This Row],[Date]], Table14[Party], "Parts")</f>
        <v>0</v>
      </c>
    </row>
    <row r="32" spans="2:10" x14ac:dyDescent="0.3">
      <c r="B32" s="1">
        <v>46037</v>
      </c>
      <c r="C32" t="s">
        <v>113</v>
      </c>
      <c r="D32">
        <f>SUMIFS(Table14[Debit], Table14[Date], Table5[[#This Row],[Date]], Table14[Party], "Rashan")</f>
        <v>0</v>
      </c>
      <c r="H32" s="1">
        <v>46037</v>
      </c>
      <c r="J32">
        <f>SUMIFS(Table14[Debit], Table14[Date], Table15[[#This Row],[Date]], Table14[Party], "Parts")</f>
        <v>0</v>
      </c>
    </row>
    <row r="33" spans="2:10" x14ac:dyDescent="0.3">
      <c r="B33" s="1">
        <v>46038</v>
      </c>
      <c r="C33" t="s">
        <v>113</v>
      </c>
      <c r="D33">
        <f>SUMIFS(Table14[Debit], Table14[Date], Table5[[#This Row],[Date]], Table14[Party], "Rashan")</f>
        <v>0</v>
      </c>
      <c r="H33" s="1">
        <v>46038</v>
      </c>
      <c r="J33">
        <f>SUMIFS(Table14[Debit], Table14[Date], Table15[[#This Row],[Date]], Table14[Party], "Parts")</f>
        <v>0</v>
      </c>
    </row>
    <row r="34" spans="2:10" x14ac:dyDescent="0.3">
      <c r="B34" s="1">
        <v>46039</v>
      </c>
      <c r="C34" t="s">
        <v>113</v>
      </c>
      <c r="D34">
        <f>SUMIFS(Table14[Debit], Table14[Date], Table5[[#This Row],[Date]], Table14[Party], "Rashan")</f>
        <v>0</v>
      </c>
      <c r="H34" s="1">
        <v>46039</v>
      </c>
      <c r="J34">
        <f>SUMIFS(Table14[Debit], Table14[Date], Table15[[#This Row],[Date]], Table14[Party], "Parts")</f>
        <v>0</v>
      </c>
    </row>
    <row r="35" spans="2:10" x14ac:dyDescent="0.3">
      <c r="B35" s="1">
        <v>46040</v>
      </c>
      <c r="D35">
        <f>SUMIFS(Table14[Debit], Table14[Date], Table5[[#This Row],[Date]], Table14[Party], "Rashan")</f>
        <v>0</v>
      </c>
      <c r="H35" s="1">
        <v>46040</v>
      </c>
      <c r="J35">
        <f>SUMIFS(Table14[Debit], Table14[Date], Table15[[#This Row],[Date]], Table14[Party], "Parts")</f>
        <v>0</v>
      </c>
    </row>
    <row r="36" spans="2:10" x14ac:dyDescent="0.3">
      <c r="B36" s="1">
        <v>46041</v>
      </c>
      <c r="D36">
        <f>SUMIFS(Table14[Debit], Table14[Date], Table5[[#This Row],[Date]], Table14[Party], "Rashan")</f>
        <v>0</v>
      </c>
      <c r="H36" s="1">
        <v>46041</v>
      </c>
      <c r="J36">
        <f>SUMIFS(Table14[Debit], Table14[Date], Table15[[#This Row],[Date]], Table14[Party], "Parts")</f>
        <v>0</v>
      </c>
    </row>
    <row r="37" spans="2:10" x14ac:dyDescent="0.3">
      <c r="B37" s="1">
        <v>46042</v>
      </c>
      <c r="D37">
        <f>SUMIFS(Table14[Debit], Table14[Date], Table5[[#This Row],[Date]], Table14[Party], "Rashan")</f>
        <v>0</v>
      </c>
      <c r="H37" s="1"/>
      <c r="J37">
        <f>SUM(Table15[Amount])</f>
        <v>69995</v>
      </c>
    </row>
    <row r="38" spans="2:10" x14ac:dyDescent="0.3">
      <c r="B38" s="1"/>
      <c r="D38">
        <f>SUM(Table5[Amount])</f>
        <v>54460</v>
      </c>
    </row>
  </sheetData>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5FCD-38DA-4943-8A91-71F737A33574}">
  <sheetPr>
    <pageSetUpPr fitToPage="1"/>
  </sheetPr>
  <dimension ref="A1:C28"/>
  <sheetViews>
    <sheetView tabSelected="1" zoomScale="67" workbookViewId="0">
      <selection activeCell="U19" sqref="U19"/>
    </sheetView>
  </sheetViews>
  <sheetFormatPr defaultRowHeight="14.4" x14ac:dyDescent="0.3"/>
  <cols>
    <col min="1" max="1" width="19.33203125" customWidth="1"/>
    <col min="2" max="2" width="20.33203125" customWidth="1"/>
    <col min="3" max="3" width="17" customWidth="1"/>
  </cols>
  <sheetData>
    <row r="1" spans="1:3" x14ac:dyDescent="0.3">
      <c r="A1" t="s">
        <v>2</v>
      </c>
      <c r="B1" t="s">
        <v>17</v>
      </c>
      <c r="C1" s="100" t="s">
        <v>18</v>
      </c>
    </row>
    <row r="2" spans="1:3" ht="21" x14ac:dyDescent="0.4">
      <c r="A2" s="102" t="str">
        <f>Billing!Q5</f>
        <v>BSC</v>
      </c>
      <c r="B2" s="105">
        <f>Billing!AD5</f>
        <v>19750734</v>
      </c>
      <c r="C2" s="103">
        <f>Billing!AE5</f>
        <v>6195971.2158010304</v>
      </c>
    </row>
    <row r="3" spans="1:3" ht="21" x14ac:dyDescent="0.4">
      <c r="A3" s="102" t="str">
        <f>Billing!Q6</f>
        <v>Ejaz Sahab</v>
      </c>
      <c r="B3" s="105">
        <f>Billing!AD6</f>
        <v>4371992</v>
      </c>
      <c r="C3" s="103">
        <f>Billing!AE6</f>
        <v>243937.95610826649</v>
      </c>
    </row>
    <row r="4" spans="1:3" ht="21" x14ac:dyDescent="0.4">
      <c r="A4" s="102" t="str">
        <f>Billing!Q7</f>
        <v>Arshad</v>
      </c>
      <c r="B4" s="105">
        <f>Billing!AD7</f>
        <v>6705301</v>
      </c>
      <c r="C4" s="104">
        <f>Billing!AE7</f>
        <v>223116.15435259789</v>
      </c>
    </row>
    <row r="5" spans="1:3" ht="21" x14ac:dyDescent="0.4">
      <c r="A5" s="102" t="str">
        <f>Billing!Q8</f>
        <v>Shehzad Kamoki</v>
      </c>
      <c r="B5" s="105">
        <f>Billing!AD8</f>
        <v>1353710</v>
      </c>
      <c r="C5" s="104">
        <f>Billing!AE8</f>
        <v>531.99729334330186</v>
      </c>
    </row>
    <row r="6" spans="1:3" ht="21" x14ac:dyDescent="0.4">
      <c r="A6" s="102" t="str">
        <f>Billing!Q9</f>
        <v>Sufi Nawaz Sahab</v>
      </c>
      <c r="B6" s="105">
        <f>Billing!AD9</f>
        <v>11478764</v>
      </c>
      <c r="C6" s="103">
        <f>Billing!AE9</f>
        <v>0.23847842030227184</v>
      </c>
    </row>
    <row r="7" spans="1:3" ht="21" x14ac:dyDescent="0.4">
      <c r="A7" s="102" t="str">
        <f>Billing!Q10</f>
        <v>Sajad Khan</v>
      </c>
      <c r="B7" s="105">
        <f>Billing!AD10</f>
        <v>7997871</v>
      </c>
      <c r="C7" s="103">
        <f>Billing!AE10</f>
        <v>-66708.783467446454</v>
      </c>
    </row>
    <row r="8" spans="1:3" ht="21" x14ac:dyDescent="0.4">
      <c r="A8" s="102" t="str">
        <f>Billing!Q11</f>
        <v>Raaz Fabrics</v>
      </c>
      <c r="B8" s="105">
        <f>Billing!AD11</f>
        <v>1300000</v>
      </c>
      <c r="C8" s="104">
        <f>Billing!AE11</f>
        <v>326380.76079005143</v>
      </c>
    </row>
    <row r="9" spans="1:3" ht="21" x14ac:dyDescent="0.4">
      <c r="A9" s="102" t="str">
        <f>Billing!Q12</f>
        <v>Azam</v>
      </c>
      <c r="B9" s="105">
        <f>Billing!AD12</f>
        <v>4330540</v>
      </c>
      <c r="C9" s="103">
        <f>Billing!AE12</f>
        <v>-0.49743964802473783</v>
      </c>
    </row>
    <row r="10" spans="1:3" ht="21" x14ac:dyDescent="0.4">
      <c r="A10" s="102" t="str">
        <f>Billing!Q13</f>
        <v>Ubaidullah</v>
      </c>
      <c r="B10" s="105">
        <f>Billing!AD13</f>
        <v>640190</v>
      </c>
      <c r="C10" s="103">
        <f>Billing!AE13</f>
        <v>1084.6891002196353</v>
      </c>
    </row>
    <row r="11" spans="1:3" ht="21" x14ac:dyDescent="0.4">
      <c r="A11" s="102" t="str">
        <f>Billing!Q14</f>
        <v>Ashraf Zia</v>
      </c>
      <c r="B11" s="105">
        <f>Billing!AD14</f>
        <v>130000</v>
      </c>
      <c r="C11" s="103">
        <f>Billing!AE14</f>
        <v>125724.21360643749</v>
      </c>
    </row>
    <row r="12" spans="1:3" ht="21" x14ac:dyDescent="0.4">
      <c r="A12" s="102" t="str">
        <f>Billing!Q15</f>
        <v>Hafiz Qureshi</v>
      </c>
      <c r="B12" s="105">
        <f>Billing!AD15</f>
        <v>2261380</v>
      </c>
      <c r="C12" s="103">
        <f>Billing!AE15</f>
        <v>365265.94001463102</v>
      </c>
    </row>
    <row r="13" spans="1:3" ht="21" x14ac:dyDescent="0.4">
      <c r="A13" s="102" t="str">
        <f>Billing!Q16</f>
        <v>Badshah Fabrics</v>
      </c>
      <c r="B13" s="105">
        <f>Billing!AD16</f>
        <v>6015761</v>
      </c>
      <c r="C13" s="103">
        <f>Billing!AE16</f>
        <v>86606.410387711599</v>
      </c>
    </row>
    <row r="14" spans="1:3" ht="21" x14ac:dyDescent="0.4">
      <c r="A14" s="102" t="str">
        <f>Billing!Q17</f>
        <v>Reject</v>
      </c>
      <c r="B14" s="105">
        <f>Billing!AD17</f>
        <v>0</v>
      </c>
      <c r="C14" s="103">
        <f>Billing!AE17</f>
        <v>0</v>
      </c>
    </row>
    <row r="15" spans="1:3" ht="21" x14ac:dyDescent="0.4">
      <c r="A15" s="102" t="str">
        <f>Billing!Q18</f>
        <v>Amjad 7up</v>
      </c>
      <c r="B15" s="105">
        <f>Billing!AD18</f>
        <v>480000</v>
      </c>
      <c r="C15" s="104">
        <f>Billing!AE18</f>
        <v>3851.4996342355735</v>
      </c>
    </row>
    <row r="16" spans="1:3" ht="21" x14ac:dyDescent="0.4">
      <c r="A16" s="102" t="str">
        <f>Billing!Q19</f>
        <v>Hazrat Khan</v>
      </c>
      <c r="B16" s="105">
        <f>Billing!AD19</f>
        <v>95000</v>
      </c>
      <c r="C16" s="104">
        <f>Billing!AE19</f>
        <v>-5844.9158741770225</v>
      </c>
    </row>
    <row r="17" spans="1:3" ht="21" x14ac:dyDescent="0.4">
      <c r="A17" s="102" t="str">
        <f>Billing!Q20</f>
        <v>Haseeb Shamsi</v>
      </c>
      <c r="B17" s="105">
        <f>Billing!AD20</f>
        <v>594405</v>
      </c>
      <c r="C17" s="103">
        <f>Billing!AE20</f>
        <v>-0.28163862461224198</v>
      </c>
    </row>
    <row r="18" spans="1:3" ht="21" x14ac:dyDescent="0.4">
      <c r="A18" s="102" t="str">
        <f>Billing!Q21</f>
        <v>Faizan</v>
      </c>
      <c r="B18" s="105">
        <f>Billing!AD21</f>
        <v>4915571</v>
      </c>
      <c r="C18" s="104">
        <f>Billing!AE21</f>
        <v>308616.08851499762</v>
      </c>
    </row>
    <row r="19" spans="1:3" ht="21" x14ac:dyDescent="0.4">
      <c r="A19" s="102" t="str">
        <f>Billing!Q22</f>
        <v>Shafique Ansari</v>
      </c>
      <c r="B19" s="105">
        <f>Billing!AD22</f>
        <v>835660</v>
      </c>
      <c r="C19" s="104">
        <f>Billing!AE22</f>
        <v>356.82516459410544</v>
      </c>
    </row>
    <row r="20" spans="1:3" ht="21" x14ac:dyDescent="0.4">
      <c r="A20" s="102" t="str">
        <f>Billing!Q23</f>
        <v>Amjad sohail</v>
      </c>
      <c r="B20" s="105">
        <f>Billing!AD23</f>
        <v>2709310</v>
      </c>
      <c r="C20" s="103">
        <f>Billing!AE23</f>
        <v>-0.38039502501487732</v>
      </c>
    </row>
    <row r="21" spans="1:3" ht="21" x14ac:dyDescent="0.4">
      <c r="A21" s="102" t="str">
        <f>Billing!Q24</f>
        <v>Salman Zaffar</v>
      </c>
      <c r="B21" s="105">
        <f>Billing!AD24</f>
        <v>973525</v>
      </c>
      <c r="C21" s="103">
        <f>Billing!AE24</f>
        <v>168.30651060724631</v>
      </c>
    </row>
    <row r="22" spans="1:3" ht="21" x14ac:dyDescent="0.4">
      <c r="A22" s="102" t="str">
        <f>Billing!Q25</f>
        <v>Shahid Qasayi</v>
      </c>
      <c r="B22" s="105">
        <f>Billing!AD25</f>
        <v>2333095</v>
      </c>
      <c r="C22" s="103">
        <f>Billing!AE25</f>
        <v>134767.10680321883</v>
      </c>
    </row>
    <row r="23" spans="1:3" ht="21" x14ac:dyDescent="0.4">
      <c r="A23" s="102" t="str">
        <f>Billing!Q26</f>
        <v>Hameed corporation</v>
      </c>
      <c r="B23" s="105">
        <f>Billing!AD26</f>
        <v>424323</v>
      </c>
      <c r="C23" s="103">
        <f>Billing!AE26</f>
        <v>0.33577176299877465</v>
      </c>
    </row>
    <row r="24" spans="1:3" ht="21" x14ac:dyDescent="0.4">
      <c r="A24" s="102" t="str">
        <f>Billing!Q27</f>
        <v>ibraheem behraam</v>
      </c>
      <c r="B24" s="105">
        <f>Billing!AD27</f>
        <v>790500</v>
      </c>
      <c r="C24" s="103">
        <f>Billing!AE27</f>
        <v>2445.3182150695939</v>
      </c>
    </row>
    <row r="25" spans="1:3" ht="21" x14ac:dyDescent="0.4">
      <c r="A25" s="102" t="str">
        <f>Billing!Q28</f>
        <v>Zia-ullah karachi</v>
      </c>
      <c r="B25" s="105">
        <f>Billing!AD28</f>
        <v>124560</v>
      </c>
      <c r="C25" s="103">
        <f>Billing!AE28</f>
        <v>1.0826627651840681</v>
      </c>
    </row>
    <row r="26" spans="1:3" ht="21" x14ac:dyDescent="0.4">
      <c r="A26" s="102" t="str">
        <f>Billing!Q29</f>
        <v>ZA</v>
      </c>
      <c r="B26" s="105">
        <f>Billing!AD29</f>
        <v>250000</v>
      </c>
      <c r="C26" s="103">
        <f>Billing!AE29</f>
        <v>135138.07607900514</v>
      </c>
    </row>
    <row r="27" spans="1:3" ht="21" x14ac:dyDescent="0.4">
      <c r="A27" s="102" t="str">
        <f>Billing!Q30</f>
        <v>Ahmad Javaid</v>
      </c>
      <c r="B27" s="105">
        <f>Billing!AD30</f>
        <v>0</v>
      </c>
      <c r="C27" s="103">
        <f>Billing!AE30</f>
        <v>151504.2062911485</v>
      </c>
    </row>
    <row r="28" spans="1:3" ht="21" x14ac:dyDescent="0.4">
      <c r="A28" s="102">
        <f>Billing!Q31</f>
        <v>0</v>
      </c>
      <c r="B28" s="105">
        <f>Billing!AD31</f>
        <v>0</v>
      </c>
      <c r="C28" s="103">
        <f>Billing!AE31</f>
        <v>0</v>
      </c>
    </row>
  </sheetData>
  <conditionalFormatting sqref="C2:C28">
    <cfRule type="cellIs" dxfId="5" priority="1" operator="lessThan">
      <formula>10</formula>
    </cfRule>
  </conditionalFormatting>
  <conditionalFormatting sqref="C2:C29">
    <cfRule type="cellIs" dxfId="4" priority="2" operator="greaterThan">
      <formula>10</formula>
    </cfRule>
  </conditionalFormatting>
  <pageMargins left="0.7" right="0.7" top="0.75" bottom="0.75" header="0.3" footer="0.3"/>
  <pageSetup fitToHeight="0"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DEE5-30F1-4E4F-B630-8B4E4FCA344C}">
  <dimension ref="A1:B27"/>
  <sheetViews>
    <sheetView zoomScale="146" workbookViewId="0">
      <selection activeCell="B7" sqref="B7"/>
    </sheetView>
  </sheetViews>
  <sheetFormatPr defaultRowHeight="14.4" x14ac:dyDescent="0.3"/>
  <cols>
    <col min="1" max="1" width="13.44140625" customWidth="1"/>
    <col min="2" max="2" width="15.5546875" customWidth="1"/>
  </cols>
  <sheetData>
    <row r="1" spans="1:2" x14ac:dyDescent="0.3">
      <c r="A1" t="s">
        <v>167</v>
      </c>
      <c r="B1" t="s">
        <v>69</v>
      </c>
    </row>
    <row r="2" spans="1:2" x14ac:dyDescent="0.3">
      <c r="A2" s="81" t="s">
        <v>21</v>
      </c>
      <c r="B2" s="10">
        <f>_xlfn.XLOOKUP($A2,[1]Billing!$Q$5:$Q$40,[1]Billing!$AD$5:$AD$40)</f>
        <v>19750734</v>
      </c>
    </row>
    <row r="3" spans="1:2" x14ac:dyDescent="0.3">
      <c r="A3" s="81" t="s">
        <v>22</v>
      </c>
      <c r="B3" s="10">
        <f>_xlfn.XLOOKUP($A3,[1]Billing!$Q$5:$Q$40,[1]Billing!$AD$5:$AD$40)</f>
        <v>3963904</v>
      </c>
    </row>
    <row r="4" spans="1:2" x14ac:dyDescent="0.3">
      <c r="A4" s="81" t="s">
        <v>9</v>
      </c>
      <c r="B4" s="10">
        <f>_xlfn.XLOOKUP($A4,[1]Billing!$Q$5:$Q$40,[1]Billing!$AD$5:$AD$40)</f>
        <v>6002935</v>
      </c>
    </row>
    <row r="5" spans="1:2" x14ac:dyDescent="0.3">
      <c r="A5" s="81" t="s">
        <v>23</v>
      </c>
      <c r="B5" s="10">
        <f>_xlfn.XLOOKUP($A5,[1]Billing!$Q$5:$Q$40,[1]Billing!$AD$5:$AD$40)</f>
        <v>1268740</v>
      </c>
    </row>
    <row r="6" spans="1:2" x14ac:dyDescent="0.3">
      <c r="A6" s="81" t="s">
        <v>24</v>
      </c>
      <c r="B6" s="10">
        <f>_xlfn.XLOOKUP($A6,[1]Billing!$Q$5:$Q$40,[1]Billing!$AD$5:$AD$40)</f>
        <v>10629100</v>
      </c>
    </row>
    <row r="7" spans="1:2" x14ac:dyDescent="0.3">
      <c r="A7" s="81" t="s">
        <v>25</v>
      </c>
      <c r="B7" s="10">
        <f>_xlfn.XLOOKUP($A7,[1]Billing!$Q$5:$Q$40,[1]Billing!$AD$5:$AD$40)</f>
        <v>7397871</v>
      </c>
    </row>
    <row r="8" spans="1:2" x14ac:dyDescent="0.3">
      <c r="A8" s="81" t="s">
        <v>26</v>
      </c>
      <c r="B8" s="10">
        <f>_xlfn.XLOOKUP($A8,[1]Billing!$Q$5:$Q$40,[1]Billing!$AD$5:$AD$40)</f>
        <v>1100000</v>
      </c>
    </row>
    <row r="9" spans="1:2" x14ac:dyDescent="0.3">
      <c r="A9" s="81" t="s">
        <v>152</v>
      </c>
      <c r="B9" s="10">
        <f>_xlfn.XLOOKUP($A9,[1]Billing!$Q$5:$Q$40,[1]Billing!$AD$5:$AD$40)</f>
        <v>3322620</v>
      </c>
    </row>
    <row r="10" spans="1:2" x14ac:dyDescent="0.3">
      <c r="A10" s="81" t="s">
        <v>35</v>
      </c>
      <c r="B10" s="10">
        <f>_xlfn.XLOOKUP($A10,[1]Billing!$Q$5:$Q$40,[1]Billing!$AD$5:$AD$40)</f>
        <v>640190</v>
      </c>
    </row>
    <row r="11" spans="1:2" x14ac:dyDescent="0.3">
      <c r="A11" s="81" t="s">
        <v>148</v>
      </c>
      <c r="B11" s="10">
        <f>_xlfn.XLOOKUP($A11,[1]Billing!$Q$5:$Q$40,[1]Billing!$AD$5:$AD$40)</f>
        <v>130000</v>
      </c>
    </row>
    <row r="12" spans="1:2" x14ac:dyDescent="0.3">
      <c r="A12" s="81" t="s">
        <v>27</v>
      </c>
      <c r="B12" s="10">
        <f>_xlfn.XLOOKUP($A12,[1]Billing!$Q$5:$Q$40,[1]Billing!$AD$5:$AD$40)</f>
        <v>1805980</v>
      </c>
    </row>
    <row r="13" spans="1:2" x14ac:dyDescent="0.3">
      <c r="A13" s="81" t="s">
        <v>166</v>
      </c>
      <c r="B13" s="10">
        <f>_xlfn.XLOOKUP($A13,[1]Billing!$Q$5:$Q$40,[1]Billing!$AD$5:$AD$40)</f>
        <v>4925761</v>
      </c>
    </row>
    <row r="14" spans="1:2" x14ac:dyDescent="0.3">
      <c r="A14" s="81" t="s">
        <v>168</v>
      </c>
      <c r="B14" s="10">
        <f>_xlfn.XLOOKUP($A14,[1]Billing!$Q$5:$Q$40,[1]Billing!$AD$5:$AD$40)</f>
        <v>0</v>
      </c>
    </row>
    <row r="15" spans="1:2" x14ac:dyDescent="0.3">
      <c r="A15" s="81" t="s">
        <v>170</v>
      </c>
      <c r="B15" s="10">
        <f>_xlfn.XLOOKUP($A15,[1]Billing!$Q$5:$Q$40,[1]Billing!$AD$5:$AD$40)</f>
        <v>480000</v>
      </c>
    </row>
    <row r="16" spans="1:2" x14ac:dyDescent="0.3">
      <c r="A16" s="81" t="s">
        <v>171</v>
      </c>
      <c r="B16" s="10">
        <f>_xlfn.XLOOKUP($A16,[1]Billing!$Q$5:$Q$40,[1]Billing!$AD$5:$AD$40)</f>
        <v>95000</v>
      </c>
    </row>
    <row r="17" spans="1:2" x14ac:dyDescent="0.3">
      <c r="A17" s="81" t="s">
        <v>173</v>
      </c>
      <c r="B17" s="10">
        <f>_xlfn.XLOOKUP($A17,[1]Billing!$Q$5:$Q$40,[1]Billing!$AD$5:$AD$40)</f>
        <v>594405</v>
      </c>
    </row>
    <row r="18" spans="1:2" x14ac:dyDescent="0.3">
      <c r="A18" s="81" t="s">
        <v>175</v>
      </c>
      <c r="B18" s="10">
        <f>_xlfn.XLOOKUP($A18,[1]Billing!$Q$5:$Q$40,[1]Billing!$AD$5:$AD$40)</f>
        <v>4915571</v>
      </c>
    </row>
    <row r="19" spans="1:2" x14ac:dyDescent="0.3">
      <c r="A19" s="81" t="s">
        <v>178</v>
      </c>
      <c r="B19" s="10">
        <f>_xlfn.XLOOKUP($A19,[1]Billing!$Q$5:$Q$40,[1]Billing!$AD$5:$AD$40)</f>
        <v>835660</v>
      </c>
    </row>
    <row r="20" spans="1:2" x14ac:dyDescent="0.3">
      <c r="A20" s="81" t="s">
        <v>179</v>
      </c>
      <c r="B20" s="10">
        <f>_xlfn.XLOOKUP($A20,[1]Billing!$Q$5:$Q$40,[1]Billing!$AD$5:$AD$40)</f>
        <v>2300000</v>
      </c>
    </row>
    <row r="21" spans="1:2" x14ac:dyDescent="0.3">
      <c r="A21" s="81" t="s">
        <v>184</v>
      </c>
      <c r="B21" s="10">
        <f>_xlfn.XLOOKUP($A21,[1]Billing!$Q$5:$Q$40,[1]Billing!$AD$5:$AD$40)</f>
        <v>0</v>
      </c>
    </row>
    <row r="22" spans="1:2" x14ac:dyDescent="0.3">
      <c r="A22" s="81" t="s">
        <v>193</v>
      </c>
      <c r="B22" s="10">
        <f>_xlfn.XLOOKUP($A22,[1]Billing!$Q$5:$Q$40,[1]Billing!$AD$5:$AD$40)</f>
        <v>1468325</v>
      </c>
    </row>
    <row r="23" spans="1:2" x14ac:dyDescent="0.3">
      <c r="A23" s="81" t="s">
        <v>196</v>
      </c>
      <c r="B23" s="10">
        <f>_xlfn.XLOOKUP($A23,[1]Billing!$Q$5:$Q$40,[1]Billing!$AD$5:$AD$40)</f>
        <v>424323</v>
      </c>
    </row>
    <row r="24" spans="1:2" x14ac:dyDescent="0.3">
      <c r="A24" s="81" t="s">
        <v>195</v>
      </c>
      <c r="B24" s="10">
        <f>_xlfn.XLOOKUP($A24,[1]Billing!$Q$5:$Q$40,[1]Billing!$AD$5:$AD$40)</f>
        <v>790500</v>
      </c>
    </row>
    <row r="25" spans="1:2" x14ac:dyDescent="0.3">
      <c r="A25" s="81" t="s">
        <v>201</v>
      </c>
      <c r="B25" s="10">
        <f>_xlfn.XLOOKUP($A25,[1]Billing!$Q$5:$Q$40,[1]Billing!$AD$5:$AD$40)</f>
        <v>124560</v>
      </c>
    </row>
    <row r="26" spans="1:2" x14ac:dyDescent="0.3">
      <c r="A26" s="81" t="s">
        <v>206</v>
      </c>
      <c r="B26" s="10">
        <f>_xlfn.XLOOKUP($A26,[1]Billing!$Q$5:$Q$40,[1]Billing!$AD$5:$AD$40)</f>
        <v>250000</v>
      </c>
    </row>
    <row r="27" spans="1:2" x14ac:dyDescent="0.3">
      <c r="A27" s="118" t="s">
        <v>208</v>
      </c>
      <c r="B27" s="10">
        <f>_xlfn.XLOOKUP($A27,[1]Billing!$Q$5:$Q$40,[1]Billing!$AD$5:$AD$40)</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653170-0ABA-4B0E-A63E-D518C37296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Billing</vt:lpstr>
      <vt:lpstr>Bill Print</vt:lpstr>
      <vt:lpstr>Expenses</vt:lpstr>
      <vt:lpstr>Profit</vt:lpstr>
      <vt:lpstr>Transport</vt:lpstr>
      <vt:lpstr>ledger</vt:lpstr>
      <vt:lpstr>Wood</vt:lpstr>
      <vt:lpstr>Cashbook</vt:lpstr>
      <vt:lpstr>Dyes</vt:lpstr>
      <vt:lpstr>Finish</vt:lpstr>
      <vt:lpstr>Electricity</vt:lpstr>
      <vt:lpstr>Miscellaneous</vt:lpstr>
      <vt:lpstr>Salary Acc</vt:lpstr>
      <vt:lpstr>pivot </vt:lpstr>
      <vt:lpstr>Running Acc</vt:lpstr>
      <vt:lpstr>Balance</vt:lpstr>
      <vt:lpstr>Cashflow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Omer</dc:creator>
  <cp:keywords/>
  <dc:description/>
  <cp:lastModifiedBy>Muhammad  Omer</cp:lastModifiedBy>
  <cp:revision/>
  <cp:lastPrinted>2025-11-04T22:14:49Z</cp:lastPrinted>
  <dcterms:created xsi:type="dcterms:W3CDTF">2025-06-24T04:42:48Z</dcterms:created>
  <dcterms:modified xsi:type="dcterms:W3CDTF">2026-01-01T20:24:47Z</dcterms:modified>
  <cp:category/>
  <cp:contentStatus/>
</cp:coreProperties>
</file>