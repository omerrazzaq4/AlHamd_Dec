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45" documentId="13_ncr:1_{89B07303-4F83-4416-81AD-F450F7417961}" xr6:coauthVersionLast="47" xr6:coauthVersionMax="47" xr10:uidLastSave="{87003AF7-94FA-4828-B996-ABED39334D4B}"/>
  <bookViews>
    <workbookView xWindow="-108" yWindow="-108" windowWidth="23256" windowHeight="12456" tabRatio="59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44" r:id="rId19"/>
    <pivotCache cacheId="48" r:id="rId20"/>
    <pivotCache cacheId="54" r:id="rId21"/>
    <pivotCache cacheId="59" r:id="rId22"/>
    <pivotCache cacheId="63" r:id="rId23"/>
    <pivotCache cacheId="67"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0" i="1" l="1"/>
  <c r="J130" i="1" s="1" a="1"/>
  <c r="J130" i="1" s="1"/>
  <c r="I131" i="1"/>
  <c r="J131" i="1" s="1" a="1"/>
  <c r="J131" i="1" s="1"/>
  <c r="I132" i="1"/>
  <c r="J132" i="1" a="1"/>
  <c r="J132" i="1" s="1"/>
  <c r="I133" i="1"/>
  <c r="J133" i="1" s="1" a="1"/>
  <c r="J133" i="1" s="1"/>
  <c r="I134" i="1"/>
  <c r="J134" i="1" a="1"/>
  <c r="J134" i="1" s="1"/>
  <c r="F112" i="1"/>
  <c r="F116" i="1"/>
  <c r="F124" i="1"/>
  <c r="H84" i="6"/>
  <c r="I84" i="6" s="1"/>
  <c r="H83" i="6"/>
  <c r="I83" i="6" s="1"/>
  <c r="G83" i="6"/>
  <c r="G84" i="6"/>
  <c r="G85" i="6"/>
  <c r="G86" i="6"/>
  <c r="G87" i="6"/>
  <c r="G88" i="6"/>
  <c r="G89" i="6"/>
  <c r="G90" i="6"/>
  <c r="I85" i="6"/>
  <c r="I86" i="6"/>
  <c r="I87" i="6"/>
  <c r="I88" i="6"/>
  <c r="I89" i="6"/>
  <c r="I90" i="6"/>
  <c r="G101" i="1" l="1"/>
  <c r="G100" i="1"/>
  <c r="I69" i="1"/>
  <c r="J69" i="1" a="1"/>
  <c r="J69" i="1" s="1"/>
  <c r="H44" i="6"/>
  <c r="I44" i="6" s="1"/>
  <c r="I118" i="1"/>
  <c r="J118" i="1" s="1" a="1"/>
  <c r="J118" i="1" s="1"/>
  <c r="I119" i="1"/>
  <c r="J119" i="1" a="1"/>
  <c r="J119" i="1" s="1"/>
  <c r="I120" i="1"/>
  <c r="J120" i="1" a="1"/>
  <c r="J120" i="1" s="1"/>
  <c r="I121" i="1"/>
  <c r="J121" i="1" a="1"/>
  <c r="J121" i="1" s="1"/>
  <c r="I122" i="1"/>
  <c r="J122" i="1" a="1"/>
  <c r="J122" i="1" s="1"/>
  <c r="I123" i="1"/>
  <c r="J123" i="1" s="1" a="1"/>
  <c r="J123" i="1" s="1"/>
  <c r="I124" i="1"/>
  <c r="J124" i="1" a="1"/>
  <c r="J124" i="1" s="1"/>
  <c r="I125" i="1"/>
  <c r="J125" i="1" s="1" a="1"/>
  <c r="J125" i="1" s="1"/>
  <c r="I126" i="1"/>
  <c r="J126" i="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B21" i="21"/>
  <c r="D3" i="17"/>
  <c r="C12" i="10" s="1"/>
  <c r="D2" i="17"/>
  <c r="B4" i="21"/>
  <c r="H53" i="6"/>
  <c r="I53" i="6" s="1"/>
  <c r="H52" i="6"/>
  <c r="I52" i="6" s="1"/>
  <c r="G54" i="6"/>
  <c r="G55" i="6"/>
  <c r="I54" i="6"/>
  <c r="I55" i="6"/>
  <c r="G51" i="6"/>
  <c r="G52" i="6"/>
  <c r="G53" i="6"/>
  <c r="I51"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C334" i="17" s="1"/>
  <c r="K4" i="17" s="1"/>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s="1" a="1"/>
  <c r="X33" i="9" s="1"/>
  <c r="J112" i="9"/>
  <c r="N112" i="9" s="1"/>
  <c r="P112" i="9" s="1"/>
  <c r="K112" i="9"/>
  <c r="Z33" i="9" s="1" a="1"/>
  <c r="Z33" i="9" s="1"/>
  <c r="L112" i="9"/>
  <c r="AA33" i="9" a="1"/>
  <c r="AA33" i="9" s="1"/>
  <c r="M112" i="9"/>
  <c r="AB33" i="9" a="1"/>
  <c r="AB33" i="9" s="1"/>
  <c r="C113" i="9"/>
  <c r="D113" i="9"/>
  <c r="S34" i="9" s="1" a="1"/>
  <c r="S34" i="9" s="1"/>
  <c r="E113" i="9"/>
  <c r="F113" i="9"/>
  <c r="G113" i="9"/>
  <c r="V34" i="9" s="1" a="1"/>
  <c r="V34" i="9" s="1"/>
  <c r="H113" i="9"/>
  <c r="I113" i="9"/>
  <c r="X34" i="9" s="1" a="1"/>
  <c r="X34" i="9" s="1"/>
  <c r="J113" i="9"/>
  <c r="Y34" i="9" s="1" a="1"/>
  <c r="Y34" i="9" s="1"/>
  <c r="K113" i="9"/>
  <c r="Z34" i="9" s="1" a="1"/>
  <c r="Z34" i="9" s="1"/>
  <c r="L113" i="9"/>
  <c r="AA34" i="9" s="1" a="1"/>
  <c r="AA34" i="9" s="1"/>
  <c r="M113" i="9"/>
  <c r="C114" i="9"/>
  <c r="D114" i="9"/>
  <c r="S35" i="9" a="1"/>
  <c r="S35" i="9" s="1"/>
  <c r="E114" i="9"/>
  <c r="T35" i="9" s="1" a="1"/>
  <c r="T35" i="9" s="1"/>
  <c r="F114" i="9"/>
  <c r="G114" i="9"/>
  <c r="H114" i="9"/>
  <c r="W35" i="9" s="1" a="1"/>
  <c r="W35" i="9" s="1"/>
  <c r="I114" i="9"/>
  <c r="X35" i="9" a="1"/>
  <c r="X35" i="9" s="1"/>
  <c r="J114" i="9"/>
  <c r="Y35" i="9" s="1" a="1"/>
  <c r="Y35" i="9" s="1"/>
  <c r="K114" i="9"/>
  <c r="Z35" i="9" s="1" a="1"/>
  <c r="Z35" i="9" s="1"/>
  <c r="L114" i="9"/>
  <c r="AA35" i="9" a="1"/>
  <c r="AA35" i="9" s="1"/>
  <c r="M114" i="9"/>
  <c r="AB35" i="9" s="1" a="1"/>
  <c r="AB35" i="9" s="1"/>
  <c r="C115" i="9"/>
  <c r="D115" i="9"/>
  <c r="E115" i="9"/>
  <c r="F115" i="9"/>
  <c r="G115" i="9"/>
  <c r="V36" i="9" a="1"/>
  <c r="V36" i="9" s="1"/>
  <c r="H115" i="9"/>
  <c r="W36" i="9" a="1"/>
  <c r="W36" i="9" s="1"/>
  <c r="I115" i="9"/>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E16"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45" i="7"/>
  <c r="E44" i="7"/>
  <c r="G7" i="6"/>
  <c r="C39" i="12"/>
  <c r="C40" i="12"/>
  <c r="C41" i="12"/>
  <c r="C42" i="12"/>
  <c r="C38" i="12"/>
  <c r="C37" i="12"/>
  <c r="R33" i="9" a="1"/>
  <c r="R33" i="9" s="1"/>
  <c r="S33" i="9" a="1"/>
  <c r="S33" i="9" s="1"/>
  <c r="T33" i="9" a="1"/>
  <c r="T33" i="9" s="1"/>
  <c r="U33" i="9" a="1"/>
  <c r="U33" i="9" s="1"/>
  <c r="R34" i="9" a="1"/>
  <c r="R34" i="9" s="1"/>
  <c r="T34" i="9" a="1"/>
  <c r="T34" i="9" s="1"/>
  <c r="U34" i="9" a="1"/>
  <c r="U34" i="9" s="1"/>
  <c r="R35" i="9" a="1"/>
  <c r="R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3" i="7"/>
  <c r="E24" i="7"/>
  <c r="E25" i="7"/>
  <c r="E26" i="7"/>
  <c r="E27" i="7"/>
  <c r="E28" i="7"/>
  <c r="E29" i="7"/>
  <c r="E30" i="7"/>
  <c r="E31" i="7"/>
  <c r="E32" i="7"/>
  <c r="E33" i="7"/>
  <c r="E34" i="7"/>
  <c r="E35" i="7"/>
  <c r="E36" i="7"/>
  <c r="E37" i="7"/>
  <c r="E38" i="7"/>
  <c r="E39" i="7"/>
  <c r="E40" i="7"/>
  <c r="E41" i="7"/>
  <c r="E42" i="7"/>
  <c r="E43" i="7"/>
  <c r="E22"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25"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G45" i="2" s="1"/>
  <c r="H129" i="1" s="1"/>
  <c r="E46" i="2"/>
  <c r="F46" i="2"/>
  <c r="G46" i="2" s="1"/>
  <c r="H133" i="1" s="1"/>
  <c r="E47" i="2"/>
  <c r="G47" i="2" s="1"/>
  <c r="F47" i="2"/>
  <c r="H47" i="2"/>
  <c r="I47" i="2" s="1"/>
  <c r="D47" i="2" s="1"/>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G24" i="2" s="1"/>
  <c r="H24" i="2"/>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F5" i="2"/>
  <c r="H5" i="2" s="1"/>
  <c r="I5" i="2" s="1"/>
  <c r="D5" i="2" s="1"/>
  <c r="E5" i="2"/>
  <c r="G5" i="2" s="1"/>
  <c r="E34" i="2"/>
  <c r="F34" i="2"/>
  <c r="F18" i="2"/>
  <c r="E18" i="2"/>
  <c r="E35" i="2"/>
  <c r="F35" i="2"/>
  <c r="H35" i="2"/>
  <c r="I35" i="2" s="1"/>
  <c r="D35" i="2" s="1"/>
  <c r="E36" i="2"/>
  <c r="G36" i="2" s="1"/>
  <c r="H117" i="1" s="1"/>
  <c r="F36" i="2"/>
  <c r="F22" i="2"/>
  <c r="H22" i="2" s="1"/>
  <c r="I22" i="2" s="1"/>
  <c r="D22" i="2" s="1"/>
  <c r="E22" i="2"/>
  <c r="F7" i="2"/>
  <c r="H7" i="2" s="1"/>
  <c r="I7" i="2" s="1"/>
  <c r="D7" i="2" s="1"/>
  <c r="E7" i="2"/>
  <c r="E37" i="2"/>
  <c r="G37" i="2" s="1"/>
  <c r="H118" i="1" s="1"/>
  <c r="F37" i="2"/>
  <c r="H37" i="2"/>
  <c r="I37" i="2" s="1"/>
  <c r="D37" i="2" s="1"/>
  <c r="E39" i="2"/>
  <c r="F39" i="2"/>
  <c r="G39" i="2" s="1"/>
  <c r="E40" i="2"/>
  <c r="G40" i="2" s="1"/>
  <c r="F40" i="2"/>
  <c r="H40" i="2"/>
  <c r="I40" i="2" s="1"/>
  <c r="D40" i="2" s="1"/>
  <c r="E41" i="2"/>
  <c r="F41" i="2"/>
  <c r="H41" i="2" s="1"/>
  <c r="I41" i="2" s="1"/>
  <c r="D41" i="2" s="1"/>
  <c r="E42" i="2"/>
  <c r="F42" i="2"/>
  <c r="G42" i="2" s="1"/>
  <c r="E43" i="2"/>
  <c r="F43" i="2"/>
  <c r="H43" i="2" s="1"/>
  <c r="I43" i="2" s="1"/>
  <c r="D43" i="2"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F15" i="2"/>
  <c r="H15" i="2" s="1"/>
  <c r="I15" i="2" s="1"/>
  <c r="D15" i="2" s="1"/>
  <c r="E15" i="2"/>
  <c r="F16" i="2"/>
  <c r="H16" i="2" s="1"/>
  <c r="I16" i="2" s="1"/>
  <c r="D16" i="2" s="1"/>
  <c r="E16" i="2"/>
  <c r="F26" i="2"/>
  <c r="H26" i="2" s="1"/>
  <c r="I26" i="2" s="1"/>
  <c r="D26" i="2" s="1"/>
  <c r="E26" i="2"/>
  <c r="F29" i="2"/>
  <c r="H29" i="2" s="1"/>
  <c r="I29" i="2" s="1"/>
  <c r="D29" i="2" s="1"/>
  <c r="E29" i="2"/>
  <c r="F30" i="2"/>
  <c r="H30" i="2" s="1"/>
  <c r="I30" i="2" s="1"/>
  <c r="D30" i="2" s="1"/>
  <c r="F31" i="2"/>
  <c r="H31" i="2" s="1"/>
  <c r="I31" i="2" s="1"/>
  <c r="D31" i="2" s="1"/>
  <c r="E31" i="2"/>
  <c r="G31" i="2" s="1"/>
  <c r="H110" i="1" s="1"/>
  <c r="H43" i="1"/>
  <c r="F32" i="2"/>
  <c r="H32" i="2" s="1"/>
  <c r="I32" i="2" s="1"/>
  <c r="D32" i="2" s="1"/>
  <c r="F14" i="2"/>
  <c r="G14" i="2" s="1"/>
  <c r="H14" i="2"/>
  <c r="I14" i="2" s="1"/>
  <c r="D14" i="2" s="1"/>
  <c r="E14" i="2"/>
  <c r="E30" i="2"/>
  <c r="E32" i="2"/>
  <c r="N4" i="17"/>
  <c r="F12" i="2"/>
  <c r="E12" i="2"/>
  <c r="G12" i="2" s="1"/>
  <c r="F11" i="2"/>
  <c r="H11" i="2" s="1"/>
  <c r="I11" i="2" s="1"/>
  <c r="E11" i="2"/>
  <c r="G11" i="2" s="1"/>
  <c r="H78" i="1" s="1"/>
  <c r="E17" i="2"/>
  <c r="F17" i="2"/>
  <c r="F9" i="2"/>
  <c r="E9" i="2"/>
  <c r="E8" i="2"/>
  <c r="F8" i="2"/>
  <c r="H8" i="2" s="1"/>
  <c r="I8" i="2" s="1"/>
  <c r="D8" i="2" s="1"/>
  <c r="E10" i="2"/>
  <c r="E4" i="2"/>
  <c r="G4" i="2" s="1"/>
  <c r="C8" i="8"/>
  <c r="F10" i="2"/>
  <c r="H10" i="2" s="1"/>
  <c r="I10" i="2" s="1"/>
  <c r="D10" i="2" s="1"/>
  <c r="F4" i="2"/>
  <c r="H4" i="2"/>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71"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61" i="2"/>
  <c r="H75" i="2"/>
  <c r="I75" i="2"/>
  <c r="D75" i="2"/>
  <c r="G86" i="2"/>
  <c r="G79" i="2"/>
  <c r="G80" i="2"/>
  <c r="H90" i="2"/>
  <c r="I90" i="2"/>
  <c r="D90" i="2"/>
  <c r="G85" i="2"/>
  <c r="G59" i="2"/>
  <c r="G74" i="2"/>
  <c r="G92" i="2"/>
  <c r="G88" i="2"/>
  <c r="G83" i="2"/>
  <c r="H65" i="2"/>
  <c r="I65" i="2"/>
  <c r="D65" i="2"/>
  <c r="H88" i="2"/>
  <c r="I88" i="2"/>
  <c r="D88" i="2"/>
  <c r="G48" i="2"/>
  <c r="G62" i="2"/>
  <c r="G52" i="2"/>
  <c r="H78" i="2"/>
  <c r="I78" i="2"/>
  <c r="D78" i="2"/>
  <c r="H86" i="2"/>
  <c r="I86" i="2"/>
  <c r="D86" i="2"/>
  <c r="H48" i="2"/>
  <c r="I48" i="2"/>
  <c r="D48" i="2"/>
  <c r="G54"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s="1"/>
  <c r="H45" i="2"/>
  <c r="I45" i="2" s="1"/>
  <c r="D45" i="2" s="1"/>
  <c r="G43" i="2"/>
  <c r="H126" i="1"/>
  <c r="G44" i="2"/>
  <c r="H127" i="1" s="1"/>
  <c r="I81" i="6"/>
  <c r="P56" i="7"/>
  <c r="C5" i="8"/>
  <c r="E48" i="7"/>
  <c r="H36" i="2"/>
  <c r="I36" i="2" s="1"/>
  <c r="D36" i="2" s="1"/>
  <c r="X36" i="9" a="1"/>
  <c r="X36" i="9" s="1"/>
  <c r="AB34" i="9" a="1"/>
  <c r="AB34" i="9" s="1"/>
  <c r="G35" i="2"/>
  <c r="H115" i="1"/>
  <c r="H34" i="2"/>
  <c r="I34" i="2"/>
  <c r="D34" i="2" s="1"/>
  <c r="G33" i="2"/>
  <c r="H112" i="1" s="1"/>
  <c r="G32" i="2"/>
  <c r="H111" i="1" s="1"/>
  <c r="G27" i="2"/>
  <c r="G6" i="2"/>
  <c r="G17" i="2"/>
  <c r="H81" i="1" s="1"/>
  <c r="G29" i="2"/>
  <c r="H106" i="1" s="1"/>
  <c r="G8" i="2"/>
  <c r="H71" i="1" s="1"/>
  <c r="G9" i="2"/>
  <c r="H66" i="1" s="1"/>
  <c r="G19" i="2"/>
  <c r="H84" i="1" s="1"/>
  <c r="G25" i="2"/>
  <c r="H95" i="1" s="1"/>
  <c r="G26" i="2"/>
  <c r="H94" i="1" s="1"/>
  <c r="G18" i="2"/>
  <c r="G23" i="2"/>
  <c r="H91" i="1" s="1"/>
  <c r="G21" i="2"/>
  <c r="H18" i="2"/>
  <c r="I18" i="2" s="1"/>
  <c r="D18" i="2" s="1"/>
  <c r="H17" i="2"/>
  <c r="I17" i="2" s="1"/>
  <c r="D17" i="2" s="1"/>
  <c r="H9" i="2"/>
  <c r="I9" i="2" s="1"/>
  <c r="D9" i="2" s="1"/>
  <c r="H12" i="2"/>
  <c r="I12" i="2"/>
  <c r="D12" i="2" s="1"/>
  <c r="B3" i="21"/>
  <c r="B15" i="21"/>
  <c r="B5" i="21"/>
  <c r="B22" i="21"/>
  <c r="B13" i="21"/>
  <c r="B26" i="21"/>
  <c r="B24" i="21"/>
  <c r="AD33" i="9"/>
  <c r="B27" i="21"/>
  <c r="B2" i="21"/>
  <c r="O114" i="9"/>
  <c r="AD35" i="9"/>
  <c r="B23" i="21"/>
  <c r="O115" i="9"/>
  <c r="O113" i="9"/>
  <c r="B9" i="21"/>
  <c r="B11" i="21"/>
  <c r="B6" i="21"/>
  <c r="B19" i="21"/>
  <c r="B12" i="21"/>
  <c r="B17" i="21"/>
  <c r="B7" i="21"/>
  <c r="B20" i="21"/>
  <c r="B8" i="21"/>
  <c r="B18" i="21"/>
  <c r="B25" i="21"/>
  <c r="B16" i="21"/>
  <c r="H97" i="1"/>
  <c r="H86" i="1"/>
  <c r="AD34" i="9"/>
  <c r="H83" i="1"/>
  <c r="H103" i="1"/>
  <c r="H98" i="1"/>
  <c r="H64" i="1"/>
  <c r="H72" i="1"/>
  <c r="AD36" i="9"/>
  <c r="C2" i="2"/>
  <c r="H61" i="1" l="1"/>
  <c r="H74" i="1"/>
  <c r="H65" i="1"/>
  <c r="H131" i="1"/>
  <c r="H120" i="1"/>
  <c r="H124" i="1"/>
  <c r="H39" i="2"/>
  <c r="I39" i="2" s="1"/>
  <c r="D39" i="2" s="1"/>
  <c r="H46" i="2"/>
  <c r="I46" i="2" s="1"/>
  <c r="D46" i="2" s="1"/>
  <c r="H73" i="1"/>
  <c r="H89" i="1"/>
  <c r="G10" i="2"/>
  <c r="H60" i="1" s="1"/>
  <c r="H42" i="2"/>
  <c r="I42" i="2" s="1"/>
  <c r="D42" i="2" s="1"/>
  <c r="G38" i="2"/>
  <c r="H119" i="1" s="1"/>
  <c r="G20" i="2"/>
  <c r="H85" i="1" s="1"/>
  <c r="G22" i="2"/>
  <c r="G34" i="2"/>
  <c r="H113" i="1" s="1"/>
  <c r="H114" i="1"/>
  <c r="G15" i="2"/>
  <c r="G7" i="2"/>
  <c r="H70" i="1"/>
  <c r="H96" i="1"/>
  <c r="H93" i="1"/>
  <c r="H68" i="1"/>
  <c r="H101" i="1"/>
  <c r="H100" i="1"/>
  <c r="H90" i="1"/>
  <c r="H130" i="1"/>
  <c r="H121" i="1"/>
  <c r="H125" i="1"/>
  <c r="H123" i="1"/>
  <c r="H82" i="1"/>
  <c r="H75" i="1"/>
  <c r="H80" i="1"/>
  <c r="H76" i="1"/>
  <c r="H62" i="1"/>
  <c r="H63" i="1"/>
  <c r="H99" i="1"/>
  <c r="G28" i="2"/>
  <c r="H132" i="1"/>
  <c r="H134" i="1"/>
  <c r="H20" i="2"/>
  <c r="I20" i="2" s="1"/>
  <c r="D20" i="2" s="1"/>
  <c r="H109" i="1"/>
  <c r="G13" i="2"/>
  <c r="H77" i="1"/>
  <c r="H116" i="1"/>
  <c r="H128" i="1"/>
  <c r="G16" i="2"/>
  <c r="H79" i="1" s="1"/>
  <c r="G30" i="2"/>
  <c r="K70" i="9" a="1"/>
  <c r="K70" i="9" s="1"/>
  <c r="J76" i="9" a="1"/>
  <c r="J76" i="9" s="1"/>
  <c r="I111" i="9"/>
  <c r="L111" i="9"/>
  <c r="AA32" i="9" s="1" a="1"/>
  <c r="AA32" i="9" s="1"/>
  <c r="O111" i="9"/>
  <c r="AD32" i="9" s="1"/>
  <c r="X32" i="9" a="1"/>
  <c r="X32" i="9" s="1"/>
  <c r="O76" i="9"/>
  <c r="J111" i="9"/>
  <c r="Y32" i="9" s="1" a="1"/>
  <c r="Y32" i="9" s="1"/>
  <c r="M111" i="9"/>
  <c r="AB32" i="9" s="1" a="1"/>
  <c r="AB32" i="9" s="1"/>
  <c r="E111" i="9"/>
  <c r="T32" i="9" s="1" a="1"/>
  <c r="T32" i="9" s="1"/>
  <c r="I76" i="9" a="1"/>
  <c r="I76" i="9" s="1"/>
  <c r="H111" i="9"/>
  <c r="L76" i="9" a="1"/>
  <c r="L76" i="9" s="1"/>
  <c r="K76" i="9" a="1"/>
  <c r="K76" i="9" s="1"/>
  <c r="F111" i="9"/>
  <c r="U32" i="9" s="1" a="1"/>
  <c r="U32" i="9" s="1"/>
  <c r="G76" i="9" a="1"/>
  <c r="G76" i="9" s="1"/>
  <c r="H76" i="9" a="1"/>
  <c r="H76" i="9" s="1"/>
  <c r="W32" i="9" a="1"/>
  <c r="W32" i="9" s="1"/>
  <c r="D111" i="9"/>
  <c r="S32" i="9" s="1" a="1"/>
  <c r="S32" i="9" s="1"/>
  <c r="C111" i="9"/>
  <c r="G111" i="9"/>
  <c r="V32" i="9" s="1" a="1"/>
  <c r="V32" i="9" s="1"/>
  <c r="R32" i="9" a="1"/>
  <c r="R32" i="9" s="1"/>
  <c r="M76" i="9" a="1"/>
  <c r="M76" i="9" s="1"/>
  <c r="K111" i="9"/>
  <c r="Z32" i="9" s="1" a="1"/>
  <c r="Z32" i="9" s="1"/>
  <c r="A3" i="20"/>
  <c r="A28" i="20"/>
  <c r="E92" i="9"/>
  <c r="T13" i="9" s="1" a="1"/>
  <c r="T13" i="9" s="1"/>
  <c r="A6" i="20"/>
  <c r="H92" i="9"/>
  <c r="W13" i="9" s="1" a="1"/>
  <c r="W13" i="9" s="1"/>
  <c r="O59" i="9"/>
  <c r="M62" i="9" a="1"/>
  <c r="M62" i="9" s="1"/>
  <c r="B49" i="9"/>
  <c r="J49" i="9" s="1" a="1"/>
  <c r="J49" i="9" s="1"/>
  <c r="B17" i="9"/>
  <c r="E17" i="9" s="1"/>
  <c r="K52" i="9" a="1"/>
  <c r="K52" i="9" s="1"/>
  <c r="A21" i="20"/>
  <c r="H99" i="9"/>
  <c r="W20" i="9" s="1" a="1"/>
  <c r="W20" i="9" s="1"/>
  <c r="I61" i="9" a="1"/>
  <c r="I61" i="9" s="1"/>
  <c r="E110" i="9"/>
  <c r="T31" i="9" s="1" a="1"/>
  <c r="T31" i="9" s="1"/>
  <c r="Q5" i="9"/>
  <c r="A2" i="20" s="1"/>
  <c r="O107" i="9"/>
  <c r="AD28" i="9" s="1"/>
  <c r="B25" i="20" s="1"/>
  <c r="A12" i="20"/>
  <c r="I98" i="9"/>
  <c r="X19" i="9" s="1" a="1"/>
  <c r="X19" i="9" s="1"/>
  <c r="H66" i="9" a="1"/>
  <c r="H66" i="9" s="1"/>
  <c r="J85" i="9"/>
  <c r="Y6" i="9" s="1" a="1"/>
  <c r="Y6" i="9" s="1"/>
  <c r="G73" i="9" a="1"/>
  <c r="G73" i="9" s="1"/>
  <c r="F100" i="9"/>
  <c r="U21" i="9" s="1" a="1"/>
  <c r="U21" i="9" s="1"/>
  <c r="K56" i="9" a="1"/>
  <c r="K56" i="9" s="1"/>
  <c r="O86" i="9"/>
  <c r="AD7" i="9" s="1"/>
  <c r="B4" i="20" s="1"/>
  <c r="A26" i="20"/>
  <c r="C95" i="9"/>
  <c r="R16" i="9" s="1" a="1"/>
  <c r="R16" i="9" s="1"/>
  <c r="L91" i="9"/>
  <c r="AA12" i="9" s="1" a="1"/>
  <c r="AA12" i="9" s="1"/>
  <c r="A23" i="20"/>
  <c r="G63" i="9" a="1"/>
  <c r="G63" i="9" s="1"/>
  <c r="K75" i="9" a="1"/>
  <c r="K75" i="9" s="1"/>
  <c r="J93" i="9"/>
  <c r="Y14" i="9" s="1" a="1"/>
  <c r="Y14" i="9" s="1"/>
  <c r="A4" i="20"/>
  <c r="G62" i="9" a="1"/>
  <c r="G62" i="9" s="1"/>
  <c r="B13" i="9"/>
  <c r="E13" i="9" s="1"/>
  <c r="A22" i="20"/>
  <c r="A8" i="20"/>
  <c r="L68" i="9" a="1"/>
  <c r="L68" i="9" s="1"/>
  <c r="I54" i="9" a="1"/>
  <c r="I54" i="9" s="1"/>
  <c r="F101" i="9"/>
  <c r="U22" i="9" s="1" a="1"/>
  <c r="U22" i="9" s="1"/>
  <c r="A13" i="20"/>
  <c r="I50" i="9" a="1"/>
  <c r="I50" i="9" s="1"/>
  <c r="C17" i="9"/>
  <c r="K99" i="9"/>
  <c r="Z20" i="9" s="1" a="1"/>
  <c r="Z20" i="9" s="1"/>
  <c r="K109" i="9"/>
  <c r="Z30" i="9" s="1" a="1"/>
  <c r="Z30" i="9" s="1"/>
  <c r="E99" i="9"/>
  <c r="T20" i="9" s="1" a="1"/>
  <c r="T20" i="9" s="1"/>
  <c r="I71" i="9" a="1"/>
  <c r="I71" i="9" s="1"/>
  <c r="I88" i="9"/>
  <c r="X9" i="9" s="1" a="1"/>
  <c r="X9" i="9" s="1"/>
  <c r="E93" i="9"/>
  <c r="T14" i="9" s="1" a="1"/>
  <c r="T14" i="9" s="1"/>
  <c r="M59" i="9" a="1"/>
  <c r="M59" i="9" s="1"/>
  <c r="J98" i="9"/>
  <c r="Y19" i="9" s="1" a="1"/>
  <c r="Y19" i="9" s="1"/>
  <c r="J92" i="9"/>
  <c r="Y13" i="9" s="1" a="1"/>
  <c r="Y13" i="9" s="1"/>
  <c r="J95" i="9"/>
  <c r="Y16" i="9" s="1" a="1"/>
  <c r="Y16" i="9" s="1"/>
  <c r="K54" i="9" a="1"/>
  <c r="K54" i="9" s="1"/>
  <c r="C108" i="9"/>
  <c r="R29" i="9" s="1" a="1"/>
  <c r="R29" i="9" s="1"/>
  <c r="B12" i="9"/>
  <c r="E12" i="9" s="1"/>
  <c r="G105" i="9"/>
  <c r="V26" i="9" s="1" a="1"/>
  <c r="V26" i="9" s="1"/>
  <c r="C104" i="9"/>
  <c r="R25" i="9" s="1" a="1"/>
  <c r="R25" i="9" s="1"/>
  <c r="D8" i="19" s="1" a="1"/>
  <c r="D8" i="19" s="1"/>
  <c r="M61" i="9" a="1"/>
  <c r="M61" i="9" s="1"/>
  <c r="H54" i="9" a="1"/>
  <c r="H54" i="9" s="1"/>
  <c r="G110" i="9"/>
  <c r="V31" i="9" s="1" a="1"/>
  <c r="V31" i="9" s="1"/>
  <c r="G97" i="9"/>
  <c r="V18" i="9" s="1" a="1"/>
  <c r="V18" i="9" s="1"/>
  <c r="O71" i="9"/>
  <c r="K105" i="9"/>
  <c r="C110" i="9"/>
  <c r="R31" i="9" s="1" a="1"/>
  <c r="R31" i="9" s="1"/>
  <c r="M70" i="9" a="1"/>
  <c r="M70" i="9" s="1"/>
  <c r="J84" i="9"/>
  <c r="Y5" i="9" s="1" a="1"/>
  <c r="Y5" i="9" s="1"/>
  <c r="D96" i="9"/>
  <c r="S17" i="9" s="1" a="1"/>
  <c r="S17" i="9" s="1"/>
  <c r="E101" i="9"/>
  <c r="T22" i="9" s="1" a="1"/>
  <c r="T22" i="9" s="1"/>
  <c r="E96" i="9"/>
  <c r="T17" i="9" s="1" a="1"/>
  <c r="T17" i="9" s="1"/>
  <c r="E109" i="9"/>
  <c r="T30" i="9" s="1" a="1"/>
  <c r="T30" i="9" s="1"/>
  <c r="O85" i="9"/>
  <c r="AD6" i="9" s="1"/>
  <c r="B3" i="20" s="1"/>
  <c r="H69" i="9" a="1"/>
  <c r="H69" i="9" s="1"/>
  <c r="B4" i="9"/>
  <c r="E4" i="9" s="1"/>
  <c r="G91" i="9"/>
  <c r="V12" i="9" s="1" a="1"/>
  <c r="V12" i="9" s="1"/>
  <c r="C88" i="9"/>
  <c r="R9" i="9" s="1" a="1"/>
  <c r="R9" i="9" s="1"/>
  <c r="C100" i="9"/>
  <c r="K102" i="9"/>
  <c r="Z23" i="9" s="1" a="1"/>
  <c r="Z23" i="9" s="1"/>
  <c r="G86" i="9"/>
  <c r="K98" i="9"/>
  <c r="Z19" i="9" s="1" a="1"/>
  <c r="Z19" i="9" s="1"/>
  <c r="M55" i="9" a="1"/>
  <c r="M55" i="9" s="1"/>
  <c r="L87" i="9"/>
  <c r="AA8" i="9" s="1" a="1"/>
  <c r="AA8" i="9" s="1"/>
  <c r="L107" i="9"/>
  <c r="AA28" i="9" s="1" a="1"/>
  <c r="AA28" i="9" s="1"/>
  <c r="H74" i="9" a="1"/>
  <c r="H74" i="9" s="1"/>
  <c r="I97" i="9"/>
  <c r="X18" i="9" s="1" a="1"/>
  <c r="X18" i="9" s="1"/>
  <c r="J91" i="9"/>
  <c r="Y12" i="9" s="1" a="1"/>
  <c r="Y12" i="9" s="1"/>
  <c r="O73" i="9"/>
  <c r="J88" i="9"/>
  <c r="Y9" i="9" s="1" a="1"/>
  <c r="Y9" i="9" s="1"/>
  <c r="M97" i="9"/>
  <c r="AB18" i="9" s="1" a="1"/>
  <c r="AB18" i="9" s="1"/>
  <c r="O109" i="9"/>
  <c r="AD30" i="9" s="1"/>
  <c r="B27" i="20" s="1"/>
  <c r="O105" i="9"/>
  <c r="AD26" i="9" s="1"/>
  <c r="B23" i="20" s="1"/>
  <c r="O96" i="9"/>
  <c r="AD17" i="9" s="1"/>
  <c r="B14" i="20" s="1"/>
  <c r="O51" i="9"/>
  <c r="G53" i="9" a="1"/>
  <c r="G53" i="9" s="1"/>
  <c r="J58" i="9" a="1"/>
  <c r="J58" i="9" s="1"/>
  <c r="D92" i="9"/>
  <c r="S13" i="9" s="1" a="1"/>
  <c r="S13" i="9" s="1"/>
  <c r="J69" i="9" a="1"/>
  <c r="J69" i="9" s="1"/>
  <c r="O103" i="9"/>
  <c r="AD24" i="9" s="1"/>
  <c r="B21" i="20" s="1"/>
  <c r="O91" i="9"/>
  <c r="L65" i="9" a="1"/>
  <c r="L65" i="9" s="1"/>
  <c r="H70" i="9" a="1"/>
  <c r="H70" i="9" s="1"/>
  <c r="K97" i="9"/>
  <c r="Z18" i="9" s="1" a="1"/>
  <c r="Z18" i="9" s="1"/>
  <c r="L56" i="9" a="1"/>
  <c r="L56" i="9" s="1"/>
  <c r="J109" i="9"/>
  <c r="Y30" i="9" s="1" a="1"/>
  <c r="Y30" i="9" s="1"/>
  <c r="K59" i="9" a="1"/>
  <c r="K59" i="9" s="1"/>
  <c r="J74" i="9" a="1"/>
  <c r="J74" i="9" s="1"/>
  <c r="D95" i="9"/>
  <c r="S16" i="9" s="1" a="1"/>
  <c r="S16" i="9" s="1"/>
  <c r="I55" i="9" a="1"/>
  <c r="I55" i="9" s="1"/>
  <c r="H53" i="9" a="1"/>
  <c r="H53" i="9" s="1"/>
  <c r="G75" i="9" a="1"/>
  <c r="G75" i="9" s="1"/>
  <c r="H84" i="9"/>
  <c r="W5" i="9" s="1" a="1"/>
  <c r="W5" i="9" s="1"/>
  <c r="I63" i="9" a="1"/>
  <c r="I63" i="9" s="1"/>
  <c r="J65" i="9" a="1"/>
  <c r="J65" i="9" s="1"/>
  <c r="C84" i="9"/>
  <c r="K71" i="9" a="1"/>
  <c r="K71" i="9" s="1"/>
  <c r="D87" i="9"/>
  <c r="S8" i="9" s="1" a="1"/>
  <c r="S8" i="9" s="1"/>
  <c r="H59" i="9" a="1"/>
  <c r="H59" i="9" s="1"/>
  <c r="L52" i="9" a="1"/>
  <c r="L52" i="9" s="1"/>
  <c r="K94" i="9"/>
  <c r="Z15" i="9" s="1" a="1"/>
  <c r="Z15" i="9" s="1"/>
  <c r="E102" i="9"/>
  <c r="T23" i="9" s="1" a="1"/>
  <c r="T23" i="9" s="1"/>
  <c r="J104" i="9"/>
  <c r="Y25" i="9" s="1" a="1"/>
  <c r="Y25" i="9" s="1"/>
  <c r="K92" i="9"/>
  <c r="H71" i="9" a="1"/>
  <c r="H71" i="9" s="1"/>
  <c r="L86" i="9"/>
  <c r="H86" i="9"/>
  <c r="W7" i="9" s="1" a="1"/>
  <c r="W7" i="9" s="1"/>
  <c r="L59" i="9" a="1"/>
  <c r="L59" i="9" s="1"/>
  <c r="F90" i="9"/>
  <c r="U11" i="9" s="1" a="1"/>
  <c r="U11" i="9" s="1"/>
  <c r="K106" i="9"/>
  <c r="Z27" i="9" s="1" a="1"/>
  <c r="Z27" i="9" s="1"/>
  <c r="F103" i="9"/>
  <c r="U24" i="9" s="1" a="1"/>
  <c r="U24" i="9" s="1"/>
  <c r="L63" i="9" a="1"/>
  <c r="L63" i="9" s="1"/>
  <c r="L98" i="9"/>
  <c r="AA19" i="9" s="1" a="1"/>
  <c r="AA19" i="9" s="1"/>
  <c r="H65" i="9" a="1"/>
  <c r="H65" i="9" s="1"/>
  <c r="D104" i="9"/>
  <c r="S25" i="9" s="1" a="1"/>
  <c r="S25" i="9" s="1"/>
  <c r="D10" i="19" s="1" a="1"/>
  <c r="D10" i="19" s="1"/>
  <c r="K64" i="9" a="1"/>
  <c r="K64" i="9" s="1"/>
  <c r="H104" i="9"/>
  <c r="W25" i="9" s="1" a="1"/>
  <c r="W25" i="9" s="1"/>
  <c r="O72" i="9"/>
  <c r="J57" i="9" a="1"/>
  <c r="J57" i="9" s="1"/>
  <c r="H63" i="9" a="1"/>
  <c r="H63" i="9" s="1"/>
  <c r="O84" i="9"/>
  <c r="AD5" i="9" s="1"/>
  <c r="B2" i="20" s="1"/>
  <c r="O95" i="9"/>
  <c r="M96" i="9"/>
  <c r="AB17" i="9" s="1" a="1"/>
  <c r="AB17" i="9" s="1"/>
  <c r="F85" i="9"/>
  <c r="U6" i="9" s="1" a="1"/>
  <c r="U6" i="9" s="1"/>
  <c r="K104" i="9"/>
  <c r="Z25" i="9" s="1" a="1"/>
  <c r="Z25" i="9" s="1"/>
  <c r="I59" i="9" a="1"/>
  <c r="I59" i="9" s="1"/>
  <c r="M110" i="9"/>
  <c r="AB31" i="9" s="1" a="1"/>
  <c r="AB31" i="9" s="1"/>
  <c r="D105" i="9"/>
  <c r="S26" i="9" s="1" a="1"/>
  <c r="S26" i="9" s="1"/>
  <c r="K50" i="9" a="1"/>
  <c r="K50" i="9" s="1"/>
  <c r="E97" i="9"/>
  <c r="T18" i="9" s="1" a="1"/>
  <c r="T18" i="9" s="1"/>
  <c r="G95" i="9"/>
  <c r="O68" i="9"/>
  <c r="K58" i="9" a="1"/>
  <c r="K58" i="9" s="1"/>
  <c r="G72" i="9" a="1"/>
  <c r="G72" i="9" s="1"/>
  <c r="I107" i="9"/>
  <c r="X28" i="9" s="1" a="1"/>
  <c r="X28" i="9" s="1"/>
  <c r="E87" i="9"/>
  <c r="H57" i="9" a="1"/>
  <c r="H57" i="9" s="1"/>
  <c r="K65" i="9" a="1"/>
  <c r="K65" i="9" s="1"/>
  <c r="M66" i="9" a="1"/>
  <c r="M66" i="9" s="1"/>
  <c r="H102" i="9"/>
  <c r="J72" i="9" a="1"/>
  <c r="J72" i="9" s="1"/>
  <c r="I58" i="9" a="1"/>
  <c r="I58" i="9" s="1"/>
  <c r="G68" i="9" a="1"/>
  <c r="G68" i="9" s="1"/>
  <c r="M49" i="9" a="1"/>
  <c r="M49" i="9" s="1"/>
  <c r="O94" i="9"/>
  <c r="AD15" i="9" s="1"/>
  <c r="B12" i="20" s="1"/>
  <c r="O90" i="9"/>
  <c r="AD11" i="9" s="1"/>
  <c r="B8" i="20" s="1"/>
  <c r="M91" i="9"/>
  <c r="AB12" i="9" s="1" a="1"/>
  <c r="AB12" i="9" s="1"/>
  <c r="J105" i="9"/>
  <c r="Y26" i="9" s="1" a="1"/>
  <c r="Y26" i="9" s="1"/>
  <c r="L57" i="9" a="1"/>
  <c r="L57" i="9" s="1"/>
  <c r="M98" i="9"/>
  <c r="AB19" i="9" s="1" a="1"/>
  <c r="AB19" i="9" s="1"/>
  <c r="J100" i="9"/>
  <c r="Y21" i="9" s="1" a="1"/>
  <c r="Y21" i="9" s="1"/>
  <c r="K51" i="9" a="1"/>
  <c r="K51" i="9" s="1"/>
  <c r="B18" i="9"/>
  <c r="E18" i="9" s="1"/>
  <c r="H109" i="9"/>
  <c r="W30" i="9" s="1" a="1"/>
  <c r="W30" i="9" s="1"/>
  <c r="M64" i="9" a="1"/>
  <c r="M64" i="9" s="1"/>
  <c r="H58" i="9" a="1"/>
  <c r="H58" i="9" s="1"/>
  <c r="O52" i="9"/>
  <c r="I60" i="9" a="1"/>
  <c r="I60" i="9" s="1"/>
  <c r="L90" i="9"/>
  <c r="AA11" i="9" s="1" a="1"/>
  <c r="AA11" i="9" s="1"/>
  <c r="I109" i="9"/>
  <c r="L66" i="9" a="1"/>
  <c r="L66" i="9" s="1"/>
  <c r="B2" i="9"/>
  <c r="E2" i="9" s="1"/>
  <c r="C12" i="19" a="1"/>
  <c r="C12" i="19" s="1"/>
  <c r="O93" i="9"/>
  <c r="AD14" i="9" s="1"/>
  <c r="B11" i="20" s="1"/>
  <c r="D109" i="9"/>
  <c r="S30" i="9" s="1" a="1"/>
  <c r="S30" i="9" s="1"/>
  <c r="D93" i="9"/>
  <c r="S14" i="9" s="1" a="1"/>
  <c r="S14" i="9" s="1"/>
  <c r="I93" i="9"/>
  <c r="X14" i="9" s="1" a="1"/>
  <c r="X14" i="9" s="1"/>
  <c r="M92" i="9"/>
  <c r="AB13" i="9" s="1" a="1"/>
  <c r="AB13" i="9" s="1"/>
  <c r="L109" i="9"/>
  <c r="AA30" i="9" s="1" a="1"/>
  <c r="AA30" i="9" s="1"/>
  <c r="O67" i="9"/>
  <c r="E90" i="9"/>
  <c r="T11" i="9" s="1" a="1"/>
  <c r="T11" i="9" s="1"/>
  <c r="H95" i="9"/>
  <c r="W16" i="9" s="1" a="1"/>
  <c r="W16" i="9" s="1"/>
  <c r="I91" i="9"/>
  <c r="X12" i="9" s="1" a="1"/>
  <c r="X12" i="9" s="1"/>
  <c r="I96" i="9"/>
  <c r="X17" i="9" s="1" a="1"/>
  <c r="X17" i="9" s="1"/>
  <c r="G94" i="9"/>
  <c r="V15" i="9" s="1" a="1"/>
  <c r="V15" i="9" s="1"/>
  <c r="L67" i="9" a="1"/>
  <c r="L67" i="9" s="1"/>
  <c r="D100" i="9"/>
  <c r="S21" i="9" s="1" a="1"/>
  <c r="S21" i="9" s="1"/>
  <c r="C96" i="9"/>
  <c r="R17" i="9" s="1" a="1"/>
  <c r="R17" i="9" s="1"/>
  <c r="I94" i="9"/>
  <c r="K63" i="9" a="1"/>
  <c r="K63" i="9" s="1"/>
  <c r="M51" i="9" a="1"/>
  <c r="M51" i="9" s="1"/>
  <c r="K69" i="9" a="1"/>
  <c r="K69" i="9" s="1"/>
  <c r="F84" i="9"/>
  <c r="U5" i="9" s="1" a="1"/>
  <c r="U5" i="9" s="1"/>
  <c r="K67" i="9" a="1"/>
  <c r="K67" i="9" s="1"/>
  <c r="L96" i="9"/>
  <c r="M87" i="9"/>
  <c r="AB8" i="9" s="1" a="1"/>
  <c r="AB8" i="9" s="1"/>
  <c r="G106" i="9"/>
  <c r="V27" i="9" s="1" a="1"/>
  <c r="V27" i="9" s="1"/>
  <c r="F104" i="9"/>
  <c r="U25" i="9" s="1" a="1"/>
  <c r="U25" i="9" s="1"/>
  <c r="D14" i="19" s="1" a="1"/>
  <c r="D14" i="19" s="1"/>
  <c r="I64" i="9" a="1"/>
  <c r="I64" i="9" s="1"/>
  <c r="K108" i="9"/>
  <c r="E100" i="9"/>
  <c r="F94" i="9"/>
  <c r="U15" i="9" s="1" a="1"/>
  <c r="U15" i="9" s="1"/>
  <c r="F107" i="9"/>
  <c r="M75" i="9" a="1"/>
  <c r="M75" i="9" s="1"/>
  <c r="G84" i="9"/>
  <c r="I84" i="9"/>
  <c r="X5" i="9" s="1" a="1"/>
  <c r="X5" i="9" s="1"/>
  <c r="M84" i="9"/>
  <c r="AB5" i="9" s="1" a="1"/>
  <c r="AB5" i="9" s="1"/>
  <c r="O99" i="9"/>
  <c r="AD20" i="9" s="1"/>
  <c r="B17" i="20" s="1"/>
  <c r="G58" i="9" a="1"/>
  <c r="G58" i="9" s="1"/>
  <c r="K93" i="9"/>
  <c r="Z14" i="9" s="1" a="1"/>
  <c r="Z14" i="9" s="1"/>
  <c r="D106" i="9"/>
  <c r="S27" i="9" s="1" a="1"/>
  <c r="S27" i="9" s="1"/>
  <c r="L71" i="9" a="1"/>
  <c r="L71" i="9" s="1"/>
  <c r="M85" i="9"/>
  <c r="C93" i="9"/>
  <c r="R14" i="9" s="1" a="1"/>
  <c r="R14" i="9" s="1"/>
  <c r="L62" i="9" a="1"/>
  <c r="L62" i="9" s="1"/>
  <c r="J52" i="9" a="1"/>
  <c r="J52" i="9" s="1"/>
  <c r="M95" i="9"/>
  <c r="AB16" i="9" s="1" a="1"/>
  <c r="AB16" i="9" s="1"/>
  <c r="I85" i="9"/>
  <c r="X6" i="9" s="1" a="1"/>
  <c r="X6" i="9" s="1"/>
  <c r="I69" i="9" a="1"/>
  <c r="I69" i="9" s="1"/>
  <c r="H98" i="9"/>
  <c r="W19" i="9" s="1" a="1"/>
  <c r="W19" i="9" s="1"/>
  <c r="J50" i="9" a="1"/>
  <c r="J50" i="9" s="1"/>
  <c r="G100" i="9"/>
  <c r="V21" i="9" s="1" a="1"/>
  <c r="V21" i="9" s="1"/>
  <c r="M106" i="9"/>
  <c r="AB27" i="9" s="1" a="1"/>
  <c r="AB27" i="9" s="1"/>
  <c r="H75" i="9" a="1"/>
  <c r="H75" i="9" s="1"/>
  <c r="E108" i="9"/>
  <c r="T29" i="9" s="1" a="1"/>
  <c r="T29" i="9" s="1"/>
  <c r="E84" i="9"/>
  <c r="T5" i="9" s="1" a="1"/>
  <c r="T5" i="9" s="1"/>
  <c r="G109" i="9"/>
  <c r="M73" i="9" a="1"/>
  <c r="M73" i="9" s="1"/>
  <c r="H61" i="9" a="1"/>
  <c r="H61" i="9" s="1"/>
  <c r="D110" i="9"/>
  <c r="S31" i="9" s="1" a="1"/>
  <c r="S31" i="9" s="1"/>
  <c r="D103" i="9"/>
  <c r="S24" i="9" s="1" a="1"/>
  <c r="S24" i="9" s="1"/>
  <c r="M107" i="9"/>
  <c r="AB28" i="9" s="1" a="1"/>
  <c r="AB28" i="9" s="1"/>
  <c r="L103" i="9"/>
  <c r="AA24" i="9" s="1" a="1"/>
  <c r="AA24" i="9" s="1"/>
  <c r="L88" i="9"/>
  <c r="E85" i="9"/>
  <c r="M50" i="9" a="1"/>
  <c r="M50" i="9" s="1"/>
  <c r="C98" i="9"/>
  <c r="R19" i="9" s="1" a="1"/>
  <c r="R19" i="9" s="1"/>
  <c r="H94" i="9"/>
  <c r="W15" i="9" s="1" a="1"/>
  <c r="W15" i="9" s="1"/>
  <c r="I52" i="9" a="1"/>
  <c r="I52" i="9" s="1"/>
  <c r="O61" i="9"/>
  <c r="I110" i="9"/>
  <c r="L49" i="9" a="1"/>
  <c r="L49" i="9" s="1"/>
  <c r="C14" i="19" a="1"/>
  <c r="C14" i="19" s="1"/>
  <c r="I49" i="9" a="1"/>
  <c r="I49" i="9" s="1"/>
  <c r="X31" i="9" a="1"/>
  <c r="X31" i="9" s="1"/>
  <c r="G92" i="9"/>
  <c r="V13" i="9" s="1" a="1"/>
  <c r="V13" i="9" s="1"/>
  <c r="J108" i="9"/>
  <c r="Y29" i="9" s="1" a="1"/>
  <c r="Y29" i="9" s="1"/>
  <c r="D86" i="9"/>
  <c r="S7" i="9" s="1" a="1"/>
  <c r="S7" i="9" s="1"/>
  <c r="G93" i="9"/>
  <c r="V14" i="9" s="1" a="1"/>
  <c r="V14" i="9" s="1"/>
  <c r="L55" i="9" a="1"/>
  <c r="L55" i="9" s="1"/>
  <c r="J75" i="9" a="1"/>
  <c r="J75" i="9" s="1"/>
  <c r="I108" i="9"/>
  <c r="C89" i="9"/>
  <c r="R10" i="9" s="1" a="1"/>
  <c r="R10" i="9" s="1"/>
  <c r="L75" i="9" a="1"/>
  <c r="L75" i="9" s="1"/>
  <c r="D89" i="9"/>
  <c r="S10" i="9" s="1" a="1"/>
  <c r="S10" i="9" s="1"/>
  <c r="C101" i="9"/>
  <c r="R22" i="9" s="1" a="1"/>
  <c r="R22" i="9" s="1"/>
  <c r="A9" i="20"/>
  <c r="C49" i="9" a="1"/>
  <c r="C49" i="9" s="1"/>
  <c r="E49" i="9" a="1"/>
  <c r="E49" i="9" s="1"/>
  <c r="D84" i="9"/>
  <c r="S5" i="9" s="1" a="1"/>
  <c r="S5" i="9" s="1"/>
  <c r="J71" i="9" a="1"/>
  <c r="J71" i="9" s="1"/>
  <c r="H60" i="9" a="1"/>
  <c r="H60" i="9" s="1"/>
  <c r="F110" i="9"/>
  <c r="U31" i="9" s="1" a="1"/>
  <c r="U31" i="9" s="1"/>
  <c r="O92" i="9"/>
  <c r="AD13" i="9" s="1"/>
  <c r="B10" i="20" s="1"/>
  <c r="I86" i="9"/>
  <c r="X7" i="9" s="1" a="1"/>
  <c r="X7" i="9" s="1"/>
  <c r="I62" i="9" a="1"/>
  <c r="I62" i="9" s="1"/>
  <c r="K89" i="9"/>
  <c r="Z10" i="9" s="1" a="1"/>
  <c r="Z10" i="9" s="1"/>
  <c r="L99" i="9"/>
  <c r="AA20" i="9" s="1" a="1"/>
  <c r="AA20" i="9" s="1"/>
  <c r="C94" i="9"/>
  <c r="R15" i="9" s="1" a="1"/>
  <c r="R15" i="9" s="1"/>
  <c r="O49" i="9"/>
  <c r="E95" i="9"/>
  <c r="T16" i="9" s="1" a="1"/>
  <c r="T16" i="9" s="1"/>
  <c r="G107" i="9"/>
  <c r="V28" i="9" s="1" a="1"/>
  <c r="V28" i="9" s="1"/>
  <c r="G98" i="9"/>
  <c r="V19" i="9" s="1" a="1"/>
  <c r="V19" i="9" s="1"/>
  <c r="M56" i="9" a="1"/>
  <c r="M56" i="9" s="1"/>
  <c r="E105" i="9"/>
  <c r="T26" i="9" s="1" a="1"/>
  <c r="T26" i="9" s="1"/>
  <c r="C91" i="9"/>
  <c r="R12" i="9" s="1" a="1"/>
  <c r="R12" i="9" s="1"/>
  <c r="I70" i="9" a="1"/>
  <c r="I70" i="9" s="1"/>
  <c r="J96" i="9"/>
  <c r="Y17" i="9" s="1" a="1"/>
  <c r="Y17" i="9" s="1"/>
  <c r="L101" i="9"/>
  <c r="AA22" i="9" s="1" a="1"/>
  <c r="AA22" i="9" s="1"/>
  <c r="O75" i="9"/>
  <c r="O110" i="9"/>
  <c r="AD31" i="9" s="1"/>
  <c r="B28" i="20" s="1"/>
  <c r="F88" i="9"/>
  <c r="U9" i="9" s="1" a="1"/>
  <c r="U9" i="9" s="1"/>
  <c r="A10" i="20"/>
  <c r="C12" i="9"/>
  <c r="G59" i="9" a="1"/>
  <c r="G59" i="9" s="1"/>
  <c r="K84" i="9"/>
  <c r="Z5" i="9" s="1" a="1"/>
  <c r="Z5" i="9" s="1"/>
  <c r="O104" i="9"/>
  <c r="AD25" i="9" s="1"/>
  <c r="B22" i="20" s="1"/>
  <c r="J67" i="9" a="1"/>
  <c r="J67" i="9" s="1"/>
  <c r="O65" i="9"/>
  <c r="A11" i="20"/>
  <c r="J97" i="9"/>
  <c r="Y18" i="9" s="1" a="1"/>
  <c r="Y18" i="9" s="1"/>
  <c r="L110" i="9"/>
  <c r="AA31" i="9" s="1" a="1"/>
  <c r="AA31" i="9" s="1"/>
  <c r="A5" i="20"/>
  <c r="E89" i="9"/>
  <c r="T10" i="9" s="1" a="1"/>
  <c r="T10" i="9" s="1"/>
  <c r="M103" i="9"/>
  <c r="AB24" i="9" s="1" a="1"/>
  <c r="AB24" i="9" s="1"/>
  <c r="L89" i="9"/>
  <c r="AA10" i="9" s="1" a="1"/>
  <c r="AA10" i="9" s="1"/>
  <c r="M65" i="9" a="1"/>
  <c r="M65" i="9" s="1"/>
  <c r="M100" i="9"/>
  <c r="AB21" i="9" s="1" a="1"/>
  <c r="AB21" i="9" s="1"/>
  <c r="C105" i="9"/>
  <c r="R26" i="9" s="1" a="1"/>
  <c r="R26" i="9" s="1"/>
  <c r="C87" i="9"/>
  <c r="R8" i="9" s="1" a="1"/>
  <c r="R8" i="9" s="1"/>
  <c r="G87" i="9"/>
  <c r="V8" i="9" s="1" a="1"/>
  <c r="V8" i="9" s="1"/>
  <c r="H110" i="9"/>
  <c r="I105" i="9"/>
  <c r="X26" i="9" s="1" a="1"/>
  <c r="X26" i="9" s="1"/>
  <c r="E94" i="9"/>
  <c r="T15" i="9" s="1" a="1"/>
  <c r="T15" i="9" s="1"/>
  <c r="C107" i="9"/>
  <c r="R28" i="9" s="1" a="1"/>
  <c r="R28" i="9" s="1"/>
  <c r="B7" i="9"/>
  <c r="I75" i="9" a="1"/>
  <c r="I75" i="9" s="1"/>
  <c r="J70" i="9" a="1"/>
  <c r="J70" i="9" s="1"/>
  <c r="I65" i="9" a="1"/>
  <c r="I65" i="9" s="1"/>
  <c r="I73" i="9" a="1"/>
  <c r="I73" i="9" s="1"/>
  <c r="J102" i="9"/>
  <c r="Y23" i="9" s="1" a="1"/>
  <c r="Y23" i="9" s="1"/>
  <c r="H89" i="9"/>
  <c r="W10" i="9" s="1" a="1"/>
  <c r="W10" i="9" s="1"/>
  <c r="F106" i="9"/>
  <c r="U27" i="9" s="1" a="1"/>
  <c r="U27" i="9" s="1"/>
  <c r="R5" i="9" a="1"/>
  <c r="R5" i="9" s="1"/>
  <c r="AD12" i="9"/>
  <c r="B9" i="20" s="1"/>
  <c r="F49" i="9" a="1"/>
  <c r="F49" i="9" s="1"/>
  <c r="O100" i="9"/>
  <c r="AD21" i="9" s="1"/>
  <c r="B18" i="20" s="1"/>
  <c r="O102" i="9"/>
  <c r="AD23" i="9" s="1"/>
  <c r="B20" i="20" s="1"/>
  <c r="M90" i="9"/>
  <c r="AB11" i="9" s="1" a="1"/>
  <c r="AB11" i="9" s="1"/>
  <c r="C86" i="9"/>
  <c r="R7" i="9" s="1" a="1"/>
  <c r="R7" i="9" s="1"/>
  <c r="A7" i="20"/>
  <c r="J68" i="9" a="1"/>
  <c r="J68" i="9" s="1"/>
  <c r="J101" i="9"/>
  <c r="Y22" i="9" s="1" a="1"/>
  <c r="Y22" i="9" s="1"/>
  <c r="G55" i="9" a="1"/>
  <c r="G55" i="9" s="1"/>
  <c r="M99" i="9"/>
  <c r="AB20" i="9" s="1" a="1"/>
  <c r="AB20" i="9" s="1"/>
  <c r="G65" i="9" a="1"/>
  <c r="G65" i="9" s="1"/>
  <c r="M54" i="9" a="1"/>
  <c r="M54" i="9" s="1"/>
  <c r="K110" i="9"/>
  <c r="Z31" i="9" s="1" a="1"/>
  <c r="Z31" i="9" s="1"/>
  <c r="L54" i="9" a="1"/>
  <c r="L54" i="9" s="1"/>
  <c r="J110" i="9"/>
  <c r="Y31" i="9" s="1" a="1"/>
  <c r="Y31" i="9" s="1"/>
  <c r="K66" i="9" a="1"/>
  <c r="K66" i="9" s="1"/>
  <c r="E104" i="9"/>
  <c r="T25" i="9" s="1" a="1"/>
  <c r="T25" i="9" s="1"/>
  <c r="D12" i="19" s="1" a="1"/>
  <c r="D12" i="19" s="1"/>
  <c r="I67" i="9" a="1"/>
  <c r="I67" i="9" s="1"/>
  <c r="L104" i="9"/>
  <c r="AA25" i="9" s="1" a="1"/>
  <c r="AA25" i="9" s="1"/>
  <c r="L61" i="9" a="1"/>
  <c r="L61" i="9" s="1"/>
  <c r="J61" i="9" a="1"/>
  <c r="J61" i="9" s="1"/>
  <c r="H106" i="9"/>
  <c r="W27" i="9" s="1" a="1"/>
  <c r="W27" i="9" s="1"/>
  <c r="H88" i="9"/>
  <c r="W9" i="9" s="1" a="1"/>
  <c r="W9" i="9" s="1"/>
  <c r="O56" i="9"/>
  <c r="L53" i="9" a="1"/>
  <c r="L53" i="9" s="1"/>
  <c r="F95" i="9"/>
  <c r="F102" i="9"/>
  <c r="A19" i="20"/>
  <c r="H50" i="9" a="1"/>
  <c r="H50" i="9" s="1"/>
  <c r="H49" i="9" a="1"/>
  <c r="H49" i="9" s="1"/>
  <c r="K49" i="9" a="1"/>
  <c r="K49" i="9" s="1"/>
  <c r="L84" i="9"/>
  <c r="AA5" i="9" s="1" a="1"/>
  <c r="AA5" i="9" s="1"/>
  <c r="H90" i="9"/>
  <c r="W11" i="9" s="1" a="1"/>
  <c r="W11" i="9" s="1"/>
  <c r="J73" i="9" a="1"/>
  <c r="J73" i="9" s="1"/>
  <c r="O70" i="9"/>
  <c r="K103" i="9"/>
  <c r="Z24" i="9" s="1" a="1"/>
  <c r="Z24" i="9" s="1"/>
  <c r="H100" i="9"/>
  <c r="W21" i="9" s="1" a="1"/>
  <c r="W21" i="9" s="1"/>
  <c r="D108" i="9"/>
  <c r="S29" i="9" s="1" a="1"/>
  <c r="S29" i="9" s="1"/>
  <c r="M60" i="9" a="1"/>
  <c r="M60" i="9" s="1"/>
  <c r="L72" i="9" a="1"/>
  <c r="L72" i="9" s="1"/>
  <c r="G89" i="9"/>
  <c r="V10" i="9" s="1" a="1"/>
  <c r="V10" i="9" s="1"/>
  <c r="I92" i="9"/>
  <c r="X13" i="9" s="1" a="1"/>
  <c r="X13" i="9" s="1"/>
  <c r="J106" i="9"/>
  <c r="Y27" i="9" s="1" a="1"/>
  <c r="Y27" i="9" s="1"/>
  <c r="T8" i="9" a="1"/>
  <c r="T8" i="9" s="1"/>
  <c r="B8" i="9"/>
  <c r="I89" i="9"/>
  <c r="X10" i="9" s="1" a="1"/>
  <c r="X10" i="9" s="1"/>
  <c r="J94" i="9"/>
  <c r="Y15" i="9" s="1" a="1"/>
  <c r="Y15" i="9" s="1"/>
  <c r="K53" i="9" a="1"/>
  <c r="K53" i="9" s="1"/>
  <c r="L50" i="9" a="1"/>
  <c r="L50" i="9" s="1"/>
  <c r="H107" i="9"/>
  <c r="W28" i="9" s="1" a="1"/>
  <c r="W28" i="9" s="1"/>
  <c r="J55" i="9" a="1"/>
  <c r="J55" i="9" s="1"/>
  <c r="O66" i="9"/>
  <c r="L97" i="9"/>
  <c r="AA18" i="9" s="1" a="1"/>
  <c r="AA18" i="9" s="1"/>
  <c r="B14" i="9"/>
  <c r="I104" i="9"/>
  <c r="X25" i="9" s="1" a="1"/>
  <c r="X25" i="9" s="1"/>
  <c r="L102" i="9"/>
  <c r="AA23" i="9" s="1" a="1"/>
  <c r="AA23" i="9" s="1"/>
  <c r="K74" i="9" a="1"/>
  <c r="K74" i="9" s="1"/>
  <c r="H68" i="9" a="1"/>
  <c r="H68" i="9" s="1"/>
  <c r="G104" i="9"/>
  <c r="V25" i="9" s="1" a="1"/>
  <c r="V25" i="9" s="1"/>
  <c r="M53" i="9" a="1"/>
  <c r="M53" i="9" s="1"/>
  <c r="M105" i="9"/>
  <c r="AB26" i="9" s="1" a="1"/>
  <c r="AB26" i="9" s="1"/>
  <c r="G66" i="9" a="1"/>
  <c r="G66" i="9" s="1"/>
  <c r="M71" i="9" a="1"/>
  <c r="M71" i="9" s="1"/>
  <c r="K100" i="9"/>
  <c r="Z21" i="9" s="1" a="1"/>
  <c r="Z21" i="9" s="1"/>
  <c r="M101" i="9"/>
  <c r="AB22" i="9" s="1" a="1"/>
  <c r="AB22" i="9" s="1"/>
  <c r="J90" i="9"/>
  <c r="Y11" i="9" s="1" a="1"/>
  <c r="Y11" i="9" s="1"/>
  <c r="G108" i="9"/>
  <c r="V29" i="9" s="1" a="1"/>
  <c r="V29" i="9" s="1"/>
  <c r="I56" i="9" a="1"/>
  <c r="I56" i="9" s="1"/>
  <c r="J86" i="9"/>
  <c r="Y7" i="9" s="1" a="1"/>
  <c r="Y7" i="9" s="1"/>
  <c r="J107" i="9"/>
  <c r="Y28" i="9" s="1" a="1"/>
  <c r="Y28" i="9" s="1"/>
  <c r="E86" i="9"/>
  <c r="T7" i="9" s="1" a="1"/>
  <c r="T7" i="9" s="1"/>
  <c r="F98" i="9"/>
  <c r="U19" i="9" s="1" a="1"/>
  <c r="U19" i="9" s="1"/>
  <c r="J51" i="9" a="1"/>
  <c r="J51" i="9" s="1"/>
  <c r="J63" i="9" a="1"/>
  <c r="J63" i="9" s="1"/>
  <c r="H55" i="9" a="1"/>
  <c r="H55" i="9" s="1"/>
  <c r="M63" i="9" a="1"/>
  <c r="M63" i="9" s="1"/>
  <c r="F86" i="9"/>
  <c r="U7" i="9" s="1" a="1"/>
  <c r="U7" i="9" s="1"/>
  <c r="J59" i="9" a="1"/>
  <c r="J59" i="9" s="1"/>
  <c r="D98" i="9"/>
  <c r="S19" i="9" s="1" a="1"/>
  <c r="S19" i="9" s="1"/>
  <c r="G74" i="9" a="1"/>
  <c r="G74" i="9" s="1"/>
  <c r="T6" i="9" a="1"/>
  <c r="T6" i="9" s="1"/>
  <c r="M67" i="9" a="1"/>
  <c r="M67" i="9" s="1"/>
  <c r="K61" i="9" a="1"/>
  <c r="K61" i="9" s="1"/>
  <c r="C99" i="9"/>
  <c r="R20" i="9" s="1" a="1"/>
  <c r="R20" i="9" s="1"/>
  <c r="K62" i="9" a="1"/>
  <c r="K62" i="9" s="1"/>
  <c r="D91" i="9"/>
  <c r="S12" i="9" s="1" a="1"/>
  <c r="S12" i="9" s="1"/>
  <c r="G67" i="9" a="1"/>
  <c r="G67" i="9" s="1"/>
  <c r="F99" i="9"/>
  <c r="U20" i="9" s="1" a="1"/>
  <c r="U20" i="9" s="1"/>
  <c r="B3" i="9"/>
  <c r="J60" i="9" a="1"/>
  <c r="J60" i="9" s="1"/>
  <c r="I51" i="9" a="1"/>
  <c r="I51" i="9" s="1"/>
  <c r="K55" i="9" a="1"/>
  <c r="K55" i="9" s="1"/>
  <c r="C90" i="9"/>
  <c r="R11" i="9" s="1" a="1"/>
  <c r="R11" i="9" s="1"/>
  <c r="I99" i="9"/>
  <c r="X20" i="9" s="1" a="1"/>
  <c r="X20" i="9" s="1"/>
  <c r="J64" i="9" a="1"/>
  <c r="J64" i="9" s="1"/>
  <c r="K90" i="9"/>
  <c r="Z11" i="9" s="1" a="1"/>
  <c r="Z11" i="9" s="1"/>
  <c r="L105" i="9"/>
  <c r="AA26" i="9" s="1" a="1"/>
  <c r="AA26" i="9" s="1"/>
  <c r="L74" i="9" a="1"/>
  <c r="L74" i="9" s="1"/>
  <c r="K96" i="9"/>
  <c r="Z17" i="9" s="1" a="1"/>
  <c r="Z17" i="9" s="1"/>
  <c r="F96" i="9"/>
  <c r="U17" i="9" s="1" a="1"/>
  <c r="U17" i="9" s="1"/>
  <c r="M52" i="9" a="1"/>
  <c r="M52" i="9" s="1"/>
  <c r="C106" i="9"/>
  <c r="R27" i="9" s="1" a="1"/>
  <c r="R27" i="9" s="1"/>
  <c r="G101" i="9"/>
  <c r="V22" i="9" s="1" a="1"/>
  <c r="V22" i="9" s="1"/>
  <c r="M108" i="9"/>
  <c r="AB29" i="9" s="1" a="1"/>
  <c r="AB29" i="9" s="1"/>
  <c r="M69" i="9" a="1"/>
  <c r="M69" i="9" s="1"/>
  <c r="G70" i="9" a="1"/>
  <c r="G70" i="9" s="1"/>
  <c r="E88" i="9"/>
  <c r="O55" i="9"/>
  <c r="Z13" i="9" a="1"/>
  <c r="Z13" i="9" s="1"/>
  <c r="O54" i="9"/>
  <c r="H108" i="9"/>
  <c r="W29" i="9" s="1" a="1"/>
  <c r="W29" i="9" s="1"/>
  <c r="L93" i="9"/>
  <c r="AA14" i="9" s="1" a="1"/>
  <c r="AA14" i="9" s="1"/>
  <c r="L58" i="9" a="1"/>
  <c r="L58" i="9" s="1"/>
  <c r="M94" i="9"/>
  <c r="AB15" i="9" s="1" a="1"/>
  <c r="AB15" i="9" s="1"/>
  <c r="O69" i="9"/>
  <c r="I74" i="9" a="1"/>
  <c r="I74" i="9" s="1"/>
  <c r="L94" i="9"/>
  <c r="AA15" i="9" s="1" a="1"/>
  <c r="AA15" i="9" s="1"/>
  <c r="F109" i="9"/>
  <c r="U30" i="9" s="1" a="1"/>
  <c r="U30" i="9" s="1"/>
  <c r="O87" i="9"/>
  <c r="AD8" i="9" s="1"/>
  <c r="B5" i="20" s="1"/>
  <c r="F97" i="9"/>
  <c r="U18" i="9" s="1" a="1"/>
  <c r="U18" i="9" s="1"/>
  <c r="F108" i="9"/>
  <c r="U29" i="9" s="1" a="1"/>
  <c r="U29" i="9" s="1"/>
  <c r="J66" i="9" a="1"/>
  <c r="J66" i="9" s="1"/>
  <c r="J87" i="9"/>
  <c r="Y8" i="9" s="1" a="1"/>
  <c r="Y8" i="9" s="1"/>
  <c r="B5" i="9"/>
  <c r="G52" i="9" a="1"/>
  <c r="G52" i="9" s="1"/>
  <c r="I103" i="9"/>
  <c r="X24" i="9" s="1" a="1"/>
  <c r="X24" i="9" s="1"/>
  <c r="D97" i="9"/>
  <c r="S18" i="9" s="1" a="1"/>
  <c r="S18" i="9" s="1"/>
  <c r="F105" i="9"/>
  <c r="U26" i="9" s="1" a="1"/>
  <c r="U26" i="9" s="1"/>
  <c r="E91" i="9"/>
  <c r="T12" i="9" s="1" a="1"/>
  <c r="T12" i="9" s="1"/>
  <c r="J89" i="9"/>
  <c r="Y10" i="9" s="1" a="1"/>
  <c r="Y10" i="9" s="1"/>
  <c r="T9" i="9" a="1"/>
  <c r="T9" i="9" s="1"/>
  <c r="D85" i="9"/>
  <c r="S6" i="9" s="1" a="1"/>
  <c r="S6" i="9" s="1"/>
  <c r="H62" i="9" a="1"/>
  <c r="H62" i="9" s="1"/>
  <c r="G90" i="9"/>
  <c r="V11" i="9" s="1" a="1"/>
  <c r="V11" i="9" s="1"/>
  <c r="O98" i="9"/>
  <c r="AD19" i="9" s="1"/>
  <c r="B16" i="20" s="1"/>
  <c r="F89" i="9"/>
  <c r="U10" i="9" s="1" a="1"/>
  <c r="U10" i="9" s="1"/>
  <c r="B10" i="9"/>
  <c r="K72" i="9" a="1"/>
  <c r="K72" i="9" s="1"/>
  <c r="C103" i="9"/>
  <c r="R24" i="9" s="1" a="1"/>
  <c r="R24" i="9" s="1"/>
  <c r="M93" i="9"/>
  <c r="AB14" i="9" s="1" a="1"/>
  <c r="AB14" i="9" s="1"/>
  <c r="G102" i="9"/>
  <c r="H103" i="9"/>
  <c r="W24" i="9" s="1" a="1"/>
  <c r="W24" i="9" s="1"/>
  <c r="H56" i="9" a="1"/>
  <c r="H56" i="9" s="1"/>
  <c r="E98" i="9"/>
  <c r="T19" i="9" s="1" a="1"/>
  <c r="T19" i="9" s="1"/>
  <c r="H91" i="9"/>
  <c r="W12" i="9" s="1" a="1"/>
  <c r="W12" i="9" s="1"/>
  <c r="G61" i="9" a="1"/>
  <c r="G61" i="9" s="1"/>
  <c r="M104" i="9"/>
  <c r="AB25" i="9" s="1" a="1"/>
  <c r="AB25" i="9" s="1"/>
  <c r="I87" i="9"/>
  <c r="X8" i="9" s="1" a="1"/>
  <c r="X8" i="9" s="1"/>
  <c r="B11" i="9"/>
  <c r="J56" i="9" a="1"/>
  <c r="J56" i="9" s="1"/>
  <c r="D90" i="9"/>
  <c r="S11" i="9" s="1" a="1"/>
  <c r="S11" i="9" s="1"/>
  <c r="K87" i="9"/>
  <c r="Z8" i="9" s="1" a="1"/>
  <c r="Z8" i="9" s="1"/>
  <c r="K73" i="9" a="1"/>
  <c r="K73" i="9" s="1"/>
  <c r="G50" i="9" a="1"/>
  <c r="G50" i="9" s="1"/>
  <c r="G57" i="9" a="1"/>
  <c r="G57" i="9" s="1"/>
  <c r="D99" i="9"/>
  <c r="S20" i="9" s="1" a="1"/>
  <c r="S20" i="9" s="1"/>
  <c r="F92" i="9"/>
  <c r="U13" i="9" s="1" a="1"/>
  <c r="U13" i="9" s="1"/>
  <c r="H52" i="9" a="1"/>
  <c r="H52" i="9" s="1"/>
  <c r="I90" i="9"/>
  <c r="X11" i="9" s="1" a="1"/>
  <c r="X11" i="9" s="1"/>
  <c r="I106" i="9"/>
  <c r="X27" i="9" s="1" a="1"/>
  <c r="X27" i="9" s="1"/>
  <c r="O63" i="9"/>
  <c r="M68" i="9" a="1"/>
  <c r="M68" i="9" s="1"/>
  <c r="B16" i="9"/>
  <c r="L95" i="9"/>
  <c r="AA16" i="9" s="1" a="1"/>
  <c r="AA16" i="9" s="1"/>
  <c r="L60" i="9" a="1"/>
  <c r="L60" i="9" s="1"/>
  <c r="U28" i="9" a="1"/>
  <c r="U28" i="9" s="1"/>
  <c r="X30" i="9" a="1"/>
  <c r="X30" i="9" s="1"/>
  <c r="O74" i="9"/>
  <c r="U16" i="9" a="1"/>
  <c r="U16" i="9" s="1"/>
  <c r="C85" i="9"/>
  <c r="R6" i="9" s="1" a="1"/>
  <c r="R6" i="9" s="1"/>
  <c r="K68" i="9" a="1"/>
  <c r="K68" i="9" s="1"/>
  <c r="I102" i="9"/>
  <c r="X23" i="9" s="1" a="1"/>
  <c r="X23" i="9" s="1"/>
  <c r="W23" i="9" a="1"/>
  <c r="W23" i="9" s="1"/>
  <c r="B6" i="9"/>
  <c r="T21" i="9" a="1"/>
  <c r="T21" i="9" s="1"/>
  <c r="M57" i="9" a="1"/>
  <c r="M57" i="9" s="1"/>
  <c r="K95" i="9"/>
  <c r="Z16" i="9" s="1" a="1"/>
  <c r="Z16" i="9" s="1"/>
  <c r="H73" i="9" a="1"/>
  <c r="H73" i="9" s="1"/>
  <c r="J103" i="9"/>
  <c r="Y24" i="9" s="1" a="1"/>
  <c r="Y24" i="9" s="1"/>
  <c r="D102" i="9"/>
  <c r="S23" i="9" s="1" a="1"/>
  <c r="S23" i="9" s="1"/>
  <c r="I100" i="9"/>
  <c r="X21" i="9" s="1" a="1"/>
  <c r="X21" i="9" s="1"/>
  <c r="H101" i="9"/>
  <c r="W22" i="9" s="1" a="1"/>
  <c r="W22" i="9" s="1"/>
  <c r="H67" i="9" a="1"/>
  <c r="H67" i="9" s="1"/>
  <c r="I68" i="9" a="1"/>
  <c r="I68" i="9" s="1"/>
  <c r="J54" i="9" a="1"/>
  <c r="J54" i="9" s="1"/>
  <c r="Z26" i="9" a="1"/>
  <c r="Z26" i="9" s="1"/>
  <c r="D107" i="9"/>
  <c r="S28" i="9" s="1" a="1"/>
  <c r="S28" i="9" s="1"/>
  <c r="K85" i="9"/>
  <c r="Z6" i="9" s="1" a="1"/>
  <c r="Z6" i="9" s="1"/>
  <c r="L92" i="9"/>
  <c r="AA13" i="9" s="1" a="1"/>
  <c r="AA13" i="9" s="1"/>
  <c r="M86" i="9"/>
  <c r="AB7" i="9" s="1" a="1"/>
  <c r="AB7" i="9" s="1"/>
  <c r="L106" i="9"/>
  <c r="AA27" i="9" s="1" a="1"/>
  <c r="AA27" i="9" s="1"/>
  <c r="H64" i="9" a="1"/>
  <c r="H64" i="9" s="1"/>
  <c r="AA17" i="9" a="1"/>
  <c r="AA17" i="9" s="1"/>
  <c r="I101" i="9"/>
  <c r="X22" i="9" s="1" a="1"/>
  <c r="X22" i="9" s="1"/>
  <c r="O57" i="9"/>
  <c r="K88" i="9"/>
  <c r="Z9" i="9" s="1" a="1"/>
  <c r="Z9" i="9" s="1"/>
  <c r="D49" i="9" a="1"/>
  <c r="D49" i="9" s="1"/>
  <c r="O50" i="9"/>
  <c r="F93" i="9"/>
  <c r="U14" i="9" s="1" a="1"/>
  <c r="U14" i="9" s="1"/>
  <c r="M102" i="9"/>
  <c r="AB23" i="9" s="1" a="1"/>
  <c r="AB23" i="9" s="1"/>
  <c r="H96" i="9"/>
  <c r="W17" i="9" s="1" a="1"/>
  <c r="W17" i="9" s="1"/>
  <c r="K60" i="9" a="1"/>
  <c r="K60" i="9" s="1"/>
  <c r="O53" i="9"/>
  <c r="G71" i="9" a="1"/>
  <c r="G71" i="9" s="1"/>
  <c r="B9" i="9"/>
  <c r="H85" i="9"/>
  <c r="W6" i="9" s="1" a="1"/>
  <c r="W6" i="9" s="1"/>
  <c r="O108" i="9"/>
  <c r="AD29" i="9" s="1"/>
  <c r="B26" i="20" s="1"/>
  <c r="O101" i="9"/>
  <c r="AD22" i="9" s="1"/>
  <c r="B19" i="20" s="1"/>
  <c r="O89" i="9"/>
  <c r="AD10" i="9" s="1"/>
  <c r="B7" i="20" s="1"/>
  <c r="H51" i="9" a="1"/>
  <c r="H51" i="9" s="1"/>
  <c r="L100" i="9"/>
  <c r="AA21" i="9" s="1" a="1"/>
  <c r="AA21" i="9" s="1"/>
  <c r="M89" i="9"/>
  <c r="AB10" i="9" s="1" a="1"/>
  <c r="AB10" i="9" s="1"/>
  <c r="G96" i="9"/>
  <c r="V17" i="9" s="1" a="1"/>
  <c r="V17" i="9" s="1"/>
  <c r="G64" i="9" a="1"/>
  <c r="G64" i="9" s="1"/>
  <c r="L64" i="9" a="1"/>
  <c r="L64" i="9" s="1"/>
  <c r="D101" i="9"/>
  <c r="S22" i="9" s="1" a="1"/>
  <c r="S22" i="9" s="1"/>
  <c r="K57" i="9" a="1"/>
  <c r="K57" i="9" s="1"/>
  <c r="M58" i="9" a="1"/>
  <c r="M58" i="9" s="1"/>
  <c r="K101" i="9"/>
  <c r="Z22" i="9" s="1" a="1"/>
  <c r="Z22" i="9" s="1"/>
  <c r="K107" i="9"/>
  <c r="Z28" i="9" s="1" a="1"/>
  <c r="Z28" i="9" s="1"/>
  <c r="L51" i="9" a="1"/>
  <c r="L51" i="9" s="1"/>
  <c r="H97" i="9"/>
  <c r="W18" i="9" s="1" a="1"/>
  <c r="W18" i="9" s="1"/>
  <c r="O62" i="9"/>
  <c r="E103" i="9"/>
  <c r="T24" i="9" s="1" a="1"/>
  <c r="T24" i="9" s="1"/>
  <c r="E106" i="9"/>
  <c r="T27" i="9" s="1" a="1"/>
  <c r="T27" i="9" s="1"/>
  <c r="K86" i="9"/>
  <c r="Z7" i="9" s="1" a="1"/>
  <c r="Z7" i="9" s="1"/>
  <c r="L85" i="9"/>
  <c r="AA6" i="9" s="1" a="1"/>
  <c r="AA6" i="9" s="1"/>
  <c r="E107" i="9"/>
  <c r="T28" i="9" s="1" a="1"/>
  <c r="T28" i="9" s="1"/>
  <c r="O88" i="9"/>
  <c r="AD9" i="9" s="1"/>
  <c r="B6" i="20" s="1"/>
  <c r="O106" i="9"/>
  <c r="AD27" i="9" s="1"/>
  <c r="B24" i="20" s="1"/>
  <c r="AD16" i="9"/>
  <c r="B13" i="20" s="1"/>
  <c r="K91" i="9"/>
  <c r="Z12" i="9" s="1" a="1"/>
  <c r="Z12" i="9" s="1"/>
  <c r="A20" i="20"/>
  <c r="B15" i="9"/>
  <c r="D94" i="9"/>
  <c r="S15" i="9" s="1" a="1"/>
  <c r="S15" i="9" s="1"/>
  <c r="O58" i="9"/>
  <c r="D88" i="9"/>
  <c r="S9" i="9" s="1" a="1"/>
  <c r="S9" i="9" s="1"/>
  <c r="F87" i="9"/>
  <c r="U8" i="9" s="1" a="1"/>
  <c r="U8" i="9" s="1"/>
  <c r="F91" i="9"/>
  <c r="U12" i="9" s="1" a="1"/>
  <c r="U12" i="9" s="1"/>
  <c r="AB6" i="9" a="1"/>
  <c r="AB6" i="9" s="1"/>
  <c r="A24" i="20"/>
  <c r="C109" i="9"/>
  <c r="R30" i="9" s="1" a="1"/>
  <c r="R30" i="9" s="1"/>
  <c r="R21" i="9" a="1"/>
  <c r="R21" i="9" s="1"/>
  <c r="H87" i="9"/>
  <c r="W8" i="9" s="1" a="1"/>
  <c r="W8" i="9" s="1"/>
  <c r="G88" i="9"/>
  <c r="I95" i="9"/>
  <c r="X16" i="9" s="1" a="1"/>
  <c r="X16" i="9" s="1"/>
  <c r="L73" i="9" a="1"/>
  <c r="L73" i="9" s="1"/>
  <c r="M88" i="9"/>
  <c r="AB9" i="9" s="1" a="1"/>
  <c r="AB9" i="9" s="1"/>
  <c r="O60" i="9"/>
  <c r="H105" i="9"/>
  <c r="V30" i="9" a="1"/>
  <c r="V30" i="9" s="1"/>
  <c r="J53" i="9" a="1"/>
  <c r="J53" i="9" s="1"/>
  <c r="G85" i="9"/>
  <c r="V6" i="9" s="1" a="1"/>
  <c r="V6" i="9" s="1"/>
  <c r="I72" i="9" a="1"/>
  <c r="I72" i="9" s="1"/>
  <c r="L108" i="9"/>
  <c r="AA29" i="9" s="1" a="1"/>
  <c r="AA29" i="9" s="1"/>
  <c r="I57" i="9" a="1"/>
  <c r="I57" i="9" s="1"/>
  <c r="M72" i="9" a="1"/>
  <c r="M72" i="9" s="1"/>
  <c r="H72" i="9" a="1"/>
  <c r="H72" i="9" s="1"/>
  <c r="Z29" i="9" a="1"/>
  <c r="Z29" i="9" s="1"/>
  <c r="L70" i="9" a="1"/>
  <c r="L70" i="9" s="1"/>
  <c r="L69" i="9" a="1"/>
  <c r="L69" i="9" s="1"/>
  <c r="M109" i="9"/>
  <c r="AB30" i="9" s="1" a="1"/>
  <c r="AB30" i="9" s="1"/>
  <c r="O97" i="9"/>
  <c r="AD18" i="9" s="1"/>
  <c r="B15" i="20" s="1"/>
  <c r="X29" i="9" a="1"/>
  <c r="X29" i="9" s="1"/>
  <c r="G99" i="9"/>
  <c r="V20" i="9" s="1" a="1"/>
  <c r="V20" i="9" s="1"/>
  <c r="AA9" i="9" a="1"/>
  <c r="AA9" i="9" s="1"/>
  <c r="G54" i="9" a="1"/>
  <c r="G54" i="9" s="1"/>
  <c r="J99" i="9"/>
  <c r="Y20" i="9" s="1" a="1"/>
  <c r="Y20" i="9" s="1"/>
  <c r="I53" i="9" a="1"/>
  <c r="I53" i="9" s="1"/>
  <c r="C92" i="9"/>
  <c r="R13" i="9" s="1" a="1"/>
  <c r="R13" i="9" s="1"/>
  <c r="G103" i="9"/>
  <c r="V24" i="9" s="1" a="1"/>
  <c r="V24" i="9" s="1"/>
  <c r="C97" i="9"/>
  <c r="R18" i="9" s="1" a="1"/>
  <c r="R18" i="9" s="1"/>
  <c r="J62" i="9" a="1"/>
  <c r="J62" i="9" s="1"/>
  <c r="U23" i="9" a="1"/>
  <c r="U23" i="9" s="1"/>
  <c r="C102" i="9"/>
  <c r="R23" i="9" s="1" a="1"/>
  <c r="R23" i="9" s="1"/>
  <c r="H93" i="9"/>
  <c r="W14" i="9" s="1" a="1"/>
  <c r="W14" i="9" s="1"/>
  <c r="A17" i="20"/>
  <c r="G49" i="9" a="1"/>
  <c r="G49" i="9" s="1"/>
  <c r="I66" i="9" a="1"/>
  <c r="I66" i="9" s="1"/>
  <c r="A18" i="20"/>
  <c r="G51" i="9" a="1"/>
  <c r="G51" i="9" s="1"/>
  <c r="N78" i="9"/>
  <c r="P78" i="9" s="1"/>
  <c r="A27" i="20"/>
  <c r="A15" i="20"/>
  <c r="A16" i="20"/>
  <c r="A14" i="20"/>
  <c r="I91" i="6"/>
  <c r="K6" i="6"/>
  <c r="C4" i="8" s="1"/>
  <c r="G91" i="6"/>
  <c r="H91" i="6"/>
  <c r="N6" i="17"/>
  <c r="D334" i="17"/>
  <c r="K5" i="17" s="1"/>
  <c r="G14" i="15"/>
  <c r="D38" i="18"/>
  <c r="C11" i="8" s="1"/>
  <c r="D38" i="14"/>
  <c r="C10" i="8" s="1"/>
  <c r="I37" i="12"/>
  <c r="C43" i="12"/>
  <c r="K6" i="17"/>
  <c r="J37" i="14"/>
  <c r="C12" i="8" s="1"/>
  <c r="N5" i="17"/>
  <c r="C16" i="10"/>
  <c r="H16" i="7"/>
  <c r="E38" i="18"/>
  <c r="M74" i="9" a="1"/>
  <c r="M74" i="9" s="1"/>
  <c r="G69" i="9" a="1"/>
  <c r="G69" i="9" s="1"/>
  <c r="G56" i="9" a="1"/>
  <c r="G56" i="9" s="1"/>
  <c r="K135" i="1"/>
  <c r="G60" i="9" a="1"/>
  <c r="G60" i="9" s="1"/>
  <c r="V16" i="9" a="1"/>
  <c r="V16" i="9" s="1"/>
  <c r="N79" i="9"/>
  <c r="X15" i="9" a="1"/>
  <c r="X15" i="9" s="1"/>
  <c r="Y33" i="9" a="1"/>
  <c r="Y33" i="9" s="1"/>
  <c r="AC33" i="9" s="1"/>
  <c r="AE33" i="9" s="1"/>
  <c r="V5" i="9" a="1"/>
  <c r="V5" i="9" s="1"/>
  <c r="V7" i="9" a="1"/>
  <c r="V7" i="9" s="1"/>
  <c r="N77" i="9"/>
  <c r="P77" i="9" s="1"/>
  <c r="AC36" i="9"/>
  <c r="W34" i="9" a="1"/>
  <c r="W34" i="9" s="1"/>
  <c r="AC34" i="9" s="1"/>
  <c r="AE34" i="9" s="1"/>
  <c r="N113" i="9"/>
  <c r="P113" i="9" s="1"/>
  <c r="F334" i="17"/>
  <c r="N115" i="9"/>
  <c r="P115" i="9" s="1"/>
  <c r="AA7" i="9" a="1"/>
  <c r="AA7" i="9" s="1"/>
  <c r="J135" i="1" a="1"/>
  <c r="J135" i="1" s="1"/>
  <c r="I135" i="1" a="1"/>
  <c r="I135" i="1" s="1"/>
  <c r="E10" i="8" s="1"/>
  <c r="N114" i="9"/>
  <c r="P114" i="9" s="1"/>
  <c r="V35" i="9" a="1"/>
  <c r="V35" i="9" s="1"/>
  <c r="AC35" i="9" s="1"/>
  <c r="AE35" i="9" s="1"/>
  <c r="N111" i="9"/>
  <c r="P111" i="9" s="1"/>
  <c r="D2" i="2"/>
  <c r="H87" i="1" l="1"/>
  <c r="H88" i="1"/>
  <c r="H105" i="1"/>
  <c r="H92" i="1"/>
  <c r="H69" i="1"/>
  <c r="H67" i="1"/>
  <c r="H102" i="1"/>
  <c r="H104" i="1"/>
  <c r="H108" i="1"/>
  <c r="H107" i="1"/>
  <c r="AC32" i="9"/>
  <c r="AE32" i="9" s="1"/>
  <c r="N76" i="9"/>
  <c r="P76" i="9" s="1"/>
  <c r="N95" i="9"/>
  <c r="P95" i="9" s="1"/>
  <c r="C18" i="9"/>
  <c r="C4" i="9"/>
  <c r="N58" i="9"/>
  <c r="P58" i="9" s="1"/>
  <c r="N68" i="9"/>
  <c r="P68" i="9" s="1"/>
  <c r="AC19" i="9"/>
  <c r="AE19" i="9" s="1"/>
  <c r="C16" i="20" s="1"/>
  <c r="N65" i="9"/>
  <c r="P65" i="9" s="1"/>
  <c r="N75" i="9"/>
  <c r="P75" i="9" s="1"/>
  <c r="N70" i="9"/>
  <c r="P70" i="9" s="1"/>
  <c r="C2" i="9"/>
  <c r="N98" i="9"/>
  <c r="P98" i="9" s="1"/>
  <c r="N66" i="9"/>
  <c r="P66" i="9" s="1"/>
  <c r="N54" i="9"/>
  <c r="P54" i="9" s="1"/>
  <c r="N59" i="9"/>
  <c r="P59" i="9" s="1"/>
  <c r="N52" i="9"/>
  <c r="P52" i="9" s="1"/>
  <c r="AC7" i="9"/>
  <c r="AE7" i="9" s="1"/>
  <c r="C4" i="20" s="1"/>
  <c r="C13" i="9"/>
  <c r="N50" i="9"/>
  <c r="P50" i="9" s="1"/>
  <c r="E14" i="19"/>
  <c r="E12" i="19"/>
  <c r="AC13" i="9"/>
  <c r="AE13" i="9" s="1"/>
  <c r="C10" i="20" s="1"/>
  <c r="AC27" i="9"/>
  <c r="AE27" i="9" s="1"/>
  <c r="C24" i="20" s="1"/>
  <c r="AC22" i="9"/>
  <c r="AE22" i="9" s="1"/>
  <c r="C19" i="20" s="1"/>
  <c r="N67" i="9"/>
  <c r="P67" i="9" s="1"/>
  <c r="N63" i="9"/>
  <c r="P63" i="9" s="1"/>
  <c r="N55" i="9"/>
  <c r="P55" i="9" s="1"/>
  <c r="N57" i="9"/>
  <c r="P57" i="9" s="1"/>
  <c r="N64" i="9"/>
  <c r="P64" i="9" s="1"/>
  <c r="N71" i="9"/>
  <c r="P71" i="9" s="1"/>
  <c r="N101" i="9"/>
  <c r="P101" i="9" s="1"/>
  <c r="AC8" i="9"/>
  <c r="AE8" i="9" s="1"/>
  <c r="C5" i="20" s="1"/>
  <c r="N91" i="9"/>
  <c r="P91" i="9" s="1"/>
  <c r="AC18" i="9"/>
  <c r="AE18" i="9" s="1"/>
  <c r="C15" i="20" s="1"/>
  <c r="N51" i="9"/>
  <c r="P51" i="9" s="1"/>
  <c r="N72" i="9"/>
  <c r="P72" i="9" s="1"/>
  <c r="N56" i="9"/>
  <c r="P56" i="9" s="1"/>
  <c r="N53" i="9"/>
  <c r="P53" i="9" s="1"/>
  <c r="AC6" i="9"/>
  <c r="AE6" i="9" s="1"/>
  <c r="C3" i="20" s="1"/>
  <c r="N61" i="9"/>
  <c r="P61" i="9" s="1"/>
  <c r="N92" i="9"/>
  <c r="P92" i="9" s="1"/>
  <c r="N62" i="9"/>
  <c r="P62" i="9" s="1"/>
  <c r="AC21" i="9"/>
  <c r="AE21" i="9" s="1"/>
  <c r="C18" i="20" s="1"/>
  <c r="N74" i="9"/>
  <c r="P74" i="9" s="1"/>
  <c r="N106" i="9"/>
  <c r="P106" i="9" s="1"/>
  <c r="AC11" i="9"/>
  <c r="AE11" i="9" s="1"/>
  <c r="C8" i="20" s="1"/>
  <c r="AC24" i="9"/>
  <c r="AE24" i="9" s="1"/>
  <c r="C21" i="20" s="1"/>
  <c r="N97" i="9"/>
  <c r="P97" i="9" s="1"/>
  <c r="N103" i="9"/>
  <c r="P103" i="9" s="1"/>
  <c r="N99" i="9"/>
  <c r="P99" i="9" s="1"/>
  <c r="N93" i="9"/>
  <c r="P93" i="9" s="1"/>
  <c r="N69" i="9"/>
  <c r="P69" i="9" s="1"/>
  <c r="N100" i="9"/>
  <c r="P100" i="9" s="1"/>
  <c r="N84" i="9"/>
  <c r="P84" i="9" s="1"/>
  <c r="N85" i="9"/>
  <c r="P85" i="9" s="1"/>
  <c r="N107" i="9"/>
  <c r="P107" i="9" s="1"/>
  <c r="AC16" i="9"/>
  <c r="AE16" i="9" s="1"/>
  <c r="C13" i="20" s="1"/>
  <c r="E7" i="9" a="1"/>
  <c r="E7" i="9" s="1"/>
  <c r="C7" i="9"/>
  <c r="N49" i="9"/>
  <c r="P49" i="9" s="1"/>
  <c r="AC17" i="9"/>
  <c r="AE17" i="9" s="1"/>
  <c r="C14" i="20" s="1"/>
  <c r="N73" i="9"/>
  <c r="P73" i="9" s="1"/>
  <c r="AC29" i="9"/>
  <c r="AE29" i="9" s="1"/>
  <c r="C26" i="20" s="1"/>
  <c r="AC10" i="9"/>
  <c r="AE10" i="9" s="1"/>
  <c r="C7" i="20" s="1"/>
  <c r="AC14" i="9"/>
  <c r="AE14" i="9" s="1"/>
  <c r="C11" i="20" s="1"/>
  <c r="AC20" i="9"/>
  <c r="AE20" i="9" s="1"/>
  <c r="C17" i="20" s="1"/>
  <c r="AC28" i="9"/>
  <c r="AE28" i="9" s="1"/>
  <c r="C25" i="20" s="1"/>
  <c r="E18" i="19" a="1"/>
  <c r="E18" i="19" s="1"/>
  <c r="W31" i="9" a="1"/>
  <c r="W31" i="9" s="1"/>
  <c r="AC31" i="9" s="1"/>
  <c r="AE31" i="9" s="1"/>
  <c r="C28" i="20" s="1"/>
  <c r="N110" i="9"/>
  <c r="P110" i="9" s="1"/>
  <c r="AC5" i="9"/>
  <c r="AE5" i="9" s="1"/>
  <c r="C2" i="20" s="1"/>
  <c r="N104" i="9"/>
  <c r="P104" i="9" s="1"/>
  <c r="AC15" i="9"/>
  <c r="AE15" i="9" s="1"/>
  <c r="C12" i="20" s="1"/>
  <c r="AC30" i="9"/>
  <c r="AE30" i="9" s="1"/>
  <c r="C27" i="20" s="1"/>
  <c r="C8" i="9"/>
  <c r="E8" i="9"/>
  <c r="E3" i="9"/>
  <c r="C3" i="9"/>
  <c r="AC25" i="9"/>
  <c r="AE25" i="9" s="1"/>
  <c r="C22" i="20" s="1"/>
  <c r="C14" i="9"/>
  <c r="E14" i="9"/>
  <c r="N96" i="9"/>
  <c r="P96" i="9" s="1"/>
  <c r="N86" i="9"/>
  <c r="P86" i="9" s="1"/>
  <c r="N109" i="9"/>
  <c r="P109" i="9" s="1"/>
  <c r="C6" i="9"/>
  <c r="E6" i="9"/>
  <c r="C16" i="9"/>
  <c r="E16" i="9"/>
  <c r="V23" i="9" a="1"/>
  <c r="V23" i="9" s="1"/>
  <c r="AC23" i="9" s="1"/>
  <c r="AE23" i="9" s="1"/>
  <c r="C20" i="20" s="1"/>
  <c r="N102" i="9"/>
  <c r="P102" i="9" s="1"/>
  <c r="W26" i="9" a="1"/>
  <c r="W26" i="9" s="1"/>
  <c r="AC26" i="9" s="1"/>
  <c r="AE26" i="9" s="1"/>
  <c r="C23" i="20" s="1"/>
  <c r="N105" i="9"/>
  <c r="P105" i="9" s="1"/>
  <c r="V9" i="9" a="1"/>
  <c r="V9" i="9" s="1"/>
  <c r="AC9" i="9" s="1"/>
  <c r="AE9" i="9" s="1"/>
  <c r="C6" i="20" s="1"/>
  <c r="N88" i="9"/>
  <c r="P88" i="9" s="1"/>
  <c r="N87" i="9"/>
  <c r="P87" i="9" s="1"/>
  <c r="N60" i="9"/>
  <c r="P60" i="9" s="1"/>
  <c r="C9" i="9"/>
  <c r="E9" i="9"/>
  <c r="E11" i="9"/>
  <c r="C11" i="9"/>
  <c r="E10" i="9"/>
  <c r="C10" i="9"/>
  <c r="N90" i="9"/>
  <c r="P90" i="9" s="1"/>
  <c r="N108" i="9"/>
  <c r="P108" i="9" s="1"/>
  <c r="N89" i="9"/>
  <c r="P89" i="9" s="1"/>
  <c r="C15" i="9"/>
  <c r="E15" i="9"/>
  <c r="E5" i="9"/>
  <c r="C5" i="9"/>
  <c r="N94" i="9"/>
  <c r="P94" i="9" s="1"/>
  <c r="N7" i="17"/>
  <c r="P7" i="17" s="1"/>
  <c r="C14" i="8"/>
  <c r="C4" i="10" s="1"/>
  <c r="C15" i="10" s="1"/>
  <c r="C17" i="10" s="1"/>
  <c r="F38" i="18"/>
  <c r="C19" i="10"/>
  <c r="AC12" i="9"/>
  <c r="AE12" i="9" s="1"/>
  <c r="C9" i="20" s="1"/>
  <c r="E13" i="8"/>
  <c r="E11" i="8"/>
  <c r="E20" i="19" a="1"/>
  <c r="E20" i="19" s="1"/>
  <c r="E6" i="8"/>
  <c r="E4" i="8"/>
  <c r="E9" i="8"/>
  <c r="E12" i="8"/>
  <c r="E7" i="8"/>
  <c r="E8" i="8"/>
  <c r="E5" i="8"/>
  <c r="E16" i="19" l="1"/>
  <c r="C23" i="9"/>
  <c r="C3" i="10" s="1"/>
  <c r="C5" i="10" s="1"/>
  <c r="F21" i="10" s="1"/>
  <c r="C21" i="9"/>
  <c r="E14" i="8"/>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<sst xmlns="http://schemas.openxmlformats.org/spreadsheetml/2006/main" count="1905" uniqueCount="426">
  <si>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</si>
  <si>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</si>
  <si>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</si>
  <si>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</si>
  <si>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</si>
  <si>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</si>
  <si>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</si>
  <si>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</si>
  <si>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</si>
  <si>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</si>
  <si>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</si>
  <si>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</si>
  <si>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</si>
  <si>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</si>
  <si>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</si>
  <si>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</si>
  <si>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</si>
  <si>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</si>
  <si>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</si>
  <si>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</si>
  <si>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</si>
  <si>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</si>
  <si>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</si>
  <si>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</si>
  <si>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</si>
  <si>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</si>
  <si>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</si>
  <si>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</si>
  <si>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</si>
  <si>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</si>
  <si>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</si>
  <si>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</si>
  <si>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</si>
  <si>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</si>
  <si>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</si>
  <si>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</si>
  <si>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</si>
  <si>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</si>
  <si>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</si>
  <si>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</si>
  <si>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</si>
  <si>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</si>
  <si>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</si>
  <si>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</si>
  <si>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</si>
  <si>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</si>
  <si>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</si>
  <si>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</si>
  <si>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</si>
  <si>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</si>
  <si>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</si>
  <si>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</si>
  <si>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</si>
  <si>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</si>
  <si>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</si>
  <si>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</si>
  <si>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</si>
  <si>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</si>
  <si>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</si>
  <si>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</si>
  <si>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</si>
  <si>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</si>
  <si>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</si>
  <si>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</si>
  <si>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</si>
  <si>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</si>
  <si>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</si>
  <si>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</si>
  <si>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</si>
  <si>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</si>
  <si>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</si>
  <si>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</si>
  <si>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</si>
  <si>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</si>
  <si>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</si>
  <si>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</si>
  <si>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</si>
  <si>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</si>
  <si>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</si>
  <si>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</si>
  <si>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</si>
  <si>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</si>
  <si>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</si>
  <si>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</si>
  <si>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</si>
  <si>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</si>
  <si>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</si>
  <si>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</si>
  <si>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</si>
  <si>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</si>
  <si>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</si>
  <si>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</si>
  <si>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</si>
  <si>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</si>
  <si>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</si>
  <si>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</si>
  <si>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</si>
  <si>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</si>
  <si>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</si>
  <si>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</si>
  <si>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</si>
  <si>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</si>
  <si>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</si>
  <si>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</si>
  <si>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</si>
  <si>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</si>
  <si>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</si>
  <si>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</si>
  <si>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</si>
  <si>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</si>
  <si>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</si>
  <si>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</si>
  <si>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</si>
  <si>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</si>
  <si>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</si>
  <si>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</si>
  <si>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</si>
  <si>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</si>
  <si>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</si>
  <si>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</si>
  <si>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</si>
  <si>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</si>
  <si>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</si>
  <si>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</si>
  <si>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</si>
  <si>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</si>
  <si>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</si>
  <si>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</si>
  <si>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</si>
  <si>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</si>
  <si>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</si>
  <si>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</si>
  <si>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</si>
  <si>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</si>
  <si>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</si>
  <si>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</si>
  <si>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</si>
  <si>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</si>
  <si>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</si>
  <si>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</si>
  <si>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</si>
  <si>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</si>
  <si>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</si>
  <si>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</si>
  <si>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</si>
  <si>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</si>
  <si>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</si>
  <si>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</si>
  <si>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</si>
  <si>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</si>
  <si>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</si>
  <si>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</si>
  <si>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</si>
  <si>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</si>
  <si>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</si>
  <si>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</si>
  <si>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</si>
  <si>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</si>
  <si>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</si>
  <si>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</si>
  <si>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</si>
  <si>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</si>
  <si>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</si>
  <si>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</si>
  <si>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</si>
  <si>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</si>
  <si>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</si>
  <si>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</si>
  <si>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</si>
  <si>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</si>
  <si>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</si>
  <si>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</si>
  <si>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</si>
  <si>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</si>
  <si>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</si>
  <si>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</si>
  <si>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</si>
  <si>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</si>
  <si>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</si>
  <si>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</si>
  <si>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</si>
  <si>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</si>
  <si>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</si>
  <si>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</si>
  <si>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</si>
  <si>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</si>
  <si>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</si>
  <si>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</si>
  <si>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</si>
  <si>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</si>
  <si>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</si>
  <si>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</si>
  <si>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</si>
  <si>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</si>
  <si>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</si>
  <si>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</si>
  <si>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</si>
  <si>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</si>
  <si>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</si>
  <si>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</si>
  <si>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</si>
  <si>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</si>
  <si>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</si>
  <si>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</si>
  <si>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</si>
  <si>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</si>
  <si>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</si>
  <si>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</si>
  <si>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</si>
  <si>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</si>
  <si>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</si>
  <si>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</si>
  <si>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</si>
  <si>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</si>
  <si>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</si>
  <si>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</si>
  <si>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</si>
  <si>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</si>
  <si>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</si>
  <si>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</si>
  <si>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</si>
  <si>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</si>
  <si>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</si>
  <si>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</si>
  <si>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</si>
  <si>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</si>
  <si>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</si>
  <si>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</si>
  <si>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</si>
  <si>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</si>
  <si>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</si>
  <si>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</si>
  <si>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</si>
  <si>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</si>
  <si>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</si>
  <si>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</si>
  <si>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</si>
  <si>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</si>
  <si>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</si>
  <si>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</si>
  <si>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</si>
  <si>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</si>
  <si>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</si>
  <si>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</si>
  <si>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</si>
  <si>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</si>
  <si>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</si>
  <si>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</si>
  <si>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</si>
  <si>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</si>
  <si>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</si>
  <si>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</si>
  <si>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</si>
  <si>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</si>
  <si>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</si>
  <si>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</si>
  <si>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</si>
  <si>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</si>
  <si>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</si>
  <si>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</si>
  <si>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</si>
  <si>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</si>
  <si>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</si>
  <si>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</si>
  <si>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</si>
  <si>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</si>
  <si>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</si>
  <si>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</si>
  <si>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</si>
  <si>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</si>
  <si>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</si>
  <si>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</si>
  <si>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</si>
  <si>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</si>
  <si>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</si>
  <si>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</si>
  <si>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</si>
  <si>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</si>
  <si>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</si>
  <si>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</si>
  <si>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</si>
  <si>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</si>
  <si>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</si>
  <si>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</si>
  <si>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</si>
  <si>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</si>
  <si>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</si>
  <si>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</si>
  <si>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</si>
  <si>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</si>
  <si>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</si>
  <si>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</si>
  <si>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</si>
  <si>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</si>
  <si>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</si>
  <si>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</si>
  <si>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</si>
  <si>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</si>
  <si>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</si>
  <si>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</si>
  <si>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</si>
  <si>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</si>
  <si>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</si>
  <si>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</si>
  <si>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</si>
  <si>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</si>
  <si>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</si>
  <si>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</si>
  <si>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</si>
  <si>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</si>
  <si>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</si>
  <si>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</si>
  <si>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</si>
  <si>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</si>
  <si>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</si>
  <si>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</si>
  <si>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</si>
  <si>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</si>
  <si>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</si>
  <si>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</si>
  <si>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</si>
  <si>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</si>
  <si>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</si>
  <si>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</si>
  <si>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</si>
  <si>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</si>
  <si>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</si>
  <si>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</si>
  <si>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</si>
  <si>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</si>
  <si>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</si>
  <si>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</si>
  <si>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</si>
  <si>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</si>
  <si>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</si>
  <si>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</si>
  <si>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</si>
  <si>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</si>
  <si>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</si>
  <si>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</si>
  <si>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</si>
  <si>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</si>
  <si>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</si>
  <si>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</si>
  <si>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</si>
  <si>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</si>
  <si>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</si>
  <si>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</si>
  <si>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</si>
  <si>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</si>
  <si>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</si>
  <si>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</si>
  <si>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</si>
  <si>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</si>
  <si>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</si>
  <si>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</si>
  <si>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</si>
  <si>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</si>
  <si>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</si>
  <si>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</si>
  <si>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</si>
  <si>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</si>
  <si>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</si>
  <si>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</si>
  <si>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</si>
  <si>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</si>
  <si>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</si>
  <si>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</si>
  <si>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</si>
  <si>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</si>
  <si>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</si>
  <si>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</si>
  <si>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</si>
  <si>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</si>
  <si>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</si>
  <si>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</si>
  <si>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</si>
  <si>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</si>
  <si>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</si>
  <si>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</si>
  <si>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</si>
  <si>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</si>
  <si>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</si>
  <si>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</si>
  <si>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</si>
  <si>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</si>
  <si>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</si>
  <si>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</si>
  <si>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</si>
  <si>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</si>
  <si>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</si>
  <si>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</si>
  <si>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</si>
  <si>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</si>
  <si>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</si>
  <si>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</si>
  <si>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</si>
  <si>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</si>
  <si>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</si>
  <si>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</si>
  <si>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</si>
  <si>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</si>
  <si>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</si>
  <si>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</si>
  <si>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</si>
  <si>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</si>
  <si>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</si>
  <si>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</si>
  <si>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</si>
  <si>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</si>
  <si>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</si>
  <si>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</si>
  <si>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</si>
  <si>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</si>
  <si>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</si>
  <si>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</si>
  <si>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</si>
  <si>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</si>
  <si>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</si>
  <si>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</si>
  <si>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</si>
  <si>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</si>
  <si>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</si>
  <si>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</si>
  <si>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</si>
  <si>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Badshah 25o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</si>
</sst>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70">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bgColor rgb="FFFF0000"/>
        </patternFill>
      </fill>
    </dxf>
    <dxf>
      <fill>
        <patternFill>
          <bgColor rgb="FFFF000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openxmlformats.org/officeDocument/2006/relationships/calcChain" Target="calcChai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580672</xdr:colOff>
      <xdr:row>7</xdr:row>
      <xdr:rowOff>43181</xdr:rowOff>
    </xdr:from>
    <xdr:to>
      <xdr:col>13</xdr:col>
      <xdr:colOff>466114</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278961</xdr:colOff>
      <xdr:row>12</xdr:row>
      <xdr:rowOff>138748</xdr:rowOff>
    </xdr:from>
    <xdr:to>
      <xdr:col>14</xdr:col>
      <xdr:colOff>601857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45518171297" createdVersion="8" refreshedVersion="8" minRefreshableVersion="3" recordCount="136" xr:uid="{46CBB50D-3613-4E5B-8212-DD0313DCD05A}">
  <cacheSource type="worksheet">
    <worksheetSource name="Table1"/>
  </cacheSource>
  <cacheFields count="14">
    <cacheField name="Date" numFmtId="0">
      <sharedItems containsSemiMixedTypes="0" containsNonDate="0" containsDate="1" containsString="0" minDate="2025-11-18T00:00:00" maxDate="2026-01-07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Blank="1" containsMixedTypes="1" containsNumber="1" containsInteger="1" minValue="1256" maxValue="1329"/>
    </cacheField>
    <cacheField name="Quality" numFmtId="0">
      <sharedItems containsBlank="1"/>
    </cacheField>
    <cacheField name="Shipment Number" numFmtId="164">
      <sharedItems containsBlank="1" containsMixedTypes="1" containsNumber="1" containsInteger="1" minValue="1558" maxValue="17000" count="362">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652" maxValue="52476"/>
    </cacheField>
    <cacheField name="shortage %" numFmtId="165">
      <sharedItems containsMixedTypes="1" containsNumber="1" minValue="-1.2821711996982401" maxValue="86.372725777835356"/>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4551851852"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45518749997" createdVersion="8" refreshedVersion="8" minRefreshableVersion="3" recordCount="89"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57">
        <d v="2025-12-17T00:00:00"/>
        <d v="2025-12-18T00:00:00"/>
        <d v="2025-12-19T00:00:00"/>
        <d v="2025-12-20T00:00:00"/>
        <d v="2025-12-22T00:00:00"/>
        <d v="2025-12-21T00:00:00"/>
        <d v="2025-12-23T00:00:00"/>
        <d v="2025-12-24T00:00:00"/>
        <d v="2025-12-25T00:00:00"/>
        <m/>
        <d v="2025-12-26T00:00:00"/>
        <d v="2025-12-27T00:00:00"/>
        <d v="2026-12-27T00:00:00"/>
        <d v="2025-12-29T00:00:00"/>
        <d v="2025-12-28T00:00:00"/>
        <d v="2025-12-30T00:00:00"/>
        <d v="2025-12-31T00:00:00"/>
        <d v="2026-01-01T00:00:00"/>
        <d v="2026-01-02T00:00:00"/>
        <d v="2026-01-03T00:00:00"/>
        <d v="2026-01-05T00:00:00"/>
        <d v="2026-01-04T00:00:00"/>
        <d v="2026-01-06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5">
        <s v="Closing Balance CF"/>
        <s v="TKL 364"/>
        <n v="9662"/>
        <s v="LES 9718"/>
        <s v="APL"/>
        <m/>
        <n v="2223"/>
        <s v="LEI 2223"/>
        <s v="-"/>
        <s v="LEJ 9662"/>
        <s v="C 8947"/>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604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45518865743"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1-04T00:00:00" count="60">
        <d v="2025-12-17T00:00:00"/>
        <d v="2025-12-18T00:00:00"/>
        <d v="2025-12-22T00:00:00"/>
        <d v="2025-12-26T00:00:00"/>
        <d v="2025-12-25T00:00:00"/>
        <d v="2025-12-27T00:00:00"/>
        <d v="2025-12-29T00:00:00"/>
        <d v="2026-01-02T00:00:00"/>
        <d v="2026-01-03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7000"/>
    </cacheField>
    <cacheField name="Party" numFmtId="0">
      <sharedItems containsBlank="1" count="8">
        <s v="Unicolour"/>
        <s v="madina dyes"/>
        <s v="General Dyes"/>
        <s v="Shafi Dyes"/>
        <s v="usman shafiq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80250" maxValue="107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4551898148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95529.33650329191"/>
    </cacheField>
    <cacheField name="Rate" numFmtId="0">
      <sharedItems containsString="0" containsBlank="1" containsNumber="1" minValue="10" maxValue="12"/>
    </cacheField>
    <cacheField name="Total" numFmtId="164">
      <sharedItems containsSemiMixedTypes="0" containsString="0" containsNumber="1" minValue="0" maxValue="3681638.6247256766"/>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45519097221" createdVersion="8" refreshedVersion="8" minRefreshableVersion="3" recordCount="332" xr:uid="{B5BDFB73-D93A-4A7A-8149-666BC190B09B}">
  <cacheSource type="worksheet">
    <worksheetSource name="Table14"/>
  </cacheSource>
  <cacheFields count="7">
    <cacheField name="Date" numFmtId="14">
      <sharedItems containsSemiMixedTypes="0" containsNonDate="0" containsDate="1" containsString="0" minDate="2025-01-03T00:00:00" maxDate="2026-01-11T00:00:00"/>
    </cacheField>
    <cacheField name="Party" numFmtId="0">
      <sharedItems containsBlank="1" count="79">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m/>
        <s v="Closing October CF" u="1"/>
        <s v="Aurangzeb" u="1"/>
        <s v="BSC" u="1"/>
        <s v="Finish" u="1"/>
        <s v="Haseeb Shamsi" u="1"/>
        <s v="Ashraf Zia" u="1"/>
        <s v="General Dyes" u="1"/>
        <s v="Faizan" u="1"/>
        <s v="abid ghafoor" u="1"/>
        <s v="Zia-ullah karachi" u="1"/>
        <s v="Ishaq" u="1"/>
        <s v="Unicolour" u="1"/>
        <s v="ibraheem behraam" u="1"/>
        <s v="Shafi Dyes" u="1"/>
        <s v="Ubaidullah"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0.424139948289138"/>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0.424139948289138"/>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51.204713985739772"/>
    <n v="11812.362838332116"/>
    <n v="153560.71689831751"/>
    <m/>
  </r>
  <r>
    <d v="2026-01-03T00:00:00"/>
    <x v="0"/>
    <n v="1315"/>
    <s v="Silky"/>
    <x v="35"/>
    <n v="12005"/>
    <n v="9524"/>
    <n v="-1.2821711996982401"/>
    <n v="8708.8514996342365"/>
    <n v="113215.06949524507"/>
    <m/>
  </r>
  <r>
    <d v="2026-01-03T00:00:00"/>
    <x v="0"/>
    <n v="1316"/>
    <s v="Silky"/>
    <x v="36"/>
    <m/>
    <n v="6008"/>
    <e v="#DIV/0!"/>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0.424139948289138"/>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24735"/>
    <n v="41.003999423312742"/>
    <n v="22617.95903438186"/>
    <n v="226179.59034381859"/>
    <m/>
  </r>
  <r>
    <d v="2026-01-05T00:00:00"/>
    <x v="2"/>
    <n v="1323"/>
    <s v="Chamki"/>
    <x v="40"/>
    <n v="51009"/>
    <n v="8175"/>
    <n v="41.003999423312742"/>
    <n v="7475.3108997805421"/>
    <n v="74753.108997805422"/>
    <m/>
  </r>
  <r>
    <d v="2026-01-05T00:00:00"/>
    <x v="10"/>
    <n v="1324"/>
    <s v="Chamki"/>
    <x v="41"/>
    <n v="25470"/>
    <n v="13785"/>
    <n v="0.64619821819435685"/>
    <n v="12605.15727871251"/>
    <n v="126051.5727871251"/>
    <m/>
  </r>
  <r>
    <d v="2026-01-06T00:00:00"/>
    <x v="0"/>
    <n v="1325"/>
    <s v="Silky"/>
    <x v="36"/>
    <m/>
    <n v="39807"/>
    <e v="#DIV/0!"/>
    <m/>
    <m/>
    <m/>
  </r>
  <r>
    <d v="2026-01-06T00:00:00"/>
    <x v="0"/>
    <n v="1326"/>
    <s v="Silky"/>
    <x v="35"/>
    <n v="12005"/>
    <n v="3773"/>
    <n v="-1.2821711996982401"/>
    <m/>
    <m/>
    <m/>
  </r>
  <r>
    <d v="2026-01-06T00:00:00"/>
    <x v="10"/>
    <n v="1327"/>
    <s v="Chamki"/>
    <x v="41"/>
    <n v="25470"/>
    <n v="6942"/>
    <n v="0.64619821819435685"/>
    <m/>
    <m/>
    <m/>
  </r>
  <r>
    <d v="2026-01-06T00:00:00"/>
    <x v="11"/>
    <n v="1328"/>
    <s v="Silky"/>
    <x v="42"/>
    <n v="25064"/>
    <n v="26532"/>
    <n v="3.2031766052716364"/>
    <m/>
    <m/>
    <m/>
  </r>
  <r>
    <d v="2026-01-06T00:00:00"/>
    <x v="10"/>
    <n v="1329"/>
    <s v="Chamki"/>
    <x v="41"/>
    <n v="25470"/>
    <n v="6947"/>
    <n v="0.64619821819435685"/>
    <m/>
    <m/>
    <m/>
  </r>
  <r>
    <d v="2026-01-06T00:00:00"/>
    <x v="26"/>
    <m/>
    <m/>
    <x v="0"/>
    <m/>
    <m/>
    <e v="#DIV/0!"/>
    <m/>
    <m/>
    <m/>
  </r>
  <r>
    <d v="2026-01-06T00:00:00"/>
    <x v="26"/>
    <m/>
    <m/>
    <x v="0"/>
    <m/>
    <m/>
    <e v="#DIV/0!"/>
    <m/>
    <m/>
    <m/>
  </r>
  <r>
    <d v="2026-01-06T00:00:00"/>
    <x v="26"/>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2"/>
    <x v="3"/>
    <x v="5"/>
    <n v="45"/>
    <n v="580"/>
    <m/>
    <n v="26100"/>
    <m/>
    <n v="26100"/>
  </r>
  <r>
    <x v="12"/>
    <x v="3"/>
    <x v="5"/>
    <n v="90"/>
    <n v="775"/>
    <m/>
    <n v="69750"/>
    <m/>
    <n v="69750"/>
  </r>
  <r>
    <x v="12"/>
    <x v="3"/>
    <x v="9"/>
    <n v="20"/>
    <n v="580"/>
    <m/>
    <n v="11600"/>
    <m/>
    <n v="11600"/>
  </r>
  <r>
    <x v="11"/>
    <x v="3"/>
    <x v="9"/>
    <n v="108"/>
    <n v="775"/>
    <m/>
    <n v="83700"/>
    <m/>
    <n v="83700"/>
  </r>
  <r>
    <x v="13"/>
    <x v="3"/>
    <x v="5"/>
    <m/>
    <m/>
    <m/>
    <n v="0"/>
    <n v="100000"/>
    <n v="-100000"/>
  </r>
  <r>
    <x v="14"/>
    <x v="6"/>
    <x v="5"/>
    <m/>
    <m/>
    <m/>
    <n v="0"/>
    <n v="0"/>
    <n v="0"/>
  </r>
  <r>
    <x v="14"/>
    <x v="3"/>
    <x v="5"/>
    <n v="116"/>
    <n v="775"/>
    <m/>
    <n v="89900"/>
    <m/>
    <n v="89900"/>
  </r>
  <r>
    <x v="14"/>
    <x v="3"/>
    <x v="5"/>
    <n v="20"/>
    <n v="580"/>
    <m/>
    <n v="11600"/>
    <m/>
    <n v="11600"/>
  </r>
  <r>
    <x v="13"/>
    <x v="3"/>
    <x v="5"/>
    <n v="90"/>
    <n v="775"/>
    <m/>
    <n v="69750"/>
    <m/>
    <n v="69750"/>
  </r>
  <r>
    <x v="13"/>
    <x v="3"/>
    <x v="5"/>
    <n v="58"/>
    <n v="580"/>
    <m/>
    <n v="33640"/>
    <m/>
    <n v="33640"/>
  </r>
  <r>
    <x v="15"/>
    <x v="3"/>
    <x v="5"/>
    <m/>
    <m/>
    <m/>
    <n v="0"/>
    <n v="250000"/>
    <n v="-250000"/>
  </r>
  <r>
    <x v="15"/>
    <x v="6"/>
    <x v="5"/>
    <m/>
    <m/>
    <m/>
    <n v="0"/>
    <n v="205401"/>
    <n v="-205401"/>
  </r>
  <r>
    <x v="15"/>
    <x v="8"/>
    <x v="5"/>
    <m/>
    <m/>
    <m/>
    <n v="0"/>
    <n v="11850"/>
    <n v="-11850"/>
  </r>
  <r>
    <x v="15"/>
    <x v="7"/>
    <x v="5"/>
    <m/>
    <m/>
    <m/>
    <n v="0"/>
    <n v="27000"/>
    <n v="-27000"/>
  </r>
  <r>
    <x v="15"/>
    <x v="0"/>
    <x v="5"/>
    <m/>
    <m/>
    <m/>
    <n v="0"/>
    <n v="1000"/>
    <n v="-1000"/>
  </r>
  <r>
    <x v="16"/>
    <x v="6"/>
    <x v="5"/>
    <n v="193"/>
    <n v="820"/>
    <m/>
    <n v="158260"/>
    <n v="50000"/>
    <n v="108260"/>
  </r>
  <r>
    <x v="16"/>
    <x v="6"/>
    <x v="5"/>
    <n v="185"/>
    <n v="820"/>
    <m/>
    <n v="151700"/>
    <m/>
    <n v="151700"/>
  </r>
  <r>
    <x v="17"/>
    <x v="6"/>
    <x v="5"/>
    <n v="202"/>
    <n v="820"/>
    <m/>
    <n v="165640"/>
    <n v="100111"/>
    <n v="65529"/>
  </r>
  <r>
    <x v="17"/>
    <x v="6"/>
    <x v="5"/>
    <n v="228"/>
    <n v="820"/>
    <m/>
    <n v="186960"/>
    <m/>
    <n v="186960"/>
  </r>
  <r>
    <x v="18"/>
    <x v="6"/>
    <x v="5"/>
    <n v="229"/>
    <n v="850"/>
    <m/>
    <n v="194650"/>
    <n v="200154"/>
    <n v="-5504"/>
  </r>
  <r>
    <x v="18"/>
    <x v="6"/>
    <x v="5"/>
    <n v="244"/>
    <n v="850"/>
    <m/>
    <n v="207400"/>
    <m/>
    <n v="207400"/>
  </r>
  <r>
    <x v="19"/>
    <x v="6"/>
    <x v="5"/>
    <m/>
    <m/>
    <m/>
    <n v="0"/>
    <n v="200100"/>
    <n v="-200100"/>
  </r>
  <r>
    <x v="20"/>
    <x v="6"/>
    <x v="5"/>
    <m/>
    <m/>
    <m/>
    <n v="0"/>
    <n v="204200"/>
    <n v="-204200"/>
  </r>
  <r>
    <x v="21"/>
    <x v="7"/>
    <x v="5"/>
    <n v="125"/>
    <n v="800"/>
    <m/>
    <n v="100000"/>
    <n v="20000"/>
    <n v="80000"/>
  </r>
  <r>
    <x v="16"/>
    <x v="0"/>
    <x v="5"/>
    <m/>
    <m/>
    <m/>
    <n v="0"/>
    <n v="200010"/>
    <n v="-200010"/>
  </r>
  <r>
    <x v="16"/>
    <x v="3"/>
    <x v="5"/>
    <n v="260"/>
    <n v="775"/>
    <m/>
    <n v="201500"/>
    <n v="0"/>
    <n v="201500"/>
  </r>
  <r>
    <x v="16"/>
    <x v="3"/>
    <x v="5"/>
    <n v="135"/>
    <n v="580"/>
    <m/>
    <n v="78300"/>
    <m/>
    <n v="78300"/>
  </r>
  <r>
    <x v="17"/>
    <x v="3"/>
    <x v="5"/>
    <n v="228"/>
    <n v="830"/>
    <m/>
    <n v="189240"/>
    <n v="175000"/>
    <n v="14240"/>
  </r>
  <r>
    <x v="19"/>
    <x v="3"/>
    <x v="5"/>
    <n v="30"/>
    <n v="580"/>
    <m/>
    <n v="17400"/>
    <n v="0"/>
    <n v="17400"/>
  </r>
  <r>
    <x v="19"/>
    <x v="3"/>
    <x v="5"/>
    <n v="106"/>
    <n v="775"/>
    <m/>
    <n v="82150"/>
    <m/>
    <n v="82150"/>
  </r>
  <r>
    <x v="21"/>
    <x v="3"/>
    <x v="5"/>
    <n v="190"/>
    <n v="775"/>
    <m/>
    <n v="147250"/>
    <n v="0"/>
    <n v="147250"/>
  </r>
  <r>
    <x v="21"/>
    <x v="3"/>
    <x v="5"/>
    <n v="35"/>
    <n v="580"/>
    <m/>
    <n v="20300"/>
    <m/>
    <n v="20300"/>
  </r>
  <r>
    <x v="20"/>
    <x v="3"/>
    <x v="5"/>
    <m/>
    <m/>
    <m/>
    <n v="0"/>
    <n v="250000"/>
    <n v="-250000"/>
  </r>
  <r>
    <x v="19"/>
    <x v="0"/>
    <x v="10"/>
    <n v="319"/>
    <n v="850"/>
    <n v="60400"/>
    <n v="271150"/>
    <n v="60400"/>
    <n v="210750"/>
  </r>
  <r>
    <x v="20"/>
    <x v="2"/>
    <x v="5"/>
    <m/>
    <m/>
    <m/>
    <n v="0"/>
    <n v="30000"/>
    <n v="-30000"/>
  </r>
  <r>
    <x v="22"/>
    <x v="6"/>
    <x v="5"/>
    <n v="182"/>
    <n v="820"/>
    <m/>
    <n v="149240"/>
    <n v="106500"/>
    <n v="42740"/>
  </r>
  <r>
    <x v="22"/>
    <x v="10"/>
    <x v="5"/>
    <n v="234"/>
    <n v="820"/>
    <m/>
    <n v="191880"/>
    <n v="36000"/>
    <n v="155880"/>
  </r>
  <r>
    <x v="9"/>
    <x v="9"/>
    <x v="5"/>
    <m/>
    <m/>
    <m/>
    <n v="0"/>
    <m/>
    <n v="0"/>
  </r>
  <r>
    <x v="9"/>
    <x v="9"/>
    <x v="5"/>
    <m/>
    <m/>
    <m/>
    <n v="0"/>
    <m/>
    <n v="0"/>
  </r>
  <r>
    <x v="9"/>
    <x v="9"/>
    <x v="5"/>
    <m/>
    <m/>
    <m/>
    <n v="0"/>
    <m/>
    <n v="0"/>
  </r>
  <r>
    <x v="9"/>
    <x v="9"/>
    <x v="5"/>
    <m/>
    <m/>
    <m/>
    <n v="0"/>
    <m/>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m/>
    <m/>
    <m/>
    <m/>
    <x v="5"/>
    <n v="0"/>
    <n v="0"/>
    <m/>
  </r>
  <r>
    <x v="9"/>
    <m/>
    <m/>
    <m/>
    <m/>
    <x v="5"/>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95529.33650329191"/>
    <n v="10"/>
    <n v="3681638.6247256766"/>
  </r>
  <r>
    <x v="1"/>
    <n v="34084.674469641555"/>
    <n v="10"/>
    <n v="409016.09363569866"/>
  </r>
  <r>
    <x v="2"/>
    <n v="96228.968544257514"/>
    <n v="10"/>
    <n v="987944.40380395029"/>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
  <r>
    <d v="2025-12-17T00:00:00"/>
    <x v="0"/>
    <m/>
    <n v="74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36"/>
    <m/>
    <m/>
    <m/>
    <m/>
    <m/>
  </r>
  <r>
    <d v="2026-01-06T00:00:00"/>
    <x v="36"/>
    <m/>
    <m/>
    <m/>
    <m/>
    <m/>
  </r>
  <r>
    <d v="2026-01-06T00:00:00"/>
    <x v="36"/>
    <m/>
    <m/>
    <m/>
    <m/>
    <m/>
  </r>
  <r>
    <d v="2026-01-06T00:00:00"/>
    <x v="36"/>
    <m/>
    <m/>
    <m/>
    <m/>
    <m/>
  </r>
  <r>
    <d v="2026-01-06T00:00:00"/>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69">
      <pivotArea field="0" grandRow="1" outline="0" collapsedLevelsAreSubtotals="1" axis="axisRow" fieldPosition="0">
        <references count="1">
          <reference field="4294967294" count="1" selected="0">
            <x v="1"/>
          </reference>
        </references>
      </pivotArea>
    </format>
    <format dxfId="168">
      <pivotArea field="0" grandRow="1" outline="0" collapsedLevelsAreSubtotals="1" axis="axisRow" fieldPosition="0">
        <references count="1">
          <reference field="4294967294" count="1" selected="0">
            <x v="0"/>
          </reference>
        </references>
      </pivotArea>
    </format>
    <format dxfId="167">
      <pivotArea collapsedLevelsAreSubtotals="1" fieldPosition="0">
        <references count="2">
          <reference field="4294967294" count="1" selected="0">
            <x v="1"/>
          </reference>
          <reference field="0" count="0"/>
        </references>
      </pivotArea>
    </format>
    <format dxfId="16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8" firstHeaderRow="0" firstDataRow="1" firstDataCol="1" rowPageCount="1" colPageCount="1"/>
  <pivotFields count="9">
    <pivotField axis="axisRow" numFmtId="14" showAll="0">
      <items count="158">
        <item m="1" x="141"/>
        <item m="1" x="142"/>
        <item m="1" x="143"/>
        <item m="1" x="144"/>
        <item m="1" x="145"/>
        <item m="1" x="146"/>
        <item m="1" x="147"/>
        <item m="1" x="156"/>
        <item m="1" x="137"/>
        <item m="1" x="148"/>
        <item m="1" x="149"/>
        <item m="1" x="150"/>
        <item m="1" x="151"/>
        <item m="1" x="152"/>
        <item m="1" x="153"/>
        <item m="1" x="154"/>
        <item m="1" x="108"/>
        <item m="1" x="109"/>
        <item m="1" x="155"/>
        <item m="1" x="110"/>
        <item m="1" x="107"/>
        <item m="1" x="111"/>
        <item m="1" x="113"/>
        <item m="1" x="114"/>
        <item m="1" x="115"/>
        <item m="1" x="117"/>
        <item m="1" x="118"/>
        <item m="1" x="119"/>
        <item m="1" x="112"/>
        <item m="1" x="116"/>
        <item m="1" x="120"/>
        <item m="1" x="121"/>
        <item m="1" x="122"/>
        <item m="1" x="123"/>
        <item m="1" x="106"/>
        <item m="1" x="124"/>
        <item m="1" x="138"/>
        <item m="1" x="139"/>
        <item m="1" x="140"/>
        <item m="1" x="125"/>
        <item m="1" x="126"/>
        <item m="1" x="127"/>
        <item m="1" x="128"/>
        <item m="1" x="129"/>
        <item m="1" x="130"/>
        <item m="1" x="131"/>
        <item m="1" x="132"/>
        <item m="1" x="133"/>
        <item m="1" x="134"/>
        <item m="1" x="135"/>
        <item m="1" x="136"/>
        <item m="1" x="77"/>
        <item m="1" x="78"/>
        <item m="1" x="79"/>
        <item m="1" x="80"/>
        <item m="1" x="81"/>
        <item m="1" x="82"/>
        <item m="1" x="83"/>
        <item m="1" x="84"/>
        <item m="1" x="86"/>
        <item m="1" x="87"/>
        <item m="1" x="88"/>
        <item m="1" x="85"/>
        <item m="1" x="89"/>
        <item m="1" x="90"/>
        <item m="1" x="91"/>
        <item m="1" x="92"/>
        <item m="1" x="93"/>
        <item m="1" x="94"/>
        <item m="1" x="95"/>
        <item m="1" x="96"/>
        <item m="1" x="97"/>
        <item m="1" x="98"/>
        <item m="1" x="99"/>
        <item m="1" x="100"/>
        <item m="1" x="101"/>
        <item m="1" x="102"/>
        <item m="1" x="103"/>
        <item m="1" x="104"/>
        <item m="1" x="105"/>
        <item m="1" x="23"/>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24"/>
        <item m="1" x="27"/>
        <item m="1" x="25"/>
        <item m="1" x="26"/>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x="0"/>
        <item x="1"/>
        <item x="2"/>
        <item x="3"/>
        <item x="4"/>
        <item x="5"/>
        <item x="6"/>
        <item x="7"/>
        <item x="9"/>
        <item x="8"/>
        <item x="10"/>
        <item x="11"/>
        <item x="13"/>
        <item x="14"/>
        <item x="15"/>
        <item x="12"/>
        <item x="16"/>
        <item x="17"/>
        <item x="18"/>
        <item x="19"/>
        <item x="20"/>
        <item x="21"/>
        <item x="22"/>
        <item t="default"/>
      </items>
    </pivotField>
    <pivotField axis="axisPage" showAll="0">
      <items count="14">
        <item x="1"/>
        <item x="0"/>
        <item x="9"/>
        <item m="1" x="12"/>
        <item x="2"/>
        <item x="3"/>
        <item x="4"/>
        <item m="1" x="11"/>
        <item x="5"/>
        <item x="6"/>
        <item x="7"/>
        <item x="8"/>
        <item x="10"/>
        <item t="default"/>
      </items>
    </pivotField>
    <pivotField axis="axisRow" showAll="0">
      <items count="66">
        <item m="1" x="55"/>
        <item m="1" x="39"/>
        <item m="1" x="51"/>
        <item m="1" x="21"/>
        <item m="1" x="56"/>
        <item m="1" x="57"/>
        <item m="1" x="52"/>
        <item m="1" x="53"/>
        <item m="1" x="54"/>
        <item m="1" x="32"/>
        <item m="1" x="58"/>
        <item m="1" x="59"/>
        <item m="1" x="60"/>
        <item m="1" x="61"/>
        <item m="1" x="62"/>
        <item m="1" x="63"/>
        <item m="1" x="28"/>
        <item m="1" x="29"/>
        <item m="1" x="64"/>
        <item m="1" x="30"/>
        <item x="0"/>
        <item m="1" x="31"/>
        <item m="1" x="33"/>
        <item m="1" x="34"/>
        <item m="1" x="35"/>
        <item m="1" x="36"/>
        <item m="1" x="37"/>
        <item m="1" x="38"/>
        <item m="1" x="40"/>
        <item m="1" x="41"/>
        <item m="1" x="23"/>
        <item m="1" x="42"/>
        <item m="1" x="43"/>
        <item m="1" x="44"/>
        <item m="1" x="27"/>
        <item m="1" x="45"/>
        <item m="1" x="46"/>
        <item m="1" x="25"/>
        <item m="1" x="47"/>
        <item m="1" x="48"/>
        <item m="1" x="49"/>
        <item m="1" x="50"/>
        <item m="1" x="13"/>
        <item m="1" x="14"/>
        <item m="1" x="15"/>
        <item m="1" x="16"/>
        <item m="1" x="17"/>
        <item m="1" x="18"/>
        <item m="1" x="19"/>
        <item m="1" x="20"/>
        <item m="1" x="22"/>
        <item m="1" x="24"/>
        <item m="1" x="26"/>
        <item m="1" x="12"/>
        <item x="5"/>
        <item x="1"/>
        <item x="2"/>
        <item m="1" x="11"/>
        <item x="3"/>
        <item x="4"/>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0">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49"/>
    </i>
    <i r="1">
      <x v="54"/>
    </i>
    <i r="1">
      <x v="63"/>
    </i>
    <i>
      <x v="150"/>
    </i>
    <i r="1">
      <x v="54"/>
    </i>
    <i>
      <x v="151"/>
    </i>
    <i r="1">
      <x v="54"/>
    </i>
    <i>
      <x v="152"/>
    </i>
    <i r="1">
      <x v="54"/>
    </i>
    <i>
      <x v="153"/>
    </i>
    <i r="1">
      <x v="54"/>
    </i>
    <i r="1">
      <x v="64"/>
    </i>
    <i>
      <x v="154"/>
    </i>
    <i r="1">
      <x v="54"/>
    </i>
    <i>
      <x v="155"/>
    </i>
    <i r="1">
      <x v="54"/>
    </i>
    <i>
      <x v="15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41">
      <pivotArea dataOnly="0" labelOnly="1" outline="0" fieldPosition="0">
        <references count="1">
          <reference field="1" count="1">
            <x v="1"/>
          </reference>
        </references>
      </pivotArea>
    </format>
    <format dxfId="14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1" firstHeaderRow="0" firstDataRow="1" firstDataCol="1"/>
  <pivotFields count="7">
    <pivotField numFmtId="14" showAll="0"/>
    <pivotField axis="axisRow" showAll="0">
      <items count="80">
        <item x="15"/>
        <item x="19"/>
        <item m="1" x="39"/>
        <item m="1" x="65"/>
        <item m="1" x="69"/>
        <item m="1" x="40"/>
        <item x="5"/>
        <item x="16"/>
        <item x="9"/>
        <item x="26"/>
        <item x="4"/>
        <item m="1" x="77"/>
        <item x="29"/>
        <item x="17"/>
        <item x="24"/>
        <item m="1" x="75"/>
        <item x="2"/>
        <item x="31"/>
        <item x="1"/>
        <item x="28"/>
        <item x="36"/>
        <item x="22"/>
        <item m="1" x="78"/>
        <item x="30"/>
        <item x="8"/>
        <item m="1" x="76"/>
        <item m="1" x="68"/>
        <item m="1" x="48"/>
        <item m="1" x="70"/>
        <item m="1" x="71"/>
        <item m="1" x="72"/>
        <item m="1" x="73"/>
        <item m="1" x="51"/>
        <item m="1" x="74"/>
        <item x="32"/>
        <item x="12"/>
        <item x="35"/>
        <item x="14"/>
        <item m="1" x="64"/>
        <item m="1" x="60"/>
        <item x="23"/>
        <item x="13"/>
        <item m="1" x="47"/>
        <item m="1" x="66"/>
        <item x="6"/>
        <item m="1" x="67"/>
        <item m="1" x="55"/>
        <item m="1" x="44"/>
        <item x="7"/>
        <item m="1" x="56"/>
        <item m="1" x="57"/>
        <item m="1" x="58"/>
        <item m="1" x="59"/>
        <item m="1" x="61"/>
        <item x="33"/>
        <item m="1" x="41"/>
        <item m="1" x="62"/>
        <item m="1" x="63"/>
        <item m="1" x="38"/>
        <item m="1" x="43"/>
        <item m="1" x="37"/>
        <item x="18"/>
        <item m="1" x="42"/>
        <item m="1" x="45"/>
        <item m="1" x="54"/>
        <item x="3"/>
        <item m="1" x="49"/>
        <item m="1" x="50"/>
        <item x="21"/>
        <item m="1" x="46"/>
        <item x="10"/>
        <item m="1" x="52"/>
        <item x="11"/>
        <item m="1" x="53"/>
        <item x="0"/>
        <item x="20"/>
        <item x="25"/>
        <item x="27"/>
        <item x="34"/>
        <item t="default"/>
      </items>
    </pivotField>
    <pivotField dataField="1" showAll="0"/>
    <pivotField dataField="1" showAll="0"/>
    <pivotField showAll="0"/>
    <pivotField showAll="0"/>
    <pivotField showAll="0"/>
  </pivotFields>
  <rowFields count="1">
    <field x="1"/>
  </rowFields>
  <rowItems count="38">
    <i>
      <x/>
    </i>
    <i>
      <x v="1"/>
    </i>
    <i>
      <x v="6"/>
    </i>
    <i>
      <x v="7"/>
    </i>
    <i>
      <x v="8"/>
    </i>
    <i>
      <x v="9"/>
    </i>
    <i>
      <x v="10"/>
    </i>
    <i>
      <x v="12"/>
    </i>
    <i>
      <x v="13"/>
    </i>
    <i>
      <x v="14"/>
    </i>
    <i>
      <x v="16"/>
    </i>
    <i>
      <x v="17"/>
    </i>
    <i>
      <x v="18"/>
    </i>
    <i>
      <x v="19"/>
    </i>
    <i>
      <x v="20"/>
    </i>
    <i>
      <x v="21"/>
    </i>
    <i>
      <x v="23"/>
    </i>
    <i>
      <x v="24"/>
    </i>
    <i>
      <x v="34"/>
    </i>
    <i>
      <x v="35"/>
    </i>
    <i>
      <x v="36"/>
    </i>
    <i>
      <x v="37"/>
    </i>
    <i>
      <x v="40"/>
    </i>
    <i>
      <x v="41"/>
    </i>
    <i>
      <x v="44"/>
    </i>
    <i>
      <x v="48"/>
    </i>
    <i>
      <x v="54"/>
    </i>
    <i>
      <x v="61"/>
    </i>
    <i>
      <x v="65"/>
    </i>
    <i>
      <x v="68"/>
    </i>
    <i>
      <x v="70"/>
    </i>
    <i>
      <x v="72"/>
    </i>
    <i>
      <x v="74"/>
    </i>
    <i>
      <x v="75"/>
    </i>
    <i>
      <x v="76"/>
    </i>
    <i>
      <x v="77"/>
    </i>
    <i>
      <x v="78"/>
    </i>
    <i t="grand">
      <x/>
    </i>
  </rowItems>
  <colFields count="1">
    <field x="-2"/>
  </colFields>
  <colItems count="2">
    <i>
      <x/>
    </i>
    <i i="1">
      <x v="1"/>
    </i>
  </colItems>
  <dataFields count="2">
    <dataField name="Sum of Credit" fld="3" baseField="0" baseItem="0"/>
    <dataField name="Sum of Debit" fld="2" baseField="0" baseItem="0"/>
  </dataFields>
  <formats count="1">
    <format dxfId="1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61">
        <item m="1" x="55"/>
        <item m="1" x="56"/>
        <item m="1" x="57"/>
        <item m="1" x="58"/>
        <item m="1" x="59"/>
        <item m="1" x="54"/>
        <item m="1" x="42"/>
        <item m="1" x="43"/>
        <item m="1" x="47"/>
        <item m="1" x="48"/>
        <item m="1" x="44"/>
        <item m="1" x="49"/>
        <item m="1" x="50"/>
        <item m="1" x="51"/>
        <item m="1" x="52"/>
        <item m="1" x="53"/>
        <item m="1" x="41"/>
        <item m="1" x="45"/>
        <item m="1" x="46"/>
        <item m="1" x="34"/>
        <item m="1" x="35"/>
        <item m="1" x="36"/>
        <item m="1" x="37"/>
        <item m="1" x="38"/>
        <item m="1" x="39"/>
        <item m="1" x="40"/>
        <item m="1" x="10"/>
        <item m="1" x="26"/>
        <item m="1" x="27"/>
        <item m="1" x="28"/>
        <item m="1" x="29"/>
        <item m="1" x="30"/>
        <item m="1" x="31"/>
        <item m="1" x="32"/>
        <item m="1" x="33"/>
        <item m="1" x="11"/>
        <item m="1" x="12"/>
        <item m="1" x="13"/>
        <item m="1" x="14"/>
        <item m="1" x="15"/>
        <item m="1" x="16"/>
        <item m="1" x="17"/>
        <item m="1" x="19"/>
        <item m="1" x="20"/>
        <item m="1" x="18"/>
        <item m="1" x="21"/>
        <item m="1" x="22"/>
        <item m="1" x="23"/>
        <item m="1" x="24"/>
        <item m="1" x="25"/>
        <item x="0"/>
        <item x="1"/>
        <item x="2"/>
        <item x="3"/>
        <item x="4"/>
        <item x="5"/>
        <item x="6"/>
        <item x="7"/>
        <item x="8"/>
        <item x="9"/>
        <item t="default"/>
      </items>
    </pivotField>
    <pivotField showAll="0"/>
    <pivotField showAll="0"/>
    <pivotField showAll="0"/>
    <pivotField dataField="1" showAll="0"/>
    <pivotField axis="axisPage" showAll="0">
      <items count="9">
        <item x="0"/>
        <item x="5"/>
        <item m="1" x="7"/>
        <item m="1" x="6"/>
        <item x="1"/>
        <item x="2"/>
        <item x="3"/>
        <item x="4"/>
        <item t="default"/>
      </items>
    </pivotField>
    <pivotField showAll="0"/>
    <pivotField dataField="1" showAll="0"/>
    <pivotField showAll="0"/>
  </pivotFields>
  <rowFields count="1">
    <field x="0"/>
  </rowFields>
  <rowItems count="11">
    <i>
      <x v="50"/>
    </i>
    <i>
      <x v="51"/>
    </i>
    <i>
      <x v="52"/>
    </i>
    <i>
      <x v="53"/>
    </i>
    <i>
      <x v="54"/>
    </i>
    <i>
      <x v="55"/>
    </i>
    <i>
      <x v="56"/>
    </i>
    <i>
      <x v="57"/>
    </i>
    <i>
      <x v="58"/>
    </i>
    <i>
      <x v="5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7"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63">
        <item m="1" x="345"/>
        <item m="1" x="346"/>
        <item m="1" x="344"/>
        <item m="1" x="343"/>
        <item m="1" x="347"/>
        <item m="1" x="349"/>
        <item m="1" x="348"/>
        <item m="1" x="350"/>
        <item m="1" x="351"/>
        <item m="1" x="352"/>
        <item m="1" x="353"/>
        <item m="1" x="354"/>
        <item m="1" x="355"/>
        <item m="1" x="356"/>
        <item m="1" x="281"/>
        <item m="1" x="303"/>
        <item m="1" x="357"/>
        <item m="1" x="358"/>
        <item m="1" x="359"/>
        <item m="1" x="311"/>
        <item m="1" x="310"/>
        <item m="1" x="360"/>
        <item m="1" x="361"/>
        <item m="1" x="320"/>
        <item m="1" x="312"/>
        <item m="1" x="313"/>
        <item m="1" x="314"/>
        <item m="1" x="315"/>
        <item m="1" x="316"/>
        <item m="1" x="317"/>
        <item m="1" x="318"/>
        <item m="1" x="319"/>
        <item m="1" x="321"/>
        <item m="1" x="341"/>
        <item m="1" x="322"/>
        <item m="1" x="342"/>
        <item m="1" x="323"/>
        <item m="1" x="324"/>
        <item m="1" x="325"/>
        <item m="1" x="326"/>
        <item m="1" x="327"/>
        <item m="1" x="258"/>
        <item m="1" x="328"/>
        <item m="1" x="329"/>
        <item m="1" x="330"/>
        <item m="1" x="331"/>
        <item m="1" x="332"/>
        <item m="1" x="333"/>
        <item m="1" x="334"/>
        <item m="1" x="335"/>
        <item m="1" x="336"/>
        <item m="1" x="337"/>
        <item m="1" x="338"/>
        <item m="1" x="339"/>
        <item m="1" x="340"/>
        <item x="0"/>
        <item m="1" x="257"/>
        <item m="1" x="259"/>
        <item m="1" x="260"/>
        <item m="1" x="261"/>
        <item m="1" x="262"/>
        <item m="1" x="263"/>
        <item m="1" x="264"/>
        <item m="1" x="265"/>
        <item m="1" x="266"/>
        <item m="1" x="267"/>
        <item m="1" x="268"/>
        <item m="1" x="269"/>
        <item m="1" x="270"/>
        <item m="1" x="271"/>
        <item x="6"/>
        <item m="1" x="272"/>
        <item m="1" x="273"/>
        <item m="1" x="274"/>
        <item m="1" x="275"/>
        <item m="1" x="276"/>
        <item m="1" x="277"/>
        <item m="1" x="278"/>
        <item m="1" x="279"/>
        <item m="1" x="280"/>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4"/>
        <item m="1" x="305"/>
        <item m="1" x="306"/>
        <item m="1" x="307"/>
        <item m="1" x="308"/>
        <item m="1" x="309"/>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x="24"/>
        <item m="1" x="226"/>
        <item m="1" x="227"/>
        <item m="1" x="228"/>
        <item m="1" x="229"/>
        <item m="1" x="230"/>
        <item m="1" x="231"/>
        <item m="1" x="232"/>
        <item m="1" x="233"/>
        <item m="1" x="234"/>
        <item m="1" x="235"/>
        <item m="1" x="236"/>
        <item m="1" x="256"/>
        <item m="1" x="237"/>
        <item m="1" x="238"/>
        <item m="1" x="239"/>
        <item m="1" x="240"/>
        <item m="1" x="241"/>
        <item m="1" x="242"/>
        <item m="1" x="243"/>
        <item m="1" x="244"/>
        <item m="1" x="245"/>
        <item m="1" x="246"/>
        <item m="1" x="247"/>
        <item m="1" x="248"/>
        <item m="1" x="249"/>
        <item m="1" x="250"/>
        <item m="1" x="251"/>
        <item m="1" x="252"/>
        <item m="1" x="253"/>
        <item m="1" x="254"/>
        <item m="1" x="255"/>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52"/>
        <item m="1" x="175"/>
        <item m="1" x="43"/>
        <item m="1" x="44"/>
        <item m="1" x="45"/>
        <item m="1" x="46"/>
        <item m="1" x="47"/>
        <item m="1" x="48"/>
        <item m="1" x="49"/>
        <item m="1" x="50"/>
        <item m="1" x="51"/>
        <item m="1" x="53"/>
        <item m="1" x="54"/>
        <item m="1" x="55"/>
        <item m="1" x="56"/>
        <item m="1" x="57"/>
        <item m="1" x="58"/>
        <item m="1" x="59"/>
        <item m="1" x="60"/>
        <item m="1" x="61"/>
        <item m="1" x="62"/>
        <item m="1" x="63"/>
        <item m="1" x="64"/>
        <item m="1" x="65"/>
        <item m="1" x="66"/>
        <item x="3"/>
        <item m="1" x="67"/>
        <item m="1" x="68"/>
        <item m="1" x="69"/>
        <item m="1" x="70"/>
        <item m="1" x="71"/>
        <item m="1" x="72"/>
        <item m="1" x="73"/>
        <item m="1" x="74"/>
        <item m="1" x="75"/>
        <item m="1" x="76"/>
        <item m="1" x="77"/>
        <item m="1" x="78"/>
        <item m="1" x="79"/>
        <item m="1" x="80"/>
        <item m="1" x="81"/>
        <item m="1" x="82"/>
        <item m="1" x="83"/>
        <item m="1" x="84"/>
        <item m="1" x="85"/>
        <item m="1" x="86"/>
        <item m="1" x="87"/>
        <item m="1" x="88"/>
        <item x="7"/>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x="4"/>
        <item m="1" x="118"/>
        <item m="1" x="119"/>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4">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85">
      <pivotArea type="all" dataOnly="0" outline="0" fieldPosition="0"/>
    </format>
    <format dxfId="84">
      <pivotArea outline="0" collapsedLevelsAreSubtotals="1" fieldPosition="0"/>
    </format>
    <format dxfId="83">
      <pivotArea field="4" type="button" dataOnly="0" labelOnly="1" outline="0" axis="axisRow" fieldPosition="0"/>
    </format>
    <format dxfId="82">
      <pivotArea dataOnly="0" labelOnly="1" fieldPosition="0">
        <references count="1">
          <reference field="4" count="0"/>
        </references>
      </pivotArea>
    </format>
    <format dxfId="81">
      <pivotArea dataOnly="0" labelOnly="1" grandRow="1" outline="0" fieldPosition="0"/>
    </format>
    <format dxfId="80">
      <pivotArea dataOnly="0" labelOnly="1" outline="0" fieldPosition="0">
        <references count="1">
          <reference field="4294967294" count="2">
            <x v="0"/>
            <x v="1"/>
          </reference>
        </references>
      </pivotArea>
    </format>
    <format dxfId="79">
      <pivotArea grandRow="1" outline="0" collapsedLevelsAreSubtotals="1" fieldPosition="0"/>
    </format>
    <format dxfId="78">
      <pivotArea field="4" type="button" dataOnly="0" labelOnly="1" outline="0" axis="axisRow" fieldPosition="0"/>
    </format>
    <format dxfId="7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62">
        <i x="6" s="1"/>
        <i x="27" s="1"/>
        <i x="22" s="1"/>
        <i x="5" s="1"/>
        <i x="4" s="1"/>
        <i x="3" s="1"/>
        <i x="23" s="1"/>
        <i x="16" s="1"/>
        <i x="15" s="1"/>
        <i x="2" s="1"/>
        <i x="14" s="1"/>
        <i x="7" s="1"/>
        <i x="1" s="1"/>
        <i x="10" s="1"/>
        <i x="9" s="1"/>
        <i x="39" s="1"/>
        <i x="13" s="1"/>
        <i x="11" s="1"/>
        <i x="18" s="1"/>
        <i x="19" s="1"/>
        <i x="17" s="1"/>
        <i x="12" s="1"/>
        <i x="8" s="1"/>
        <i x="29" s="1"/>
        <i x="28" s="1"/>
        <i x="41" s="1"/>
        <i x="26" s="1"/>
        <i x="21" s="1"/>
        <i x="25" s="1"/>
        <i x="40" s="1"/>
        <i x="42" s="1"/>
        <i x="24" s="1"/>
        <i x="30" s="1"/>
        <i x="35" s="1"/>
        <i x="32" s="1"/>
        <i x="33" s="1"/>
        <i x="34" s="1"/>
        <i x="38" s="1"/>
        <i x="36" s="1"/>
        <i x="37" s="1"/>
        <i x="31" s="1"/>
        <i x="20" s="1"/>
        <i x="316" s="1" nd="1"/>
        <i x="345" s="1" nd="1"/>
        <i x="346" s="1" nd="1"/>
        <i x="354" s="1" nd="1"/>
        <i x="344" s="1" nd="1"/>
        <i x="343" s="1" nd="1"/>
        <i x="347" s="1" nd="1"/>
        <i x="358" s="1" nd="1"/>
        <i x="350" s="1" nd="1"/>
        <i x="351" s="1" nd="1"/>
        <i x="348" s="1" nd="1"/>
        <i x="349" s="1" nd="1"/>
        <i x="359" s="1" nd="1"/>
        <i x="352" s="1" nd="1"/>
        <i x="353" s="1" nd="1"/>
        <i x="356" s="1" nd="1"/>
        <i x="357" s="1" nd="1"/>
        <i x="355" s="1" nd="1"/>
        <i x="311" s="1" nd="1"/>
        <i x="361" s="1" nd="1"/>
        <i x="310" s="1" nd="1"/>
        <i x="360" s="1" nd="1"/>
        <i x="313" s="1" nd="1"/>
        <i x="274" s="1" nd="1"/>
        <i x="312" s="1" nd="1"/>
        <i x="314" s="1" nd="1"/>
        <i x="320" s="1" nd="1"/>
        <i x="315" s="1" nd="1"/>
        <i x="317" s="1" nd="1"/>
        <i x="333" s="1" nd="1"/>
        <i x="257" s="1" nd="1"/>
        <i x="321" s="1" nd="1"/>
        <i x="262" s="1" nd="1"/>
        <i x="327" s="1" nd="1"/>
        <i x="322" s="1" nd="1"/>
        <i x="325" s="1" nd="1"/>
        <i x="330" s="1" nd="1"/>
        <i x="341" s="1" nd="1"/>
        <i x="323" s="1" nd="1"/>
        <i x="335" s="1" nd="1"/>
        <i x="338" s="1" nd="1"/>
        <i x="329" s="1" nd="1"/>
        <i x="318" s="1" nd="1"/>
        <i x="326" s="1" nd="1"/>
        <i x="319" s="1" nd="1"/>
        <i x="324" s="1" nd="1"/>
        <i x="258" s="1" nd="1"/>
        <i x="328" s="1" nd="1"/>
        <i x="334" s="1" nd="1"/>
        <i x="331" s="1" nd="1"/>
        <i x="336" s="1" nd="1"/>
        <i x="332" s="1" nd="1"/>
        <i x="298" s="1" nd="1"/>
        <i x="337" s="1" nd="1"/>
        <i x="339" s="1" nd="1"/>
        <i x="260" s="1" nd="1"/>
        <i x="267" s="1" nd="1"/>
        <i x="340" s="1" nd="1"/>
        <i x="264" s="1" nd="1"/>
        <i x="265" s="1" nd="1"/>
        <i x="259" s="1" nd="1"/>
        <i x="263" s="1" nd="1"/>
        <i x="151" s="1" nd="1"/>
        <i x="261" s="1" nd="1"/>
        <i x="270" s="1" nd="1"/>
        <i x="266" s="1" nd="1"/>
        <i x="268" s="1" nd="1"/>
        <i x="271" s="1" nd="1"/>
        <i x="278" s="1" nd="1"/>
        <i x="269" s="1" nd="1"/>
        <i x="277" s="1" nd="1"/>
        <i x="282" s="1" nd="1"/>
        <i x="276" s="1" nd="1"/>
        <i x="279" s="1" nd="1"/>
        <i x="289" s="1" nd="1"/>
        <i x="275" s="1" nd="1"/>
        <i x="272" s="1" nd="1"/>
        <i x="273" s="1" nd="1"/>
        <i x="288" s="1" nd="1"/>
        <i x="147" s="1" nd="1"/>
        <i x="281" s="1" nd="1"/>
        <i x="292" s="1" nd="1"/>
        <i x="287" s="1" nd="1"/>
        <i x="280" s="1" nd="1"/>
        <i x="304" s="1" nd="1"/>
        <i x="285" s="1" nd="1"/>
        <i x="295" s="1" nd="1"/>
        <i x="293" s="1" nd="1"/>
        <i x="283" s="1" nd="1"/>
        <i x="291" s="1" nd="1"/>
        <i x="290" s="1" nd="1"/>
        <i x="286" s="1" nd="1"/>
        <i x="296" s="1" nd="1"/>
        <i x="294" s="1" nd="1"/>
        <i x="297" s="1" nd="1"/>
        <i x="284" s="1" nd="1"/>
        <i x="226" s="1" nd="1"/>
        <i x="299" s="1" nd="1"/>
        <i x="300" s="1" nd="1"/>
        <i x="185" s="1" nd="1"/>
        <i x="187" s="1" nd="1"/>
        <i x="307" s="1" nd="1"/>
        <i x="181" s="1" nd="1"/>
        <i x="227" s="1" nd="1"/>
        <i x="301" s="1" nd="1"/>
        <i x="302" s="1" nd="1"/>
        <i x="184" s="1" nd="1"/>
        <i x="309" s="1" nd="1"/>
        <i x="183" s="1" nd="1"/>
        <i x="198" s="1" nd="1"/>
        <i x="308" s="1" nd="1"/>
        <i x="303" s="1" nd="1"/>
        <i x="202" s="1" nd="1"/>
        <i x="306" s="1" nd="1"/>
        <i x="305" s="1" nd="1"/>
        <i x="223" s="1" nd="1"/>
        <i x="176" s="1" nd="1"/>
        <i x="188" s="1" nd="1"/>
        <i x="224" s="1" nd="1"/>
        <i x="222" s="1" nd="1"/>
        <i x="180" s="1" nd="1"/>
        <i x="182" s="1" nd="1"/>
        <i x="186" s="1" nd="1"/>
        <i x="177" s="1" nd="1"/>
        <i x="212" s="1" nd="1"/>
        <i x="217" s="1" nd="1"/>
        <i x="178" s="1" nd="1"/>
        <i x="179" s="1" nd="1"/>
        <i x="189" s="1" nd="1"/>
        <i x="192" s="1" nd="1"/>
        <i x="199" s="1" nd="1"/>
        <i x="191" s="1" nd="1"/>
        <i x="194" s="1" nd="1"/>
        <i x="193" s="1" nd="1"/>
        <i x="235" s="1" nd="1"/>
        <i x="190" s="1" nd="1"/>
        <i x="215" s="1" nd="1"/>
        <i x="230" s="1" nd="1"/>
        <i x="195" s="1" nd="1"/>
        <i x="220" s="1" nd="1"/>
        <i x="232" s="1" nd="1"/>
        <i x="204" s="1" nd="1"/>
        <i x="244" s="1" nd="1"/>
        <i x="203" s="1" nd="1"/>
        <i x="200" s="1" nd="1"/>
        <i x="196" s="1" nd="1"/>
        <i x="197" s="1" nd="1"/>
        <i x="216" s="1" nd="1"/>
        <i x="205" s="1" nd="1"/>
        <i x="128" s="1" nd="1"/>
        <i x="206" s="1" nd="1"/>
        <i x="201" s="1" nd="1"/>
        <i x="208" s="1" nd="1"/>
        <i x="209" s="1" nd="1"/>
        <i x="237" s="1" nd="1"/>
        <i x="207" s="1" nd="1"/>
        <i x="225" s="1" nd="1"/>
        <i x="213" s="1" nd="1"/>
        <i x="210" s="1" nd="1"/>
        <i x="214" s="1" nd="1"/>
        <i x="211" s="1" nd="1"/>
        <i x="218" s="1" nd="1"/>
        <i x="236" s="1" nd="1"/>
        <i x="231" s="1" nd="1"/>
        <i x="250" s="1" nd="1"/>
        <i x="219" s="1" nd="1"/>
        <i x="121" s="1" nd="1"/>
        <i x="229" s="1" nd="1"/>
        <i x="221" s="1" nd="1"/>
        <i x="245" s="1" nd="1"/>
        <i x="228" s="1" nd="1"/>
        <i x="243" s="1" nd="1"/>
        <i x="129" s="1" nd="1"/>
        <i x="234" s="1" nd="1"/>
        <i x="233" s="1" nd="1"/>
        <i x="249" s="1" nd="1"/>
        <i x="246" s="1" nd="1"/>
        <i x="140" s="1" nd="1"/>
        <i x="254" s="1" nd="1"/>
        <i x="238" s="1" nd="1"/>
        <i x="247" s="1" nd="1"/>
        <i x="252" s="1" nd="1"/>
        <i x="131" s="1" nd="1"/>
        <i x="157" s="1" nd="1"/>
        <i x="256" s="1" nd="1"/>
        <i x="253" s="1" nd="1"/>
        <i x="122" s="1" nd="1"/>
        <i x="142" s="1" nd="1"/>
        <i x="248" s="1" nd="1"/>
        <i x="124" s="1" nd="1"/>
        <i x="239" s="1" nd="1"/>
        <i x="242" s="1" nd="1"/>
        <i x="139" s="1" nd="1"/>
        <i x="251" s="1" nd="1"/>
        <i x="240" s="1" nd="1"/>
        <i x="241" s="1" nd="1"/>
        <i x="126" s="1" nd="1"/>
        <i x="144" s="1" nd="1"/>
        <i x="145" s="1" nd="1"/>
        <i x="158" s="1" nd="1"/>
        <i x="255" s="1" nd="1"/>
        <i x="120" s="1" nd="1"/>
        <i x="143" s="1" nd="1"/>
        <i x="136" s="1" nd="1"/>
        <i x="123" s="1" nd="1"/>
        <i x="127" s="1" nd="1"/>
        <i x="133" s="1" nd="1"/>
        <i x="125" s="1" nd="1"/>
        <i x="149" s="1" nd="1"/>
        <i x="153" s="1" nd="1"/>
        <i x="154" s="1" nd="1"/>
        <i x="146" s="1" nd="1"/>
        <i x="130" s="1" nd="1"/>
        <i x="132" s="1" nd="1"/>
        <i x="134" s="1" nd="1"/>
        <i x="137" s="1" nd="1"/>
        <i x="150" s="1" nd="1"/>
        <i x="135" s="1" nd="1"/>
        <i x="156" s="1" nd="1"/>
        <i x="88" s="1" nd="1"/>
        <i x="67" s="1" nd="1"/>
        <i x="171" s="1" nd="1"/>
        <i x="138" s="1" nd="1"/>
        <i x="159" s="1" nd="1"/>
        <i x="155" s="1" nd="1"/>
        <i x="141" s="1" nd="1"/>
        <i x="163" s="1" nd="1"/>
        <i x="99" s="1" nd="1"/>
        <i x="62" s="1" nd="1"/>
        <i x="148" s="1" nd="1"/>
        <i x="172" s="1" nd="1"/>
        <i x="152" s="1" nd="1"/>
        <i x="175" s="1" nd="1"/>
        <i x="162" s="1" nd="1"/>
        <i x="167" s="1" nd="1"/>
        <i x="44" s="1" nd="1"/>
        <i x="164" s="1" nd="1"/>
        <i x="166" s="1" nd="1"/>
        <i x="84" s="1" nd="1"/>
        <i x="52" s="1" nd="1"/>
        <i x="161" s="1" nd="1"/>
        <i x="49" s="1" nd="1"/>
        <i x="160" s="1" nd="1"/>
        <i x="61" s="1" nd="1"/>
        <i x="45" s="1" nd="1"/>
        <i x="43" s="1" nd="1"/>
        <i x="165" s="1" nd="1"/>
        <i x="59" s="1" nd="1"/>
        <i x="53" s="1" nd="1"/>
        <i x="64" s="1" nd="1"/>
        <i x="81" s="1" nd="1"/>
        <i x="58" s="1" nd="1"/>
        <i x="69" s="1" nd="1"/>
        <i x="63" s="1" nd="1"/>
        <i x="60" s="1" nd="1"/>
        <i x="173" s="1" nd="1"/>
        <i x="117" s="1" nd="1"/>
        <i x="71" s="1" nd="1"/>
        <i x="72" s="1" nd="1"/>
        <i x="169" s="1" nd="1"/>
        <i x="168" s="1" nd="1"/>
        <i x="46" s="1" nd="1"/>
        <i x="48" s="1" nd="1"/>
        <i x="79" s="1" nd="1"/>
        <i x="55" s="1" nd="1"/>
        <i x="174" s="1" nd="1"/>
        <i x="113" s="1" nd="1"/>
        <i x="104" s="1" nd="1"/>
        <i x="92" s="1" nd="1"/>
        <i x="66" s="1" nd="1"/>
        <i x="51" s="1" nd="1"/>
        <i x="82" s="1" nd="1"/>
        <i x="101" s="1" nd="1"/>
        <i x="93" s="1" nd="1"/>
        <i x="89" s="1" nd="1"/>
        <i x="57" s="1" nd="1"/>
        <i x="77" s="1" nd="1"/>
        <i x="76" s="1" nd="1"/>
        <i x="91" s="1" nd="1"/>
        <i x="78" s="1" nd="1"/>
        <i x="170" s="1" nd="1"/>
        <i x="54" s="1" nd="1"/>
        <i x="50" s="1" nd="1"/>
        <i x="80" s="1" nd="1"/>
        <i x="47" s="1" nd="1"/>
        <i x="85" s="1" nd="1"/>
        <i x="86" s="1" nd="1"/>
        <i x="90" s="1" nd="1"/>
        <i x="70" s="1" nd="1"/>
        <i x="65" s="1" nd="1"/>
        <i x="98" s="1" nd="1"/>
        <i x="97" s="1" nd="1"/>
        <i x="102" s="1" nd="1"/>
        <i x="56" s="1" nd="1"/>
        <i x="100" s="1" nd="1"/>
        <i x="87" s="1" nd="1"/>
        <i x="68" s="1" nd="1"/>
        <i x="73" s="1" nd="1"/>
        <i x="74" s="1" nd="1"/>
        <i x="83" s="1" nd="1"/>
        <i x="75" s="1" nd="1"/>
        <i x="94" s="1" nd="1"/>
        <i x="105" s="1" nd="1"/>
        <i x="95" s="1" nd="1"/>
        <i x="111" s="1" nd="1"/>
        <i x="108" s="1" nd="1"/>
        <i x="106" s="1" nd="1"/>
        <i x="118" s="1" nd="1"/>
        <i x="112" s="1" nd="1"/>
        <i x="119" s="1" nd="1"/>
        <i x="114" s="1" nd="1"/>
        <i x="115" s="1" nd="1"/>
        <i x="96" s="1" nd="1"/>
        <i x="109" s="1" nd="1"/>
        <i x="116" s="1" nd="1"/>
        <i x="107" s="1" nd="1"/>
        <i x="110" s="1" nd="1"/>
        <i x="103" s="1" nd="1"/>
        <i x="34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65">
      <calculatedColumnFormula>B49</calculatedColumnFormula>
    </tableColumn>
    <tableColumn id="2" xr3:uid="{7EDCC2ED-0339-42B3-9633-FFEA7A3DD9F3}" name="Tiyaar" dataDxfId="164">
      <calculatedColumnFormula>SUMIFS(ledger!G:G, ledger!B:B, B2, ledger!E:E, "&lt;&gt;*RD*") / 1.0936</calculatedColumnFormula>
    </tableColumn>
    <tableColumn id="3" xr3:uid="{CC1535DD-3FE7-4F55-8040-E7643388A78E}" name="Rate"/>
    <tableColumn id="4" xr3:uid="{059CB70B-ADAD-4985-84AA-0D530BAC5567}" name="Total" dataDxfId="16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62" dataDxfId="161">
  <autoFilter ref="B7:E20" xr:uid="{449E5D32-DF9C-4018-96AB-CA98E118D910}"/>
  <tableColumns count="4">
    <tableColumn id="1" xr3:uid="{F663704C-91DD-4BB9-B7EB-EEB0C5EDED6C}" name="Description" dataDxfId="160"/>
    <tableColumn id="2" xr3:uid="{6D94D495-CD0B-4FD3-9771-81D731982A97}" name="Rate" dataDxfId="159" dataCellStyle="Comma"/>
    <tableColumn id="3" xr3:uid="{2D14CEAD-3602-40E7-A488-3584EBC9141E}" name="gazana" dataDxfId="158" dataCellStyle="Comma"/>
    <tableColumn id="4" xr3:uid="{06FEE63C-6480-4079-8426-51BC26B38B34}" name="sum" dataDxfId="15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56" totalsRowDxfId="155" dataCellStyle="Comma">
      <totalsRowFormula>SUM(Table12[Amount])</totalsRowFormula>
    </tableColumn>
    <tableColumn id="3" xr3:uid="{12F975D1-A51D-47BD-82DF-F0C35A709016}" name="Description"/>
    <tableColumn id="4" xr3:uid="{96712812-B120-49C2-B905-59FC86A743E8}" name="cost per meter" totalsRowFunction="custom" dataDxfId="154" totalsRowDxfId="153">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52" dataDxfId="151" headerRowCellStyle="Comma" dataCellStyle="Comma">
  <autoFilter ref="B2:C5" xr:uid="{136E8F7F-D03F-4198-8335-91A003EA9E45}"/>
  <tableColumns count="2">
    <tableColumn id="1" xr3:uid="{279FA697-9952-479A-AC05-0D4992B41374}" name="Column1" dataDxfId="150" dataCellStyle="Comma"/>
    <tableColumn id="2" xr3:uid="{8A64998B-65EF-41CD-BCB0-3DDB7B359C54}" name="Column2" dataDxfId="14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8"/>
    <tableColumn id="2" xr3:uid="{51D27FA2-8DDF-4369-BAF7-7D1FE90E16A0}" name="Column2" dataDxfId="14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46" totalsRowDxfId="14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5" totalsRowCount="1" headerRowDxfId="143" dataDxfId="142" headerRowCellStyle="Comma" dataCellStyle="Comma">
  <autoFilter ref="A1:K134" xr:uid="{11DACEC6-751B-4B1D-817F-5C5BCD38EF6D}"/>
  <tableColumns count="11">
    <tableColumn id="1" xr3:uid="{2FCE3FA8-A48C-4685-8919-AE44C6C71FD9}" name="Date" dataDxfId="59" dataCellStyle="Comma"/>
    <tableColumn id="2" xr3:uid="{5780FD5F-0890-44E6-B59C-8E37A559FE36}" name="Party Name" dataDxfId="58" dataCellStyle="Comma"/>
    <tableColumn id="3" xr3:uid="{5B3ECD85-9174-40AC-BFBD-49CAC97A83D3}" name="Bill Number" dataDxfId="57" dataCellStyle="Comma"/>
    <tableColumn id="4" xr3:uid="{11B50761-04B6-4262-AD4D-7182450037D1}" name="Quality" dataDxfId="56" dataCellStyle="Comma"/>
    <tableColumn id="5" xr3:uid="{2C556969-B713-4967-BD24-466AACCBE5F5}" name="Shipment Number" dataDxfId="55" totalsRowDxfId="15" dataCellStyle="Comma"/>
    <tableColumn id="6" xr3:uid="{F4E1FD2B-9017-4DEB-B772-BF447ECE56F7}" name="Kora/metre" dataDxfId="54" totalsRowDxfId="14" dataCellStyle="Comma"/>
    <tableColumn id="7" xr3:uid="{52ACC1DA-7A76-4A90-B809-3A1AE728E7EA}" name="Tiyaar/gaz" dataDxfId="53" totalsRowDxfId="13" dataCellStyle="Comma"/>
    <tableColumn id="8" xr3:uid="{31A0FF5E-56F0-44D1-9865-73256B964660}" name="shortage %" dataDxfId="52" totalsRowDxfId="12" dataCellStyle="Comma">
      <calculatedColumnFormula>_xlfn.XLOOKUP(Table1[[#This Row],[Shipment Number]], 'pivot '!A:A,'pivot '!G:G, "NF")</calculatedColumnFormula>
    </tableColumn>
    <tableColumn id="9" xr3:uid="{F99075E0-AC8E-094D-BB85-272AD2C6C568}" name="tiyar/meters" totalsRowFunction="custom" dataDxfId="51" totalsRowDxfId="11"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50" totalsRowDxfId="10"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49" totalsRowDxfId="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1" totalsRowCount="1" headerRowDxfId="139" headerRowBorderDxfId="138" tableBorderDxfId="137">
  <autoFilter ref="A1:I90" xr:uid="{F8E8C957-ABE7-4E4F-8D4E-7D44E26B334F}"/>
  <tableColumns count="9">
    <tableColumn id="1" xr3:uid="{C2E817D6-AB98-4DDD-8890-736B27F261CD}" name="Date" dataDxfId="136" totalsRowDxfId="68"/>
    <tableColumn id="2" xr3:uid="{CFB51890-CCDC-463C-81C9-3F8BD7469CB9}" name="Party Name"/>
    <tableColumn id="3" xr3:uid="{A113D971-1C9D-4733-99C4-BD0CC4333209}" name="Vehicle Number"/>
    <tableColumn id="4" xr3:uid="{49780304-3DD1-4AE9-98EE-2BC7EB8F3B57}" name="Weight" dataDxfId="135" totalsRowDxfId="67" dataCellStyle="Comma"/>
    <tableColumn id="5" xr3:uid="{FCAF1BC6-1D8C-42AD-8BBC-F924BF2DC7FE}" name="Rate" dataDxfId="134" totalsRowDxfId="66" dataCellStyle="Comma"/>
    <tableColumn id="6" xr3:uid="{8C70A624-4134-410C-9C45-9FDEB51D51BF}" name="Rent" dataDxfId="133" totalsRowDxfId="65" dataCellStyle="Comma"/>
    <tableColumn id="7" xr3:uid="{EBCE10AE-9634-4982-9C95-37ABC8A7078C}" name="Total" totalsRowFunction="sum" dataDxfId="132" totalsRowDxfId="64" dataCellStyle="Comma">
      <calculatedColumnFormula>D2*E2</calculatedColumnFormula>
    </tableColumn>
    <tableColumn id="9" xr3:uid="{D4788559-C94A-44D9-B9AE-E72B214355AC}" name="Paid" totalsRowFunction="sum" dataDxfId="131" totalsRowDxfId="63" dataCellStyle="Comma"/>
    <tableColumn id="8" xr3:uid="{E26F5BF0-1875-4FC6-994D-49F202ED562B}" name="balance" totalsRowFunction="sum" dataDxfId="130" totalsRowDxfId="62"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34" totalsRowCount="1">
  <autoFilter ref="A1:G333" xr:uid="{CB032221-B416-47A8-9A76-693DE76CFD04}"/>
  <tableColumns count="7">
    <tableColumn id="1" xr3:uid="{554B1EED-65B6-4E9A-B646-82727FAC40DE}" name="Date" dataDxfId="128" totalsRowDxfId="3"/>
    <tableColumn id="2" xr3:uid="{32259059-42CF-4947-83DE-115AA430BE2B}" name="Party"/>
    <tableColumn id="3" xr3:uid="{A1320223-D55D-483C-91C3-AB19B95CC9D8}" name="Debit" totalsRowFunction="sum" dataDxfId="127" totalsRowDxfId="2" dataCellStyle="Comma"/>
    <tableColumn id="4" xr3:uid="{E9745767-9FF0-4B1C-9052-FF335D1D7588}" name="Credit" totalsRowFunction="sum" dataDxfId="126" totalsRowDxfId="1" dataCellStyle="Comma"/>
    <tableColumn id="5" xr3:uid="{5C88A48E-2467-4E6D-B626-2442B7FD0BE4}" name="Description"/>
    <tableColumn id="6" xr3:uid="{63CA4666-144E-4BE6-8B7C-7CB992BD3041}" name="Mode" totalsRowFunction="custom" dataDxfId="12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4" tableBorderDxfId="123" totalsRowBorderDxfId="122">
  <autoFilter ref="J3:K6" xr:uid="{DCE01694-23ED-48BF-8B92-4186B9ED10A8}"/>
  <tableColumns count="2">
    <tableColumn id="1" xr3:uid="{C8484DAF-2989-4C2F-9AEC-A6917E1C57F6}" name="Type" dataDxfId="121"/>
    <tableColumn id="2" xr3:uid="{B07B7A2A-4D4E-4654-BED6-FE2F0A7BEC34}" name="Amount" dataDxfId="12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19" headerRowBorderDxfId="118" tableBorderDxfId="117" totalsRowBorderDxfId="116">
  <autoFilter ref="M3:O6" xr:uid="{D166BDD1-ACD7-45D7-8AE9-7350373F8CEB}"/>
  <tableColumns count="3">
    <tableColumn id="1" xr3:uid="{64F0205E-DEA7-4571-BA86-E4374A5FEE28}" name="Type" totalsRowLabel="Total" dataDxfId="115" totalsRowDxfId="114"/>
    <tableColumn id="2" xr3:uid="{15FA05F9-789C-4459-9BE0-5C1EC84D3365}" name="amount" totalsRowFunction="custom" dataDxfId="113" totalsRowDxfId="112">
      <totalsRowFormula>SUM(N5:N6)</totalsRowFormula>
    </tableColumn>
    <tableColumn id="3" xr3:uid="{3681D409-90C6-44D0-BDE2-4B5943A516F0}" name="Actual" totalsRowFunction="custom" totalsRowDxfId="11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10" totalsRowDxfId="109"/>
    <tableColumn id="2" xr3:uid="{5B9D0FEE-4304-4C5C-A05C-5B27CF7841D3}" name="Type"/>
    <tableColumn id="3" xr3:uid="{6A91CA0D-C802-4C6F-9F39-CA53687E8EDE}" name="Description"/>
    <tableColumn id="4" xr3:uid="{A251D40C-AB87-4BB4-85F8-444B20E32FDF}" name="Total" totalsRowFunction="custom" dataDxfId="108" totalsRowDxfId="10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106" headerRowBorderDxfId="105">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04"/>
    <tableColumn id="4" xr3:uid="{1889A312-9B41-4EC4-BD8F-05252F27084A}" name="Price" totalsRowFunction="sum"/>
    <tableColumn id="6" xr3:uid="{8B974B20-F003-4E67-8660-024FA4F324A9}" name="Party"/>
    <tableColumn id="7" xr3:uid="{0A5A5C21-FD61-47DA-9F54-66A6479FA557}" name="Paid" dataDxfId="103">
      <calculatedColumnFormula>SUMIFS(Table14[Debit], Table14[Date], Table8[[#This Row],[Date]], Table14[Party], Table8[[#This Row],[Party]])</calculatedColumnFormula>
    </tableColumn>
    <tableColumn id="8" xr3:uid="{8DCB3B43-2161-4081-82EC-CDB0F4DE4E6F}" name="Balance" totalsRowFunction="sum" dataDxfId="10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1:E48" totalsRowCount="1">
  <autoFilter ref="A21:E47"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101" headerRowBorderDxfId="100">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99" totalsRowDxfId="98"/>
    <tableColumn id="8" xr3:uid="{477ACFD5-62AF-4F69-974B-E9B974C11D7D}" name="Party Name" dataDxfId="9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96">
      <calculatedColumnFormula>Table2[[#This Row],[Quantity]]*200*Table2[[#This Row],[Boxes]]</calculatedColumnFormula>
    </tableColumn>
    <tableColumn id="6" xr3:uid="{30432929-CBD4-4BA8-B63F-CD0F6CF6405F}" name="Paid" totalsRowFunction="sum" dataDxfId="9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9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93" totalsRowDxfId="9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91" totalsRowDxfId="90"/>
    <tableColumn id="2" xr3:uid="{053BFC14-4828-417C-9F9F-95B6E232A945}" name="Amount" totalsRowFunction="custom" dataDxfId="89" totalsRowDxfId="8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7" totalsRowDxfId="8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76" totalsRowDxfId="7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74" totalsRowDxfId="7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72">
      <calculatedColumnFormula>Billing!Q5</calculatedColumnFormula>
    </tableColumn>
    <tableColumn id="2" xr3:uid="{7093A59E-B58F-487D-888A-9AA8156B5F9A}" name="Amount Paid" dataDxfId="7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70"/>
    <tableColumn id="2" xr3:uid="{F72CFEEB-BA11-4A49-BD19-88592EB6A27C}" name="Credit" dataDxfId="6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395529.33650329191</v>
      </c>
      <c r="D2">
        <v>10</v>
      </c>
      <c r="E2" s="14">
        <f>(SUMIFS(ledger!G:G, ledger!B:B, B2, ledger!E:E, "&lt;&gt;*RD*",ledger!D:D, "Silky") / 1.0936)*12 + (SUMIFS(ledger!G:G, ledger!B:B, B2, ledger!E:E, "&lt;&gt;*RD*",ledger!D:D, "Chamki") / 1.0936)*10</f>
        <v>3681638.6247256766</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96228.968544257514</v>
      </c>
      <c r="D4">
        <v>10</v>
      </c>
      <c r="E4" s="14">
        <f>(SUMIFS(ledger!G:G, ledger!B:B, B4, ledger!E:E, "&lt;&gt;*RD*",ledger!D:D, "Silky") / 1.0936)*12 + (SUMIFS(ledger!G:G, ledger!B:B, B4, ledger!E:E, "&lt;&gt;*RD*",ledger!D:D, "Chamki") / 1.0936)*10</f>
        <v>987944.40380395029</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2967489.8824</v>
      </c>
      <c r="S5" s="22" cm="1">
        <f t="array" ref="S5">_xlfn.BYROW(B49, _xlfn.LAMBDA(_xlpm.party, SUMIFS(ledger!G:G, ledger!B:B, _xlpm.party, ledger!E:E, "&lt;&gt;*RD*") / 1.0936 ))+_xlfn.IFNA(D84,0)</f>
        <v>2713505.744696416</v>
      </c>
      <c r="T5" s="22" cm="1">
        <f t="array" ref="T5">(_xlfn.BYROW(B49,_xlfn.LAMBDA(_xlpm.party,SUMIFS(ledger!G:G,ledger!B:B,_xlpm.party,ledger!E:E,"&lt;&gt;*RD*",ledger!D:D,"Chamki")+SUMIFS(ledger!G:G, ledger!B:B, _xlpm.party, ledger!E:E, "&lt;&gt;*RD*", ledger!D:D, "Crinkle")))/1.0936)+_xlfn.IFNA(E84,0)</f>
        <v>2353723.3745427947</v>
      </c>
      <c r="U5" s="70" cm="1">
        <f t="array" ref="U5">(_xlfn.BYROW(B49,_xlfn.LAMBDA(_xlpm.party,SUMIFS(ledger!G:G,ledger!B:B,_xlpm.party,ledger!E:E,"&lt;&gt;*RD*",ledger!D:D,"Silky")))/1.0936)+_xlfn.IFNA(F84,0)</f>
        <v>359782.37015362107</v>
      </c>
      <c r="V5" s="22" cm="1">
        <f t="array" ref="V5">(_xlfn.BYROW(B49,_xlfn.LAMBDA(_xlpm.party,
(SUMIFS(ledger!J:J,ledger!B:B,_xlpm.party,ledger!E:E,"&lt;&gt;*RD*",ledger!D:D,"Chamki",ledger!C:C,"&lt;&gt;November Closing CF")+
SUMIFS(ledger!J:J,ledger!B:B,_xlpm.party,ledger!E:E,"&lt;&gt;*RD*",ledger!D:D,"Crinkle",ledger!C:C,"&lt;&gt;November Closing CF")
)+_xlfn.IFNA(G84,0))))</f>
        <v>23537233.745427951</v>
      </c>
      <c r="W5" s="70" cm="1">
        <f t="array" ref="W5">_xlfn.BYROW(B49, _xlfn.LAMBDA(_xlpm.party,
   SUMIFS(ledger!J:J, ledger!B:B, _xlpm.party, ledger!E:E, "&lt;&gt;*RD*", ledger!D:D, "Silky", ledger!C:C, "&lt;&gt;November Closing CF")
)) + _xlfn.IFNA(H84, 0)</f>
        <v>4588814.9231894668</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28126048.66861742</v>
      </c>
      <c r="AD5" s="22">
        <f>(SUMIF(Table14[Party],Q5,Table14[Credit]))+_xlfn.IFNA(O84,0)</f>
        <v>19750734</v>
      </c>
      <c r="AE5" s="33">
        <f>AC5-AD5</f>
        <v>8375314.6686174199</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4471992</v>
      </c>
      <c r="AE6" s="33">
        <f t="shared" ref="AE6:AE31" si="2">AC6-AD6</f>
        <v>143937.95610826649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762384</v>
      </c>
      <c r="S7" s="22" cm="1">
        <f t="array" ref="S7">_xlfn.BYROW(B51, _xlfn.LAMBDA(_xlpm.party, SUMIFS(ledger!G:G, ledger!B:B, _xlpm.party, ledger!E:E, "&lt;&gt;*RD*") / 1.0936 ))+_xlfn.IFNA(D86,0)</f>
        <v>697132.40673006582</v>
      </c>
      <c r="T7" s="22" cm="1">
        <f t="array" ref="T7">(_xlfn.BYROW(B51,_xlfn.LAMBDA(_xlpm.party,SUMIFS(ledger!G:G,ledger!B:B,_xlpm.party,ledger!E:E,"&lt;&gt;*RD*",ledger!D:D,"Chamki")+SUMIFS(ledger!G:G, ledger!B:B, _xlpm.party, ledger!E:E, "&lt;&gt;*RD*", ledger!D:D, "Crinkle")))/1.0936)+_xlfn.IFNA(E86,0)</f>
        <v>606192.39209948794</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6061923.9209948797</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7229349.853694221</v>
      </c>
      <c r="AD7" s="22">
        <f>(SUMIF(Table14[Party],Q7,Table14[Credit]))+_xlfn.IFNA(O86,0)</f>
        <v>7155301</v>
      </c>
      <c r="AE7" s="33">
        <f t="shared" si="2"/>
        <v>74048.853694221005</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2616679</v>
      </c>
      <c r="AE15" s="33">
        <f t="shared" si="2"/>
        <v>263021.07315288996</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6315761</v>
      </c>
      <c r="AE16" s="33">
        <f t="shared" si="2"/>
        <v>321938.34162399545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11065799.034381857</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11065799.034381857</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106622</v>
      </c>
      <c r="S24" s="22" cm="1">
        <f t="array" ref="S24">_xlfn.BYROW(B68, _xlfn.LAMBDA(_xlpm.party, SUMIFS(ledger!G:G, ledger!B:B, _xlpm.party, ledger!E:E, "&lt;&gt;*RD*") / 1.0936 ))+_xlfn.IFNA(D103,0)</f>
        <v>97496.342355523055</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1096132.9553767375</v>
      </c>
      <c r="AD24" s="22">
        <f>(SUMIF(Table14[Party],Q24,Table14[Credit]))+_xlfn.IFNA(O103,0)</f>
        <v>996025</v>
      </c>
      <c r="AE24" s="33">
        <f t="shared" si="2"/>
        <v>100107.95537673752</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191698.97585954645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1916989.7585954643</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2463900.877834674</v>
      </c>
      <c r="AD25" s="22">
        <f>(SUMIF(Table14[Party],Q25,Table14[Credit]))+_xlfn.IFNA(O104,0)</f>
        <v>2461895</v>
      </c>
      <c r="AE25" s="33">
        <f t="shared" si="2"/>
        <v>2005.8778346739709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432550.8824</v>
      </c>
      <c r="D49" s="22" cm="1">
        <f t="array" ref="D49:D74">_xlfn.BYROW(_xlfn.ANCHORARRAY(B49), _xlfn.LAMBDA(_xlpm.party, SUMIFS(ledger!G:G, ledger!B:B, _xlpm.party, ledger!E:E, "&lt;&gt;*RD*") / 1.0936 ))</f>
        <v>395529.33650329191</v>
      </c>
      <c r="E49" s="63" cm="1">
        <f t="array" ref="E49:E74">(_xlfn.BYROW(_xlfn.ANCHORARRAY(B49),_xlfn.LAMBDA(_xlpm.party,SUMIFS(ledger!G:G,ledger!B:B,_xlpm.party,ledger!E:E,"&lt;&gt;*RD*",ledger!D:D,"Chamki")+SUMIFS(ledger!G:G, ledger!B:B, _xlpm.party, ledger!E:E, "&lt;&gt;*RD*", ledger!D:D, "Crinkle")))/1.0936)</f>
        <v>318215.87637161673</v>
      </c>
      <c r="F49" s="63" cm="1">
        <f t="array" ref="F49:F74">(_xlfn.BYROW(_xlfn.ANCHORARRAY(B49),_xlfn.LAMBDA(_xlpm.party,SUMIFS(ledger!G:G,ledger!B:B,_xlpm.party,ledger!E:E,"&lt;&gt;*RD*",ledger!D:D,"Silky")))/1.0936)</f>
        <v>77313.460131675209</v>
      </c>
      <c r="G49" s="22" cm="1">
        <f t="array" ref="G49">(_xlfn.BYROW(B49,_xlfn.LAMBDA(_xlpm.party,
(SUMIFS(ledger!J:J,ledger!B:B,_xlpm.party,ledger!E:E,"&lt;&gt;*RD*",ledger!D:D,"Chamki",ledger!C:C,"&lt;&gt;November Closing CF")+
SUMIFS(ledger!J:J,ledger!B:B,_xlpm.party,ledger!E:E,"&lt;&gt;*RD*",ledger!D:D,"Crinkle",ledger!C:C,"&lt;&gt;November Closing CF")
))))</f>
        <v>3182158.7637161673</v>
      </c>
      <c r="H49" s="22" cm="1">
        <f t="array" ref="H49">_xlfn.BYROW(B49, _xlfn.LAMBDA(_xlpm.party,
   SUMIFS(ledger!J:J, ledger!B:B, _xlpm.party, ledger!E:E, "&lt;&gt;*RD*", ledger!D:D, "Silky", ledger!C:C, "&lt;&gt;November Closing CF")
))</f>
        <v>1005074.9817117777</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4187233.7454279452</v>
      </c>
      <c r="O49" s="22">
        <f>(SUMIF(Table14[Party],B49,Table14[Credit]))</f>
        <v>0</v>
      </c>
      <c r="P49" s="37">
        <f>N49-O49</f>
        <v>4187233.7454279452</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508088</v>
      </c>
      <c r="P50" s="37">
        <f>N50-O50</f>
        <v>-64987.23189465981</v>
      </c>
      <c r="Q50" s="21">
        <v>10</v>
      </c>
      <c r="R50" s="21">
        <v>12</v>
      </c>
    </row>
    <row r="51" spans="1:23" x14ac:dyDescent="0.3">
      <c r="B51" s="24" t="str">
        <v>Arshad</v>
      </c>
      <c r="C51" s="22">
        <v>105236</v>
      </c>
      <c r="D51" s="22">
        <v>96228.968544257514</v>
      </c>
      <c r="E51" s="63">
        <v>83401.609363569863</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834016.09363569866</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1000771.762984638</v>
      </c>
      <c r="O51" s="22">
        <f>(SUMIF(Table14[Party],B51,Table14[Credit]))</f>
        <v>1152366</v>
      </c>
      <c r="P51" s="37">
        <f>N51-O51</f>
        <v>-151594.23701536201</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395529.33650329191</v>
      </c>
      <c r="W58" s="18">
        <v>3681638.6247256766</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810699</v>
      </c>
      <c r="P59" s="37">
        <f t="shared" si="6"/>
        <v>214438.16166788619</v>
      </c>
      <c r="Q59" s="21">
        <v>10</v>
      </c>
      <c r="R59" s="21">
        <v>12</v>
      </c>
      <c r="U59" s="4" t="s">
        <v>22</v>
      </c>
      <c r="V59" s="5">
        <v>34084.674469641555</v>
      </c>
      <c r="W59" s="18">
        <v>409016.09363569866</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1390000</v>
      </c>
      <c r="P60" s="37">
        <f t="shared" si="6"/>
        <v>227976.40819312376</v>
      </c>
      <c r="Q60" s="21">
        <v>10</v>
      </c>
      <c r="R60" s="21">
        <v>12</v>
      </c>
      <c r="U60" s="4" t="s">
        <v>9</v>
      </c>
      <c r="V60" s="5">
        <v>96228.968544257514</v>
      </c>
      <c r="W60" s="18">
        <v>987944.40380395029</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41842</v>
      </c>
      <c r="D68" s="22">
        <v>38260.790051207026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382607.90051207022</v>
      </c>
      <c r="O68" s="22">
        <f>SUMIF(Table14[Party], B68, Table14[Credit])</f>
        <v>996025</v>
      </c>
      <c r="P68" s="37">
        <f t="shared" si="6"/>
        <v>-613417.09948792984</v>
      </c>
      <c r="Q68" s="21">
        <v>10</v>
      </c>
      <c r="R68" s="21">
        <v>12</v>
      </c>
      <c r="U68" s="4" t="s">
        <v>27</v>
      </c>
      <c r="V68" s="5">
        <v>102513.7161667886</v>
      </c>
      <c r="W68" s="18">
        <v>1025137.161667886</v>
      </c>
    </row>
    <row r="69" spans="2:23" x14ac:dyDescent="0.3">
      <c r="B69" s="81" t="str">
        <v>Shahid Qasayi</v>
      </c>
      <c r="C69" s="22">
        <v>87689</v>
      </c>
      <c r="D69" s="22">
        <v>80183.79663496709</v>
      </c>
      <c r="E69" s="63">
        <v>78203.182150694964</v>
      </c>
      <c r="F69" s="21">
        <v>0</v>
      </c>
      <c r="G69" s="22" cm="1">
        <f t="array" ref="G69">(_xlfn.BYROW(B69,_xlfn.LAMBDA(_xlpm.party,
(SUMIFS(ledger!J:J,ledger!B:B,_xlpm.party,ledger!E:E,"&lt;&gt;*RD*",ledger!D:D,"Chamki",ledger!C:C,"&lt;&gt;November Closing CF")+
SUMIFS(ledger!J:J,ledger!B:B,_xlpm.party,ledger!E:E,"&lt;&gt;*RD*",ledger!D:D,"Crinkle",ledger!C:C,"&lt;&gt;November Closing CF")
))))</f>
        <v>782031.82150694949</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805799.19531821506</v>
      </c>
      <c r="O69" s="22">
        <f>SUMIF(Table14[Party], B69, Table14[Credit])</f>
        <v>993570</v>
      </c>
      <c r="P69" s="37">
        <f t="shared" si="6"/>
        <v>-187770.80468178494</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928413.38917337242</v>
      </c>
      <c r="W75" s="14">
        <v>8452729.5171909295</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I18" sqref="I1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191698.97585954645</v>
      </c>
      <c r="E12" s="92">
        <f ca="1">Table21[[#This Row],[gazana]]*Table21[[#This Row],[Rate]]</f>
        <v>1916989.7585954645</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1916989.7585954645</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2461895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2005.8778346739709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5784890</v>
      </c>
      <c r="D4" t="s">
        <v>190</v>
      </c>
      <c r="E4" s="43">
        <f ca="1">Table12[[#This Row],[Amount]]/Table1[[#Totals],[tiyar/meters]]</f>
        <v>5.4867135944514285</v>
      </c>
    </row>
    <row r="5" spans="1:5" x14ac:dyDescent="0.3">
      <c r="B5" t="s">
        <v>48</v>
      </c>
      <c r="C5" s="11">
        <f>SUM(Table8[Price])+Dyes!P56</f>
        <v>1482910</v>
      </c>
      <c r="E5" s="43">
        <f ca="1">Table12[[#This Row],[Amount]]/Table1[[#Totals],[tiyar/meters]]</f>
        <v>1.4064748778884244</v>
      </c>
    </row>
    <row r="6" spans="1:5" x14ac:dyDescent="0.3">
      <c r="B6" t="s">
        <v>49</v>
      </c>
      <c r="C6" s="11">
        <f>SUM(Table2[Price])+Finish!K30</f>
        <v>457600</v>
      </c>
      <c r="D6" t="s">
        <v>189</v>
      </c>
      <c r="E6" s="43">
        <f ca="1">Table12[[#This Row],[Amount]]/Table1[[#Totals],[tiyar/meters]]</f>
        <v>0.43401346280067099</v>
      </c>
    </row>
    <row r="7" spans="1:5" x14ac:dyDescent="0.3">
      <c r="B7" t="s">
        <v>50</v>
      </c>
      <c r="C7" s="11">
        <f>SUMIFS(Table14[Debit], Table14[Party],Table12[[#This Row],[Type]])</f>
        <v>31855</v>
      </c>
      <c r="E7" s="43">
        <f ca="1">Table12[[#This Row],[Amount]]/Table1[[#Totals],[tiyar/meters]]</f>
        <v>3.0213065685129752E-2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236300</v>
      </c>
      <c r="E9" s="43">
        <f ca="1">Table12[[#This Row],[Amount]]/Table1[[#Totals],[tiyar/meters]]</f>
        <v>0.22412015135445487</v>
      </c>
    </row>
    <row r="10" spans="1:5" x14ac:dyDescent="0.3">
      <c r="B10" t="s">
        <v>53</v>
      </c>
      <c r="C10" s="11">
        <f>Table5[[#Totals],[Amount]]</f>
        <v>75460</v>
      </c>
      <c r="E10" s="43">
        <f ca="1">Table12[[#This Row],[Amount]]/Table1[[#Totals],[tiyar/meters]]</f>
        <v>7.1570489298379877E-2</v>
      </c>
    </row>
    <row r="11" spans="1:5" x14ac:dyDescent="0.3">
      <c r="B11" t="s">
        <v>54</v>
      </c>
      <c r="C11" s="11">
        <f>Table13[[#Totals],[Debit]]</f>
        <v>116568</v>
      </c>
      <c r="E11" s="43">
        <f ca="1">Table12[[#This Row],[Amount]]/Table1[[#Totals],[tiyar/meters]]</f>
        <v>0.11055961829490518</v>
      </c>
    </row>
    <row r="12" spans="1:5" x14ac:dyDescent="0.3">
      <c r="B12" t="s">
        <v>55</v>
      </c>
      <c r="C12" s="11">
        <f>Table15[[#Totals],[Amount]]</f>
        <v>89355</v>
      </c>
      <c r="E12" s="43">
        <f ca="1">Table12[[#This Row],[Amount]]/Table1[[#Totals],[tiyar/meters]]</f>
        <v>8.4749285333378402E-2</v>
      </c>
    </row>
    <row r="13" spans="1:5" x14ac:dyDescent="0.3">
      <c r="C13" s="11"/>
      <c r="E13" s="43">
        <f ca="1">Table12[[#This Row],[Amount]]/Table1[[#Totals],[tiyar/meters]]</f>
        <v>0</v>
      </c>
    </row>
    <row r="14" spans="1:5" x14ac:dyDescent="0.3">
      <c r="C14" s="14">
        <f>SUM(Table12[Amount])</f>
        <v>8274938</v>
      </c>
      <c r="E14" s="43">
        <f ca="1">SUM(Table12[cost per meter])</f>
        <v>7.8484145451067731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11065799.034381857</v>
      </c>
    </row>
    <row r="4" spans="1:3" x14ac:dyDescent="0.3">
      <c r="B4" s="11" t="s">
        <v>44</v>
      </c>
      <c r="C4" s="11">
        <f>Table12[[#Totals],[Amount]]</f>
        <v>8274938</v>
      </c>
    </row>
    <row r="5" spans="1:3" x14ac:dyDescent="0.3">
      <c r="A5" s="6"/>
      <c r="B5" s="15" t="s">
        <v>68</v>
      </c>
      <c r="C5" s="15">
        <f>C3-C4</f>
        <v>2790861.0343818571</v>
      </c>
    </row>
    <row r="10" spans="1:3" ht="15" thickBot="1" x14ac:dyDescent="0.35">
      <c r="B10" t="s">
        <v>66</v>
      </c>
      <c r="C10" s="14" t="s">
        <v>67</v>
      </c>
    </row>
    <row r="11" spans="1:3" x14ac:dyDescent="0.3">
      <c r="B11" s="56" t="s">
        <v>0</v>
      </c>
      <c r="C11" s="57">
        <f>C3</f>
        <v>11065799.034381857</v>
      </c>
    </row>
    <row r="12" spans="1:3" x14ac:dyDescent="0.3">
      <c r="B12" s="58" t="s">
        <v>69</v>
      </c>
      <c r="C12" s="59">
        <f>SUM(Table14[Credit])</f>
        <v>22888869</v>
      </c>
    </row>
    <row r="13" spans="1:3" ht="15" thickBot="1" x14ac:dyDescent="0.35">
      <c r="B13" s="74" t="s">
        <v>93</v>
      </c>
      <c r="C13" s="73">
        <f>(C11-C12)</f>
        <v>-11823069.965618143</v>
      </c>
    </row>
    <row r="14" spans="1:3" ht="15" thickBot="1" x14ac:dyDescent="0.35">
      <c r="B14" s="58"/>
      <c r="C14" s="59"/>
    </row>
    <row r="15" spans="1:3" x14ac:dyDescent="0.3">
      <c r="B15" s="56" t="s">
        <v>44</v>
      </c>
      <c r="C15" s="57">
        <f>C4</f>
        <v>8274938</v>
      </c>
    </row>
    <row r="16" spans="1:3" x14ac:dyDescent="0.3">
      <c r="B16" s="58" t="s">
        <v>70</v>
      </c>
      <c r="C16" s="59">
        <f>SUM(Table14[Debit])</f>
        <v>22842284</v>
      </c>
    </row>
    <row r="17" spans="2:6" ht="15" thickBot="1" x14ac:dyDescent="0.35">
      <c r="B17" s="74" t="s">
        <v>71</v>
      </c>
      <c r="C17" s="73">
        <f>C15-C16</f>
        <v>-14567346</v>
      </c>
    </row>
    <row r="18" spans="2:6" ht="15" thickBot="1" x14ac:dyDescent="0.35">
      <c r="B18" s="58"/>
      <c r="C18" s="59"/>
    </row>
    <row r="19" spans="2:6" ht="15" thickBot="1" x14ac:dyDescent="0.35">
      <c r="B19" s="75" t="s">
        <v>72</v>
      </c>
      <c r="C19" s="76">
        <f>Table18[[#Totals],[amount]]</f>
        <v>96585</v>
      </c>
    </row>
    <row r="20" spans="2:6" ht="15" thickBot="1" x14ac:dyDescent="0.35">
      <c r="B20" s="71"/>
      <c r="C20" s="72"/>
    </row>
    <row r="21" spans="2:6" ht="15" thickBot="1" x14ac:dyDescent="0.35">
      <c r="B21" s="60" t="s">
        <v>73</v>
      </c>
      <c r="C21" s="61">
        <f>(C13-C17)+C19</f>
        <v>2840861.0343818571</v>
      </c>
      <c r="E21" s="79" t="s">
        <v>74</v>
      </c>
      <c r="F21" s="80">
        <f>C5*0.05</f>
        <v>139543.05171909285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116568</v>
      </c>
      <c r="E38">
        <f>SUBTOTAL(109,Table13[Credit])</f>
        <v>0</v>
      </c>
      <c r="F38">
        <f>Table13[[#Totals],[Debit]]-Table13[[#Totals],[Credit]]</f>
        <v>116568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B128" zoomScale="137" zoomScaleNormal="82" workbookViewId="0">
      <selection activeCell="E140" sqref="E14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51.204713985739772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t="e">
        <f>_xlfn.XLOOKUP(Table1[[#This Row],[Shipment Number]], 'pivot '!A:A,'pivot '!G:G, "NF")</f>
        <v>#DIV/0!</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24735</v>
      </c>
      <c r="H127" s="120">
        <f>_xlfn.XLOOKUP(Table1[[#This Row],[Shipment Number]], 'pivot '!A:A,'pivot '!G:G, "NF")</f>
        <v>41.003999423312742</v>
      </c>
      <c r="I127" s="121">
        <f>Table1[[#This Row],[Tiyaar/gaz]]/1.0936</f>
        <v>22617.95903438186</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41.003999423312742</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t="e">
        <f>_xlfn.XLOOKUP(Table1[[#This Row],[Shipment Number]], 'pivot '!A:A,'pivot '!G:G, "NF")</f>
        <v>#DIV/0!</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c r="B135"/>
      <c r="C135"/>
      <c r="D135"/>
      <c r="E135" s="14"/>
      <c r="F135" s="14"/>
      <c r="G135" s="14"/>
      <c r="H135" s="43"/>
      <c r="I135" s="94" cm="1">
        <f t="array" aca="1" ref="I135" ca="1">SUMPRODUCT( SUBTOTAL(109, OFFSET(Table1[tiyar/meters], ROW(Table1[tiyar/meters])-MIN(ROW(Table1[tiyar/meters])), 0, 1)), --(Table1[Bill Number]&lt;&gt;"November Closing CF") )</f>
        <v>1054345.174103877</v>
      </c>
      <c r="J135" s="43" cm="1">
        <f t="array" aca="1" ref="J135" ca="1">SUMPRODUCT( SUBTOTAL(109, OFFSET(Table1[billing], ROW(Table1[billing])-MIN(ROW(Table1[billing])), 0, 1)), --(Table1[Bill Number]&lt;&gt;"November Closing CF") )</f>
        <v>11065799.034381859</v>
      </c>
      <c r="K135" s="14">
        <f>SUMIFS(Table1[billing], Table1[Bill Number], "&lt;&gt;November Closing CF")</f>
        <v>11065799.034381859</v>
      </c>
    </row>
    <row r="163" spans="12:12" x14ac:dyDescent="0.3">
      <c r="L163"/>
    </row>
  </sheetData>
  <phoneticPr fontId="7" alignment="center"/>
  <conditionalFormatting sqref="H2:H135">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1"/>
  <sheetViews>
    <sheetView topLeftCell="A80" zoomScale="145" zoomScaleNormal="90" workbookViewId="0">
      <selection activeCell="A85" sqref="A8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5212790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805</v>
      </c>
      <c r="N40" s="14">
        <v>662560</v>
      </c>
      <c r="O40" s="14">
        <v>185000</v>
      </c>
      <c r="P40" s="14">
        <v>477560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108</v>
      </c>
      <c r="N43" s="14">
        <v>83700</v>
      </c>
      <c r="O43" s="14">
        <v>0</v>
      </c>
      <c r="P43" s="14">
        <v>83700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46383</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46383</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46383</v>
      </c>
      <c r="B50" t="s">
        <v>169</v>
      </c>
      <c r="C50" t="s">
        <v>334</v>
      </c>
      <c r="D50" s="11">
        <v>20</v>
      </c>
      <c r="E50" s="11">
        <v>580</v>
      </c>
      <c r="F50" s="11"/>
      <c r="G50" s="11">
        <f>D50*E50</f>
        <v>11600</v>
      </c>
      <c r="H50" s="11"/>
      <c r="I50" s="11">
        <f>(D50*E50)-Table3[[#This Row],[Paid]]</f>
        <v>11600</v>
      </c>
      <c r="L50" s="26">
        <v>46383</v>
      </c>
      <c r="M50" s="14">
        <v>155</v>
      </c>
      <c r="N50" s="14">
        <v>107450</v>
      </c>
      <c r="O50" s="14"/>
      <c r="P50" s="14">
        <v>107450</v>
      </c>
    </row>
    <row r="51" spans="1:16" x14ac:dyDescent="0.3">
      <c r="A51" s="1">
        <v>46018</v>
      </c>
      <c r="B51" t="s">
        <v>169</v>
      </c>
      <c r="C51" t="s">
        <v>334</v>
      </c>
      <c r="D51" s="11">
        <v>108</v>
      </c>
      <c r="E51" s="11">
        <v>775</v>
      </c>
      <c r="F51" s="11"/>
      <c r="G51" s="11">
        <f t="shared" ref="G51:G53" si="9">D51*E51</f>
        <v>83700</v>
      </c>
      <c r="H51" s="11"/>
      <c r="I51" s="11">
        <f>(D51*E51)-Table3[[#This Row],[Paid]]</f>
        <v>83700</v>
      </c>
      <c r="L51" s="42" t="s">
        <v>103</v>
      </c>
      <c r="M51" s="14">
        <v>135</v>
      </c>
      <c r="N51" s="14">
        <v>95850</v>
      </c>
      <c r="O51" s="14"/>
      <c r="P51" s="14">
        <v>95850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42" t="s">
        <v>334</v>
      </c>
      <c r="M52" s="14">
        <v>20</v>
      </c>
      <c r="N52" s="14">
        <v>11600</v>
      </c>
      <c r="O52" s="14"/>
      <c r="P52" s="14">
        <v>11600</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26">
        <v>46022</v>
      </c>
      <c r="M53" s="14">
        <v>773</v>
      </c>
      <c r="N53" s="14">
        <v>589760</v>
      </c>
      <c r="O53" s="14">
        <v>250010</v>
      </c>
      <c r="P53" s="14">
        <v>339750</v>
      </c>
    </row>
    <row r="54" spans="1:16" x14ac:dyDescent="0.3">
      <c r="A54" s="1">
        <v>46019</v>
      </c>
      <c r="B54" t="s">
        <v>169</v>
      </c>
      <c r="D54" s="11">
        <v>116</v>
      </c>
      <c r="E54" s="11">
        <v>775</v>
      </c>
      <c r="F54" s="11"/>
      <c r="G54" s="11">
        <f t="shared" ref="G54:G55" si="10">D54*E54</f>
        <v>89900</v>
      </c>
      <c r="H54" s="11"/>
      <c r="I54" s="11">
        <f>(D54*E54)-Table3[[#This Row],[Paid]]</f>
        <v>89900</v>
      </c>
      <c r="L54" s="42" t="s">
        <v>103</v>
      </c>
      <c r="M54" s="14">
        <v>773</v>
      </c>
      <c r="N54" s="14">
        <v>589760</v>
      </c>
      <c r="O54" s="14">
        <v>250010</v>
      </c>
      <c r="P54" s="14">
        <v>339750</v>
      </c>
    </row>
    <row r="55" spans="1:16" x14ac:dyDescent="0.3">
      <c r="A55" s="1">
        <v>46019</v>
      </c>
      <c r="B55" t="s">
        <v>169</v>
      </c>
      <c r="D55" s="11">
        <v>20</v>
      </c>
      <c r="E55" s="11">
        <v>580</v>
      </c>
      <c r="F55" s="11"/>
      <c r="G55" s="11">
        <f t="shared" si="10"/>
        <v>11600</v>
      </c>
      <c r="H55" s="11"/>
      <c r="I55" s="11">
        <f>(D55*E55)-Table3[[#This Row],[Paid]]</f>
        <v>11600</v>
      </c>
      <c r="L55" s="26">
        <v>46023</v>
      </c>
      <c r="M55" s="14">
        <v>658</v>
      </c>
      <c r="N55" s="14">
        <v>541840</v>
      </c>
      <c r="O55" s="14">
        <v>275111</v>
      </c>
      <c r="P55" s="14">
        <v>266729</v>
      </c>
    </row>
    <row r="56" spans="1:16" x14ac:dyDescent="0.3">
      <c r="A56" s="1">
        <v>46020</v>
      </c>
      <c r="B56" t="s">
        <v>169</v>
      </c>
      <c r="D56" s="11">
        <v>90</v>
      </c>
      <c r="E56" s="11">
        <v>775</v>
      </c>
      <c r="F56" s="11"/>
      <c r="G56" s="11">
        <f t="shared" ref="G56:G62" si="11">D56*E56</f>
        <v>69750</v>
      </c>
      <c r="H56" s="11"/>
      <c r="I56" s="11">
        <f>(D56*E56)-Table3[[#This Row],[Paid]]</f>
        <v>69750</v>
      </c>
      <c r="L56" s="42" t="s">
        <v>103</v>
      </c>
      <c r="M56" s="14">
        <v>658</v>
      </c>
      <c r="N56" s="14">
        <v>541840</v>
      </c>
      <c r="O56" s="14">
        <v>275111</v>
      </c>
      <c r="P56" s="14">
        <v>266729</v>
      </c>
    </row>
    <row r="57" spans="1:16" x14ac:dyDescent="0.3">
      <c r="A57" s="1">
        <v>46020</v>
      </c>
      <c r="B57" t="s">
        <v>169</v>
      </c>
      <c r="D57" s="11">
        <v>58</v>
      </c>
      <c r="E57" s="11">
        <v>580</v>
      </c>
      <c r="F57" s="11"/>
      <c r="G57" s="11">
        <f t="shared" si="11"/>
        <v>33640</v>
      </c>
      <c r="H57" s="11"/>
      <c r="I57" s="11">
        <f>(D57*E57)-Table3[[#This Row],[Paid]]</f>
        <v>33640</v>
      </c>
      <c r="L57" s="26">
        <v>46024</v>
      </c>
      <c r="M57" s="14">
        <v>473</v>
      </c>
      <c r="N57" s="14">
        <v>402050</v>
      </c>
      <c r="O57" s="14">
        <v>200154</v>
      </c>
      <c r="P57" s="14">
        <v>201896</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103</v>
      </c>
      <c r="M58" s="14">
        <v>473</v>
      </c>
      <c r="N58" s="14">
        <v>402050</v>
      </c>
      <c r="O58" s="14">
        <v>200154</v>
      </c>
      <c r="P58" s="14">
        <v>201896</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46025</v>
      </c>
      <c r="M59" s="14">
        <v>455</v>
      </c>
      <c r="N59" s="14">
        <v>370700</v>
      </c>
      <c r="O59" s="14">
        <v>260500</v>
      </c>
      <c r="P59" s="14">
        <v>110200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v>136</v>
      </c>
      <c r="N60" s="14">
        <v>99550</v>
      </c>
      <c r="O60" s="14">
        <v>200100</v>
      </c>
      <c r="P60" s="14">
        <v>-100550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42" t="s">
        <v>394</v>
      </c>
      <c r="M61" s="14">
        <v>319</v>
      </c>
      <c r="N61" s="14">
        <v>271150</v>
      </c>
      <c r="O61" s="14">
        <v>60400</v>
      </c>
      <c r="P61" s="14">
        <v>210750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26">
        <v>46027</v>
      </c>
      <c r="M62" s="14"/>
      <c r="N62" s="14">
        <v>0</v>
      </c>
      <c r="O62" s="14">
        <v>484200</v>
      </c>
      <c r="P62" s="14">
        <v>-484200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42" t="s">
        <v>103</v>
      </c>
      <c r="M63" s="14"/>
      <c r="N63" s="14">
        <v>0</v>
      </c>
      <c r="O63" s="14">
        <v>484200</v>
      </c>
      <c r="P63" s="14">
        <v>-484200</v>
      </c>
    </row>
    <row r="64" spans="1:16" x14ac:dyDescent="0.3">
      <c r="A64" s="1">
        <v>46022</v>
      </c>
      <c r="B64" t="s">
        <v>200</v>
      </c>
      <c r="D64" s="11">
        <v>185</v>
      </c>
      <c r="E64" s="11">
        <v>820</v>
      </c>
      <c r="F64" s="11"/>
      <c r="G64" s="11">
        <f t="shared" si="12"/>
        <v>151700</v>
      </c>
      <c r="H64" s="11"/>
      <c r="I64" s="11">
        <f>(D64*E64)-Table3[[#This Row],[Paid]]</f>
        <v>151700</v>
      </c>
      <c r="L64" s="26">
        <v>46026</v>
      </c>
      <c r="M64" s="14">
        <v>350</v>
      </c>
      <c r="N64" s="14">
        <v>267550</v>
      </c>
      <c r="O64" s="14">
        <v>20000</v>
      </c>
      <c r="P64" s="14">
        <v>247550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42" t="s">
        <v>103</v>
      </c>
      <c r="M65" s="14">
        <v>350</v>
      </c>
      <c r="N65" s="14">
        <v>267550</v>
      </c>
      <c r="O65" s="14">
        <v>20000</v>
      </c>
      <c r="P65" s="14">
        <v>247550</v>
      </c>
    </row>
    <row r="66" spans="1:16" x14ac:dyDescent="0.3">
      <c r="A66" s="1">
        <v>46023</v>
      </c>
      <c r="B66" t="s">
        <v>200</v>
      </c>
      <c r="D66" s="11">
        <v>228</v>
      </c>
      <c r="E66" s="11">
        <v>820</v>
      </c>
      <c r="F66" s="11"/>
      <c r="G66" s="11">
        <f t="shared" ref="G66:G67" si="13">D66*E66</f>
        <v>186960</v>
      </c>
      <c r="H66" s="11"/>
      <c r="I66" s="11">
        <f>(D66*E66)-Table3[[#This Row],[Paid]]</f>
        <v>186960</v>
      </c>
      <c r="L66" s="26">
        <v>46028</v>
      </c>
      <c r="M66" s="14">
        <v>416</v>
      </c>
      <c r="N66" s="14">
        <v>341120</v>
      </c>
      <c r="O66" s="14">
        <v>142500</v>
      </c>
      <c r="P66" s="14">
        <v>198620</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42" t="s">
        <v>103</v>
      </c>
      <c r="M67" s="14">
        <v>416</v>
      </c>
      <c r="N67" s="14">
        <v>341120</v>
      </c>
      <c r="O67" s="14">
        <v>142500</v>
      </c>
      <c r="P67" s="14">
        <v>198620</v>
      </c>
    </row>
    <row r="68" spans="1:16" x14ac:dyDescent="0.3">
      <c r="A68" s="1">
        <v>46024</v>
      </c>
      <c r="B68" t="s">
        <v>200</v>
      </c>
      <c r="D68" s="11">
        <v>244</v>
      </c>
      <c r="E68" s="11">
        <v>850</v>
      </c>
      <c r="F68" s="11"/>
      <c r="G68" s="11">
        <f t="shared" ref="G68:G69" si="14">D68*E68</f>
        <v>207400</v>
      </c>
      <c r="H68" s="11"/>
      <c r="I68" s="11">
        <f>(D68*E68)-Table3[[#This Row],[Paid]]</f>
        <v>207400</v>
      </c>
      <c r="L68" s="26" t="s">
        <v>28</v>
      </c>
      <c r="M68" s="14">
        <v>6635</v>
      </c>
      <c r="N68" s="14">
        <v>5212790</v>
      </c>
      <c r="O68" s="14">
        <v>4329376</v>
      </c>
      <c r="P68" s="14">
        <v>4204842</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row>
    <row r="74" spans="1:16" x14ac:dyDescent="0.3">
      <c r="A74" s="1">
        <v>46022</v>
      </c>
      <c r="B74" t="s">
        <v>169</v>
      </c>
      <c r="D74" s="11">
        <v>135</v>
      </c>
      <c r="E74" s="11">
        <v>580</v>
      </c>
      <c r="F74" s="11"/>
      <c r="G74" s="11">
        <f t="shared" si="16"/>
        <v>78300</v>
      </c>
      <c r="H74" s="11"/>
      <c r="I74" s="11">
        <f>(D74*E74)-Table3[[#This Row],[Paid]]</f>
        <v>78300</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row>
    <row r="77" spans="1:16" x14ac:dyDescent="0.3">
      <c r="A77" s="1">
        <v>46025</v>
      </c>
      <c r="B77" t="s">
        <v>169</v>
      </c>
      <c r="D77" s="11">
        <v>106</v>
      </c>
      <c r="E77" s="11">
        <v>775</v>
      </c>
      <c r="F77" s="11"/>
      <c r="G77" s="11">
        <f t="shared" si="17"/>
        <v>82150</v>
      </c>
      <c r="H77" s="11"/>
      <c r="I77" s="11">
        <f>(D77*E77)-Table3[[#This Row],[Paid]]</f>
        <v>82150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row>
    <row r="79" spans="1:16" x14ac:dyDescent="0.3">
      <c r="A79" s="1">
        <v>46026</v>
      </c>
      <c r="B79" t="s">
        <v>169</v>
      </c>
      <c r="D79" s="11">
        <v>35</v>
      </c>
      <c r="E79" s="11">
        <v>580</v>
      </c>
      <c r="F79" s="11"/>
      <c r="G79" s="11">
        <f t="shared" ref="G79:G80" si="18">D79*E79</f>
        <v>20300</v>
      </c>
      <c r="H79" s="11"/>
      <c r="I79" s="11">
        <f>(D79*E79)-Table3[[#This Row],[Paid]]</f>
        <v>20300</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row>
    <row r="81" spans="1:9"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row>
    <row r="82" spans="1:9"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row>
    <row r="83" spans="1:9"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row>
    <row r="84" spans="1:9"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row>
    <row r="85" spans="1:9" x14ac:dyDescent="0.3">
      <c r="A85" s="1"/>
      <c r="D85" s="11"/>
      <c r="E85" s="11"/>
      <c r="F85" s="11"/>
      <c r="G85" s="11">
        <f t="shared" si="19"/>
        <v>0</v>
      </c>
      <c r="H85" s="11"/>
      <c r="I85" s="11">
        <f>(D85*E85)-Table3[[#This Row],[Paid]]</f>
        <v>0</v>
      </c>
    </row>
    <row r="86" spans="1:9" x14ac:dyDescent="0.3">
      <c r="A86" s="1"/>
      <c r="D86" s="11"/>
      <c r="E86" s="11"/>
      <c r="F86" s="11"/>
      <c r="G86" s="11">
        <f t="shared" si="19"/>
        <v>0</v>
      </c>
      <c r="H86" s="11"/>
      <c r="I86" s="11">
        <f>(D86*E86)-Table3[[#This Row],[Paid]]</f>
        <v>0</v>
      </c>
    </row>
    <row r="87" spans="1:9" x14ac:dyDescent="0.3">
      <c r="A87" s="1"/>
      <c r="D87" s="11"/>
      <c r="E87" s="11"/>
      <c r="F87" s="11"/>
      <c r="G87" s="11">
        <f t="shared" si="19"/>
        <v>0</v>
      </c>
      <c r="H87" s="11"/>
      <c r="I87" s="11">
        <f>(D87*E87)-Table3[[#This Row],[Paid]]</f>
        <v>0</v>
      </c>
    </row>
    <row r="88" spans="1:9" x14ac:dyDescent="0.3">
      <c r="A88" s="1"/>
      <c r="D88" s="11"/>
      <c r="E88" s="11"/>
      <c r="F88" s="11"/>
      <c r="G88" s="11">
        <f t="shared" si="19"/>
        <v>0</v>
      </c>
      <c r="H88" s="11"/>
      <c r="I88" s="11">
        <f>(D88*E88)-Table3[[#This Row],[Paid]]</f>
        <v>0</v>
      </c>
    </row>
    <row r="89" spans="1:9" x14ac:dyDescent="0.3">
      <c r="A89" s="1"/>
      <c r="D89" s="11"/>
      <c r="E89" s="11"/>
      <c r="F89" s="11"/>
      <c r="G89" s="11">
        <f t="shared" si="19"/>
        <v>0</v>
      </c>
      <c r="H89" s="11"/>
      <c r="I89" s="11">
        <f>(D89*E89)-Table3[[#This Row],[Paid]]</f>
        <v>0</v>
      </c>
    </row>
    <row r="90" spans="1:9" x14ac:dyDescent="0.3">
      <c r="A90" s="1"/>
      <c r="D90" s="11"/>
      <c r="E90" s="11"/>
      <c r="F90" s="11"/>
      <c r="G90" s="11">
        <f t="shared" si="19"/>
        <v>0</v>
      </c>
      <c r="H90" s="11"/>
      <c r="I90" s="11">
        <f>(D90*E90)-Table3[[#This Row],[Paid]]</f>
        <v>0</v>
      </c>
    </row>
    <row r="91" spans="1:9" x14ac:dyDescent="0.3">
      <c r="A91" s="1"/>
      <c r="D91" s="14"/>
      <c r="E91" s="14"/>
      <c r="F91" s="14"/>
      <c r="G91" s="14">
        <f>SUBTOTAL(109,Table3[Total])</f>
        <v>5212790</v>
      </c>
      <c r="H91" s="14">
        <f>SUBTOTAL(109,Table3[Paid])</f>
        <v>4329376</v>
      </c>
      <c r="I91" s="14">
        <f>SUBTOTAL(109,Table3[balance])</f>
        <v>4204842</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abSelected="1" topLeftCell="A319" zoomScale="158" workbookViewId="0">
      <selection activeCell="B331" sqref="B33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22842284</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22888869</v>
      </c>
      <c r="M5" s="45" t="s">
        <v>108</v>
      </c>
      <c r="N5" s="46">
        <f>(SUMIFS(Table14[Credit],Table14[Mode],"Bank")-SUMIFS(Table14[Debit],Table14[Mode],"Bank")-SUMIFS(Table14[Withdrawal],Table14[Mode],"Transfer"))</f>
        <v>707501</v>
      </c>
      <c r="O5">
        <v>360000</v>
      </c>
    </row>
    <row r="6" spans="1:16" x14ac:dyDescent="0.3">
      <c r="A6" s="38">
        <v>46009</v>
      </c>
      <c r="B6" t="s">
        <v>177</v>
      </c>
      <c r="C6" s="96">
        <v>3600</v>
      </c>
      <c r="D6" s="96"/>
      <c r="E6" t="s">
        <v>218</v>
      </c>
      <c r="F6" s="111" t="s">
        <v>108</v>
      </c>
      <c r="J6" s="52" t="s">
        <v>43</v>
      </c>
      <c r="K6" s="53">
        <f>(K5-K4)</f>
        <v>46585</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96585</v>
      </c>
      <c r="O7" s="90">
        <f>SUM(O5,O6)</f>
        <v>410000</v>
      </c>
      <c r="P7" s="14">
        <f>Table18[[#Totals],[amount]]-Table18[[#Totals],[Actual]]</f>
        <v>-313415</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191300</v>
      </c>
    </row>
    <row r="165" spans="1:12" x14ac:dyDescent="0.3">
      <c r="A165" s="38">
        <v>46018</v>
      </c>
      <c r="B165" t="s">
        <v>54</v>
      </c>
      <c r="C165" s="11">
        <v>2500</v>
      </c>
      <c r="D165" s="11"/>
      <c r="E165" t="s">
        <v>236</v>
      </c>
      <c r="F165" s="111" t="s">
        <v>108</v>
      </c>
      <c r="J165" s="4" t="s">
        <v>9</v>
      </c>
      <c r="K165" s="14">
        <v>1152366</v>
      </c>
      <c r="L165" s="14"/>
    </row>
    <row r="166" spans="1:12" x14ac:dyDescent="0.3">
      <c r="A166" s="38">
        <v>46018</v>
      </c>
      <c r="B166" t="s">
        <v>55</v>
      </c>
      <c r="C166" s="11">
        <v>1000</v>
      </c>
      <c r="D166" s="11"/>
      <c r="F166" s="111" t="s">
        <v>108</v>
      </c>
      <c r="J166" s="4" t="s">
        <v>94</v>
      </c>
      <c r="K166" s="14"/>
      <c r="L166" s="14">
        <v>916455</v>
      </c>
    </row>
    <row r="167" spans="1:12" x14ac:dyDescent="0.3">
      <c r="A167" s="38">
        <v>46018</v>
      </c>
      <c r="B167" t="s">
        <v>50</v>
      </c>
      <c r="C167" s="11">
        <v>1000</v>
      </c>
      <c r="D167" s="11"/>
      <c r="E167" t="s">
        <v>217</v>
      </c>
      <c r="F167" s="111" t="s">
        <v>108</v>
      </c>
      <c r="J167" s="4" t="s">
        <v>50</v>
      </c>
      <c r="K167" s="14"/>
      <c r="L167" s="14">
        <v>31855</v>
      </c>
    </row>
    <row r="168" spans="1:12" x14ac:dyDescent="0.3">
      <c r="A168" s="38">
        <v>46019</v>
      </c>
      <c r="B168" t="s">
        <v>55</v>
      </c>
      <c r="C168" s="96">
        <v>2630</v>
      </c>
      <c r="D168" s="96"/>
      <c r="E168" t="s">
        <v>328</v>
      </c>
      <c r="F168" s="111" t="s">
        <v>108</v>
      </c>
      <c r="J168" s="4" t="s">
        <v>55</v>
      </c>
      <c r="K168" s="14"/>
      <c r="L168" s="14">
        <v>89355</v>
      </c>
    </row>
    <row r="169" spans="1:12" x14ac:dyDescent="0.3">
      <c r="A169" s="116">
        <v>46019</v>
      </c>
      <c r="B169" t="s">
        <v>55</v>
      </c>
      <c r="C169" s="11">
        <v>21000</v>
      </c>
      <c r="D169" s="11"/>
      <c r="E169" t="s">
        <v>329</v>
      </c>
      <c r="F169" s="111" t="s">
        <v>108</v>
      </c>
      <c r="J169" s="4" t="s">
        <v>113</v>
      </c>
      <c r="K169" s="14"/>
      <c r="L169" s="14">
        <v>75460</v>
      </c>
    </row>
    <row r="170" spans="1:12" x14ac:dyDescent="0.3">
      <c r="A170" s="38">
        <v>46019</v>
      </c>
      <c r="B170" t="s">
        <v>54</v>
      </c>
      <c r="C170" s="11">
        <v>1000</v>
      </c>
      <c r="D170" s="11"/>
      <c r="E170" t="s">
        <v>236</v>
      </c>
      <c r="F170" s="111" t="s">
        <v>108</v>
      </c>
      <c r="J170" s="4" t="s">
        <v>52</v>
      </c>
      <c r="K170" s="14"/>
      <c r="L170" s="14">
        <v>45000</v>
      </c>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116568</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698610</v>
      </c>
    </row>
    <row r="175" spans="1:12" x14ac:dyDescent="0.3">
      <c r="A175" s="116">
        <v>46020</v>
      </c>
      <c r="B175" t="s">
        <v>192</v>
      </c>
      <c r="C175" s="11"/>
      <c r="D175" s="11">
        <v>975000</v>
      </c>
      <c r="E175" t="s">
        <v>330</v>
      </c>
      <c r="F175" s="111" t="s">
        <v>108</v>
      </c>
      <c r="J175" s="4" t="s">
        <v>337</v>
      </c>
      <c r="K175" s="14"/>
      <c r="L175" s="14">
        <v>1500</v>
      </c>
    </row>
    <row r="176" spans="1:12" x14ac:dyDescent="0.3">
      <c r="A176" s="38">
        <v>46020</v>
      </c>
      <c r="B176" t="s">
        <v>54</v>
      </c>
      <c r="C176" s="11">
        <v>10000</v>
      </c>
      <c r="D176" s="11"/>
      <c r="E176" t="s">
        <v>236</v>
      </c>
      <c r="F176" s="111" t="s">
        <v>108</v>
      </c>
      <c r="J176" s="4" t="s">
        <v>222</v>
      </c>
      <c r="K176" s="14">
        <v>374511</v>
      </c>
      <c r="L176" s="14">
        <v>113043</v>
      </c>
    </row>
    <row r="177" spans="1:12" x14ac:dyDescent="0.3">
      <c r="A177" s="116">
        <v>46020</v>
      </c>
      <c r="B177" t="s">
        <v>54</v>
      </c>
      <c r="C177" s="11">
        <v>7950</v>
      </c>
      <c r="D177" s="11"/>
      <c r="E177" t="s">
        <v>236</v>
      </c>
      <c r="F177" s="111" t="s">
        <v>108</v>
      </c>
      <c r="J177" s="4" t="s">
        <v>326</v>
      </c>
      <c r="K177" s="14">
        <v>508088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849664</v>
      </c>
      <c r="L180" s="14"/>
    </row>
    <row r="181" spans="1:12" x14ac:dyDescent="0.3">
      <c r="A181" s="116">
        <v>46020</v>
      </c>
      <c r="B181" t="s">
        <v>192</v>
      </c>
      <c r="C181" s="96"/>
      <c r="D181" s="96">
        <v>50000</v>
      </c>
      <c r="E181" t="s">
        <v>284</v>
      </c>
      <c r="F181" s="111" t="s">
        <v>108</v>
      </c>
      <c r="J181" s="4" t="s">
        <v>224</v>
      </c>
      <c r="K181" s="14">
        <v>810699</v>
      </c>
      <c r="L181" s="14"/>
    </row>
    <row r="182" spans="1:12" x14ac:dyDescent="0.3">
      <c r="A182" s="38">
        <v>46020</v>
      </c>
      <c r="B182" t="s">
        <v>192</v>
      </c>
      <c r="C182" s="11"/>
      <c r="D182" s="11">
        <v>30000</v>
      </c>
      <c r="E182" t="s">
        <v>234</v>
      </c>
      <c r="F182" s="111" t="s">
        <v>108</v>
      </c>
      <c r="J182" s="4" t="s">
        <v>26</v>
      </c>
      <c r="K182" s="14">
        <v>200000</v>
      </c>
      <c r="L182" s="14"/>
    </row>
    <row r="183" spans="1:12" x14ac:dyDescent="0.3">
      <c r="A183" s="116">
        <v>46020</v>
      </c>
      <c r="B183" t="s">
        <v>166</v>
      </c>
      <c r="C183" s="11"/>
      <c r="D183" s="11">
        <v>100000</v>
      </c>
      <c r="E183" t="s">
        <v>21</v>
      </c>
      <c r="F183" s="111" t="s">
        <v>108</v>
      </c>
      <c r="J183" s="4" t="s">
        <v>149</v>
      </c>
      <c r="K183" s="14"/>
      <c r="L183" s="14">
        <v>80000</v>
      </c>
    </row>
    <row r="184" spans="1:12" x14ac:dyDescent="0.3">
      <c r="A184" s="38">
        <v>46020</v>
      </c>
      <c r="B184" t="s">
        <v>192</v>
      </c>
      <c r="C184" s="11">
        <v>100000</v>
      </c>
      <c r="D184" s="11"/>
      <c r="E184" t="s">
        <v>335</v>
      </c>
      <c r="F184" s="111" t="s">
        <v>108</v>
      </c>
      <c r="J184" s="4" t="s">
        <v>64</v>
      </c>
      <c r="K184" s="14"/>
      <c r="L184" s="14">
        <v>13500</v>
      </c>
    </row>
    <row r="185" spans="1:12" x14ac:dyDescent="0.3">
      <c r="A185" s="116">
        <v>46021</v>
      </c>
      <c r="B185" t="s">
        <v>224</v>
      </c>
      <c r="C185" s="11"/>
      <c r="D185" s="11">
        <v>68900</v>
      </c>
      <c r="E185" t="s">
        <v>352</v>
      </c>
      <c r="F185" s="111" t="s">
        <v>108</v>
      </c>
      <c r="J185" s="4" t="s">
        <v>152</v>
      </c>
      <c r="K185" s="14">
        <v>1007920</v>
      </c>
      <c r="L185" s="14"/>
    </row>
    <row r="186" spans="1:12" x14ac:dyDescent="0.3">
      <c r="A186" s="38">
        <v>46021</v>
      </c>
      <c r="B186" t="s">
        <v>192</v>
      </c>
      <c r="C186" s="96"/>
      <c r="D186" s="96">
        <v>194000</v>
      </c>
      <c r="F186" s="111" t="s">
        <v>108</v>
      </c>
      <c r="J186" s="4" t="s">
        <v>166</v>
      </c>
      <c r="K186" s="14">
        <v>1140000</v>
      </c>
      <c r="L186" s="14"/>
    </row>
    <row r="187" spans="1:12" x14ac:dyDescent="0.3">
      <c r="A187" s="116">
        <v>46021</v>
      </c>
      <c r="B187" t="s">
        <v>199</v>
      </c>
      <c r="C187" s="11"/>
      <c r="D187" s="11">
        <v>100000</v>
      </c>
      <c r="E187" t="s">
        <v>338</v>
      </c>
      <c r="F187" s="111" t="s">
        <v>108</v>
      </c>
      <c r="J187" s="4" t="s">
        <v>169</v>
      </c>
      <c r="K187" s="14"/>
      <c r="L187" s="14">
        <v>1492300</v>
      </c>
    </row>
    <row r="188" spans="1:12" x14ac:dyDescent="0.3">
      <c r="A188" s="38">
        <v>46021</v>
      </c>
      <c r="B188" t="s">
        <v>199</v>
      </c>
      <c r="C188" s="96"/>
      <c r="D188" s="96">
        <v>100000</v>
      </c>
      <c r="E188" t="s">
        <v>225</v>
      </c>
      <c r="F188" s="111" t="s">
        <v>108</v>
      </c>
      <c r="J188" s="4" t="s">
        <v>192</v>
      </c>
      <c r="K188" s="14">
        <v>6645200</v>
      </c>
      <c r="L188" s="14">
        <v>13292982</v>
      </c>
    </row>
    <row r="189" spans="1:12" x14ac:dyDescent="0.3">
      <c r="A189" s="116">
        <v>46021</v>
      </c>
      <c r="B189" t="s">
        <v>339</v>
      </c>
      <c r="C189" s="11"/>
      <c r="D189" s="11">
        <v>84970</v>
      </c>
      <c r="F189" s="111" t="s">
        <v>108</v>
      </c>
      <c r="J189" s="4" t="s">
        <v>198</v>
      </c>
      <c r="K189" s="14"/>
      <c r="L189" s="14">
        <v>857250</v>
      </c>
    </row>
    <row r="190" spans="1:12" x14ac:dyDescent="0.3">
      <c r="A190" s="38">
        <v>46021</v>
      </c>
      <c r="B190" t="s">
        <v>222</v>
      </c>
      <c r="C190" s="11">
        <f>883+150+150</f>
        <v>1183</v>
      </c>
      <c r="D190" s="11"/>
      <c r="F190" s="111" t="s">
        <v>108</v>
      </c>
      <c r="J190" s="4" t="s">
        <v>179</v>
      </c>
      <c r="K190" s="14">
        <v>409310</v>
      </c>
      <c r="L190" s="14"/>
    </row>
    <row r="191" spans="1:12" x14ac:dyDescent="0.3">
      <c r="A191" s="116">
        <v>46021</v>
      </c>
      <c r="B191" t="s">
        <v>229</v>
      </c>
      <c r="C191" s="11">
        <v>200401</v>
      </c>
      <c r="D191" s="11"/>
      <c r="E191" t="s">
        <v>340</v>
      </c>
      <c r="F191" s="111" t="s">
        <v>108</v>
      </c>
      <c r="J191" s="4" t="s">
        <v>51</v>
      </c>
      <c r="K191" s="14"/>
      <c r="L191" s="14">
        <v>2047865</v>
      </c>
    </row>
    <row r="192" spans="1:12" x14ac:dyDescent="0.3">
      <c r="A192" s="38">
        <v>46021</v>
      </c>
      <c r="B192" t="s">
        <v>341</v>
      </c>
      <c r="C192" s="11"/>
      <c r="D192" s="11">
        <v>239960</v>
      </c>
      <c r="F192" s="111" t="s">
        <v>108</v>
      </c>
      <c r="J192" s="4" t="s">
        <v>219</v>
      </c>
      <c r="K192" s="14"/>
      <c r="L192" s="14">
        <v>23400</v>
      </c>
    </row>
    <row r="193" spans="1:12" x14ac:dyDescent="0.3">
      <c r="A193" s="116">
        <v>46021</v>
      </c>
      <c r="B193" t="s">
        <v>169</v>
      </c>
      <c r="C193" s="11">
        <v>250000</v>
      </c>
      <c r="D193" s="11"/>
      <c r="F193" s="111" t="s">
        <v>108</v>
      </c>
      <c r="J193" s="4" t="s">
        <v>199</v>
      </c>
      <c r="K193" s="14">
        <v>993570</v>
      </c>
      <c r="L193" s="14"/>
    </row>
    <row r="194" spans="1:12" x14ac:dyDescent="0.3">
      <c r="A194" s="38">
        <v>46021</v>
      </c>
      <c r="B194" t="s">
        <v>326</v>
      </c>
      <c r="C194" s="11"/>
      <c r="D194" s="11">
        <v>60000</v>
      </c>
      <c r="E194" t="s">
        <v>342</v>
      </c>
      <c r="F194" s="111" t="s">
        <v>108</v>
      </c>
      <c r="J194" s="4" t="s">
        <v>229</v>
      </c>
      <c r="K194" s="14"/>
      <c r="L194" s="14">
        <v>1963491</v>
      </c>
    </row>
    <row r="195" spans="1:12" x14ac:dyDescent="0.3">
      <c r="A195" s="116">
        <v>46021</v>
      </c>
      <c r="B195" t="s">
        <v>192</v>
      </c>
      <c r="C195" s="11">
        <v>60000</v>
      </c>
      <c r="D195" s="11"/>
      <c r="E195" t="s">
        <v>343</v>
      </c>
      <c r="F195" s="111" t="s">
        <v>108</v>
      </c>
      <c r="J195" s="4" t="s">
        <v>202</v>
      </c>
      <c r="K195" s="14"/>
      <c r="L195" s="14">
        <v>127000</v>
      </c>
    </row>
    <row r="196" spans="1:12" x14ac:dyDescent="0.3">
      <c r="A196" s="38">
        <v>46021</v>
      </c>
      <c r="B196" t="s">
        <v>256</v>
      </c>
      <c r="C196" s="11">
        <v>11850</v>
      </c>
      <c r="D196" s="11"/>
      <c r="E196" t="s">
        <v>294</v>
      </c>
      <c r="F196" s="111" t="s">
        <v>108</v>
      </c>
      <c r="J196" s="4" t="s">
        <v>216</v>
      </c>
      <c r="K196" s="14">
        <v>6866546</v>
      </c>
      <c r="L196" s="14"/>
    </row>
    <row r="197" spans="1:12" x14ac:dyDescent="0.3">
      <c r="A197" s="116">
        <v>46021</v>
      </c>
      <c r="B197" t="s">
        <v>202</v>
      </c>
      <c r="C197" s="11">
        <v>27000</v>
      </c>
      <c r="D197" s="11"/>
      <c r="E197" t="s">
        <v>230</v>
      </c>
      <c r="F197" s="111" t="s">
        <v>108</v>
      </c>
      <c r="J197" s="4" t="s">
        <v>256</v>
      </c>
      <c r="K197" s="14"/>
      <c r="L197" s="14">
        <v>66850</v>
      </c>
    </row>
    <row r="198" spans="1:12" x14ac:dyDescent="0.3">
      <c r="A198" s="38">
        <v>46021</v>
      </c>
      <c r="B198" t="s">
        <v>233</v>
      </c>
      <c r="C198" s="11">
        <v>1300</v>
      </c>
      <c r="D198" s="11"/>
      <c r="E198" t="s">
        <v>344</v>
      </c>
      <c r="F198" s="111" t="s">
        <v>108</v>
      </c>
      <c r="J198" s="4" t="s">
        <v>286</v>
      </c>
      <c r="K198" s="14">
        <v>996025</v>
      </c>
      <c r="L198" s="14"/>
    </row>
    <row r="199" spans="1:12" x14ac:dyDescent="0.3">
      <c r="A199" s="116">
        <v>46021</v>
      </c>
      <c r="B199" t="s">
        <v>233</v>
      </c>
      <c r="C199" s="11">
        <v>60000</v>
      </c>
      <c r="D199" s="11"/>
      <c r="E199" t="s">
        <v>290</v>
      </c>
      <c r="F199" s="111" t="s">
        <v>108</v>
      </c>
      <c r="J199" s="4" t="s">
        <v>302</v>
      </c>
      <c r="K199" s="14"/>
      <c r="L199" s="14">
        <v>162500</v>
      </c>
    </row>
    <row r="200" spans="1:12" x14ac:dyDescent="0.3">
      <c r="A200" s="38">
        <v>46021</v>
      </c>
      <c r="B200" t="s">
        <v>94</v>
      </c>
      <c r="C200" s="11">
        <v>1000</v>
      </c>
      <c r="D200" s="11"/>
      <c r="E200" t="s">
        <v>345</v>
      </c>
      <c r="F200" s="111" t="s">
        <v>108</v>
      </c>
      <c r="J200" s="4" t="s">
        <v>410</v>
      </c>
      <c r="K200" s="14"/>
      <c r="L200" s="14">
        <v>36000</v>
      </c>
    </row>
    <row r="201" spans="1:12" x14ac:dyDescent="0.3">
      <c r="A201" s="116">
        <v>46021</v>
      </c>
      <c r="B201" t="s">
        <v>229</v>
      </c>
      <c r="C201" s="11">
        <v>5000</v>
      </c>
      <c r="D201" s="11"/>
      <c r="E201" t="s">
        <v>345</v>
      </c>
      <c r="F201" s="111" t="s">
        <v>108</v>
      </c>
      <c r="J201" s="4" t="s">
        <v>28</v>
      </c>
      <c r="K201" s="14">
        <v>22638869</v>
      </c>
      <c r="L201" s="14">
        <v>22592284</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7" x14ac:dyDescent="0.3">
      <c r="A305" s="134">
        <v>46028</v>
      </c>
      <c r="B305" s="135" t="s">
        <v>198</v>
      </c>
      <c r="C305" s="96">
        <v>107000</v>
      </c>
      <c r="D305" s="96"/>
      <c r="E305" s="135" t="s">
        <v>409</v>
      </c>
      <c r="F305" s="136" t="s">
        <v>108</v>
      </c>
      <c r="G305" s="135"/>
    </row>
    <row r="306" spans="1:7" x14ac:dyDescent="0.3">
      <c r="A306" s="38">
        <v>46028</v>
      </c>
      <c r="B306" t="s">
        <v>410</v>
      </c>
      <c r="C306" s="11">
        <v>35000</v>
      </c>
      <c r="D306" s="11"/>
      <c r="E306" t="s">
        <v>289</v>
      </c>
      <c r="F306" s="111" t="s">
        <v>108</v>
      </c>
    </row>
    <row r="307" spans="1:7" x14ac:dyDescent="0.3">
      <c r="A307" s="134">
        <v>46028</v>
      </c>
      <c r="B307" t="s">
        <v>64</v>
      </c>
      <c r="C307" s="11">
        <v>13500</v>
      </c>
      <c r="D307" s="11"/>
      <c r="E307" t="s">
        <v>411</v>
      </c>
      <c r="F307" s="111" t="s">
        <v>108</v>
      </c>
    </row>
    <row r="308" spans="1:7" x14ac:dyDescent="0.3">
      <c r="A308" s="38">
        <v>46028</v>
      </c>
      <c r="B308" t="s">
        <v>192</v>
      </c>
      <c r="C308" s="11"/>
      <c r="D308" s="11">
        <v>13500</v>
      </c>
      <c r="E308" t="s">
        <v>411</v>
      </c>
      <c r="F308" s="111" t="s">
        <v>108</v>
      </c>
    </row>
    <row r="309" spans="1:7" x14ac:dyDescent="0.3">
      <c r="A309" s="134">
        <v>46028</v>
      </c>
      <c r="B309" t="s">
        <v>224</v>
      </c>
      <c r="C309" s="11"/>
      <c r="D309" s="11">
        <v>205299</v>
      </c>
      <c r="E309" t="s">
        <v>412</v>
      </c>
      <c r="F309" s="111" t="s">
        <v>108</v>
      </c>
    </row>
    <row r="310" spans="1:7" x14ac:dyDescent="0.3">
      <c r="A310" s="38">
        <v>46028</v>
      </c>
      <c r="B310" t="s">
        <v>55</v>
      </c>
      <c r="C310" s="11">
        <v>800</v>
      </c>
      <c r="D310" s="11"/>
      <c r="E310" t="s">
        <v>380</v>
      </c>
      <c r="F310" s="111" t="s">
        <v>108</v>
      </c>
    </row>
    <row r="311" spans="1:7" x14ac:dyDescent="0.3">
      <c r="A311" s="134">
        <v>46028</v>
      </c>
      <c r="B311" t="s">
        <v>55</v>
      </c>
      <c r="C311" s="11">
        <v>300</v>
      </c>
      <c r="D311" s="11"/>
      <c r="F311" s="111" t="s">
        <v>108</v>
      </c>
    </row>
    <row r="312" spans="1:7" x14ac:dyDescent="0.3">
      <c r="A312" s="38">
        <v>46028</v>
      </c>
      <c r="B312" t="s">
        <v>94</v>
      </c>
      <c r="C312" s="11">
        <v>200220</v>
      </c>
      <c r="D312" s="11"/>
      <c r="E312" t="s">
        <v>413</v>
      </c>
      <c r="F312" s="111" t="s">
        <v>108</v>
      </c>
    </row>
    <row r="313" spans="1:7" x14ac:dyDescent="0.3">
      <c r="A313" s="134">
        <v>46028</v>
      </c>
      <c r="B313" t="s">
        <v>9</v>
      </c>
      <c r="C313" s="11"/>
      <c r="D313" s="11">
        <v>200000</v>
      </c>
      <c r="E313" t="s">
        <v>414</v>
      </c>
      <c r="F313" s="111" t="s">
        <v>108</v>
      </c>
    </row>
    <row r="314" spans="1:7" x14ac:dyDescent="0.3">
      <c r="A314" s="38">
        <v>46028</v>
      </c>
      <c r="B314" t="s">
        <v>326</v>
      </c>
      <c r="C314" s="11"/>
      <c r="D314" s="11">
        <v>100000</v>
      </c>
      <c r="E314" t="s">
        <v>415</v>
      </c>
      <c r="F314" s="111" t="s">
        <v>108</v>
      </c>
    </row>
    <row r="315" spans="1:7" x14ac:dyDescent="0.3">
      <c r="A315" s="134">
        <v>46028</v>
      </c>
      <c r="B315" t="s">
        <v>219</v>
      </c>
      <c r="C315" s="11">
        <v>10000</v>
      </c>
      <c r="D315" s="11"/>
      <c r="E315" t="s">
        <v>416</v>
      </c>
      <c r="F315" s="111" t="s">
        <v>108</v>
      </c>
    </row>
    <row r="316" spans="1:7" x14ac:dyDescent="0.3">
      <c r="A316" s="38">
        <v>46028</v>
      </c>
      <c r="B316" t="s">
        <v>55</v>
      </c>
      <c r="C316" s="11">
        <v>1800</v>
      </c>
      <c r="D316" s="11"/>
      <c r="E316" t="s">
        <v>320</v>
      </c>
      <c r="F316" s="111" t="s">
        <v>108</v>
      </c>
    </row>
    <row r="317" spans="1:7" x14ac:dyDescent="0.3">
      <c r="A317" s="134">
        <v>46028</v>
      </c>
      <c r="B317" t="s">
        <v>169</v>
      </c>
      <c r="C317" s="11">
        <v>150500</v>
      </c>
      <c r="D317" s="11"/>
      <c r="E317" t="s">
        <v>417</v>
      </c>
      <c r="F317" s="111" t="s">
        <v>108</v>
      </c>
    </row>
    <row r="318" spans="1:7" x14ac:dyDescent="0.3">
      <c r="A318" s="38">
        <v>46028</v>
      </c>
      <c r="B318" t="s">
        <v>229</v>
      </c>
      <c r="C318" s="11">
        <v>101500</v>
      </c>
      <c r="D318" s="11"/>
      <c r="E318" t="s">
        <v>418</v>
      </c>
      <c r="F318" s="111" t="s">
        <v>108</v>
      </c>
    </row>
    <row r="319" spans="1:7" x14ac:dyDescent="0.3">
      <c r="A319" s="134">
        <v>46028</v>
      </c>
      <c r="B319" t="s">
        <v>54</v>
      </c>
      <c r="C319" s="11">
        <v>2000</v>
      </c>
      <c r="D319" s="11"/>
      <c r="E319" t="s">
        <v>419</v>
      </c>
      <c r="F319" s="111" t="s">
        <v>108</v>
      </c>
    </row>
    <row r="320" spans="1:7" x14ac:dyDescent="0.3">
      <c r="A320" s="38">
        <v>46028</v>
      </c>
      <c r="B320" t="s">
        <v>54</v>
      </c>
      <c r="C320" s="11">
        <v>5100</v>
      </c>
      <c r="D320" s="11"/>
      <c r="E320" t="s">
        <v>420</v>
      </c>
      <c r="F320" s="111" t="s">
        <v>108</v>
      </c>
    </row>
    <row r="321" spans="1:7" x14ac:dyDescent="0.3">
      <c r="A321" s="134">
        <v>46028</v>
      </c>
      <c r="B321" s="135" t="s">
        <v>222</v>
      </c>
      <c r="C321" s="96"/>
      <c r="D321" s="96">
        <v>4000</v>
      </c>
      <c r="E321" s="135"/>
      <c r="F321" s="136" t="s">
        <v>108</v>
      </c>
      <c r="G321" s="135"/>
    </row>
    <row r="322" spans="1:7" x14ac:dyDescent="0.3">
      <c r="A322" s="38">
        <v>46028</v>
      </c>
      <c r="B322" s="135" t="s">
        <v>233</v>
      </c>
      <c r="C322" s="96">
        <v>6000</v>
      </c>
      <c r="D322" s="96"/>
      <c r="E322" s="135" t="s">
        <v>421</v>
      </c>
      <c r="F322" s="136" t="s">
        <v>108</v>
      </c>
      <c r="G322" s="135"/>
    </row>
    <row r="323" spans="1:7" x14ac:dyDescent="0.3">
      <c r="A323" s="134">
        <v>46028</v>
      </c>
      <c r="B323" t="s">
        <v>233</v>
      </c>
      <c r="C323" s="11">
        <v>5000</v>
      </c>
      <c r="D323" s="11"/>
      <c r="E323" t="s">
        <v>422</v>
      </c>
      <c r="F323" s="111" t="s">
        <v>108</v>
      </c>
    </row>
    <row r="324" spans="1:7" x14ac:dyDescent="0.3">
      <c r="A324" s="38">
        <v>46028</v>
      </c>
      <c r="B324" t="s">
        <v>192</v>
      </c>
      <c r="C324" s="11">
        <v>5000</v>
      </c>
      <c r="D324" s="11"/>
      <c r="E324" t="s">
        <v>423</v>
      </c>
      <c r="F324" s="111" t="s">
        <v>108</v>
      </c>
    </row>
    <row r="325" spans="1:7" x14ac:dyDescent="0.3">
      <c r="A325" s="134">
        <v>46028</v>
      </c>
      <c r="B325" t="s">
        <v>229</v>
      </c>
      <c r="C325" s="11">
        <v>5000</v>
      </c>
      <c r="D325" s="11"/>
      <c r="E325" t="s">
        <v>345</v>
      </c>
      <c r="F325" s="111" t="s">
        <v>108</v>
      </c>
    </row>
    <row r="326" spans="1:7" x14ac:dyDescent="0.3">
      <c r="A326" s="38">
        <v>46028</v>
      </c>
      <c r="B326" t="s">
        <v>94</v>
      </c>
      <c r="C326" s="11">
        <v>1000</v>
      </c>
      <c r="D326" s="11"/>
      <c r="E326" t="s">
        <v>345</v>
      </c>
      <c r="F326" s="111" t="s">
        <v>108</v>
      </c>
    </row>
    <row r="327" spans="1:7" x14ac:dyDescent="0.3">
      <c r="A327" s="134">
        <v>46028</v>
      </c>
      <c r="B327" t="s">
        <v>410</v>
      </c>
      <c r="C327" s="11">
        <v>1000</v>
      </c>
      <c r="D327" s="11"/>
      <c r="E327" t="s">
        <v>345</v>
      </c>
      <c r="F327" s="111" t="s">
        <v>108</v>
      </c>
    </row>
    <row r="328" spans="1:7" x14ac:dyDescent="0.3">
      <c r="A328" s="38">
        <v>46028</v>
      </c>
      <c r="B328" t="s">
        <v>169</v>
      </c>
      <c r="C328" s="11">
        <v>1000</v>
      </c>
      <c r="D328" s="11"/>
      <c r="E328" t="s">
        <v>345</v>
      </c>
      <c r="F328" s="111" t="s">
        <v>108</v>
      </c>
    </row>
    <row r="329" spans="1:7" x14ac:dyDescent="0.3">
      <c r="A329" s="134">
        <v>46028</v>
      </c>
      <c r="B329" t="s">
        <v>166</v>
      </c>
      <c r="C329" s="11"/>
      <c r="D329" s="11">
        <v>250000</v>
      </c>
      <c r="E329" t="s">
        <v>21</v>
      </c>
      <c r="F329" s="111" t="s">
        <v>108</v>
      </c>
    </row>
    <row r="330" spans="1:7" x14ac:dyDescent="0.3">
      <c r="A330" s="38">
        <v>46028</v>
      </c>
      <c r="B330" t="s">
        <v>192</v>
      </c>
      <c r="C330" s="11">
        <v>250000</v>
      </c>
      <c r="D330" s="11"/>
      <c r="E330" t="s">
        <v>425</v>
      </c>
      <c r="F330" s="111" t="s">
        <v>108</v>
      </c>
    </row>
    <row r="331" spans="1:7" x14ac:dyDescent="0.3">
      <c r="A331" s="134">
        <v>46028</v>
      </c>
      <c r="C331" s="11"/>
      <c r="D331" s="11"/>
      <c r="F331" s="111"/>
    </row>
    <row r="332" spans="1:7" x14ac:dyDescent="0.3">
      <c r="A332" s="38">
        <v>46028</v>
      </c>
      <c r="C332" s="11"/>
      <c r="D332" s="11"/>
      <c r="F332" s="111"/>
    </row>
    <row r="333" spans="1:7" x14ac:dyDescent="0.3">
      <c r="A333" s="134">
        <v>46028</v>
      </c>
      <c r="C333" s="11"/>
      <c r="D333" s="11"/>
      <c r="F333" s="111"/>
    </row>
    <row r="334" spans="1:7" x14ac:dyDescent="0.3">
      <c r="A334" s="38"/>
      <c r="C334" s="14">
        <f>SUBTOTAL(109,Table14[Debit])</f>
        <v>22842284</v>
      </c>
      <c r="D334" s="14">
        <f>SUBTOTAL(109,Table14[Credit])</f>
        <v>22888869</v>
      </c>
      <c r="F334" s="54">
        <f>(Table14[[#Totals],[Credit]]-Table14[[#Totals],[Debit]])</f>
        <v>46585</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9" zoomScale="107" zoomScaleNormal="210" workbookViewId="0">
      <selection activeCell="A15" sqref="A1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7"/>
      <c r="M10" s="137">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7">
        <v>183750</v>
      </c>
      <c r="M11" s="137">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7">
        <v>111250</v>
      </c>
      <c r="M12" s="137">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7">
        <v>84000</v>
      </c>
      <c r="M13" s="137">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s="137">
        <v>162500</v>
      </c>
      <c r="M14" s="137">
        <v>0</v>
      </c>
    </row>
    <row r="15" spans="1:14" x14ac:dyDescent="0.3">
      <c r="G15">
        <f>SUMIFS(Table14[Debit], Table14[Date], Table8[[#This Row],[Date]], Table14[Party], Table8[[#This Row],[Party]])</f>
        <v>0</v>
      </c>
      <c r="H15">
        <f>Table8[[#This Row],[Price]]-Table8[[#This Row],[Paid]]</f>
        <v>0</v>
      </c>
      <c r="K15" s="26">
        <v>46018</v>
      </c>
      <c r="L15" s="137">
        <v>111000</v>
      </c>
      <c r="M15" s="137">
        <v>27000</v>
      </c>
    </row>
    <row r="16" spans="1:14" x14ac:dyDescent="0.3">
      <c r="E16">
        <f>SUBTOTAL(109,Table8[Price])</f>
        <v>1238000</v>
      </c>
      <c r="H16">
        <f>SUBTOTAL(109,Table8[Balance])</f>
        <v>218250</v>
      </c>
      <c r="K16" s="26">
        <v>46020</v>
      </c>
      <c r="L16" s="137">
        <v>180250</v>
      </c>
      <c r="M16" s="137">
        <v>19250</v>
      </c>
    </row>
    <row r="17" spans="1:13" x14ac:dyDescent="0.3">
      <c r="K17" s="26">
        <v>46024</v>
      </c>
      <c r="L17" s="137"/>
      <c r="M17" s="137">
        <v>-80250</v>
      </c>
    </row>
    <row r="18" spans="1:13" x14ac:dyDescent="0.3">
      <c r="K18" s="26">
        <v>46025</v>
      </c>
      <c r="L18" s="137">
        <v>187000</v>
      </c>
      <c r="M18" s="137">
        <v>107000</v>
      </c>
    </row>
    <row r="19" spans="1:13" x14ac:dyDescent="0.3">
      <c r="K19" s="4" t="s">
        <v>103</v>
      </c>
      <c r="L19" s="137"/>
      <c r="M19" s="137">
        <v>0</v>
      </c>
    </row>
    <row r="20" spans="1:13" x14ac:dyDescent="0.3">
      <c r="K20" s="4" t="s">
        <v>28</v>
      </c>
      <c r="L20" s="137">
        <v>1019750</v>
      </c>
      <c r="M20" s="137">
        <v>107000</v>
      </c>
    </row>
    <row r="21" spans="1:13" x14ac:dyDescent="0.3">
      <c r="A21" t="s">
        <v>57</v>
      </c>
      <c r="B21" t="s">
        <v>156</v>
      </c>
      <c r="C21" t="s">
        <v>157</v>
      </c>
      <c r="D21" t="s">
        <v>4</v>
      </c>
      <c r="E21" t="s">
        <v>158</v>
      </c>
    </row>
    <row r="22" spans="1:13" x14ac:dyDescent="0.3">
      <c r="A22" t="s">
        <v>131</v>
      </c>
      <c r="B22">
        <v>1</v>
      </c>
      <c r="C22">
        <v>25</v>
      </c>
      <c r="D22">
        <v>1400</v>
      </c>
      <c r="E22">
        <f>Table2325[[#This Row],[boxes]]*Table2325[[#This Row],[kgs]]*Table2325[[#This Row],[Rate]]</f>
        <v>35000</v>
      </c>
    </row>
    <row r="23" spans="1:13" x14ac:dyDescent="0.3">
      <c r="A23" t="s">
        <v>129</v>
      </c>
      <c r="B23">
        <v>1</v>
      </c>
      <c r="C23">
        <v>3</v>
      </c>
      <c r="D23">
        <v>1340</v>
      </c>
      <c r="E23">
        <f>Table2325[[#This Row],[boxes]]*Table2325[[#This Row],[kgs]]*Table2325[[#This Row],[Rate]]</f>
        <v>4020</v>
      </c>
    </row>
    <row r="24" spans="1:13" x14ac:dyDescent="0.3">
      <c r="A24" t="s">
        <v>147</v>
      </c>
      <c r="B24">
        <v>1</v>
      </c>
      <c r="D24">
        <v>1120</v>
      </c>
      <c r="E24">
        <f>Table2325[[#This Row],[boxes]]*Table2325[[#This Row],[kgs]]*Table2325[[#This Row],[Rate]]</f>
        <v>0</v>
      </c>
    </row>
    <row r="25" spans="1:13" x14ac:dyDescent="0.3">
      <c r="A25" t="s">
        <v>126</v>
      </c>
      <c r="B25">
        <v>1</v>
      </c>
      <c r="C25">
        <v>25</v>
      </c>
      <c r="D25">
        <v>1120</v>
      </c>
      <c r="E25">
        <f>Table2325[[#This Row],[boxes]]*Table2325[[#This Row],[kgs]]*Table2325[[#This Row],[Rate]]</f>
        <v>28000</v>
      </c>
    </row>
    <row r="26" spans="1:13" x14ac:dyDescent="0.3">
      <c r="A26" t="s">
        <v>125</v>
      </c>
      <c r="B26">
        <v>1</v>
      </c>
      <c r="C26">
        <v>25</v>
      </c>
      <c r="D26">
        <v>1120</v>
      </c>
      <c r="E26">
        <f>Table2325[[#This Row],[boxes]]*Table2325[[#This Row],[kgs]]*Table2325[[#This Row],[Rate]]</f>
        <v>28000</v>
      </c>
    </row>
    <row r="27" spans="1:13" x14ac:dyDescent="0.3">
      <c r="A27" t="s">
        <v>146</v>
      </c>
      <c r="B27">
        <v>1</v>
      </c>
      <c r="D27">
        <v>1300</v>
      </c>
      <c r="E27">
        <f>Table2325[[#This Row],[boxes]]*Table2325[[#This Row],[kgs]]*Table2325[[#This Row],[Rate]]</f>
        <v>0</v>
      </c>
    </row>
    <row r="28" spans="1:13" x14ac:dyDescent="0.3">
      <c r="A28" t="s">
        <v>132</v>
      </c>
      <c r="B28">
        <v>1</v>
      </c>
      <c r="C28">
        <v>25</v>
      </c>
      <c r="D28">
        <v>1450</v>
      </c>
      <c r="E28">
        <f>Table2325[[#This Row],[boxes]]*Table2325[[#This Row],[kgs]]*Table2325[[#This Row],[Rate]]</f>
        <v>36250</v>
      </c>
    </row>
    <row r="29" spans="1:13" x14ac:dyDescent="0.3">
      <c r="A29" t="s">
        <v>159</v>
      </c>
      <c r="B29">
        <v>1</v>
      </c>
      <c r="C29">
        <v>25</v>
      </c>
      <c r="D29">
        <v>940</v>
      </c>
      <c r="E29">
        <f>Table2325[[#This Row],[boxes]]*Table2325[[#This Row],[kgs]]*Table2325[[#This Row],[Rate]]</f>
        <v>23500</v>
      </c>
    </row>
    <row r="30" spans="1:13" x14ac:dyDescent="0.3">
      <c r="A30" t="s">
        <v>125</v>
      </c>
      <c r="D30">
        <v>1130</v>
      </c>
      <c r="E30">
        <f>Table2325[[#This Row],[boxes]]*Table2325[[#This Row],[kgs]]*Table2325[[#This Row],[Rate]]</f>
        <v>0</v>
      </c>
    </row>
    <row r="31" spans="1:13" x14ac:dyDescent="0.3">
      <c r="A31" t="s">
        <v>146</v>
      </c>
      <c r="B31">
        <v>1</v>
      </c>
      <c r="C31">
        <v>12</v>
      </c>
      <c r="D31">
        <v>1300</v>
      </c>
      <c r="E31">
        <f>Table2325[[#This Row],[boxes]]*Table2325[[#This Row],[kgs]]*Table2325[[#This Row],[Rate]]</f>
        <v>15600</v>
      </c>
    </row>
    <row r="32" spans="1:13" x14ac:dyDescent="0.3">
      <c r="A32" t="s">
        <v>133</v>
      </c>
      <c r="B32">
        <v>1</v>
      </c>
      <c r="C32">
        <v>8</v>
      </c>
      <c r="D32">
        <v>1650</v>
      </c>
      <c r="E32">
        <f>Table2325[[#This Row],[boxes]]*Table2325[[#This Row],[kgs]]*Table2325[[#This Row],[Rate]]</f>
        <v>13200</v>
      </c>
      <c r="L32" t="s">
        <v>163</v>
      </c>
    </row>
    <row r="33" spans="1:16" x14ac:dyDescent="0.3">
      <c r="A33" t="s">
        <v>129</v>
      </c>
      <c r="D33">
        <v>1340</v>
      </c>
      <c r="E33">
        <f>Table2325[[#This Row],[boxes]]*Table2325[[#This Row],[kgs]]*Table2325[[#This Row],[Rate]]</f>
        <v>0</v>
      </c>
      <c r="L33" t="s">
        <v>57</v>
      </c>
      <c r="M33" t="s">
        <v>156</v>
      </c>
      <c r="N33" t="s">
        <v>157</v>
      </c>
      <c r="O33" t="s">
        <v>4</v>
      </c>
      <c r="P33" t="s">
        <v>158</v>
      </c>
    </row>
    <row r="34" spans="1:16" x14ac:dyDescent="0.3">
      <c r="A34" t="s">
        <v>132</v>
      </c>
      <c r="B34">
        <v>1</v>
      </c>
      <c r="C34">
        <v>12</v>
      </c>
      <c r="D34">
        <v>1450</v>
      </c>
      <c r="E34">
        <f>Table2325[[#This Row],[boxes]]*Table2325[[#This Row],[kgs]]*Table2325[[#This Row],[Rate]]</f>
        <v>17400</v>
      </c>
      <c r="L34" t="s">
        <v>131</v>
      </c>
      <c r="M34">
        <v>1</v>
      </c>
      <c r="N34">
        <v>5</v>
      </c>
      <c r="O34">
        <v>1400</v>
      </c>
      <c r="P34">
        <f>Table23[[#This Row],[boxes]]*Table23[[#This Row],[kgs]]*Table23[[#This Row],[Rate]]</f>
        <v>7000</v>
      </c>
    </row>
    <row r="35" spans="1:16" x14ac:dyDescent="0.3">
      <c r="A35" t="s">
        <v>131</v>
      </c>
      <c r="B35">
        <v>1</v>
      </c>
      <c r="C35">
        <v>4</v>
      </c>
      <c r="D35">
        <v>1400</v>
      </c>
      <c r="E35">
        <f>Table2325[[#This Row],[boxes]]*Table2325[[#This Row],[kgs]]*Table2325[[#This Row],[Rate]]</f>
        <v>5600</v>
      </c>
      <c r="L35" t="s">
        <v>129</v>
      </c>
      <c r="M35">
        <v>1</v>
      </c>
      <c r="N35">
        <v>30</v>
      </c>
      <c r="O35">
        <v>1340</v>
      </c>
      <c r="P35">
        <f>Table23[[#This Row],[boxes]]*Table23[[#This Row],[kgs]]*Table23[[#This Row],[Rate]]</f>
        <v>40200</v>
      </c>
    </row>
    <row r="36" spans="1:16" x14ac:dyDescent="0.3">
      <c r="A36" t="s">
        <v>160</v>
      </c>
      <c r="D36">
        <v>1000</v>
      </c>
      <c r="E36">
        <f>Table2325[[#This Row],[boxes]]*Table2325[[#This Row],[kgs]]*Table2325[[#This Row],[Rate]]</f>
        <v>0</v>
      </c>
      <c r="L36" t="s">
        <v>147</v>
      </c>
      <c r="M36">
        <v>1</v>
      </c>
      <c r="O36">
        <v>1140</v>
      </c>
      <c r="P36">
        <f>Table23[[#This Row],[boxes]]*Table23[[#This Row],[kgs]]*Table23[[#This Row],[Rate]]</f>
        <v>0</v>
      </c>
    </row>
    <row r="37" spans="1:16" x14ac:dyDescent="0.3">
      <c r="A37" t="s">
        <v>130</v>
      </c>
      <c r="B37">
        <v>1</v>
      </c>
      <c r="C37">
        <v>12</v>
      </c>
      <c r="D37">
        <v>1650</v>
      </c>
      <c r="E37">
        <f>Table2325[[#This Row],[boxes]]*Table2325[[#This Row],[kgs]]*Table2325[[#This Row],[Rate]]</f>
        <v>19800</v>
      </c>
      <c r="L37" t="s">
        <v>126</v>
      </c>
      <c r="M37">
        <v>1</v>
      </c>
      <c r="N37">
        <v>28</v>
      </c>
      <c r="O37">
        <v>1140</v>
      </c>
      <c r="P37">
        <f>Table23[[#This Row],[boxes]]*Table23[[#This Row],[kgs]]*Table23[[#This Row],[Rate]]</f>
        <v>31920</v>
      </c>
    </row>
    <row r="38" spans="1:16" x14ac:dyDescent="0.3">
      <c r="A38" t="s">
        <v>114</v>
      </c>
      <c r="D38">
        <v>1130</v>
      </c>
      <c r="E38">
        <f>Table2325[[#This Row],[boxes]]*Table2325[[#This Row],[kgs]]*Table2325[[#This Row],[Rate]]</f>
        <v>0</v>
      </c>
      <c r="L38" t="s">
        <v>125</v>
      </c>
      <c r="M38">
        <v>1</v>
      </c>
      <c r="N38">
        <v>8</v>
      </c>
      <c r="O38">
        <v>1130</v>
      </c>
      <c r="P38">
        <f>Table23[[#This Row],[boxes]]*Table23[[#This Row],[kgs]]*Table23[[#This Row],[Rate]]</f>
        <v>9040</v>
      </c>
    </row>
    <row r="39" spans="1:16" x14ac:dyDescent="0.3">
      <c r="A39" t="s">
        <v>153</v>
      </c>
      <c r="B39">
        <v>1</v>
      </c>
      <c r="C39">
        <v>5</v>
      </c>
      <c r="D39">
        <v>3100</v>
      </c>
      <c r="E39">
        <f>Table2325[[#This Row],[boxes]]*Table2325[[#This Row],[kgs]]*Table2325[[#This Row],[Rate]]</f>
        <v>15500</v>
      </c>
      <c r="L39" t="s">
        <v>146</v>
      </c>
      <c r="M39">
        <v>1</v>
      </c>
      <c r="O39">
        <v>1300</v>
      </c>
      <c r="P39">
        <f>Table23[[#This Row],[boxes]]*Table23[[#This Row],[kgs]]*Table23[[#This Row],[Rate]]</f>
        <v>0</v>
      </c>
    </row>
    <row r="40" spans="1:16" x14ac:dyDescent="0.3">
      <c r="A40" t="s">
        <v>126</v>
      </c>
      <c r="B40">
        <v>1</v>
      </c>
      <c r="C40">
        <v>8</v>
      </c>
      <c r="D40">
        <v>1140</v>
      </c>
      <c r="E40">
        <f>Table2325[[#This Row],[boxes]]*Table2325[[#This Row],[kgs]]*Table2325[[#This Row],[Rate]]</f>
        <v>9120</v>
      </c>
      <c r="L40" t="s">
        <v>132</v>
      </c>
      <c r="M40">
        <v>1</v>
      </c>
      <c r="N40">
        <v>30</v>
      </c>
      <c r="O40">
        <v>1450</v>
      </c>
      <c r="P40">
        <f>Table23[[#This Row],[boxes]]*Table23[[#This Row],[kgs]]*Table23[[#This Row],[Rate]]</f>
        <v>43500</v>
      </c>
    </row>
    <row r="41" spans="1:16" x14ac:dyDescent="0.3">
      <c r="A41" t="s">
        <v>147</v>
      </c>
      <c r="B41">
        <v>1</v>
      </c>
      <c r="C41">
        <v>6</v>
      </c>
      <c r="D41">
        <v>1140</v>
      </c>
      <c r="E41">
        <f>Table2325[[#This Row],[boxes]]*Table2325[[#This Row],[kgs]]*Table2325[[#This Row],[Rate]]</f>
        <v>6840</v>
      </c>
      <c r="L41" t="s">
        <v>159</v>
      </c>
      <c r="M41">
        <v>1</v>
      </c>
      <c r="N41">
        <v>40</v>
      </c>
      <c r="O41">
        <v>910</v>
      </c>
      <c r="P41">
        <f>Table23[[#This Row],[boxes]]*Table23[[#This Row],[kgs]]*Table23[[#This Row],[Rate]]</f>
        <v>36400</v>
      </c>
    </row>
    <row r="42" spans="1:16" x14ac:dyDescent="0.3">
      <c r="A42" t="s">
        <v>161</v>
      </c>
      <c r="D42">
        <v>1000</v>
      </c>
      <c r="E42">
        <f>Table2325[[#This Row],[boxes]]*Table2325[[#This Row],[kgs]]*Table2325[[#This Row],[Rate]]</f>
        <v>0</v>
      </c>
      <c r="L42" t="s">
        <v>125</v>
      </c>
      <c r="M42">
        <v>1</v>
      </c>
      <c r="O42">
        <v>1130</v>
      </c>
      <c r="P42">
        <f>Table23[[#This Row],[boxes]]*Table23[[#This Row],[kgs]]*Table23[[#This Row],[Rate]]</f>
        <v>0</v>
      </c>
    </row>
    <row r="43" spans="1:16" x14ac:dyDescent="0.3">
      <c r="A43" t="s">
        <v>162</v>
      </c>
      <c r="B43">
        <v>1</v>
      </c>
      <c r="C43">
        <v>10</v>
      </c>
      <c r="D43">
        <v>1600</v>
      </c>
      <c r="E43">
        <f>Table2325[[#This Row],[boxes]]*Table2325[[#This Row],[kgs]]*Table2325[[#This Row],[Rate]]</f>
        <v>16000</v>
      </c>
      <c r="L43" t="s">
        <v>146</v>
      </c>
      <c r="M43">
        <v>1</v>
      </c>
      <c r="N43">
        <v>10</v>
      </c>
      <c r="O43">
        <v>1300</v>
      </c>
      <c r="P43">
        <f>Table23[[#This Row],[boxes]]*Table23[[#This Row],[kgs]]*Table23[[#This Row],[Rate]]</f>
        <v>13000</v>
      </c>
    </row>
    <row r="44" spans="1:16" x14ac:dyDescent="0.3">
      <c r="A44" t="s">
        <v>114</v>
      </c>
      <c r="B44">
        <v>1</v>
      </c>
      <c r="C44">
        <v>3</v>
      </c>
      <c r="D44">
        <v>1120</v>
      </c>
      <c r="E44">
        <f>Table2325[[#This Row],[boxes]]*Table2325[[#This Row],[kgs]]*Table2325[[#This Row],[Rate]]</f>
        <v>3360</v>
      </c>
      <c r="L44" t="s">
        <v>133</v>
      </c>
      <c r="M44">
        <v>1</v>
      </c>
      <c r="N44">
        <v>4</v>
      </c>
      <c r="O44">
        <v>1650</v>
      </c>
      <c r="P44">
        <f>Table23[[#This Row],[boxes]]*Table23[[#This Row],[kgs]]*Table23[[#This Row],[Rate]]</f>
        <v>6600</v>
      </c>
    </row>
    <row r="45" spans="1:16" x14ac:dyDescent="0.3">
      <c r="A45" t="s">
        <v>188</v>
      </c>
      <c r="B45">
        <v>1</v>
      </c>
      <c r="C45">
        <v>4</v>
      </c>
      <c r="D45">
        <v>920</v>
      </c>
      <c r="E45">
        <f>Table2325[[#This Row],[boxes]]*Table2325[[#This Row],[kgs]]*Table2325[[#This Row],[Rate]]</f>
        <v>3680</v>
      </c>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E48">
        <f>SUM(Table2325[total])</f>
        <v>280870</v>
      </c>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s="137">
        <v>0</v>
      </c>
      <c r="L5" s="137">
        <v>0</v>
      </c>
      <c r="M5" s="137">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s="137">
        <v>0</v>
      </c>
      <c r="L6" s="137">
        <v>150000</v>
      </c>
      <c r="M6" s="137">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s="137">
        <v>351000</v>
      </c>
      <c r="L7" s="137">
        <v>0</v>
      </c>
      <c r="M7" s="13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s="137">
        <v>0</v>
      </c>
      <c r="L8" s="137">
        <v>0</v>
      </c>
      <c r="M8" s="137">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s="137">
        <v>0</v>
      </c>
      <c r="L9" s="137">
        <v>0</v>
      </c>
      <c r="M9" s="137">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s="137">
        <v>0</v>
      </c>
      <c r="L10" s="137">
        <v>0</v>
      </c>
      <c r="M10" s="137">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s="137">
        <v>351000</v>
      </c>
      <c r="L11" s="137">
        <v>150000</v>
      </c>
      <c r="M11" s="137">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1121551</v>
      </c>
      <c r="C2" s="32">
        <f>GETPIVOTDATA("Sum of Tiyaar/gaz",$A$3)</f>
        <v>1153031.8824</v>
      </c>
      <c r="D2" s="31">
        <f>((B2*48)+((C2/1.0936)*10))/C2</f>
        <v>55.833581641331698</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12918</v>
      </c>
      <c r="D38" s="28">
        <f t="shared" si="1"/>
        <v>99.094877564895583</v>
      </c>
      <c r="E38" s="11">
        <f t="shared" si="2"/>
        <v>26473.868799999997</v>
      </c>
      <c r="F38" s="11">
        <f t="shared" si="0"/>
        <v>12918</v>
      </c>
      <c r="G38" s="78">
        <f t="shared" si="6"/>
        <v>51.204713985739772</v>
      </c>
      <c r="H38" s="28">
        <f t="shared" si="3"/>
        <v>11812.362838332116</v>
      </c>
      <c r="I38" s="28">
        <f t="shared" si="5"/>
        <v>99.094877564895583</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c r="C40" s="14">
        <v>45815</v>
      </c>
      <c r="D40" s="28">
        <f t="shared" si="13"/>
        <v>9.1441111923920992</v>
      </c>
      <c r="E40" s="11">
        <f t="shared" si="14"/>
        <v>0</v>
      </c>
      <c r="F40" s="11">
        <f t="shared" si="15"/>
        <v>45815</v>
      </c>
      <c r="G40" s="78" t="e">
        <f t="shared" si="16"/>
        <v>#DIV/0!</v>
      </c>
      <c r="H40" s="28">
        <f t="shared" si="17"/>
        <v>41893.745427944406</v>
      </c>
      <c r="I40" s="28">
        <f t="shared" si="18"/>
        <v>9.1441111923920992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32910</v>
      </c>
      <c r="D44" s="28">
        <f t="shared" si="13"/>
        <v>83.54192340752428</v>
      </c>
      <c r="E44" s="11">
        <f t="shared" si="14"/>
        <v>55783.442399999993</v>
      </c>
      <c r="F44" s="11">
        <f t="shared" si="15"/>
        <v>32910</v>
      </c>
      <c r="G44" s="78">
        <f t="shared" si="16"/>
        <v>41.003999423312742</v>
      </c>
      <c r="H44" s="28">
        <f t="shared" si="17"/>
        <v>30093.269934162403</v>
      </c>
      <c r="I44" s="28">
        <f t="shared" si="18"/>
        <v>83.54192340752428</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t="s">
        <v>28</v>
      </c>
      <c r="B47" s="30">
        <v>80202</v>
      </c>
      <c r="C47" s="30">
        <v>1153031.8824</v>
      </c>
      <c r="D47" s="28">
        <f t="shared" si="19"/>
        <v>12.48287056128915</v>
      </c>
      <c r="E47" s="11">
        <f t="shared" si="20"/>
        <v>87708.907199999987</v>
      </c>
      <c r="F47" s="11">
        <f t="shared" si="21"/>
        <v>1153031.8824</v>
      </c>
      <c r="G47" s="78">
        <f t="shared" si="22"/>
        <v>-1214.6120721476739</v>
      </c>
      <c r="H47" s="28">
        <f t="shared" si="23"/>
        <v>1054345.1741038773</v>
      </c>
      <c r="I47" s="28">
        <f t="shared" si="24"/>
        <v>12.48287056128915</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89355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8375314.6686174199</v>
      </c>
    </row>
    <row r="3" spans="1:3" ht="21" x14ac:dyDescent="0.4">
      <c r="A3" s="102" t="str">
        <f>Billing!Q6</f>
        <v>Ejaz Sahab</v>
      </c>
      <c r="B3" s="105">
        <f>Billing!AD6</f>
        <v>4471992</v>
      </c>
      <c r="C3" s="103">
        <f>Billing!AE6</f>
        <v>143937.95610826649</v>
      </c>
    </row>
    <row r="4" spans="1:3" ht="21" x14ac:dyDescent="0.4">
      <c r="A4" s="102" t="str">
        <f>Billing!Q7</f>
        <v>Arshad</v>
      </c>
      <c r="B4" s="105">
        <f>Billing!AD7</f>
        <v>7155301</v>
      </c>
      <c r="C4" s="104">
        <f>Billing!AE7</f>
        <v>74048.853694221005</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2616679</v>
      </c>
      <c r="C12" s="103">
        <f>Billing!AE15</f>
        <v>263021.07315288996</v>
      </c>
    </row>
    <row r="13" spans="1:3" ht="21" x14ac:dyDescent="0.4">
      <c r="A13" s="102" t="str">
        <f>Billing!Q16</f>
        <v>Badshah Fabrics</v>
      </c>
      <c r="B13" s="105">
        <f>Billing!AD16</f>
        <v>6315761</v>
      </c>
      <c r="C13" s="103">
        <f>Billing!AE16</f>
        <v>321938.34162399545</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996025</v>
      </c>
      <c r="C21" s="103">
        <f>Billing!AE24</f>
        <v>100107.95537673752</v>
      </c>
    </row>
    <row r="22" spans="1:3" ht="21" x14ac:dyDescent="0.4">
      <c r="A22" s="102" t="str">
        <f>Billing!Q25</f>
        <v>Shahid Qasayi</v>
      </c>
      <c r="B22" s="105">
        <f>Billing!AD25</f>
        <v>2461895</v>
      </c>
      <c r="C22" s="103">
        <f>Billing!AE25</f>
        <v>2005.8778346739709</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2026-01-06T20:16:07Z</dcterms:modified>
  <cp:category/>
  <cp:contentStatus/>
</cp:coreProperties>
</file>