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511" documentId="13_ncr:1_{89B07303-4F83-4416-81AD-F450F7417961}" xr6:coauthVersionLast="47" xr6:coauthVersionMax="47" xr10:uidLastSave="{1814930C-FB81-46F2-B693-582033D506CE}"/>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19"/>
    <pivotCache cacheId="13" r:id="rId20"/>
    <pivotCache cacheId="18" r:id="rId21"/>
    <pivotCache cacheId="24" r:id="rId22"/>
    <pivotCache cacheId="28" r:id="rId23"/>
    <pivotCache cacheId="33"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2" i="6" l="1"/>
  <c r="I159" i="1"/>
  <c r="J159" i="1" a="1"/>
  <c r="J159" i="1"/>
  <c r="I160" i="1"/>
  <c r="J160" i="1" a="1"/>
  <c r="J160" i="1"/>
  <c r="H161" i="1"/>
  <c r="H162" i="1"/>
  <c r="C420" i="17"/>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I102" i="6"/>
  <c r="H98" i="6"/>
  <c r="I98" i="6" s="1"/>
  <c r="H97" i="6"/>
  <c r="I97" i="6" s="1"/>
  <c r="H94" i="6"/>
  <c r="I94" i="6" s="1"/>
  <c r="H95" i="6"/>
  <c r="I95" i="6" s="1"/>
  <c r="H96" i="6"/>
  <c r="I96" i="6" s="1"/>
  <c r="H93" i="6"/>
  <c r="I93" i="6" s="1"/>
  <c r="J144" i="1" a="1"/>
  <c r="J144" i="1" s="1"/>
  <c r="J155" i="1" a="1"/>
  <c r="J155" i="1" s="1"/>
  <c r="J156" i="1" a="1"/>
  <c r="J156" i="1" s="1"/>
  <c r="J157" i="1" a="1"/>
  <c r="J157" i="1" s="1"/>
  <c r="J143" i="1" a="1"/>
  <c r="J143" i="1" s="1"/>
  <c r="I143" i="1"/>
  <c r="I144" i="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3" i="1"/>
  <c r="J153" i="1" s="1" a="1"/>
  <c r="J153" i="1" s="1"/>
  <c r="I154" i="1"/>
  <c r="J154" i="1" s="1" a="1"/>
  <c r="J154" i="1" s="1"/>
  <c r="I155" i="1"/>
  <c r="I156" i="1"/>
  <c r="I157" i="1"/>
  <c r="I158" i="1"/>
  <c r="J158" i="1" s="1" a="1"/>
  <c r="J158" i="1" s="1"/>
  <c r="G153" i="1"/>
  <c r="I135" i="1"/>
  <c r="J135" i="1" a="1"/>
  <c r="J135" i="1" s="1"/>
  <c r="I136" i="1"/>
  <c r="J136" i="1" s="1" a="1"/>
  <c r="J136" i="1" s="1"/>
  <c r="I137" i="1"/>
  <c r="J137" i="1" a="1"/>
  <c r="J137" i="1" s="1"/>
  <c r="I138" i="1"/>
  <c r="J138" i="1" s="1" a="1"/>
  <c r="J138" i="1" s="1"/>
  <c r="I139" i="1"/>
  <c r="J139" i="1" a="1"/>
  <c r="J139" i="1" s="1"/>
  <c r="I140" i="1"/>
  <c r="J140" i="1" a="1"/>
  <c r="J140" i="1" s="1"/>
  <c r="I141" i="1"/>
  <c r="J141" i="1" s="1" a="1"/>
  <c r="J141" i="1" s="1"/>
  <c r="I142" i="1"/>
  <c r="J142" i="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G100" i="1"/>
  <c r="I100" i="1" s="1"/>
  <c r="J100" i="1" s="1" a="1"/>
  <c r="J100" i="1" s="1"/>
  <c r="I69" i="1"/>
  <c r="J69" i="1" s="1" a="1"/>
  <c r="J69" i="1" s="1"/>
  <c r="H44" i="6"/>
  <c r="I44" i="6" s="1"/>
  <c r="I118" i="1"/>
  <c r="J118" i="1" a="1"/>
  <c r="J118" i="1" s="1"/>
  <c r="I119" i="1"/>
  <c r="J119" i="1" s="1" a="1"/>
  <c r="J119" i="1" s="1"/>
  <c r="I120" i="1"/>
  <c r="J120" i="1" a="1"/>
  <c r="J120" i="1" s="1"/>
  <c r="I121" i="1"/>
  <c r="J121" i="1" s="1" a="1"/>
  <c r="J121" i="1" s="1"/>
  <c r="I122" i="1"/>
  <c r="J122" i="1" a="1"/>
  <c r="J122" i="1" s="1"/>
  <c r="I123" i="1"/>
  <c r="J123" i="1" a="1"/>
  <c r="J123" i="1" s="1"/>
  <c r="I124" i="1"/>
  <c r="J124" i="1" s="1" a="1"/>
  <c r="J124" i="1" s="1"/>
  <c r="I125" i="1"/>
  <c r="J125" i="1" s="1" a="1"/>
  <c r="J125" i="1" s="1"/>
  <c r="I126" i="1"/>
  <c r="J126" i="1" s="1" a="1"/>
  <c r="J126" i="1" s="1"/>
  <c r="I127" i="1"/>
  <c r="J127" i="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a="1"/>
  <c r="J112" i="1" s="1"/>
  <c r="I113" i="1"/>
  <c r="J113" i="1" s="1" a="1"/>
  <c r="J113" i="1" s="1"/>
  <c r="I111" i="1"/>
  <c r="J111" i="1" s="1" a="1"/>
  <c r="J111" i="1" s="1"/>
  <c r="I103" i="1"/>
  <c r="J103" i="1" s="1" a="1"/>
  <c r="J103" i="1" s="1"/>
  <c r="I104" i="1"/>
  <c r="J104" i="1" s="1" a="1"/>
  <c r="J104" i="1" s="1"/>
  <c r="I105" i="1"/>
  <c r="J105" i="1" s="1" a="1"/>
  <c r="J105" i="1" s="1"/>
  <c r="I106" i="1"/>
  <c r="J106" i="1" a="1"/>
  <c r="J106" i="1" s="1"/>
  <c r="I107" i="1"/>
  <c r="J107" i="1" s="1" a="1"/>
  <c r="J107" i="1" s="1"/>
  <c r="I108" i="1"/>
  <c r="J108" i="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a="1"/>
  <c r="J79" i="1" s="1"/>
  <c r="I80" i="1"/>
  <c r="J80" i="1" s="1" a="1"/>
  <c r="J80" i="1" s="1"/>
  <c r="I81" i="1"/>
  <c r="J81" i="1" s="1" a="1"/>
  <c r="J81" i="1" s="1"/>
  <c r="I82" i="1"/>
  <c r="J82" i="1" a="1"/>
  <c r="J82" i="1" s="1"/>
  <c r="I83" i="1"/>
  <c r="J83" i="1" s="1" a="1"/>
  <c r="J83" i="1" s="1"/>
  <c r="I84" i="1"/>
  <c r="J84" i="1" s="1" a="1"/>
  <c r="J84" i="1" s="1"/>
  <c r="I85" i="1"/>
  <c r="J85" i="1" s="1" a="1"/>
  <c r="J85" i="1" s="1"/>
  <c r="I86" i="1"/>
  <c r="J86" i="1" a="1"/>
  <c r="J86" i="1" s="1"/>
  <c r="I87" i="1"/>
  <c r="J87" i="1" s="1" a="1"/>
  <c r="J87" i="1" s="1"/>
  <c r="I88" i="1"/>
  <c r="J88" i="1" a="1"/>
  <c r="J88" i="1" s="1"/>
  <c r="I89" i="1"/>
  <c r="J89" i="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a="1"/>
  <c r="J72" i="1" s="1"/>
  <c r="I73" i="1"/>
  <c r="J73" i="1" s="1" a="1"/>
  <c r="J73" i="1" s="1"/>
  <c r="I74" i="1"/>
  <c r="J74" i="1" s="1" a="1"/>
  <c r="J74" i="1" s="1"/>
  <c r="I75" i="1"/>
  <c r="J75" i="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I163" i="1" s="1" a="1"/>
  <c r="I163" i="1" s="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O77" i="9"/>
  <c r="O78" i="9"/>
  <c r="C9" i="8"/>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G57" i="2" s="1"/>
  <c r="H159" i="1" s="1"/>
  <c r="F57" i="2"/>
  <c r="H57" i="2"/>
  <c r="I57" i="2" s="1"/>
  <c r="D57" i="2" s="1"/>
  <c r="E58" i="2"/>
  <c r="F58" i="2"/>
  <c r="G58" i="2" s="1"/>
  <c r="H160" i="1" s="1"/>
  <c r="F27" i="2"/>
  <c r="H27" i="2" s="1"/>
  <c r="I27" i="2" s="1"/>
  <c r="D27" i="2" s="1"/>
  <c r="E27" i="2"/>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G47" i="2" s="1"/>
  <c r="H137" i="1" s="1"/>
  <c r="H47" i="2"/>
  <c r="I47" i="2" s="1"/>
  <c r="D47" i="2" s="1"/>
  <c r="E48" i="2"/>
  <c r="F48" i="2"/>
  <c r="F20" i="2"/>
  <c r="E20" i="2"/>
  <c r="E49" i="2"/>
  <c r="G49" i="2" s="1"/>
  <c r="F49" i="2"/>
  <c r="H49" i="2" s="1"/>
  <c r="I49" i="2" s="1"/>
  <c r="D49" i="2" s="1"/>
  <c r="F21" i="2"/>
  <c r="H21" i="2" s="1"/>
  <c r="I21" i="2" s="1"/>
  <c r="D21" i="2" s="1"/>
  <c r="E21" i="2"/>
  <c r="E50" i="2"/>
  <c r="F50" i="2"/>
  <c r="G50" i="2" s="1"/>
  <c r="H144" i="1" s="1"/>
  <c r="E51" i="2"/>
  <c r="F51" i="2"/>
  <c r="H51" i="2" s="1"/>
  <c r="I51" i="2" s="1"/>
  <c r="D51" i="2" s="1"/>
  <c r="E52" i="2"/>
  <c r="F52" i="2"/>
  <c r="H52" i="2" s="1"/>
  <c r="I52" i="2" s="1"/>
  <c r="D52" i="2" s="1"/>
  <c r="E53" i="2"/>
  <c r="F53" i="2"/>
  <c r="H53" i="2"/>
  <c r="I53" i="2" s="1"/>
  <c r="D53" i="2" s="1"/>
  <c r="E54" i="2"/>
  <c r="F54" i="2"/>
  <c r="F24" i="2"/>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c r="I5" i="2" s="1"/>
  <c r="D5" i="2" s="1"/>
  <c r="E5" i="2"/>
  <c r="E34" i="2"/>
  <c r="F34" i="2"/>
  <c r="H34" i="2" s="1"/>
  <c r="I34" i="2" s="1"/>
  <c r="D34" i="2" s="1"/>
  <c r="F18" i="2"/>
  <c r="E18" i="2"/>
  <c r="E35" i="2"/>
  <c r="F35" i="2"/>
  <c r="H35" i="2" s="1"/>
  <c r="I35" i="2" s="1"/>
  <c r="D35" i="2" s="1"/>
  <c r="E36" i="2"/>
  <c r="G36" i="2"/>
  <c r="H117" i="1"/>
  <c r="F36" i="2"/>
  <c r="F22" i="2"/>
  <c r="H22" i="2" s="1"/>
  <c r="I22" i="2" s="1"/>
  <c r="D22" i="2" s="1"/>
  <c r="E22" i="2"/>
  <c r="G22" i="2" s="1"/>
  <c r="H87" i="1" s="1"/>
  <c r="F7" i="2"/>
  <c r="H7" i="2" s="1"/>
  <c r="I7" i="2" s="1"/>
  <c r="D7" i="2" s="1"/>
  <c r="E7" i="2"/>
  <c r="E37" i="2"/>
  <c r="F37" i="2"/>
  <c r="H37" i="2" s="1"/>
  <c r="I37" i="2" s="1"/>
  <c r="D37" i="2" s="1"/>
  <c r="E39" i="2"/>
  <c r="F39" i="2"/>
  <c r="E40" i="2"/>
  <c r="F40" i="2"/>
  <c r="G40" i="2" s="1"/>
  <c r="E41" i="2"/>
  <c r="F41" i="2"/>
  <c r="H41" i="2"/>
  <c r="I41" i="2" s="1"/>
  <c r="D41" i="2" s="1"/>
  <c r="E42" i="2"/>
  <c r="F42" i="2"/>
  <c r="E43" i="2"/>
  <c r="F43" i="2"/>
  <c r="H43" i="2" s="1"/>
  <c r="I43" i="2" s="1"/>
  <c r="D43" i="2" s="1"/>
  <c r="E44" i="2"/>
  <c r="F44" i="2"/>
  <c r="H44" i="2"/>
  <c r="I44" i="2" s="1"/>
  <c r="D44" i="2" s="1"/>
  <c r="F19" i="2"/>
  <c r="H19" i="2"/>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F15" i="2"/>
  <c r="H15" i="2" s="1"/>
  <c r="I15" i="2" s="1"/>
  <c r="D15" i="2" s="1"/>
  <c r="E15" i="2"/>
  <c r="F16" i="2"/>
  <c r="H16" i="2"/>
  <c r="I16" i="2" s="1"/>
  <c r="D16" i="2" s="1"/>
  <c r="E16" i="2"/>
  <c r="F26" i="2"/>
  <c r="H26" i="2" s="1"/>
  <c r="I26" i="2" s="1"/>
  <c r="D26" i="2" s="1"/>
  <c r="E26" i="2"/>
  <c r="G26" i="2" s="1"/>
  <c r="F29" i="2"/>
  <c r="H29" i="2"/>
  <c r="I29" i="2" s="1"/>
  <c r="D29" i="2" s="1"/>
  <c r="E29" i="2"/>
  <c r="G29" i="2" s="1"/>
  <c r="F30" i="2"/>
  <c r="G30" i="2" s="1"/>
  <c r="F31" i="2"/>
  <c r="G31" i="2" s="1"/>
  <c r="H110" i="1" s="1"/>
  <c r="H31" i="2"/>
  <c r="I31" i="2" s="1"/>
  <c r="D31" i="2" s="1"/>
  <c r="E31" i="2"/>
  <c r="H43" i="1"/>
  <c r="F32" i="2"/>
  <c r="H32" i="2" s="1"/>
  <c r="I32" i="2" s="1"/>
  <c r="D32" i="2" s="1"/>
  <c r="G32" i="2"/>
  <c r="H114" i="1" s="1"/>
  <c r="F14" i="2"/>
  <c r="E14" i="2"/>
  <c r="G14" i="2" s="1"/>
  <c r="E30" i="2"/>
  <c r="E32" i="2"/>
  <c r="N4" i="17"/>
  <c r="F12" i="2"/>
  <c r="E12" i="2"/>
  <c r="F11" i="2"/>
  <c r="G11" i="2" s="1"/>
  <c r="E11" i="2"/>
  <c r="E17" i="2"/>
  <c r="G17" i="2" s="1"/>
  <c r="H81" i="1" s="1"/>
  <c r="F17" i="2"/>
  <c r="F9" i="2"/>
  <c r="G9" i="2" s="1"/>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G72" i="2"/>
  <c r="G71" i="2"/>
  <c r="H68" i="2"/>
  <c r="I68" i="2"/>
  <c r="D68" i="2"/>
  <c r="H77" i="2"/>
  <c r="I77" i="2"/>
  <c r="D77" i="2"/>
  <c r="G76" i="2"/>
  <c r="H64" i="2"/>
  <c r="I64" i="2"/>
  <c r="D64" i="2"/>
  <c r="G82" i="2"/>
  <c r="G77" i="2"/>
  <c r="G53" i="2"/>
  <c r="H149" i="1" s="1"/>
  <c r="H89" i="2"/>
  <c r="I89" i="2"/>
  <c r="D89" i="2"/>
  <c r="H81" i="2"/>
  <c r="I81" i="2"/>
  <c r="D81" i="2"/>
  <c r="G84" i="2"/>
  <c r="G65" i="2"/>
  <c r="G73" i="2"/>
  <c r="G67" i="2"/>
  <c r="G61" i="2"/>
  <c r="H75" i="2"/>
  <c r="I75" i="2"/>
  <c r="D75" i="2"/>
  <c r="G86" i="2"/>
  <c r="G79" i="2"/>
  <c r="G80" i="2"/>
  <c r="H90" i="2"/>
  <c r="I90" i="2"/>
  <c r="D90" i="2"/>
  <c r="G85" i="2"/>
  <c r="G59" i="2"/>
  <c r="G74" i="2"/>
  <c r="G92" i="2"/>
  <c r="G88" i="2"/>
  <c r="G83" i="2"/>
  <c r="H65" i="2"/>
  <c r="I65" i="2"/>
  <c r="D65" i="2"/>
  <c r="H88" i="2"/>
  <c r="I88" i="2"/>
  <c r="D88" i="2"/>
  <c r="G62" i="2"/>
  <c r="H78" i="2"/>
  <c r="I78" i="2"/>
  <c r="D78" i="2"/>
  <c r="H86" i="2"/>
  <c r="I86" i="2"/>
  <c r="D8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c r="G43" i="2"/>
  <c r="H126" i="1"/>
  <c r="H36" i="2"/>
  <c r="I36" i="2" s="1"/>
  <c r="D36" i="2" s="1"/>
  <c r="X36" i="9" a="1"/>
  <c r="X36" i="9" s="1"/>
  <c r="H17" i="2"/>
  <c r="I17" i="2" s="1"/>
  <c r="D17" i="2"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H24" i="2"/>
  <c r="I24" i="2"/>
  <c r="D24" i="2" s="1"/>
  <c r="H39" i="2"/>
  <c r="I39" i="2"/>
  <c r="D39" i="2" s="1"/>
  <c r="H42" i="2"/>
  <c r="I42" i="2" s="1"/>
  <c r="D42" i="2" s="1"/>
  <c r="G7" i="2"/>
  <c r="H62" i="1" s="1"/>
  <c r="Y33" i="9" a="1"/>
  <c r="Y33" i="9" s="1"/>
  <c r="W34" i="9" a="1"/>
  <c r="W34" i="9" s="1"/>
  <c r="V35" i="9" a="1"/>
  <c r="V35" i="9" s="1"/>
  <c r="G15" i="2"/>
  <c r="H76" i="1" s="1"/>
  <c r="H18" i="2"/>
  <c r="I18" i="2"/>
  <c r="D18" i="2" s="1"/>
  <c r="G5" i="2"/>
  <c r="H96" i="1" s="1"/>
  <c r="G34" i="2"/>
  <c r="H113" i="1" s="1"/>
  <c r="G21" i="2"/>
  <c r="G28" i="2"/>
  <c r="H102" i="1" s="1"/>
  <c r="H14" i="2"/>
  <c r="I14" i="2" s="1"/>
  <c r="D14" i="2" s="1"/>
  <c r="N114" i="9"/>
  <c r="P114" i="9"/>
  <c r="N113" i="9"/>
  <c r="P113" i="9"/>
  <c r="AA35" i="9" a="1"/>
  <c r="AA35" i="9" s="1"/>
  <c r="N115" i="9"/>
  <c r="P115" i="9"/>
  <c r="N112" i="9"/>
  <c r="P112" i="9"/>
  <c r="H139" i="1"/>
  <c r="H86" i="1"/>
  <c r="H80" i="1"/>
  <c r="C2" i="2"/>
  <c r="H143" i="1" l="1"/>
  <c r="H142" i="1"/>
  <c r="G6" i="2"/>
  <c r="H103" i="1" s="1"/>
  <c r="G16" i="2"/>
  <c r="H79" i="1" s="1"/>
  <c r="G20" i="2"/>
  <c r="H85" i="1" s="1"/>
  <c r="H104" i="1"/>
  <c r="H11" i="2"/>
  <c r="I11" i="2" s="1"/>
  <c r="G19" i="2"/>
  <c r="H140" i="1" s="1"/>
  <c r="G48" i="2"/>
  <c r="H141" i="1" s="1"/>
  <c r="G44" i="2"/>
  <c r="H128" i="1" s="1"/>
  <c r="H58" i="2"/>
  <c r="I58" i="2" s="1"/>
  <c r="D58" i="2" s="1"/>
  <c r="G37" i="2"/>
  <c r="H118" i="1" s="1"/>
  <c r="G24" i="2"/>
  <c r="G27" i="2"/>
  <c r="H97" i="1" s="1"/>
  <c r="G12" i="2"/>
  <c r="H74" i="1" s="1"/>
  <c r="G25" i="2"/>
  <c r="H95" i="1" s="1"/>
  <c r="H56" i="2"/>
  <c r="I56" i="2" s="1"/>
  <c r="D56" i="2" s="1"/>
  <c r="G51" i="2"/>
  <c r="H145"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O87" i="9"/>
  <c r="AD8" i="9" s="1"/>
  <c r="B5" i="20" s="1"/>
  <c r="G50" i="9" a="1"/>
  <c r="G50" i="9" s="1"/>
  <c r="L60" i="9" a="1"/>
  <c r="L60" i="9" s="1"/>
  <c r="G62" i="9" a="1"/>
  <c r="G62" i="9" s="1"/>
  <c r="G91" i="9"/>
  <c r="L95" i="9"/>
  <c r="AA16" i="9" s="1" a="1"/>
  <c r="AA16" i="9" s="1"/>
  <c r="F97" i="9"/>
  <c r="U18" i="9" s="1" a="1"/>
  <c r="U18" i="9" s="1"/>
  <c r="H65" i="9" a="1"/>
  <c r="H65" i="9" s="1"/>
  <c r="J69" i="9" a="1"/>
  <c r="J69" i="9" s="1"/>
  <c r="C106" i="9"/>
  <c r="M70" i="9" a="1"/>
  <c r="M70" i="9" s="1"/>
  <c r="O110" i="9"/>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M111" i="9"/>
  <c r="J72" i="9" a="1"/>
  <c r="J72" i="9" s="1"/>
  <c r="M90" i="9"/>
  <c r="AB11" i="9" s="1" a="1"/>
  <c r="AB11" i="9" s="1"/>
  <c r="K89" i="9"/>
  <c r="Z10" i="9" s="1" a="1"/>
  <c r="Z10" i="9" s="1"/>
  <c r="M53" i="9" a="1"/>
  <c r="M53" i="9" s="1"/>
  <c r="M61" i="9" a="1"/>
  <c r="M61" i="9" s="1"/>
  <c r="H100" i="9"/>
  <c r="W21" i="9" s="1" a="1"/>
  <c r="W21" i="9" s="1"/>
  <c r="B11" i="9"/>
  <c r="E11" i="9" s="1"/>
  <c r="F109" i="9"/>
  <c r="F93" i="9"/>
  <c r="U14" i="9" s="1" a="1"/>
  <c r="U14" i="9" s="1"/>
  <c r="J111" i="9"/>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J74" i="9" a="1"/>
  <c r="J74" i="9" s="1"/>
  <c r="G105" i="9"/>
  <c r="V26" i="9" s="1" a="1"/>
  <c r="V26" i="9" s="1"/>
  <c r="C109" i="9"/>
  <c r="R30" i="9" s="1" a="1"/>
  <c r="R30" i="9" s="1"/>
  <c r="B6" i="9"/>
  <c r="E6" i="9" s="1"/>
  <c r="O111" i="9"/>
  <c r="H69" i="9" a="1"/>
  <c r="H69" i="9" s="1"/>
  <c r="F106" i="9"/>
  <c r="U27" i="9" s="1" a="1"/>
  <c r="U27" i="9" s="1"/>
  <c r="K73" i="9" a="1"/>
  <c r="K73" i="9" s="1"/>
  <c r="O59" i="9"/>
  <c r="I68" i="9" a="1"/>
  <c r="I68" i="9" s="1"/>
  <c r="E96" i="9"/>
  <c r="T17" i="9" s="1" a="1"/>
  <c r="T17" i="9" s="1"/>
  <c r="G98" i="9"/>
  <c r="F96" i="9"/>
  <c r="U17" i="9" s="1" a="1"/>
  <c r="U17" i="9" s="1"/>
  <c r="G71" i="9" a="1"/>
  <c r="G71" i="9" s="1"/>
  <c r="F108" i="9"/>
  <c r="U29" i="9" s="1" a="1"/>
  <c r="U29" i="9" s="1"/>
  <c r="C16" i="10"/>
  <c r="N5" i="17"/>
  <c r="C434" i="17"/>
  <c r="K4" i="17" s="1"/>
  <c r="E65" i="7"/>
  <c r="F14" i="15"/>
  <c r="H12" i="15"/>
  <c r="H14" i="15" s="1"/>
  <c r="G103" i="6"/>
  <c r="K6" i="6"/>
  <c r="C4" i="8" s="1"/>
  <c r="E4" i="8" s="1"/>
  <c r="H84" i="1"/>
  <c r="H99" i="1"/>
  <c r="H94" i="1"/>
  <c r="H121" i="1"/>
  <c r="H130" i="1"/>
  <c r="H135" i="1"/>
  <c r="H73" i="1"/>
  <c r="H71" i="1"/>
  <c r="H109"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1" i="1"/>
  <c r="H100" i="1"/>
  <c r="H89" i="1"/>
  <c r="H91" i="1"/>
  <c r="H77" i="1"/>
  <c r="H78" i="1"/>
  <c r="H98" i="1"/>
  <c r="H65" i="1"/>
  <c r="H61" i="1"/>
  <c r="H108" i="1"/>
  <c r="H107" i="1"/>
  <c r="H138" i="1"/>
  <c r="H48" i="2"/>
  <c r="I48" i="2" s="1"/>
  <c r="D48" i="2" s="1"/>
  <c r="H9" i="2"/>
  <c r="I9" i="2" s="1"/>
  <c r="D9" i="2" s="1"/>
  <c r="H12" i="2"/>
  <c r="I12" i="2" s="1"/>
  <c r="D12" i="2" s="1"/>
  <c r="H25" i="2"/>
  <c r="I25" i="2" s="1"/>
  <c r="D25" i="2" s="1"/>
  <c r="H54" i="2"/>
  <c r="I54" i="2" s="1"/>
  <c r="D54" i="2" s="1"/>
  <c r="H46" i="2"/>
  <c r="I46" i="2" s="1"/>
  <c r="D46" i="2" s="1"/>
  <c r="H151" i="1"/>
  <c r="H4" i="2"/>
  <c r="I4" i="2" s="1"/>
  <c r="D4" i="2" s="1"/>
  <c r="G33" i="2"/>
  <c r="H147" i="1"/>
  <c r="H146" i="1"/>
  <c r="G35" i="2"/>
  <c r="H115" i="1" s="1"/>
  <c r="G52" i="2"/>
  <c r="G45" i="2"/>
  <c r="H50" i="2"/>
  <c r="I50" i="2" s="1"/>
  <c r="D50" i="2" s="1"/>
  <c r="H111" i="1"/>
  <c r="H30" i="2"/>
  <c r="I30" i="2" s="1"/>
  <c r="D30" i="2" s="1"/>
  <c r="AD32" i="9"/>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G85" i="9"/>
  <c r="V6" i="9" s="1" a="1"/>
  <c r="V6" i="9" s="1"/>
  <c r="G111" i="9"/>
  <c r="V32" i="9"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B32" i="9" a="1"/>
  <c r="AB32" i="9" s="1"/>
  <c r="A13" i="20"/>
  <c r="AD31" i="9"/>
  <c r="B28" i="20" s="1"/>
  <c r="K104" i="9"/>
  <c r="Z25" i="9" s="1" a="1"/>
  <c r="Z25" i="9" s="1"/>
  <c r="G76" i="9" a="1"/>
  <c r="G76" i="9" s="1"/>
  <c r="Y32" i="9" a="1"/>
  <c r="Y32" i="9" s="1"/>
  <c r="A21" i="20"/>
  <c r="D104" i="9"/>
  <c r="S25" i="9" s="1" a="1"/>
  <c r="S25" i="9" s="1"/>
  <c r="K50" i="9" a="1"/>
  <c r="K50" i="9" s="1"/>
  <c r="J90" i="9"/>
  <c r="Y11" i="9" s="1" a="1"/>
  <c r="Y11" i="9" s="1"/>
  <c r="H98" i="9"/>
  <c r="W19" i="9" s="1" a="1"/>
  <c r="W19" i="9" s="1"/>
  <c r="O108" i="9"/>
  <c r="AD29" i="9" s="1"/>
  <c r="B26" i="20" s="1"/>
  <c r="K93" i="9"/>
  <c r="Z14" i="9" s="1" a="1"/>
  <c r="Z14" i="9" s="1"/>
  <c r="G86" i="9"/>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AD13" i="9"/>
  <c r="B10" i="20"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V19" i="9" a="1"/>
  <c r="V19" i="9" s="1"/>
  <c r="H97" i="9"/>
  <c r="W18" i="9" s="1" a="1"/>
  <c r="W18" i="9" s="1"/>
  <c r="G108" i="9"/>
  <c r="V29" i="9" s="1" a="1"/>
  <c r="V29" i="9" s="1"/>
  <c r="G75" i="9" a="1"/>
  <c r="G75"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E13" i="9"/>
  <c r="J65" i="9" a="1"/>
  <c r="J65" i="9" s="1"/>
  <c r="A25" i="20"/>
  <c r="AC33" i="9"/>
  <c r="AE33" i="9" s="1"/>
  <c r="J53" i="9" a="1"/>
  <c r="J53" i="9" s="1"/>
  <c r="V8" i="9" a="1"/>
  <c r="V8" i="9" s="1"/>
  <c r="G51" i="9" a="1"/>
  <c r="G51" i="9" s="1"/>
  <c r="V25" i="9" a="1"/>
  <c r="V25" i="9" s="1"/>
  <c r="H50" i="9" a="1"/>
  <c r="H50" i="9" s="1"/>
  <c r="M74" i="9" a="1"/>
  <c r="M74" i="9" s="1"/>
  <c r="C11" i="9"/>
  <c r="A16" i="20"/>
  <c r="G55" i="9" a="1"/>
  <c r="G55" i="9" s="1"/>
  <c r="N77" i="9"/>
  <c r="P77" i="9" s="1"/>
  <c r="G59" i="9" a="1"/>
  <c r="G59" i="9" s="1"/>
  <c r="N79" i="9"/>
  <c r="V11" i="9" a="1"/>
  <c r="V11" i="9" s="1"/>
  <c r="AC34" i="9"/>
  <c r="AE34" i="9" s="1"/>
  <c r="N78" i="9"/>
  <c r="P78" i="9" s="1"/>
  <c r="G60" i="9" a="1"/>
  <c r="G60" i="9" s="1"/>
  <c r="K163" i="1"/>
  <c r="V7" i="9" a="1"/>
  <c r="V7" i="9" s="1"/>
  <c r="G56" i="9" a="1"/>
  <c r="G56" i="9" s="1"/>
  <c r="A14" i="20"/>
  <c r="A24" i="20"/>
  <c r="G66" i="9" a="1"/>
  <c r="G66" i="9" s="1"/>
  <c r="C107" i="9"/>
  <c r="R28" i="9" s="1" a="1"/>
  <c r="R28" i="9" s="1"/>
  <c r="C93" i="9"/>
  <c r="R14" i="9" s="1" a="1"/>
  <c r="R14" i="9" s="1"/>
  <c r="L87" i="9"/>
  <c r="AA8" i="9" s="1" a="1"/>
  <c r="AA8" i="9" s="1"/>
  <c r="V12" i="9" a="1"/>
  <c r="V12"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J163" i="1" a="1"/>
  <c r="J163" i="1" s="1"/>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G69" i="9" a="1"/>
  <c r="G69" i="9" s="1"/>
  <c r="AD10" i="9"/>
  <c r="B7" i="20"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AB15" i="9" a="1"/>
  <c r="AB15" i="9" s="1"/>
  <c r="O67" i="9"/>
  <c r="D101" i="9"/>
  <c r="S22" i="9" s="1" a="1"/>
  <c r="S22" i="9" s="1"/>
  <c r="D86" i="9"/>
  <c r="S7" i="9" s="1" a="1"/>
  <c r="S7" i="9" s="1"/>
  <c r="R27" i="9" a="1"/>
  <c r="R2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Z15" i="9" a="1"/>
  <c r="Z15"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U30" i="9" a="1"/>
  <c r="U30"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434" i="17"/>
  <c r="N6" i="17"/>
  <c r="G14" i="15"/>
  <c r="H24" i="7"/>
  <c r="J37" i="14"/>
  <c r="C12" i="8" s="1"/>
  <c r="E12" i="8" s="1"/>
  <c r="D38" i="14"/>
  <c r="C10" i="8" s="1"/>
  <c r="E10" i="8" s="1"/>
  <c r="I37" i="12"/>
  <c r="C43" i="12"/>
  <c r="D38" i="18"/>
  <c r="C11" i="8" s="1"/>
  <c r="H103" i="6"/>
  <c r="E38" i="18"/>
  <c r="I27" i="6"/>
  <c r="I103" i="6" s="1"/>
  <c r="D2" i="2"/>
  <c r="E5" i="8"/>
  <c r="E6" i="8"/>
  <c r="E9" i="8"/>
  <c r="E13" i="8"/>
  <c r="E7" i="8"/>
  <c r="E8" i="8"/>
  <c r="H127" i="1" l="1"/>
  <c r="H150" i="1"/>
  <c r="C8" i="9"/>
  <c r="C6" i="9"/>
  <c r="M49" i="9" a="1"/>
  <c r="M49" i="9" s="1"/>
  <c r="C12" i="9"/>
  <c r="C4" i="9"/>
  <c r="N7" i="17"/>
  <c r="P7" i="17" s="1"/>
  <c r="F434"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C19" i="10"/>
  <c r="F38" i="18"/>
  <c r="C14" i="8"/>
  <c r="C4" i="10" s="1"/>
  <c r="C15" i="10" s="1"/>
  <c r="C17" i="10" s="1"/>
  <c r="E11" i="8"/>
  <c r="E14" i="8" s="1"/>
  <c r="C2" i="9" l="1"/>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<sst xmlns="http://schemas.openxmlformats.org/spreadsheetml/2006/main" count="2294" uniqueCount="496">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</sst>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611111" createdVersion="8" refreshedVersion="8" minRefreshableVersion="3" recordCount="432" xr:uid="{B5BDFB73-D93A-4A7A-8149-666BC190B09B}">
  <cacheSource type="worksheet">
    <worksheetSource name="Table14"/>
  </cacheSource>
  <cacheFields count="7">
    <cacheField name="Date" numFmtId="14">
      <sharedItems containsNonDate="0" containsDate="1" containsString="0" containsBlank="1" minDate="2025-01-03T00:00:00" maxDate="2026-01-14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m/>
        <s v="Closing October CF" u="1"/>
        <s v="Aurangzeb" u="1"/>
        <s v="BSC" u="1"/>
        <s v="Haseeb Shamsi" u="1"/>
        <s v="Ashraf Zia" u="1"/>
        <s v="General Dyes" u="1"/>
        <s v="Faizan"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64583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6805557"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3T00:00:00" count="64">
        <d v="2025-12-17T00:00:00"/>
        <d v="2025-12-18T00:00:00"/>
        <d v="2025-12-22T00:00:00"/>
        <d v="2025-12-26T00:00:00"/>
        <d v="2025-12-25T00:00:00"/>
        <d v="2025-12-27T00:00:00"/>
        <d v="2025-12-29T00:00:00"/>
        <d v="2026-01-02T00:00:00"/>
        <d v="2026-01-03T00:00:00"/>
        <d v="2026-01-06T00:00:00"/>
        <d v="2026-01-07T00:00:00"/>
        <d v="2026-01-09T00:00:00"/>
        <d v="2026-01-1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7037034" createdVersion="8" refreshedVersion="8" minRefreshableVersion="3" recordCount="10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2">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6">
        <s v="Closing Balance CF"/>
        <s v="TKL 364"/>
        <n v="9662"/>
        <s v="LES 9718"/>
        <s v="APL"/>
        <m/>
        <n v="2223"/>
        <s v="LEI 2223"/>
        <s v="-"/>
        <s v="LEJ 9662"/>
        <s v="C 8947"/>
        <s v="IDS 2165"/>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7268519"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2-17T00:00:00" maxDate="2026-01-13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6.080187615742" createdVersion="8" refreshedVersion="8" minRefreshableVersion="3" recordCount="161" xr:uid="{46CBB50D-3613-4E5B-8212-DD0313DCD05A}">
  <cacheSource type="worksheet">
    <worksheetSource name="Table1"/>
  </cacheSource>
  <cacheFields count="14">
    <cacheField name="Date" numFmtId="0">
      <sharedItems containsNonDate="0" containsDate="1" containsString="0" containsBlank="1" minDate="2025-11-18T00:00:00" maxDate="2026-01-14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53"/>
    </cacheField>
    <cacheField name="Quality" numFmtId="0">
      <sharedItems containsBlank="1"/>
    </cacheField>
    <cacheField name="Shipment Number" numFmtId="164">
      <sharedItems containsBlank="1" containsMixedTypes="1" containsNumber="1" containsInteger="1" minValue="1558" maxValue="17000" count="374">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46.859110175306441"/>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2">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m/>
    <x v="39"/>
    <m/>
    <m/>
    <m/>
    <m/>
    <m/>
  </r>
  <r>
    <m/>
    <x v="39"/>
    <m/>
    <m/>
    <m/>
    <m/>
    <m/>
  </r>
  <r>
    <m/>
    <x v="39"/>
    <m/>
    <m/>
    <m/>
    <m/>
    <m/>
  </r>
  <r>
    <m/>
    <x v="39"/>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m/>
    <m/>
    <m/>
    <m/>
    <x v="6"/>
    <n v="0"/>
    <n v="0"/>
    <m/>
  </r>
  <r>
    <x v="13"/>
    <m/>
    <m/>
    <m/>
    <m/>
    <x v="6"/>
    <n v="0"/>
    <n v="0"/>
    <m/>
  </r>
  <r>
    <x v="13"/>
    <m/>
    <m/>
    <m/>
    <m/>
    <x v="6"/>
    <n v="0"/>
    <n v="0"/>
    <m/>
  </r>
  <r>
    <x v="13"/>
    <m/>
    <m/>
    <m/>
    <m/>
    <x v="6"/>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m/>
    <m/>
    <m/>
    <n v="0"/>
    <n v="15000"/>
    <n v="-150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9"/>
    <x v="9"/>
    <x v="5"/>
    <m/>
    <m/>
    <m/>
    <n v="0"/>
    <m/>
    <n v="0"/>
  </r>
  <r>
    <x v="9"/>
    <x v="9"/>
    <x v="5"/>
    <m/>
    <m/>
    <m/>
    <n v="0"/>
    <m/>
    <n v="0"/>
  </r>
  <r>
    <x v="9"/>
    <x v="9"/>
    <x v="5"/>
    <m/>
    <m/>
    <m/>
    <n v="0"/>
    <m/>
    <n v="0"/>
  </r>
  <r>
    <x v="9"/>
    <x v="9"/>
    <x v="5"/>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46.859110175306441"/>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46.859110175306441"/>
    <n v="23141.916605705926"/>
    <n v="231419.16605705925"/>
    <m/>
  </r>
  <r>
    <d v="2026-01-13T00:00:00"/>
    <x v="20"/>
    <n v="1353"/>
    <s v="Chamki"/>
    <x v="54"/>
    <n v="48184"/>
    <n v="23397"/>
    <s v="NF"/>
    <n v="21394.476956839797"/>
    <n v="213944.76956839795"/>
    <m/>
  </r>
  <r>
    <m/>
    <x v="27"/>
    <m/>
    <m/>
    <x v="0"/>
    <m/>
    <m/>
    <e v="#DIV/0!"/>
    <m/>
    <m/>
    <m/>
  </r>
  <r>
    <m/>
    <x v="27"/>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1">
      <pivotArea field="0" grandRow="1" outline="0" collapsedLevelsAreSubtotals="1" axis="axisRow" fieldPosition="0">
        <references count="1">
          <reference field="4294967294" count="1" selected="0">
            <x v="1"/>
          </reference>
        </references>
      </pivotArea>
    </format>
    <format dxfId="150">
      <pivotArea field="0" grandRow="1" outline="0" collapsedLevelsAreSubtotals="1" axis="axisRow" fieldPosition="0">
        <references count="1">
          <reference field="4294967294" count="1" selected="0">
            <x v="0"/>
          </reference>
        </references>
      </pivotArea>
    </format>
    <format dxfId="149">
      <pivotArea collapsedLevelsAreSubtotals="1" fieldPosition="0">
        <references count="2">
          <reference field="4294967294" count="1" selected="0">
            <x v="1"/>
          </reference>
          <reference field="0" count="0"/>
        </references>
      </pivotArea>
    </format>
    <format dxfId="14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6" firstHeaderRow="0" firstDataRow="1" firstDataCol="1" rowPageCount="1" colPageCount="1"/>
  <pivotFields count="9">
    <pivotField axis="axisRow" numFmtId="14" showAll="0">
      <items count="163">
        <item m="1" x="146"/>
        <item m="1" x="147"/>
        <item m="1" x="148"/>
        <item m="1" x="149"/>
        <item m="1" x="150"/>
        <item m="1" x="151"/>
        <item m="1" x="152"/>
        <item m="1" x="161"/>
        <item m="1" x="142"/>
        <item m="1" x="153"/>
        <item m="1" x="154"/>
        <item m="1" x="155"/>
        <item m="1" x="156"/>
        <item m="1" x="157"/>
        <item m="1" x="158"/>
        <item m="1" x="159"/>
        <item m="1" x="113"/>
        <item m="1" x="114"/>
        <item m="1" x="160"/>
        <item m="1" x="115"/>
        <item m="1" x="112"/>
        <item m="1" x="116"/>
        <item m="1" x="118"/>
        <item m="1" x="119"/>
        <item m="1" x="120"/>
        <item m="1" x="122"/>
        <item m="1" x="123"/>
        <item m="1" x="124"/>
        <item m="1" x="117"/>
        <item m="1" x="121"/>
        <item m="1" x="125"/>
        <item m="1" x="126"/>
        <item m="1" x="127"/>
        <item m="1" x="128"/>
        <item m="1" x="111"/>
        <item m="1" x="129"/>
        <item m="1" x="143"/>
        <item m="1" x="144"/>
        <item m="1" x="145"/>
        <item m="1" x="130"/>
        <item m="1" x="131"/>
        <item m="1" x="132"/>
        <item m="1" x="133"/>
        <item m="1" x="134"/>
        <item m="1" x="135"/>
        <item m="1" x="136"/>
        <item m="1" x="137"/>
        <item m="1" x="138"/>
        <item m="1" x="139"/>
        <item m="1" x="140"/>
        <item m="1" x="141"/>
        <item m="1" x="82"/>
        <item m="1" x="83"/>
        <item m="1" x="84"/>
        <item m="1" x="85"/>
        <item m="1" x="86"/>
        <item m="1" x="87"/>
        <item m="1" x="88"/>
        <item m="1" x="89"/>
        <item m="1" x="91"/>
        <item m="1" x="92"/>
        <item m="1" x="93"/>
        <item m="1" x="90"/>
        <item m="1" x="94"/>
        <item m="1" x="95"/>
        <item m="1" x="96"/>
        <item m="1" x="97"/>
        <item m="1" x="98"/>
        <item m="1" x="99"/>
        <item m="1" x="100"/>
        <item m="1" x="101"/>
        <item m="1" x="102"/>
        <item m="1" x="103"/>
        <item m="1" x="104"/>
        <item m="1" x="105"/>
        <item m="1" x="106"/>
        <item m="1" x="107"/>
        <item m="1" x="108"/>
        <item m="1" x="109"/>
        <item m="1" x="110"/>
        <item m="1" x="28"/>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29"/>
        <item m="1" x="32"/>
        <item m="1" x="30"/>
        <item m="1" x="31"/>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x="0"/>
        <item x="1"/>
        <item x="2"/>
        <item x="3"/>
        <item x="4"/>
        <item x="5"/>
        <item x="6"/>
        <item x="7"/>
        <item x="9"/>
        <item x="8"/>
        <item x="10"/>
        <item x="11"/>
        <item x="12"/>
        <item x="13"/>
        <item x="14"/>
        <item m="1" x="27"/>
        <item x="15"/>
        <item x="16"/>
        <item x="17"/>
        <item x="18"/>
        <item x="19"/>
        <item x="20"/>
        <item x="21"/>
        <item x="22"/>
        <item x="23"/>
        <item x="24"/>
        <item x="25"/>
        <item x="26"/>
        <item t="default"/>
      </items>
    </pivotField>
    <pivotField axis="axisPage" showAll="0">
      <items count="14">
        <item x="1"/>
        <item x="0"/>
        <item x="9"/>
        <item m="1" x="12"/>
        <item x="2"/>
        <item x="3"/>
        <item x="4"/>
        <item m="1" x="11"/>
        <item x="5"/>
        <item x="6"/>
        <item x="7"/>
        <item x="8"/>
        <item x="10"/>
        <item t="default"/>
      </items>
    </pivotField>
    <pivotField axis="axisRow" showAll="0">
      <items count="67">
        <item m="1" x="56"/>
        <item m="1" x="40"/>
        <item m="1" x="52"/>
        <item m="1" x="22"/>
        <item m="1" x="57"/>
        <item m="1" x="58"/>
        <item m="1" x="53"/>
        <item m="1" x="54"/>
        <item m="1" x="55"/>
        <item m="1" x="33"/>
        <item m="1" x="59"/>
        <item m="1" x="60"/>
        <item m="1" x="61"/>
        <item m="1" x="62"/>
        <item m="1" x="63"/>
        <item m="1" x="64"/>
        <item m="1" x="29"/>
        <item m="1" x="30"/>
        <item m="1" x="65"/>
        <item m="1" x="31"/>
        <item x="0"/>
        <item m="1" x="32"/>
        <item m="1" x="34"/>
        <item m="1" x="35"/>
        <item m="1" x="36"/>
        <item m="1" x="37"/>
        <item m="1" x="38"/>
        <item m="1" x="39"/>
        <item m="1" x="41"/>
        <item m="1" x="42"/>
        <item m="1" x="24"/>
        <item m="1" x="43"/>
        <item m="1" x="44"/>
        <item m="1" x="45"/>
        <item m="1" x="28"/>
        <item m="1" x="46"/>
        <item m="1" x="47"/>
        <item m="1" x="26"/>
        <item m="1" x="48"/>
        <item m="1" x="49"/>
        <item m="1" x="50"/>
        <item m="1" x="51"/>
        <item m="1" x="14"/>
        <item m="1" x="15"/>
        <item m="1" x="16"/>
        <item m="1" x="17"/>
        <item m="1" x="18"/>
        <item m="1" x="19"/>
        <item m="1" x="20"/>
        <item m="1" x="21"/>
        <item m="1" x="23"/>
        <item m="1" x="25"/>
        <item m="1" x="27"/>
        <item m="1" x="13"/>
        <item x="5"/>
        <item x="1"/>
        <item x="2"/>
        <item m="1" x="12"/>
        <item x="3"/>
        <item x="4"/>
        <item x="6"/>
        <item x="7"/>
        <item x="8"/>
        <item x="9"/>
        <item x="10"/>
        <item x="1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8">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3">
      <pivotArea dataOnly="0" labelOnly="1" outline="0" fieldPosition="0">
        <references count="1">
          <reference field="1" count="1">
            <x v="1"/>
          </reference>
        </references>
      </pivotArea>
    </format>
    <format dxfId="122">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1">
        <item x="15"/>
        <item x="19"/>
        <item m="1" x="42"/>
        <item m="1" x="66"/>
        <item m="1" x="70"/>
        <item x="37"/>
        <item x="5"/>
        <item x="16"/>
        <item x="9"/>
        <item x="26"/>
        <item x="4"/>
        <item m="1" x="78"/>
        <item x="29"/>
        <item x="17"/>
        <item x="24"/>
        <item m="1" x="76"/>
        <item x="2"/>
        <item x="31"/>
        <item x="1"/>
        <item x="28"/>
        <item x="39"/>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6"/>
        <item x="7"/>
        <item m="1" x="57"/>
        <item m="1" x="58"/>
        <item m="1" x="59"/>
        <item m="1" x="60"/>
        <item m="1" x="62"/>
        <item x="33"/>
        <item m="1" x="43"/>
        <item m="1" x="63"/>
        <item m="1" x="64"/>
        <item m="1" x="41"/>
        <item m="1" x="45"/>
        <item m="1" x="40"/>
        <item x="18"/>
        <item m="1" x="44"/>
        <item x="38"/>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2"/>
    </i>
    <i>
      <x v="13"/>
    </i>
    <i>
      <x v="14"/>
    </i>
    <i>
      <x v="16"/>
    </i>
    <i>
      <x v="17"/>
    </i>
    <i>
      <x v="18"/>
    </i>
    <i>
      <x v="19"/>
    </i>
    <i>
      <x v="20"/>
    </i>
    <i>
      <x v="21"/>
    </i>
    <i>
      <x v="23"/>
    </i>
    <i>
      <x v="24"/>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65">
        <item m="1" x="59"/>
        <item m="1" x="60"/>
        <item m="1" x="61"/>
        <item m="1" x="62"/>
        <item m="1" x="63"/>
        <item m="1" x="58"/>
        <item m="1" x="46"/>
        <item m="1" x="47"/>
        <item m="1" x="51"/>
        <item m="1" x="52"/>
        <item m="1" x="48"/>
        <item m="1" x="53"/>
        <item m="1" x="54"/>
        <item m="1" x="55"/>
        <item m="1" x="56"/>
        <item m="1" x="57"/>
        <item m="1" x="45"/>
        <item m="1" x="49"/>
        <item m="1" x="50"/>
        <item m="1" x="38"/>
        <item m="1" x="39"/>
        <item m="1" x="40"/>
        <item m="1" x="41"/>
        <item m="1" x="42"/>
        <item m="1" x="43"/>
        <item m="1" x="44"/>
        <item m="1" x="14"/>
        <item m="1" x="30"/>
        <item m="1" x="31"/>
        <item m="1" x="32"/>
        <item m="1" x="33"/>
        <item m="1" x="34"/>
        <item m="1" x="35"/>
        <item m="1" x="36"/>
        <item m="1" x="37"/>
        <item m="1" x="15"/>
        <item m="1" x="16"/>
        <item m="1" x="17"/>
        <item m="1" x="18"/>
        <item m="1" x="19"/>
        <item m="1" x="20"/>
        <item m="1" x="21"/>
        <item m="1" x="23"/>
        <item m="1" x="24"/>
        <item m="1" x="22"/>
        <item m="1" x="25"/>
        <item m="1" x="26"/>
        <item m="1" x="27"/>
        <item m="1" x="28"/>
        <item m="1" x="29"/>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5">
    <i>
      <x v="50"/>
    </i>
    <i>
      <x v="51"/>
    </i>
    <i>
      <x v="52"/>
    </i>
    <i>
      <x v="53"/>
    </i>
    <i>
      <x v="54"/>
    </i>
    <i>
      <x v="55"/>
    </i>
    <i>
      <x v="56"/>
    </i>
    <i>
      <x v="57"/>
    </i>
    <i>
      <x v="58"/>
    </i>
    <i>
      <x v="59"/>
    </i>
    <i>
      <x v="60"/>
    </i>
    <i>
      <x v="61"/>
    </i>
    <i>
      <x v="62"/>
    </i>
    <i>
      <x v="6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9"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75">
        <item m="1" x="357"/>
        <item m="1" x="358"/>
        <item m="1" x="356"/>
        <item m="1" x="355"/>
        <item m="1" x="359"/>
        <item m="1" x="361"/>
        <item m="1" x="360"/>
        <item m="1" x="362"/>
        <item m="1" x="363"/>
        <item m="1" x="364"/>
        <item m="1" x="365"/>
        <item m="1" x="366"/>
        <item m="1" x="367"/>
        <item m="1" x="368"/>
        <item m="1" x="293"/>
        <item m="1" x="315"/>
        <item m="1" x="369"/>
        <item m="1" x="370"/>
        <item m="1" x="371"/>
        <item m="1" x="323"/>
        <item m="1" x="322"/>
        <item m="1" x="372"/>
        <item m="1" x="373"/>
        <item m="1" x="332"/>
        <item m="1" x="324"/>
        <item m="1" x="325"/>
        <item m="1" x="326"/>
        <item m="1" x="327"/>
        <item m="1" x="328"/>
        <item m="1" x="329"/>
        <item m="1" x="330"/>
        <item m="1" x="331"/>
        <item m="1" x="333"/>
        <item m="1" x="353"/>
        <item m="1" x="334"/>
        <item m="1" x="354"/>
        <item m="1" x="335"/>
        <item m="1" x="336"/>
        <item m="1" x="337"/>
        <item m="1" x="338"/>
        <item m="1" x="339"/>
        <item m="1" x="270"/>
        <item m="1" x="340"/>
        <item m="1" x="341"/>
        <item m="1" x="342"/>
        <item m="1" x="343"/>
        <item m="1" x="344"/>
        <item m="1" x="345"/>
        <item m="1" x="346"/>
        <item m="1" x="347"/>
        <item m="1" x="348"/>
        <item m="1" x="349"/>
        <item m="1" x="350"/>
        <item m="1" x="351"/>
        <item m="1" x="352"/>
        <item x="0"/>
        <item m="1" x="269"/>
        <item m="1" x="271"/>
        <item m="1" x="272"/>
        <item m="1" x="273"/>
        <item m="1" x="274"/>
        <item m="1" x="275"/>
        <item m="1" x="276"/>
        <item m="1" x="277"/>
        <item m="1" x="278"/>
        <item m="1" x="279"/>
        <item m="1" x="280"/>
        <item m="1" x="281"/>
        <item m="1" x="282"/>
        <item m="1" x="283"/>
        <item x="6"/>
        <item m="1" x="284"/>
        <item m="1" x="285"/>
        <item m="1" x="286"/>
        <item m="1" x="287"/>
        <item m="1" x="288"/>
        <item m="1" x="289"/>
        <item m="1" x="290"/>
        <item m="1" x="291"/>
        <item m="1" x="292"/>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6"/>
        <item m="1" x="317"/>
        <item m="1" x="318"/>
        <item m="1" x="319"/>
        <item m="1" x="320"/>
        <item m="1" x="321"/>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x="24"/>
        <item m="1" x="238"/>
        <item m="1" x="239"/>
        <item m="1" x="240"/>
        <item m="1" x="241"/>
        <item m="1" x="242"/>
        <item m="1" x="243"/>
        <item m="1" x="244"/>
        <item m="1" x="245"/>
        <item m="1" x="246"/>
        <item m="1" x="247"/>
        <item m="1" x="248"/>
        <item m="1" x="268"/>
        <item m="1" x="249"/>
        <item m="1" x="250"/>
        <item m="1" x="251"/>
        <item m="1" x="252"/>
        <item m="1" x="253"/>
        <item m="1" x="254"/>
        <item m="1" x="255"/>
        <item m="1" x="256"/>
        <item m="1" x="257"/>
        <item m="1" x="258"/>
        <item m="1" x="259"/>
        <item m="1" x="260"/>
        <item m="1" x="261"/>
        <item m="1" x="262"/>
        <item m="1" x="263"/>
        <item m="1" x="264"/>
        <item m="1" x="265"/>
        <item m="1" x="266"/>
        <item m="1" x="267"/>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64"/>
        <item m="1" x="187"/>
        <item m="1" x="55"/>
        <item m="1" x="56"/>
        <item m="1" x="57"/>
        <item m="1" x="58"/>
        <item m="1" x="59"/>
        <item m="1" x="60"/>
        <item m="1" x="61"/>
        <item m="1" x="62"/>
        <item m="1" x="63"/>
        <item m="1" x="65"/>
        <item m="1" x="66"/>
        <item m="1" x="67"/>
        <item m="1" x="68"/>
        <item m="1" x="69"/>
        <item m="1" x="70"/>
        <item m="1" x="71"/>
        <item m="1" x="72"/>
        <item m="1" x="73"/>
        <item m="1" x="74"/>
        <item m="1" x="75"/>
        <item m="1" x="76"/>
        <item m="1" x="77"/>
        <item m="1" x="78"/>
        <item x="3"/>
        <item m="1" x="79"/>
        <item m="1" x="80"/>
        <item m="1" x="81"/>
        <item m="1" x="82"/>
        <item m="1" x="83"/>
        <item m="1" x="84"/>
        <item m="1" x="85"/>
        <item m="1" x="86"/>
        <item m="1" x="87"/>
        <item m="1" x="88"/>
        <item m="1" x="89"/>
        <item m="1" x="90"/>
        <item m="1" x="91"/>
        <item m="1" x="92"/>
        <item m="1" x="93"/>
        <item m="1" x="94"/>
        <item m="1" x="95"/>
        <item m="1" x="96"/>
        <item m="1" x="97"/>
        <item m="1" x="98"/>
        <item m="1" x="99"/>
        <item m="1" x="100"/>
        <item x="7"/>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x="4"/>
        <item m="1" x="130"/>
        <item m="1" x="131"/>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6">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8">
      <pivotArea type="all" dataOnly="0" outline="0" fieldPosition="0"/>
    </format>
    <format dxfId="77">
      <pivotArea outline="0" collapsedLevelsAreSubtotals="1" fieldPosition="0"/>
    </format>
    <format dxfId="76">
      <pivotArea field="4" type="button" dataOnly="0" labelOnly="1" outline="0" axis="axisRow" fieldPosition="0"/>
    </format>
    <format dxfId="75">
      <pivotArea dataOnly="0" labelOnly="1" fieldPosition="0">
        <references count="1">
          <reference field="4" count="0"/>
        </references>
      </pivotArea>
    </format>
    <format dxfId="74">
      <pivotArea dataOnly="0" labelOnly="1" grandRow="1" outline="0" fieldPosition="0"/>
    </format>
    <format dxfId="73">
      <pivotArea dataOnly="0" labelOnly="1" outline="0" fieldPosition="0">
        <references count="1">
          <reference field="4294967294" count="2">
            <x v="0"/>
            <x v="1"/>
          </reference>
        </references>
      </pivotArea>
    </format>
    <format dxfId="72">
      <pivotArea grandRow="1" outline="0" collapsedLevelsAreSubtotals="1" fieldPosition="0"/>
    </format>
    <format dxfId="71">
      <pivotArea field="4" type="button" dataOnly="0" labelOnly="1" outline="0" axis="axisRow" fieldPosition="0"/>
    </format>
    <format dxfId="7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4">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3" s="1"/>
        <i x="54" s="1"/>
        <i x="48" s="1"/>
        <i x="49" s="1"/>
        <i x="50" s="1"/>
        <i x="51" s="1"/>
        <i x="31" s="1"/>
        <i x="20" s="1"/>
        <i x="52" s="1"/>
        <i x="328" s="1" nd="1"/>
        <i x="357" s="1" nd="1"/>
        <i x="358" s="1" nd="1"/>
        <i x="366" s="1" nd="1"/>
        <i x="356" s="1" nd="1"/>
        <i x="355" s="1" nd="1"/>
        <i x="359" s="1" nd="1"/>
        <i x="370" s="1" nd="1"/>
        <i x="362" s="1" nd="1"/>
        <i x="363" s="1" nd="1"/>
        <i x="360" s="1" nd="1"/>
        <i x="361" s="1" nd="1"/>
        <i x="371" s="1" nd="1"/>
        <i x="364" s="1" nd="1"/>
        <i x="365" s="1" nd="1"/>
        <i x="368" s="1" nd="1"/>
        <i x="369" s="1" nd="1"/>
        <i x="367" s="1" nd="1"/>
        <i x="323" s="1" nd="1"/>
        <i x="373" s="1" nd="1"/>
        <i x="322" s="1" nd="1"/>
        <i x="372" s="1" nd="1"/>
        <i x="325" s="1" nd="1"/>
        <i x="286" s="1" nd="1"/>
        <i x="324" s="1" nd="1"/>
        <i x="326" s="1" nd="1"/>
        <i x="332" s="1" nd="1"/>
        <i x="327" s="1" nd="1"/>
        <i x="329" s="1" nd="1"/>
        <i x="345" s="1" nd="1"/>
        <i x="269" s="1" nd="1"/>
        <i x="333" s="1" nd="1"/>
        <i x="274" s="1" nd="1"/>
        <i x="339" s="1" nd="1"/>
        <i x="334" s="1" nd="1"/>
        <i x="337" s="1" nd="1"/>
        <i x="342" s="1" nd="1"/>
        <i x="353" s="1" nd="1"/>
        <i x="335" s="1" nd="1"/>
        <i x="347" s="1" nd="1"/>
        <i x="350" s="1" nd="1"/>
        <i x="341" s="1" nd="1"/>
        <i x="330" s="1" nd="1"/>
        <i x="338" s="1" nd="1"/>
        <i x="331" s="1" nd="1"/>
        <i x="336" s="1" nd="1"/>
        <i x="270" s="1" nd="1"/>
        <i x="340" s="1" nd="1"/>
        <i x="346" s="1" nd="1"/>
        <i x="343" s="1" nd="1"/>
        <i x="348" s="1" nd="1"/>
        <i x="344" s="1" nd="1"/>
        <i x="310" s="1" nd="1"/>
        <i x="349" s="1" nd="1"/>
        <i x="351" s="1" nd="1"/>
        <i x="272" s="1" nd="1"/>
        <i x="279" s="1" nd="1"/>
        <i x="352" s="1" nd="1"/>
        <i x="276" s="1" nd="1"/>
        <i x="277" s="1" nd="1"/>
        <i x="271" s="1" nd="1"/>
        <i x="275" s="1" nd="1"/>
        <i x="163" s="1" nd="1"/>
        <i x="273" s="1" nd="1"/>
        <i x="282" s="1" nd="1"/>
        <i x="278" s="1" nd="1"/>
        <i x="280" s="1" nd="1"/>
        <i x="283" s="1" nd="1"/>
        <i x="290" s="1" nd="1"/>
        <i x="281" s="1" nd="1"/>
        <i x="289" s="1" nd="1"/>
        <i x="294" s="1" nd="1"/>
        <i x="288" s="1" nd="1"/>
        <i x="291" s="1" nd="1"/>
        <i x="301" s="1" nd="1"/>
        <i x="287" s="1" nd="1"/>
        <i x="284" s="1" nd="1"/>
        <i x="285" s="1" nd="1"/>
        <i x="300" s="1" nd="1"/>
        <i x="159" s="1" nd="1"/>
        <i x="293" s="1" nd="1"/>
        <i x="304" s="1" nd="1"/>
        <i x="299" s="1" nd="1"/>
        <i x="292" s="1" nd="1"/>
        <i x="316" s="1" nd="1"/>
        <i x="297" s="1" nd="1"/>
        <i x="307" s="1" nd="1"/>
        <i x="305" s="1" nd="1"/>
        <i x="295" s="1" nd="1"/>
        <i x="303" s="1" nd="1"/>
        <i x="302" s="1" nd="1"/>
        <i x="298" s="1" nd="1"/>
        <i x="308" s="1" nd="1"/>
        <i x="306" s="1" nd="1"/>
        <i x="309" s="1" nd="1"/>
        <i x="296" s="1" nd="1"/>
        <i x="238" s="1" nd="1"/>
        <i x="311" s="1" nd="1"/>
        <i x="312" s="1" nd="1"/>
        <i x="197" s="1" nd="1"/>
        <i x="199" s="1" nd="1"/>
        <i x="319" s="1" nd="1"/>
        <i x="193" s="1" nd="1"/>
        <i x="239" s="1" nd="1"/>
        <i x="313" s="1" nd="1"/>
        <i x="314" s="1" nd="1"/>
        <i x="196" s="1" nd="1"/>
        <i x="321" s="1" nd="1"/>
        <i x="195" s="1" nd="1"/>
        <i x="210" s="1" nd="1"/>
        <i x="320" s="1" nd="1"/>
        <i x="315" s="1" nd="1"/>
        <i x="214" s="1" nd="1"/>
        <i x="318" s="1" nd="1"/>
        <i x="317" s="1" nd="1"/>
        <i x="235" s="1" nd="1"/>
        <i x="188" s="1" nd="1"/>
        <i x="200" s="1" nd="1"/>
        <i x="236" s="1" nd="1"/>
        <i x="234" s="1" nd="1"/>
        <i x="192" s="1" nd="1"/>
        <i x="194" s="1" nd="1"/>
        <i x="198" s="1" nd="1"/>
        <i x="189" s="1" nd="1"/>
        <i x="224" s="1" nd="1"/>
        <i x="229" s="1" nd="1"/>
        <i x="190" s="1" nd="1"/>
        <i x="191" s="1" nd="1"/>
        <i x="201" s="1" nd="1"/>
        <i x="204" s="1" nd="1"/>
        <i x="211" s="1" nd="1"/>
        <i x="203" s="1" nd="1"/>
        <i x="206" s="1" nd="1"/>
        <i x="205" s="1" nd="1"/>
        <i x="247" s="1" nd="1"/>
        <i x="202" s="1" nd="1"/>
        <i x="227" s="1" nd="1"/>
        <i x="242" s="1" nd="1"/>
        <i x="207" s="1" nd="1"/>
        <i x="232" s="1" nd="1"/>
        <i x="244" s="1" nd="1"/>
        <i x="216" s="1" nd="1"/>
        <i x="256" s="1" nd="1"/>
        <i x="215" s="1" nd="1"/>
        <i x="212" s="1" nd="1"/>
        <i x="208" s="1" nd="1"/>
        <i x="209" s="1" nd="1"/>
        <i x="228" s="1" nd="1"/>
        <i x="217" s="1" nd="1"/>
        <i x="140" s="1" nd="1"/>
        <i x="218" s="1" nd="1"/>
        <i x="213" s="1" nd="1"/>
        <i x="220" s="1" nd="1"/>
        <i x="221" s="1" nd="1"/>
        <i x="249" s="1" nd="1"/>
        <i x="219" s="1" nd="1"/>
        <i x="237" s="1" nd="1"/>
        <i x="225" s="1" nd="1"/>
        <i x="222" s="1" nd="1"/>
        <i x="226" s="1" nd="1"/>
        <i x="223" s="1" nd="1"/>
        <i x="230" s="1" nd="1"/>
        <i x="248" s="1" nd="1"/>
        <i x="243" s="1" nd="1"/>
        <i x="262" s="1" nd="1"/>
        <i x="231" s="1" nd="1"/>
        <i x="133" s="1" nd="1"/>
        <i x="241" s="1" nd="1"/>
        <i x="233" s="1" nd="1"/>
        <i x="257" s="1" nd="1"/>
        <i x="240" s="1" nd="1"/>
        <i x="255" s="1" nd="1"/>
        <i x="141" s="1" nd="1"/>
        <i x="246" s="1" nd="1"/>
        <i x="245" s="1" nd="1"/>
        <i x="261" s="1" nd="1"/>
        <i x="258" s="1" nd="1"/>
        <i x="152" s="1" nd="1"/>
        <i x="266" s="1" nd="1"/>
        <i x="250" s="1" nd="1"/>
        <i x="259" s="1" nd="1"/>
        <i x="264" s="1" nd="1"/>
        <i x="143" s="1" nd="1"/>
        <i x="169" s="1" nd="1"/>
        <i x="268" s="1" nd="1"/>
        <i x="265" s="1" nd="1"/>
        <i x="134" s="1" nd="1"/>
        <i x="154" s="1" nd="1"/>
        <i x="260" s="1" nd="1"/>
        <i x="136" s="1" nd="1"/>
        <i x="251" s="1" nd="1"/>
        <i x="254" s="1" nd="1"/>
        <i x="151" s="1" nd="1"/>
        <i x="263" s="1" nd="1"/>
        <i x="252" s="1" nd="1"/>
        <i x="253" s="1" nd="1"/>
        <i x="138" s="1" nd="1"/>
        <i x="156" s="1" nd="1"/>
        <i x="157" s="1" nd="1"/>
        <i x="170" s="1" nd="1"/>
        <i x="267" s="1" nd="1"/>
        <i x="132" s="1" nd="1"/>
        <i x="155" s="1" nd="1"/>
        <i x="148" s="1" nd="1"/>
        <i x="135" s="1" nd="1"/>
        <i x="139" s="1" nd="1"/>
        <i x="145" s="1" nd="1"/>
        <i x="137" s="1" nd="1"/>
        <i x="161" s="1" nd="1"/>
        <i x="165" s="1" nd="1"/>
        <i x="166" s="1" nd="1"/>
        <i x="158" s="1" nd="1"/>
        <i x="142" s="1" nd="1"/>
        <i x="144" s="1" nd="1"/>
        <i x="146" s="1" nd="1"/>
        <i x="149" s="1" nd="1"/>
        <i x="162" s="1" nd="1"/>
        <i x="147" s="1" nd="1"/>
        <i x="168" s="1" nd="1"/>
        <i x="100" s="1" nd="1"/>
        <i x="79" s="1" nd="1"/>
        <i x="183" s="1" nd="1"/>
        <i x="150" s="1" nd="1"/>
        <i x="171" s="1" nd="1"/>
        <i x="167" s="1" nd="1"/>
        <i x="153" s="1" nd="1"/>
        <i x="175" s="1" nd="1"/>
        <i x="111" s="1" nd="1"/>
        <i x="74" s="1" nd="1"/>
        <i x="160" s="1" nd="1"/>
        <i x="184" s="1" nd="1"/>
        <i x="164" s="1" nd="1"/>
        <i x="187" s="1" nd="1"/>
        <i x="174" s="1" nd="1"/>
        <i x="179" s="1" nd="1"/>
        <i x="56" s="1" nd="1"/>
        <i x="176" s="1" nd="1"/>
        <i x="178" s="1" nd="1"/>
        <i x="96" s="1" nd="1"/>
        <i x="64" s="1" nd="1"/>
        <i x="173" s="1" nd="1"/>
        <i x="61" s="1" nd="1"/>
        <i x="172" s="1" nd="1"/>
        <i x="73" s="1" nd="1"/>
        <i x="57" s="1" nd="1"/>
        <i x="55" s="1" nd="1"/>
        <i x="177" s="1" nd="1"/>
        <i x="71" s="1" nd="1"/>
        <i x="65" s="1" nd="1"/>
        <i x="76" s="1" nd="1"/>
        <i x="93" s="1" nd="1"/>
        <i x="70" s="1" nd="1"/>
        <i x="81" s="1" nd="1"/>
        <i x="75" s="1" nd="1"/>
        <i x="72" s="1" nd="1"/>
        <i x="185" s="1" nd="1"/>
        <i x="129" s="1" nd="1"/>
        <i x="83" s="1" nd="1"/>
        <i x="84" s="1" nd="1"/>
        <i x="181" s="1" nd="1"/>
        <i x="180" s="1" nd="1"/>
        <i x="58" s="1" nd="1"/>
        <i x="60" s="1" nd="1"/>
        <i x="91" s="1" nd="1"/>
        <i x="67" s="1" nd="1"/>
        <i x="186" s="1" nd="1"/>
        <i x="125" s="1" nd="1"/>
        <i x="116" s="1" nd="1"/>
        <i x="104" s="1" nd="1"/>
        <i x="78" s="1" nd="1"/>
        <i x="63" s="1" nd="1"/>
        <i x="94" s="1" nd="1"/>
        <i x="113" s="1" nd="1"/>
        <i x="105" s="1" nd="1"/>
        <i x="101" s="1" nd="1"/>
        <i x="69" s="1" nd="1"/>
        <i x="89" s="1" nd="1"/>
        <i x="88" s="1" nd="1"/>
        <i x="103" s="1" nd="1"/>
        <i x="90" s="1" nd="1"/>
        <i x="182" s="1" nd="1"/>
        <i x="66" s="1" nd="1"/>
        <i x="62" s="1" nd="1"/>
        <i x="92" s="1" nd="1"/>
        <i x="59" s="1" nd="1"/>
        <i x="97" s="1" nd="1"/>
        <i x="98" s="1" nd="1"/>
        <i x="102" s="1" nd="1"/>
        <i x="82" s="1" nd="1"/>
        <i x="77" s="1" nd="1"/>
        <i x="110" s="1" nd="1"/>
        <i x="109" s="1" nd="1"/>
        <i x="114" s="1" nd="1"/>
        <i x="68" s="1" nd="1"/>
        <i x="112" s="1" nd="1"/>
        <i x="99" s="1" nd="1"/>
        <i x="80" s="1" nd="1"/>
        <i x="85" s="1" nd="1"/>
        <i x="86" s="1" nd="1"/>
        <i x="95" s="1" nd="1"/>
        <i x="87" s="1" nd="1"/>
        <i x="106" s="1" nd="1"/>
        <i x="117" s="1" nd="1"/>
        <i x="107" s="1" nd="1"/>
        <i x="123" s="1" nd="1"/>
        <i x="120" s="1" nd="1"/>
        <i x="118" s="1" nd="1"/>
        <i x="130" s="1" nd="1"/>
        <i x="124" s="1" nd="1"/>
        <i x="131" s="1" nd="1"/>
        <i x="126" s="1" nd="1"/>
        <i x="127" s="1" nd="1"/>
        <i x="108" s="1" nd="1"/>
        <i x="121" s="1" nd="1"/>
        <i x="128" s="1" nd="1"/>
        <i x="119" s="1" nd="1"/>
        <i x="122" s="1" nd="1"/>
        <i x="115" s="1" nd="1"/>
        <i x="3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7">
      <calculatedColumnFormula>B49</calculatedColumnFormula>
    </tableColumn>
    <tableColumn id="2" xr3:uid="{7EDCC2ED-0339-42B3-9633-FFEA7A3DD9F3}" name="Tiyaar" dataDxfId="146">
      <calculatedColumnFormula>SUMIFS(ledger!G:G, ledger!B:B, B2, ledger!E:E, "&lt;&gt;*RD*") / 1.0936</calculatedColumnFormula>
    </tableColumn>
    <tableColumn id="3" xr3:uid="{CC1535DD-3FE7-4F55-8040-E7643388A78E}" name="Rate"/>
    <tableColumn id="4" xr3:uid="{059CB70B-ADAD-4985-84AA-0D530BAC5567}" name="Total" dataDxfId="14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4" dataDxfId="143">
  <autoFilter ref="B7:E20" xr:uid="{449E5D32-DF9C-4018-96AB-CA98E118D910}"/>
  <tableColumns count="4">
    <tableColumn id="1" xr3:uid="{F663704C-91DD-4BB9-B7EB-EEB0C5EDED6C}" name="Description" dataDxfId="142"/>
    <tableColumn id="2" xr3:uid="{6D94D495-CD0B-4FD3-9771-81D731982A97}" name="Rate" dataDxfId="141" dataCellStyle="Comma"/>
    <tableColumn id="3" xr3:uid="{2D14CEAD-3602-40E7-A488-3584EBC9141E}" name="gazana" dataDxfId="140" dataCellStyle="Comma"/>
    <tableColumn id="4" xr3:uid="{06FEE63C-6480-4079-8426-51BC26B38B34}" name="sum" dataDxfId="13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8" totalsRowDxfId="137" dataCellStyle="Comma">
      <totalsRowFormula>SUM(Table12[Amount])</totalsRowFormula>
    </tableColumn>
    <tableColumn id="3" xr3:uid="{12F975D1-A51D-47BD-82DF-F0C35A709016}" name="Description"/>
    <tableColumn id="4" xr3:uid="{96712812-B120-49C2-B905-59FC86A743E8}" name="cost per meter" totalsRowFunction="custom" dataDxfId="136" totalsRowDxfId="13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4" dataDxfId="133" headerRowCellStyle="Comma" dataCellStyle="Comma">
  <autoFilter ref="B2:C5" xr:uid="{136E8F7F-D03F-4198-8335-91A003EA9E45}"/>
  <tableColumns count="2">
    <tableColumn id="1" xr3:uid="{279FA697-9952-479A-AC05-0D4992B41374}" name="Column1" dataDxfId="132" dataCellStyle="Comma"/>
    <tableColumn id="2" xr3:uid="{8A64998B-65EF-41CD-BCB0-3DDB7B359C54}" name="Column2" dataDxfId="13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0"/>
    <tableColumn id="2" xr3:uid="{51D27FA2-8DDF-4369-BAF7-7D1FE90E16A0}" name="Column2" dataDxfId="12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8" totalsRowDxfId="12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3" totalsRowCount="1" headerRowDxfId="125" dataDxfId="124" headerRowCellStyle="Comma" dataCellStyle="Comma">
  <autoFilter ref="A1:K162" xr:uid="{11DACEC6-751B-4B1D-817F-5C5BCD38EF6D}"/>
  <tableColumns count="11">
    <tableColumn id="1" xr3:uid="{2FCE3FA8-A48C-4685-8919-AE44C6C71FD9}" name="Date" dataDxfId="47" dataCellStyle="Comma"/>
    <tableColumn id="2" xr3:uid="{5780FD5F-0890-44E6-B59C-8E37A559FE36}" name="Party Name" dataDxfId="46" dataCellStyle="Comma"/>
    <tableColumn id="3" xr3:uid="{5B3ECD85-9174-40AC-BFBD-49CAC97A83D3}" name="Bill Number" dataDxfId="45" dataCellStyle="Comma"/>
    <tableColumn id="4" xr3:uid="{11B50761-04B6-4262-AD4D-7182450037D1}" name="Quality" dataDxfId="44" dataCellStyle="Comma"/>
    <tableColumn id="5" xr3:uid="{2C556969-B713-4967-BD24-466AACCBE5F5}" name="Shipment Number" dataDxfId="43" totalsRowDxfId="36" dataCellStyle="Comma"/>
    <tableColumn id="6" xr3:uid="{F4E1FD2B-9017-4DEB-B772-BF447ECE56F7}" name="Kora/metre" dataDxfId="42" totalsRowDxfId="35" dataCellStyle="Comma"/>
    <tableColumn id="7" xr3:uid="{52ACC1DA-7A76-4A90-B809-3A1AE728E7EA}" name="Tiyaar/gaz" dataDxfId="41" totalsRowDxfId="34" dataCellStyle="Comma"/>
    <tableColumn id="8" xr3:uid="{31A0FF5E-56F0-44D1-9865-73256B964660}" name="shortage %" dataDxfId="40" totalsRowDxfId="33" dataCellStyle="Comma">
      <calculatedColumnFormula>_xlfn.XLOOKUP(Table1[[#This Row],[Shipment Number]], 'pivot '!A:A,'pivot '!G:G, "NF")</calculatedColumnFormula>
    </tableColumn>
    <tableColumn id="9" xr3:uid="{F99075E0-AC8E-094D-BB85-272AD2C6C568}" name="tiyar/meters" totalsRowFunction="custom" dataDxfId="39" totalsRowDxfId="32"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38" totalsRowDxfId="3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37" totalsRowDxfId="3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03" totalsRowCount="1" headerRowDxfId="121" headerRowBorderDxfId="120" tableBorderDxfId="119">
  <autoFilter ref="A1:I102" xr:uid="{F8E8C957-ABE7-4E4F-8D4E-7D44E26B334F}"/>
  <tableColumns count="9">
    <tableColumn id="1" xr3:uid="{C2E817D6-AB98-4DDD-8890-736B27F261CD}" name="Date" dataDxfId="13" totalsRowDxfId="6"/>
    <tableColumn id="2" xr3:uid="{CFB51890-CCDC-463C-81C9-3F8BD7469CB9}" name="Party Name"/>
    <tableColumn id="3" xr3:uid="{A113D971-1C9D-4733-99C4-BD0CC4333209}" name="Vehicle Number"/>
    <tableColumn id="4" xr3:uid="{49780304-3DD1-4AE9-98EE-2BC7EB8F3B57}" name="Weight" dataDxfId="12" totalsRowDxfId="5" dataCellStyle="Comma"/>
    <tableColumn id="5" xr3:uid="{FCAF1BC6-1D8C-42AD-8BBC-F924BF2DC7FE}" name="Rate" dataDxfId="11" totalsRowDxfId="4" dataCellStyle="Comma"/>
    <tableColumn id="6" xr3:uid="{8C70A624-4134-410C-9C45-9FDEB51D51BF}" name="Rent" dataDxfId="10" totalsRowDxfId="3" dataCellStyle="Comma"/>
    <tableColumn id="7" xr3:uid="{EBCE10AE-9634-4982-9C95-37ABC8A7078C}" name="Total" totalsRowFunction="sum" dataDxfId="9" totalsRowDxfId="2" dataCellStyle="Comma">
      <calculatedColumnFormula>D2*E2</calculatedColumnFormula>
    </tableColumn>
    <tableColumn id="9" xr3:uid="{D4788559-C94A-44D9-B9AE-E72B214355AC}" name="Paid" totalsRowFunction="sum" dataDxfId="8" totalsRowDxfId="1" dataCellStyle="Comma"/>
    <tableColumn id="8" xr3:uid="{E26F5BF0-1875-4FC6-994D-49F202ED562B}" name="balance" totalsRowFunction="sum" dataDxfId="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34" totalsRowCount="1">
  <autoFilter ref="A1:G433" xr:uid="{CB032221-B416-47A8-9A76-693DE76CFD04}"/>
  <tableColumns count="7">
    <tableColumn id="1" xr3:uid="{554B1EED-65B6-4E9A-B646-82727FAC40DE}" name="Date" dataDxfId="61" totalsRowDxfId="57"/>
    <tableColumn id="2" xr3:uid="{32259059-42CF-4947-83DE-115AA430BE2B}" name="Party"/>
    <tableColumn id="3" xr3:uid="{A1320223-D55D-483C-91C3-AB19B95CC9D8}" name="Debit" totalsRowFunction="sum" dataDxfId="60" totalsRowDxfId="56" dataCellStyle="Comma"/>
    <tableColumn id="4" xr3:uid="{E9745767-9FF0-4B1C-9052-FF335D1D7588}" name="Credit" totalsRowFunction="sum" dataDxfId="59" totalsRowDxfId="55" dataCellStyle="Comma"/>
    <tableColumn id="5" xr3:uid="{5C88A48E-2467-4E6D-B626-2442B7FD0BE4}" name="Description"/>
    <tableColumn id="6" xr3:uid="{63CA4666-144E-4BE6-8B7C-7CB992BD3041}" name="Mode" totalsRowFunction="custom" dataDxfId="58" totalsRowDxfId="5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7" tableBorderDxfId="116" totalsRowBorderDxfId="115">
  <autoFilter ref="J3:K6" xr:uid="{DCE01694-23ED-48BF-8B92-4186B9ED10A8}"/>
  <tableColumns count="2">
    <tableColumn id="1" xr3:uid="{C8484DAF-2989-4C2F-9AEC-A6917E1C57F6}" name="Type" dataDxfId="114"/>
    <tableColumn id="2" xr3:uid="{B07B7A2A-4D4E-4654-BED6-FE2F0A7BEC34}" name="Amount" dataDxfId="11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12" headerRowBorderDxfId="111" tableBorderDxfId="110" totalsRowBorderDxfId="109">
  <autoFilter ref="M3:O6" xr:uid="{D166BDD1-ACD7-45D7-8AE9-7350373F8CEB}"/>
  <tableColumns count="3">
    <tableColumn id="1" xr3:uid="{64F0205E-DEA7-4571-BA86-E4374A5FEE28}" name="Type" totalsRowLabel="Total" dataDxfId="108" totalsRowDxfId="107"/>
    <tableColumn id="2" xr3:uid="{15FA05F9-789C-4459-9BE0-5C1EC84D3365}" name="amount" totalsRowFunction="custom" dataDxfId="106" totalsRowDxfId="105">
      <totalsRowFormula>SUM(N5:N6)</totalsRowFormula>
    </tableColumn>
    <tableColumn id="3" xr3:uid="{3681D409-90C6-44D0-BDE2-4B5943A516F0}" name="Actual" totalsRowFunction="custom" totalsRowDxfId="10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03" totalsRowDxfId="102"/>
    <tableColumn id="2" xr3:uid="{5B9D0FEE-4304-4C5C-A05C-5B27CF7841D3}" name="Type"/>
    <tableColumn id="3" xr3:uid="{6A91CA0D-C802-4C6F-9F39-CA53687E8EDE}" name="Description"/>
    <tableColumn id="4" xr3:uid="{A251D40C-AB87-4BB4-85F8-444B20E32FDF}" name="Total" totalsRowFunction="custom" dataDxfId="101" totalsRowDxfId="10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99" headerRowBorderDxfId="98">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7"/>
    <tableColumn id="4" xr3:uid="{1889A312-9B41-4EC4-BD8F-05252F27084A}" name="Price" totalsRowFunction="sum"/>
    <tableColumn id="6" xr3:uid="{8B974B20-F003-4E67-8660-024FA4F324A9}" name="Party"/>
    <tableColumn id="7" xr3:uid="{0A5A5C21-FD61-47DA-9F54-66A6479FA557}" name="Paid" dataDxfId="96">
      <calculatedColumnFormula>SUMIFS(Table14[Debit], Table14[Date], Table8[[#This Row],[Date]], Table14[Party], Table8[[#This Row],[Party]])</calculatedColumnFormula>
    </tableColumn>
    <tableColumn id="8" xr3:uid="{8DCB3B43-2161-4081-82EC-CDB0F4DE4E6F}" name="Balance" totalsRowFunction="sum" dataDxfId="9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94" headerRowBorderDxfId="93">
  <autoFilter ref="A4:H13" xr:uid="{A4C80688-A8BA-4BA7-90B4-791CD99446B4}"/>
  <sortState xmlns:xlrd2="http://schemas.microsoft.com/office/spreadsheetml/2017/richdata2" ref="A5:H6">
    <sortCondition ref="A4:A6"/>
  </sortState>
  <tableColumns count="8">
    <tableColumn id="1" xr3:uid="{4A818912-918E-4111-ACFC-BC93FEF7C1AD}" name="Date" dataDxfId="92" totalsRowDxfId="91"/>
    <tableColumn id="8" xr3:uid="{477ACFD5-62AF-4F69-974B-E9B974C11D7D}" name="Party Name" dataDxfId="9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9">
      <calculatedColumnFormula>Table2[[#This Row],[Quantity]]*200*Table2[[#This Row],[Boxes]]</calculatedColumnFormula>
    </tableColumn>
    <tableColumn id="6" xr3:uid="{30432929-CBD4-4BA8-B63F-CD0F6CF6405F}" name="Paid" totalsRowFunction="sum" dataDxfId="88">
      <calculatedColumnFormula>SUMIFS(Table14[Debit], Table14[Date], Table2[[#This Row],[Date]], Table14[Party], Table2[[#This Row],[Party Name]])</calculatedColumnFormula>
    </tableColumn>
    <tableColumn id="7" xr3:uid="{BB689DF2-5D1E-436D-84C4-9745D88E8F3D}" name="Balance" totalsRowFunction="sum" dataDxfId="8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6" totalsRowDxfId="8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4" totalsRowDxfId="83"/>
    <tableColumn id="2" xr3:uid="{053BFC14-4828-417C-9F9F-95B6E232A945}" name="Amount" totalsRowFunction="custom" dataDxfId="82" totalsRowDxfId="8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80" totalsRowDxfId="7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69" totalsRowDxfId="6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7" totalsRowDxfId="6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5">
      <calculatedColumnFormula>Billing!Q5</calculatedColumnFormula>
    </tableColumn>
    <tableColumn id="2" xr3:uid="{7093A59E-B58F-487D-888A-9AA8156B5F9A}" name="Amount Paid" dataDxfId="6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3"/>
    <tableColumn id="2" xr3:uid="{F72CFEEB-BA11-4A49-BD19-88592EB6A27C}" name="Credit" dataDxfId="6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4805962</v>
      </c>
      <c r="AE6" s="33">
        <f t="shared" ref="AE6:AE31" si="2">AC6-AD6</f>
        <v>389357.12948061526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7535501</v>
      </c>
      <c r="AE7" s="33">
        <f t="shared" si="2"/>
        <v>360684.07681053504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14848609.934162403</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14848609.934162403</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167026</v>
      </c>
      <c r="S24" s="22" cm="1">
        <f t="array" ref="S24">_xlfn.BYROW(B68, _xlfn.LAMBDA(_xlpm.party, SUMIFS(ledger!G:G, ledger!B:B, _xlpm.party, ledger!E:E, "&lt;&gt;*RD*") / 1.0936 ))+_xlfn.IFNA(D103,0)</f>
        <v>152730.43160204831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552340.89246525243</v>
      </c>
      <c r="AB24" s="70" cm="1">
        <f t="array" ref="AB24">_xlfn.BYROW(B68, _xlfn.LAMBDA(_xlpm.party,
   SUMIFS(ledger!J:J, ledger!B:B, _xlpm.party, ledger!E:E, "&lt;&gt;*RD*", ledger!D:D, "Munaar", ledger!C:C, "&lt;&gt;November Closing CF")
))+ _xlfn.IFNA(M103, 0)</f>
        <v>0</v>
      </c>
      <c r="AC24" s="39">
        <f t="shared" si="1"/>
        <v>1648473.8478419899</v>
      </c>
      <c r="AD24" s="22">
        <f>(SUMIF(Table14[Party],Q24,Table14[Credit]))+_xlfn.IFNA(O103,0)</f>
        <v>1496025</v>
      </c>
      <c r="AE24" s="33">
        <f t="shared" si="2"/>
        <v>152448.84784198995</v>
      </c>
      <c r="AF24" s="21">
        <v>10</v>
      </c>
      <c r="AG24" s="21">
        <v>13</v>
      </c>
    </row>
    <row r="25" spans="2:33" x14ac:dyDescent="0.3">
      <c r="I25" t="s">
        <v>201</v>
      </c>
      <c r="Q25" t="str">
        <v>Shahid Qasayi</v>
      </c>
      <c r="R25" s="22" cm="1">
        <f t="array" ref="R25">_xlfn.BYROW(B69,_xlfn.LAMBDA(_xlpm.party,SUMIFS(ledger!G:G,ledger!B:B,_xlpm.party,ledger!E:E,"&lt;&gt;*RD*")))+_xlfn.IFNA(C104,0)</f>
        <v>287215</v>
      </c>
      <c r="S25" s="22" cm="1">
        <f t="array" ref="S25">_xlfn.BYROW(B69, _xlfn.LAMBDA(_xlpm.party, SUMIFS(ledger!G:G, ledger!B:B, _xlpm.party, ledger!E:E, "&lt;&gt;*RD*") / 1.0936 ))+_xlfn.IFNA(D104,0)</f>
        <v>262632.58961228968</v>
      </c>
      <c r="T25" s="22" cm="1">
        <f t="array" ref="T25">(_xlfn.BYROW(B69,_xlfn.LAMBDA(_xlpm.party,SUMIFS(ledger!G:G,ledger!B:B,_xlpm.party,ledger!E:E,"&lt;&gt;*RD*",ledger!D:D,"Chamki")+SUMIFS(ledger!G:G, ledger!B:B, _xlpm.party, ledger!E:E, "&lt;&gt;*RD*", ledger!D:D, "Crinkle")))/1.0936)+_xlfn.IFNA(E104,0)</f>
        <v>213093.45281638624</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2130934.5281638624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2677845.6474030721</v>
      </c>
      <c r="AD25" s="22">
        <f>(SUMIF(Table14[Party],Q25,Table14[Credit]))+_xlfn.IFNA(O104,0)</f>
        <v>2461895</v>
      </c>
      <c r="AE25" s="33">
        <f t="shared" si="2"/>
        <v>215950.6474030721</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200000</v>
      </c>
      <c r="AE31" s="33">
        <f t="shared" si="2"/>
        <v>304069.1294806145</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842058</v>
      </c>
      <c r="P50" s="37">
        <f>N50-O50</f>
        <v>180431.94147768838</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1532566</v>
      </c>
      <c r="P51" s="37">
        <f>N51-O51</f>
        <v>135040.98610095098</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102246</v>
      </c>
      <c r="D68" s="22">
        <v>93494.879297732274</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552340.89246525243</v>
      </c>
      <c r="M68" s="70" cm="1">
        <f t="array" ref="M68">_xlfn.BYROW(B68, _xlfn.LAMBDA(_xlpm.party,
   SUMIFS(ledger!J:J, ledger!B:B, _xlpm.party, ledger!E:E, "&lt;&gt;*RD*", ledger!D:D, "Munaar", ledger!C:C, "&lt;&gt;November Closing CF")
))</f>
        <v>0</v>
      </c>
      <c r="N68" s="39">
        <f t="shared" si="4"/>
        <v>934948.79297732259</v>
      </c>
      <c r="O68" s="22">
        <f>SUMIF(Table14[Party], B68, Table14[Credit])</f>
        <v>1496025</v>
      </c>
      <c r="P68" s="37">
        <f t="shared" si="6"/>
        <v>-561076.20702267741</v>
      </c>
      <c r="Q68" s="21">
        <v>10</v>
      </c>
      <c r="R68" s="21">
        <v>12</v>
      </c>
      <c r="U68" s="4" t="s">
        <v>27</v>
      </c>
      <c r="V68" s="5">
        <v>102513.7161667886</v>
      </c>
      <c r="W68" s="18">
        <v>1025137.161667886</v>
      </c>
    </row>
    <row r="69" spans="2:23" x14ac:dyDescent="0.3">
      <c r="B69" s="81" t="str">
        <v>Shahid Qasayi</v>
      </c>
      <c r="C69" s="22">
        <v>111086</v>
      </c>
      <c r="D69" s="22">
        <v>101578.27359180688</v>
      </c>
      <c r="E69" s="63">
        <v>99597.659107534753</v>
      </c>
      <c r="F69" s="21">
        <v>0</v>
      </c>
      <c r="G69" s="22" cm="1">
        <f t="array" ref="G69">(_xlfn.BYROW(B69,_xlfn.LAMBDA(_xlpm.party,
(SUMIFS(ledger!J:J,ledger!B:B,_xlpm.party,ledger!E:E,"&lt;&gt;*RD*",ledger!D:D,"Chamki",ledger!C:C,"&lt;&gt;November Closing CF")+
SUMIFS(ledger!J:J,ledger!B:B,_xlpm.party,ledger!E:E,"&lt;&gt;*RD*",ledger!D:D,"Crinkle",ledger!C:C,"&lt;&gt;November Closing CF")
))))</f>
        <v>995976.5910753475</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1019743.9648866131</v>
      </c>
      <c r="O69" s="22">
        <f>SUMIF(Table14[Party], B69, Table14[Credit])</f>
        <v>993570</v>
      </c>
      <c r="P69" s="37">
        <f t="shared" si="6"/>
        <v>26173.964886613074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200000</v>
      </c>
      <c r="P75" s="37">
        <f t="shared" si="6"/>
        <v>304069.1294806145</v>
      </c>
      <c r="U75" s="4" t="s">
        <v>28</v>
      </c>
      <c r="V75" s="14">
        <v>1149515.2545720558</v>
      </c>
      <c r="W75" s="14">
        <v>10864706.474030722</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304069.1294806145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52" priority="1" operator="lessThan">
      <formula>20000</formula>
    </cfRule>
    <cfRule type="cellIs" dxfId="51"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7343295</v>
      </c>
      <c r="D4" t="s">
        <v>190</v>
      </c>
      <c r="E4" s="43">
        <f ca="1">Table12[[#This Row],[Amount]]/Table1[[#Totals],[tiyar/meters]]</f>
        <v>5.235926225339071</v>
      </c>
    </row>
    <row r="5" spans="1:5" x14ac:dyDescent="0.3">
      <c r="B5" t="s">
        <v>48</v>
      </c>
      <c r="C5" s="11">
        <f>SUM(Table8[Price])+Dyes!P56</f>
        <v>1606785</v>
      </c>
      <c r="E5" s="43">
        <f ca="1">Table12[[#This Row],[Amount]]/Table1[[#Totals],[tiyar/meters]]</f>
        <v>1.1456720341456308</v>
      </c>
    </row>
    <row r="6" spans="1:5" x14ac:dyDescent="0.3">
      <c r="B6" t="s">
        <v>49</v>
      </c>
      <c r="C6" s="11">
        <f>SUM(Table2[Price])+Finish!K30</f>
        <v>457600</v>
      </c>
      <c r="D6" t="s">
        <v>189</v>
      </c>
      <c r="E6" s="43">
        <f ca="1">Table12[[#This Row],[Amount]]/Table1[[#Totals],[tiyar/meters]]</f>
        <v>0.3262785766764319</v>
      </c>
    </row>
    <row r="7" spans="1:5" x14ac:dyDescent="0.3">
      <c r="B7" t="s">
        <v>50</v>
      </c>
      <c r="C7" s="11">
        <f>SUMIFS(Table14[Debit], Table14[Party],Table12[[#This Row],[Type]])</f>
        <v>32355</v>
      </c>
      <c r="E7" s="43">
        <f ca="1">Table12[[#This Row],[Amount]]/Table1[[#Totals],[tiyar/meters]]</f>
        <v>2.3069806268282242E-2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1319200</v>
      </c>
      <c r="E9" s="43">
        <f ca="1">Table12[[#This Row],[Amount]]/Table1[[#Totals],[tiyar/meters]]</f>
        <v>0.94061778485915426</v>
      </c>
    </row>
    <row r="10" spans="1:5" x14ac:dyDescent="0.3">
      <c r="B10" t="s">
        <v>53</v>
      </c>
      <c r="C10" s="11">
        <f>Table5[[#Totals],[Amount]]</f>
        <v>111730</v>
      </c>
      <c r="E10" s="43">
        <f ca="1">Table12[[#This Row],[Amount]]/Table1[[#Totals],[tiyar/meters]]</f>
        <v>7.9665877124252049E-2</v>
      </c>
    </row>
    <row r="11" spans="1:5" x14ac:dyDescent="0.3">
      <c r="B11" t="s">
        <v>54</v>
      </c>
      <c r="C11" s="11">
        <f>Table13[[#Totals],[Debit]]</f>
        <v>128191</v>
      </c>
      <c r="E11" s="43">
        <f ca="1">Table12[[#This Row],[Amount]]/Table1[[#Totals],[tiyar/meters]]</f>
        <v>9.1402921815403146E-2</v>
      </c>
    </row>
    <row r="12" spans="1:5" x14ac:dyDescent="0.3">
      <c r="B12" t="s">
        <v>55</v>
      </c>
      <c r="C12" s="11">
        <f>Table15[[#Totals],[Amount]]</f>
        <v>413124</v>
      </c>
      <c r="E12" s="43">
        <f ca="1">Table12[[#This Row],[Amount]]/Table1[[#Totals],[tiyar/meters]]</f>
        <v>0.29456623844159585</v>
      </c>
    </row>
    <row r="13" spans="1:5" x14ac:dyDescent="0.3">
      <c r="C13" s="11"/>
      <c r="E13" s="43">
        <f ca="1">Table12[[#This Row],[Amount]]/Table1[[#Totals],[tiyar/meters]]</f>
        <v>0</v>
      </c>
    </row>
    <row r="14" spans="1:5" x14ac:dyDescent="0.3">
      <c r="C14" s="14">
        <f>SUM(Table12[Amount])</f>
        <v>11412280</v>
      </c>
      <c r="E14" s="43">
        <f ca="1">SUM(Table12[cost per meter])</f>
        <v>8.1371994646698198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14848609.934162403</v>
      </c>
    </row>
    <row r="4" spans="1:3" x14ac:dyDescent="0.3">
      <c r="B4" s="11" t="s">
        <v>44</v>
      </c>
      <c r="C4" s="11">
        <f>Table12[[#Totals],[Amount]]</f>
        <v>11412280</v>
      </c>
    </row>
    <row r="5" spans="1:3" x14ac:dyDescent="0.3">
      <c r="A5" s="6"/>
      <c r="B5" s="15" t="s">
        <v>68</v>
      </c>
      <c r="C5" s="15">
        <f>C3-C4</f>
        <v>3436329.9341624025</v>
      </c>
    </row>
    <row r="10" spans="1:3" ht="15" thickBot="1" x14ac:dyDescent="0.35">
      <c r="B10" t="s">
        <v>66</v>
      </c>
      <c r="C10" s="14" t="s">
        <v>67</v>
      </c>
    </row>
    <row r="11" spans="1:3" x14ac:dyDescent="0.3">
      <c r="B11" s="56" t="s">
        <v>0</v>
      </c>
      <c r="C11" s="57">
        <f>C3</f>
        <v>14848609.934162403</v>
      </c>
    </row>
    <row r="12" spans="1:3" x14ac:dyDescent="0.3">
      <c r="B12" s="58" t="s">
        <v>69</v>
      </c>
      <c r="C12" s="59">
        <f>SUM(Table14[Credit])</f>
        <v>27301414</v>
      </c>
    </row>
    <row r="13" spans="1:3" ht="15" thickBot="1" x14ac:dyDescent="0.35">
      <c r="B13" s="74" t="s">
        <v>93</v>
      </c>
      <c r="C13" s="73">
        <f>(C11-C12)</f>
        <v>-12452804.065837597</v>
      </c>
    </row>
    <row r="14" spans="1:3" ht="15" thickBot="1" x14ac:dyDescent="0.35">
      <c r="B14" s="58"/>
      <c r="C14" s="59"/>
    </row>
    <row r="15" spans="1:3" x14ac:dyDescent="0.3">
      <c r="B15" s="56" t="s">
        <v>44</v>
      </c>
      <c r="C15" s="57">
        <f>C4</f>
        <v>11412280</v>
      </c>
    </row>
    <row r="16" spans="1:3" x14ac:dyDescent="0.3">
      <c r="B16" s="58" t="s">
        <v>70</v>
      </c>
      <c r="C16" s="59">
        <f>SUM(Table14[Debit])</f>
        <v>27068414</v>
      </c>
    </row>
    <row r="17" spans="2:6" ht="15" thickBot="1" x14ac:dyDescent="0.35">
      <c r="B17" s="74" t="s">
        <v>71</v>
      </c>
      <c r="C17" s="73">
        <f>C15-C16</f>
        <v>-15656134</v>
      </c>
    </row>
    <row r="18" spans="2:6" ht="15" thickBot="1" x14ac:dyDescent="0.35">
      <c r="B18" s="58"/>
      <c r="C18" s="59"/>
    </row>
    <row r="19" spans="2:6" ht="15" thickBot="1" x14ac:dyDescent="0.35">
      <c r="B19" s="75" t="s">
        <v>72</v>
      </c>
      <c r="C19" s="76">
        <f>Table18[[#Totals],[amount]]</f>
        <v>283000</v>
      </c>
    </row>
    <row r="20" spans="2:6" ht="15" thickBot="1" x14ac:dyDescent="0.35">
      <c r="B20" s="71"/>
      <c r="C20" s="72"/>
    </row>
    <row r="21" spans="2:6" ht="15" thickBot="1" x14ac:dyDescent="0.35">
      <c r="B21" s="60" t="s">
        <v>73</v>
      </c>
      <c r="C21" s="61">
        <f>(C13-C17)+C19</f>
        <v>3486329.9341624025</v>
      </c>
      <c r="E21" s="79" t="s">
        <v>74</v>
      </c>
      <c r="F21" s="80">
        <f>C5*0.05</f>
        <v>171816.49670812013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128191</v>
      </c>
      <c r="E38">
        <f>SUBTOTAL(109,Table13[Credit])</f>
        <v>0</v>
      </c>
      <c r="F38">
        <f>Table13[[#Totals],[Debit]]-Table13[[#Totals],[Credit]]</f>
        <v>128191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43" zoomScale="106" zoomScaleNormal="82" workbookViewId="0">
      <selection activeCell="J162" sqref="J1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55.598379219575385</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19"/>
      <c r="B161" s="124"/>
      <c r="C161" s="119"/>
      <c r="D161" s="119"/>
      <c r="E161" s="11"/>
      <c r="F161" s="11"/>
      <c r="G161" s="11"/>
      <c r="H161" s="120" t="e">
        <f>_xlfn.XLOOKUP(Table1[[#This Row],[Shipment Number]], 'pivot '!A:A,'pivot '!G:G, "NF")</f>
        <v>#DIV/0!</v>
      </c>
      <c r="I161" s="121"/>
      <c r="J161" s="121"/>
      <c r="K161" s="119"/>
    </row>
    <row r="162" spans="1:12" x14ac:dyDescent="0.3">
      <c r="A162" s="119"/>
      <c r="B162" s="124"/>
      <c r="C162" s="119"/>
      <c r="D162" s="119"/>
      <c r="E162" s="11"/>
      <c r="F162" s="11"/>
      <c r="G162" s="11"/>
      <c r="H162" s="120" t="e">
        <f>_xlfn.XLOOKUP(Table1[[#This Row],[Shipment Number]], 'pivot '!A:A,'pivot '!G:G, "NF")</f>
        <v>#DIV/0!</v>
      </c>
      <c r="I162" s="121"/>
      <c r="J162" s="121"/>
      <c r="K162" s="119"/>
    </row>
    <row r="163" spans="1:12" x14ac:dyDescent="0.3">
      <c r="A163"/>
      <c r="B163"/>
      <c r="C163"/>
      <c r="D163"/>
      <c r="E163" s="14"/>
      <c r="F163" s="14"/>
      <c r="G163" s="14"/>
      <c r="H163" s="43"/>
      <c r="I163" s="94" cm="1">
        <f t="array" aca="1" ref="I163" ca="1">SUMPRODUCT( SUBTOTAL(109, OFFSET(Table1[tiyar/meters], ROW(Table1[tiyar/meters])-MIN(ROW(Table1[tiyar/meters])), 0, 1)), --(Table1[Bill Number]&lt;&gt;"November Closing CF") )</f>
        <v>1402482.5186539863</v>
      </c>
      <c r="J163" s="43" cm="1">
        <f t="array" aca="1" ref="J163" ca="1">SUMPRODUCT( SUBTOTAL(109, OFFSET(Table1[billing], ROW(Table1[billing])-MIN(ROW(Table1[billing])), 0, 1)), --(Table1[Bill Number]&lt;&gt;"November Closing CF") )</f>
        <v>14848609.934162404</v>
      </c>
      <c r="K163" s="14">
        <f>SUMIFS(Table1[billing], Table1[Bill Number], "&lt;&gt;November Closing CF")</f>
        <v>14848609.934162404</v>
      </c>
      <c r="L163"/>
    </row>
  </sheetData>
  <phoneticPr fontId="7" alignment="center"/>
  <conditionalFormatting sqref="H2:H163">
    <cfRule type="cellIs" dxfId="50"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03"/>
  <sheetViews>
    <sheetView tabSelected="1" topLeftCell="A88" zoomScale="145" zoomScaleNormal="90" workbookViewId="0">
      <selection activeCell="C105" sqref="C10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6771195</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465</v>
      </c>
      <c r="N69" s="14">
        <v>389100</v>
      </c>
      <c r="O69" s="14">
        <v>15000</v>
      </c>
      <c r="P69" s="14">
        <v>374100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465</v>
      </c>
      <c r="N70" s="14">
        <v>389100</v>
      </c>
      <c r="O70" s="14">
        <v>15000</v>
      </c>
      <c r="P70" s="14">
        <v>374100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c r="N71" s="14">
        <v>0</v>
      </c>
      <c r="O71" s="14">
        <v>352000</v>
      </c>
      <c r="P71" s="14">
        <v>-352000</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c r="N72" s="14">
        <v>0</v>
      </c>
      <c r="O72" s="14">
        <v>352000</v>
      </c>
      <c r="P72" s="14">
        <v>-352000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268</v>
      </c>
      <c r="N73" s="14">
        <v>227800</v>
      </c>
      <c r="O73" s="14">
        <v>474045</v>
      </c>
      <c r="P73" s="14">
        <v>-246245</v>
      </c>
    </row>
    <row r="74" spans="1:16" x14ac:dyDescent="0.3">
      <c r="A74" s="1">
        <v>46022</v>
      </c>
      <c r="B74" t="s">
        <v>169</v>
      </c>
      <c r="D74" s="11">
        <v>135</v>
      </c>
      <c r="E74" s="11">
        <v>580</v>
      </c>
      <c r="F74" s="11"/>
      <c r="G74" s="11">
        <f t="shared" si="16"/>
        <v>78300</v>
      </c>
      <c r="H74" s="11"/>
      <c r="I74" s="11">
        <f>(D74*E74)-Table3[[#This Row],[Paid]]</f>
        <v>78300</v>
      </c>
      <c r="L74" s="42" t="s">
        <v>103</v>
      </c>
      <c r="M74" s="14"/>
      <c r="N74" s="14">
        <v>0</v>
      </c>
      <c r="O74" s="14">
        <v>242045</v>
      </c>
      <c r="P74" s="14">
        <v>-242045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t="s">
        <v>28</v>
      </c>
      <c r="M76" s="14">
        <v>7826</v>
      </c>
      <c r="N76" s="14">
        <v>6205250</v>
      </c>
      <c r="O76" s="14">
        <v>5777265</v>
      </c>
      <c r="P76" s="14">
        <v>3749413</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9"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9" x14ac:dyDescent="0.3">
      <c r="A87" s="1">
        <v>46030</v>
      </c>
      <c r="B87" t="s">
        <v>424</v>
      </c>
      <c r="D87" s="11"/>
      <c r="E87" s="11"/>
      <c r="F87" s="11"/>
      <c r="G87" s="11">
        <f t="shared" si="19"/>
        <v>0</v>
      </c>
      <c r="H87" s="11"/>
      <c r="I87" s="11">
        <f>(D87*E87)-Table3[[#This Row],[Paid]]</f>
        <v>0</v>
      </c>
    </row>
    <row r="88" spans="1:9"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9"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9"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9" x14ac:dyDescent="0.3">
      <c r="A91" s="1">
        <v>46031</v>
      </c>
      <c r="B91" t="s">
        <v>200</v>
      </c>
      <c r="D91" s="11">
        <v>205</v>
      </c>
      <c r="E91" s="11">
        <v>820</v>
      </c>
      <c r="F91" s="11"/>
      <c r="G91" s="11">
        <f t="shared" ref="G91:G98" si="20">D91*E91</f>
        <v>168100</v>
      </c>
      <c r="H91" s="11"/>
      <c r="I91" s="11">
        <f>(D91*E91)-Table3[[#This Row],[Paid]]</f>
        <v>168100</v>
      </c>
    </row>
    <row r="92" spans="1:9" x14ac:dyDescent="0.3">
      <c r="A92" s="1">
        <v>46031</v>
      </c>
      <c r="B92" t="s">
        <v>200</v>
      </c>
      <c r="D92" s="11">
        <v>260</v>
      </c>
      <c r="E92" s="11">
        <v>850</v>
      </c>
      <c r="F92" s="11"/>
      <c r="G92" s="11">
        <f t="shared" si="20"/>
        <v>221000</v>
      </c>
      <c r="H92" s="11"/>
      <c r="I92" s="11">
        <f>(D92*E92)-Table3[[#This Row],[Paid]]</f>
        <v>221000</v>
      </c>
    </row>
    <row r="93" spans="1:9"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9"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9"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9"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775</v>
      </c>
      <c r="F100" s="11"/>
      <c r="G100" s="11">
        <f t="shared" si="21"/>
        <v>191425</v>
      </c>
      <c r="H100" s="11"/>
      <c r="I100" s="11">
        <f>(D100*E100)-Table3[[#This Row],[Paid]]</f>
        <v>191425</v>
      </c>
    </row>
    <row r="101" spans="1:9" x14ac:dyDescent="0.3">
      <c r="A101" s="1">
        <v>46034</v>
      </c>
      <c r="B101" t="s">
        <v>169</v>
      </c>
      <c r="D101" s="11">
        <v>138</v>
      </c>
      <c r="E101" s="11">
        <v>600</v>
      </c>
      <c r="F101" s="11"/>
      <c r="G101" s="11">
        <f t="shared" si="21"/>
        <v>82800</v>
      </c>
      <c r="H101" s="11"/>
      <c r="I101" s="11">
        <f>(D101*E101)-Table3[[#This Row],[Paid]]</f>
        <v>82800</v>
      </c>
    </row>
    <row r="102" spans="1:9" x14ac:dyDescent="0.3">
      <c r="A102" s="1">
        <v>46035</v>
      </c>
      <c r="B102" t="s">
        <v>424</v>
      </c>
      <c r="D102" s="11"/>
      <c r="E102" s="11"/>
      <c r="F102" s="11"/>
      <c r="G102" s="11">
        <f t="shared" si="21"/>
        <v>0</v>
      </c>
      <c r="H102" s="11">
        <f>SUMIFS(Table14[Debit], Table14[Date], Table3[[#This Row],[Date]], Table14[Party], Table3[[#This Row],[Party Name]])</f>
        <v>100704</v>
      </c>
      <c r="I102" s="11">
        <f>(D102*E102)-Table3[[#This Row],[Paid]]</f>
        <v>-100704</v>
      </c>
    </row>
    <row r="103" spans="1:9" x14ac:dyDescent="0.3">
      <c r="A103" s="1"/>
      <c r="D103" s="14"/>
      <c r="E103" s="14"/>
      <c r="F103" s="14"/>
      <c r="G103" s="14">
        <f>SUBTOTAL(109,Table3[Total])</f>
        <v>6771195</v>
      </c>
      <c r="H103" s="14">
        <f>SUBTOTAL(109,Table3[Paid])</f>
        <v>5877969</v>
      </c>
      <c r="I103" s="14">
        <f>SUBTOTAL(109,Table3[balance])</f>
        <v>4214654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19" zoomScale="158" workbookViewId="0">
      <selection activeCell="G379" sqref="G37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27068414</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27301414</v>
      </c>
      <c r="M5" s="45" t="s">
        <v>108</v>
      </c>
      <c r="N5" s="46">
        <f>(SUMIFS(Table14[Credit],Table14[Mode],"Bank")-SUMIFS(Table14[Debit],Table14[Mode],"Bank")-SUMIFS(Table14[Withdrawal],Table14[Mode],"Transfer"))</f>
        <v>893916</v>
      </c>
      <c r="O5">
        <v>360000</v>
      </c>
    </row>
    <row r="6" spans="1:16" x14ac:dyDescent="0.3">
      <c r="A6" s="38">
        <v>46009</v>
      </c>
      <c r="B6" t="s">
        <v>177</v>
      </c>
      <c r="C6" s="96">
        <v>3600</v>
      </c>
      <c r="D6" s="96"/>
      <c r="E6" t="s">
        <v>218</v>
      </c>
      <c r="F6" s="111" t="s">
        <v>108</v>
      </c>
      <c r="J6" s="52" t="s">
        <v>43</v>
      </c>
      <c r="K6" s="53">
        <f>(K5-K4)</f>
        <v>233000</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283000</v>
      </c>
      <c r="O7" s="90">
        <f>SUM(O5,O6)</f>
        <v>410000</v>
      </c>
      <c r="P7" s="14">
        <f>Table18[[#Totals],[amount]]-Table18[[#Totals],[Actual]]</f>
        <v>-127000</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314300</v>
      </c>
    </row>
    <row r="165" spans="1:12" x14ac:dyDescent="0.3">
      <c r="A165" s="38">
        <v>46018</v>
      </c>
      <c r="B165" t="s">
        <v>54</v>
      </c>
      <c r="C165" s="11">
        <v>2500</v>
      </c>
      <c r="D165" s="11"/>
      <c r="E165" t="s">
        <v>236</v>
      </c>
      <c r="F165" s="111" t="s">
        <v>108</v>
      </c>
      <c r="J165" s="4" t="s">
        <v>9</v>
      </c>
      <c r="K165" s="14">
        <v>1532566</v>
      </c>
      <c r="L165" s="14"/>
    </row>
    <row r="166" spans="1:12" x14ac:dyDescent="0.3">
      <c r="A166" s="38">
        <v>46018</v>
      </c>
      <c r="B166" t="s">
        <v>55</v>
      </c>
      <c r="C166" s="11">
        <v>1000</v>
      </c>
      <c r="D166" s="11"/>
      <c r="F166" s="111" t="s">
        <v>108</v>
      </c>
      <c r="J166" s="4" t="s">
        <v>461</v>
      </c>
      <c r="K166" s="14"/>
      <c r="L166" s="14">
        <v>38750</v>
      </c>
    </row>
    <row r="167" spans="1:12" x14ac:dyDescent="0.3">
      <c r="A167" s="38">
        <v>46018</v>
      </c>
      <c r="B167" t="s">
        <v>50</v>
      </c>
      <c r="C167" s="11">
        <v>1000</v>
      </c>
      <c r="D167" s="11"/>
      <c r="E167" t="s">
        <v>217</v>
      </c>
      <c r="F167" s="111" t="s">
        <v>108</v>
      </c>
      <c r="J167" s="4" t="s">
        <v>94</v>
      </c>
      <c r="K167" s="14"/>
      <c r="L167" s="14">
        <v>1118455</v>
      </c>
    </row>
    <row r="168" spans="1:12" x14ac:dyDescent="0.3">
      <c r="A168" s="38">
        <v>46019</v>
      </c>
      <c r="B168" t="s">
        <v>55</v>
      </c>
      <c r="C168" s="96">
        <v>2630</v>
      </c>
      <c r="D168" s="96"/>
      <c r="E168" t="s">
        <v>328</v>
      </c>
      <c r="F168" s="111" t="s">
        <v>108</v>
      </c>
      <c r="J168" s="4" t="s">
        <v>50</v>
      </c>
      <c r="K168" s="14"/>
      <c r="L168" s="14">
        <v>32355</v>
      </c>
    </row>
    <row r="169" spans="1:12" x14ac:dyDescent="0.3">
      <c r="A169" s="116">
        <v>46019</v>
      </c>
      <c r="B169" t="s">
        <v>55</v>
      </c>
      <c r="C169" s="11">
        <v>21000</v>
      </c>
      <c r="D169" s="11"/>
      <c r="E169" t="s">
        <v>329</v>
      </c>
      <c r="F169" s="111" t="s">
        <v>108</v>
      </c>
      <c r="J169" s="4" t="s">
        <v>55</v>
      </c>
      <c r="K169" s="14"/>
      <c r="L169" s="14">
        <v>413124</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1004900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128191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724010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115743</v>
      </c>
    </row>
    <row r="178" spans="1:12" x14ac:dyDescent="0.3">
      <c r="A178" s="38">
        <v>46020</v>
      </c>
      <c r="B178" t="s">
        <v>233</v>
      </c>
      <c r="C178" s="11">
        <v>15000</v>
      </c>
      <c r="D178" s="11"/>
      <c r="E178" t="s">
        <v>238</v>
      </c>
      <c r="F178" s="111" t="s">
        <v>108</v>
      </c>
      <c r="J178" s="4" t="s">
        <v>326</v>
      </c>
      <c r="K178" s="14">
        <v>842058</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26</v>
      </c>
      <c r="K183" s="14">
        <v>300000</v>
      </c>
      <c r="L183" s="14"/>
    </row>
    <row r="184" spans="1:12" x14ac:dyDescent="0.3">
      <c r="A184" s="38">
        <v>46020</v>
      </c>
      <c r="B184" t="s">
        <v>192</v>
      </c>
      <c r="C184" s="11">
        <v>100000</v>
      </c>
      <c r="D184" s="11"/>
      <c r="E184" t="s">
        <v>335</v>
      </c>
      <c r="F184" s="111" t="s">
        <v>108</v>
      </c>
      <c r="J184" s="4" t="s">
        <v>149</v>
      </c>
      <c r="K184" s="14"/>
      <c r="L184" s="14">
        <v>80000</v>
      </c>
    </row>
    <row r="185" spans="1:12" x14ac:dyDescent="0.3">
      <c r="A185" s="116">
        <v>46021</v>
      </c>
      <c r="B185" t="s">
        <v>224</v>
      </c>
      <c r="C185" s="11"/>
      <c r="D185" s="11">
        <v>68900</v>
      </c>
      <c r="E185" t="s">
        <v>352</v>
      </c>
      <c r="F185" s="111" t="s">
        <v>108</v>
      </c>
      <c r="J185" s="4" t="s">
        <v>64</v>
      </c>
      <c r="K185" s="14"/>
      <c r="L185" s="14">
        <v>80375</v>
      </c>
    </row>
    <row r="186" spans="1:12" x14ac:dyDescent="0.3">
      <c r="A186" s="38">
        <v>46021</v>
      </c>
      <c r="B186" t="s">
        <v>192</v>
      </c>
      <c r="C186" s="96"/>
      <c r="D186" s="96">
        <v>194000</v>
      </c>
      <c r="F186" s="111" t="s">
        <v>108</v>
      </c>
      <c r="J186" s="4" t="s">
        <v>152</v>
      </c>
      <c r="K186" s="14">
        <v>1007920</v>
      </c>
      <c r="L186" s="14"/>
    </row>
    <row r="187" spans="1:12" x14ac:dyDescent="0.3">
      <c r="A187" s="116">
        <v>46021</v>
      </c>
      <c r="B187" t="s">
        <v>199</v>
      </c>
      <c r="C187" s="11"/>
      <c r="D187" s="11">
        <v>100000</v>
      </c>
      <c r="E187" t="s">
        <v>338</v>
      </c>
      <c r="F187" s="111" t="s">
        <v>108</v>
      </c>
      <c r="J187" s="4" t="s">
        <v>166</v>
      </c>
      <c r="K187" s="14">
        <v>1620000</v>
      </c>
      <c r="L187" s="14"/>
    </row>
    <row r="188" spans="1:12" x14ac:dyDescent="0.3">
      <c r="A188" s="38">
        <v>46021</v>
      </c>
      <c r="B188" t="s">
        <v>199</v>
      </c>
      <c r="C188" s="96"/>
      <c r="D188" s="96">
        <v>100000</v>
      </c>
      <c r="E188" t="s">
        <v>225</v>
      </c>
      <c r="F188" s="111" t="s">
        <v>108</v>
      </c>
      <c r="J188" s="4" t="s">
        <v>169</v>
      </c>
      <c r="K188" s="14"/>
      <c r="L188" s="14">
        <v>1894595</v>
      </c>
    </row>
    <row r="189" spans="1:12" x14ac:dyDescent="0.3">
      <c r="A189" s="116">
        <v>46021</v>
      </c>
      <c r="B189" t="s">
        <v>339</v>
      </c>
      <c r="C189" s="11"/>
      <c r="D189" s="11">
        <v>84970</v>
      </c>
      <c r="F189" s="111" t="s">
        <v>108</v>
      </c>
      <c r="J189" s="4" t="s">
        <v>192</v>
      </c>
      <c r="K189" s="14">
        <v>9083075</v>
      </c>
      <c r="L189" s="14">
        <v>13775982</v>
      </c>
    </row>
    <row r="190" spans="1:12" x14ac:dyDescent="0.3">
      <c r="A190" s="38">
        <v>46021</v>
      </c>
      <c r="B190" t="s">
        <v>222</v>
      </c>
      <c r="C190" s="11">
        <f>883+150+150</f>
        <v>1183</v>
      </c>
      <c r="D190" s="11"/>
      <c r="F190" s="111" t="s">
        <v>108</v>
      </c>
      <c r="J190" s="4" t="s">
        <v>198</v>
      </c>
      <c r="K190" s="14"/>
      <c r="L190" s="14">
        <v>1119000</v>
      </c>
    </row>
    <row r="191" spans="1:12" x14ac:dyDescent="0.3">
      <c r="A191" s="116">
        <v>46021</v>
      </c>
      <c r="B191" t="s">
        <v>229</v>
      </c>
      <c r="C191" s="11">
        <v>200401</v>
      </c>
      <c r="D191" s="11"/>
      <c r="E191" t="s">
        <v>340</v>
      </c>
      <c r="F191" s="111" t="s">
        <v>108</v>
      </c>
      <c r="J191" s="4" t="s">
        <v>179</v>
      </c>
      <c r="K191" s="14">
        <v>409310</v>
      </c>
      <c r="L191" s="14"/>
    </row>
    <row r="192" spans="1:12" x14ac:dyDescent="0.3">
      <c r="A192" s="38">
        <v>46021</v>
      </c>
      <c r="B192" t="s">
        <v>341</v>
      </c>
      <c r="C192" s="11"/>
      <c r="D192" s="11">
        <v>239960</v>
      </c>
      <c r="F192" s="111" t="s">
        <v>108</v>
      </c>
      <c r="J192" s="4" t="s">
        <v>51</v>
      </c>
      <c r="K192" s="14"/>
      <c r="L192" s="14">
        <v>2047865</v>
      </c>
    </row>
    <row r="193" spans="1:12" x14ac:dyDescent="0.3">
      <c r="A193" s="116">
        <v>46021</v>
      </c>
      <c r="B193" t="s">
        <v>169</v>
      </c>
      <c r="C193" s="11">
        <v>250000</v>
      </c>
      <c r="D193" s="11"/>
      <c r="F193" s="111" t="s">
        <v>108</v>
      </c>
      <c r="J193" s="4" t="s">
        <v>466</v>
      </c>
      <c r="K193" s="14"/>
      <c r="L193" s="14">
        <v>351000</v>
      </c>
    </row>
    <row r="194" spans="1:12" x14ac:dyDescent="0.3">
      <c r="A194" s="38">
        <v>46021</v>
      </c>
      <c r="B194" t="s">
        <v>326</v>
      </c>
      <c r="C194" s="11"/>
      <c r="D194" s="11">
        <v>60000</v>
      </c>
      <c r="E194" t="s">
        <v>342</v>
      </c>
      <c r="F194" s="111" t="s">
        <v>108</v>
      </c>
      <c r="J194" s="4" t="s">
        <v>219</v>
      </c>
      <c r="K194" s="14"/>
      <c r="L194" s="14">
        <v>28400</v>
      </c>
    </row>
    <row r="195" spans="1:12" x14ac:dyDescent="0.3">
      <c r="A195" s="116">
        <v>46021</v>
      </c>
      <c r="B195" t="s">
        <v>192</v>
      </c>
      <c r="C195" s="11">
        <v>60000</v>
      </c>
      <c r="D195" s="11"/>
      <c r="E195" t="s">
        <v>343</v>
      </c>
      <c r="F195" s="111" t="s">
        <v>108</v>
      </c>
      <c r="J195" s="4" t="s">
        <v>199</v>
      </c>
      <c r="K195" s="14">
        <v>993570</v>
      </c>
      <c r="L195" s="14"/>
    </row>
    <row r="196" spans="1:12" x14ac:dyDescent="0.3">
      <c r="A196" s="38">
        <v>46021</v>
      </c>
      <c r="B196" t="s">
        <v>256</v>
      </c>
      <c r="C196" s="11">
        <v>11850</v>
      </c>
      <c r="D196" s="11"/>
      <c r="E196" t="s">
        <v>294</v>
      </c>
      <c r="F196" s="111" t="s">
        <v>108</v>
      </c>
      <c r="J196" s="4" t="s">
        <v>229</v>
      </c>
      <c r="K196" s="14"/>
      <c r="L196" s="14">
        <v>2596205</v>
      </c>
    </row>
    <row r="197" spans="1:12" x14ac:dyDescent="0.3">
      <c r="A197" s="116">
        <v>46021</v>
      </c>
      <c r="B197" t="s">
        <v>202</v>
      </c>
      <c r="C197" s="11">
        <v>27000</v>
      </c>
      <c r="D197" s="11"/>
      <c r="E197" t="s">
        <v>230</v>
      </c>
      <c r="F197" s="111" t="s">
        <v>108</v>
      </c>
      <c r="J197" s="4" t="s">
        <v>202</v>
      </c>
      <c r="K197" s="14"/>
      <c r="L197" s="14">
        <v>182000</v>
      </c>
    </row>
    <row r="198" spans="1:12" x14ac:dyDescent="0.3">
      <c r="A198" s="38">
        <v>46021</v>
      </c>
      <c r="B198" t="s">
        <v>233</v>
      </c>
      <c r="C198" s="11">
        <v>1300</v>
      </c>
      <c r="D198" s="11"/>
      <c r="E198" t="s">
        <v>344</v>
      </c>
      <c r="F198" s="111" t="s">
        <v>108</v>
      </c>
      <c r="J198" s="4" t="s">
        <v>216</v>
      </c>
      <c r="K198" s="14">
        <v>6816546</v>
      </c>
      <c r="L198" s="14"/>
    </row>
    <row r="199" spans="1:12" x14ac:dyDescent="0.3">
      <c r="A199" s="116">
        <v>46021</v>
      </c>
      <c r="B199" t="s">
        <v>233</v>
      </c>
      <c r="C199" s="11">
        <v>60000</v>
      </c>
      <c r="D199" s="11"/>
      <c r="E199" t="s">
        <v>290</v>
      </c>
      <c r="F199" s="111" t="s">
        <v>108</v>
      </c>
      <c r="J199" s="4" t="s">
        <v>256</v>
      </c>
      <c r="K199" s="14"/>
      <c r="L199" s="14">
        <v>66850</v>
      </c>
    </row>
    <row r="200" spans="1:12" x14ac:dyDescent="0.3">
      <c r="A200" s="38">
        <v>46021</v>
      </c>
      <c r="B200" t="s">
        <v>94</v>
      </c>
      <c r="C200" s="11">
        <v>1000</v>
      </c>
      <c r="D200" s="11"/>
      <c r="E200" t="s">
        <v>345</v>
      </c>
      <c r="F200" s="111" t="s">
        <v>108</v>
      </c>
      <c r="J200" s="4" t="s">
        <v>286</v>
      </c>
      <c r="K200" s="14">
        <v>1496025</v>
      </c>
      <c r="L200" s="14"/>
    </row>
    <row r="201" spans="1:12" x14ac:dyDescent="0.3">
      <c r="A201" s="116">
        <v>46021</v>
      </c>
      <c r="B201" t="s">
        <v>229</v>
      </c>
      <c r="C201" s="11">
        <v>5000</v>
      </c>
      <c r="D201" s="11"/>
      <c r="E201" t="s">
        <v>345</v>
      </c>
      <c r="F201" s="111" t="s">
        <v>108</v>
      </c>
      <c r="J201" s="4" t="s">
        <v>302</v>
      </c>
      <c r="K201" s="14"/>
      <c r="L201" s="14">
        <v>162500</v>
      </c>
    </row>
    <row r="202" spans="1:12" x14ac:dyDescent="0.3">
      <c r="A202" s="38">
        <v>46021</v>
      </c>
      <c r="B202" t="s">
        <v>50</v>
      </c>
      <c r="C202" s="11">
        <v>1000</v>
      </c>
      <c r="D202" s="11"/>
      <c r="E202" t="s">
        <v>345</v>
      </c>
      <c r="F202" s="111" t="s">
        <v>108</v>
      </c>
      <c r="J202" s="4" t="s">
        <v>410</v>
      </c>
      <c r="K202" s="14"/>
      <c r="L202" s="14">
        <v>412584</v>
      </c>
    </row>
    <row r="203" spans="1:12" x14ac:dyDescent="0.3">
      <c r="A203" s="116">
        <v>46021</v>
      </c>
      <c r="B203" t="s">
        <v>177</v>
      </c>
      <c r="C203" s="11">
        <v>3600</v>
      </c>
      <c r="D203" s="11"/>
      <c r="E203" t="s">
        <v>218</v>
      </c>
      <c r="F203" s="111" t="s">
        <v>108</v>
      </c>
      <c r="J203" s="4" t="s">
        <v>437</v>
      </c>
      <c r="K203" s="14">
        <v>200000</v>
      </c>
      <c r="L203" s="14"/>
    </row>
    <row r="204" spans="1:12" x14ac:dyDescent="0.3">
      <c r="A204" s="38">
        <v>46021</v>
      </c>
      <c r="B204" t="s">
        <v>192</v>
      </c>
      <c r="C204" s="11">
        <v>200000</v>
      </c>
      <c r="D204" s="11"/>
      <c r="E204" t="s">
        <v>346</v>
      </c>
      <c r="F204" s="111" t="s">
        <v>108</v>
      </c>
      <c r="J204" s="4" t="s">
        <v>28</v>
      </c>
      <c r="K204" s="14">
        <v>27301414</v>
      </c>
      <c r="L204" s="14">
        <v>27068414</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34">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34">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135">
        <v>46035</v>
      </c>
      <c r="B426" s="136" t="s">
        <v>326</v>
      </c>
      <c r="C426" s="96"/>
      <c r="D426" s="96">
        <v>190000</v>
      </c>
      <c r="E426" s="136" t="s">
        <v>492</v>
      </c>
      <c r="F426" s="137" t="s">
        <v>108</v>
      </c>
      <c r="G426" s="136"/>
      <c r="J426">
        <v>11000</v>
      </c>
      <c r="L426">
        <v>14300</v>
      </c>
      <c r="M426">
        <v>20000</v>
      </c>
      <c r="O426">
        <v>22800</v>
      </c>
    </row>
    <row r="427" spans="1:15" x14ac:dyDescent="0.3">
      <c r="A427" s="135">
        <v>46035</v>
      </c>
      <c r="B427" s="136" t="s">
        <v>177</v>
      </c>
      <c r="C427" s="96">
        <v>4500</v>
      </c>
      <c r="D427" s="96"/>
      <c r="E427" s="136" t="s">
        <v>493</v>
      </c>
      <c r="F427" s="137" t="s">
        <v>108</v>
      </c>
      <c r="G427" s="136"/>
      <c r="J427">
        <v>17000</v>
      </c>
      <c r="L427">
        <v>16500</v>
      </c>
      <c r="M427">
        <v>38400</v>
      </c>
      <c r="O427">
        <v>20000</v>
      </c>
    </row>
    <row r="428" spans="1:15" x14ac:dyDescent="0.3">
      <c r="A428" s="135">
        <v>46035</v>
      </c>
      <c r="B428" s="136" t="s">
        <v>222</v>
      </c>
      <c r="C428" s="96">
        <v>400</v>
      </c>
      <c r="D428" s="96"/>
      <c r="E428" s="136"/>
      <c r="F428" s="137" t="s">
        <v>108</v>
      </c>
      <c r="G428" s="136"/>
      <c r="J428">
        <v>10000</v>
      </c>
      <c r="L428">
        <v>17500</v>
      </c>
      <c r="M428">
        <v>12300</v>
      </c>
      <c r="O428">
        <v>18300</v>
      </c>
    </row>
    <row r="429" spans="1:15" x14ac:dyDescent="0.3">
      <c r="A429" s="135">
        <v>46035</v>
      </c>
      <c r="B429" s="136" t="s">
        <v>54</v>
      </c>
      <c r="C429" s="96">
        <v>350</v>
      </c>
      <c r="D429" s="96"/>
      <c r="E429" s="136" t="s">
        <v>494</v>
      </c>
      <c r="F429" s="137" t="s">
        <v>108</v>
      </c>
      <c r="G429" s="136"/>
      <c r="J429">
        <v>80000</v>
      </c>
      <c r="L429">
        <v>17500</v>
      </c>
      <c r="M429">
        <v>17300</v>
      </c>
      <c r="O429">
        <v>15000</v>
      </c>
    </row>
    <row r="430" spans="1:15" x14ac:dyDescent="0.3">
      <c r="A430" s="135"/>
      <c r="B430" s="136"/>
      <c r="C430" s="96"/>
      <c r="D430" s="96"/>
      <c r="E430" s="136"/>
      <c r="F430" s="137"/>
      <c r="G430" s="136"/>
      <c r="J430">
        <v>20000</v>
      </c>
      <c r="L430">
        <v>17500</v>
      </c>
      <c r="M430">
        <v>5100</v>
      </c>
      <c r="O430">
        <v>11000</v>
      </c>
    </row>
    <row r="431" spans="1:15" x14ac:dyDescent="0.3">
      <c r="A431" s="134"/>
      <c r="C431" s="11"/>
      <c r="D431" s="11"/>
      <c r="F431" s="111"/>
      <c r="L431">
        <v>3300</v>
      </c>
      <c r="M431">
        <v>8350</v>
      </c>
      <c r="O431">
        <v>35000</v>
      </c>
    </row>
    <row r="432" spans="1:15" x14ac:dyDescent="0.3">
      <c r="A432" s="134"/>
      <c r="C432" s="11"/>
      <c r="D432" s="11"/>
      <c r="F432" s="111"/>
      <c r="L432">
        <v>5830</v>
      </c>
      <c r="M432">
        <v>9850</v>
      </c>
      <c r="O432">
        <v>7000</v>
      </c>
    </row>
    <row r="433" spans="1:15" x14ac:dyDescent="0.3">
      <c r="A433" s="135"/>
      <c r="B433" s="136"/>
      <c r="C433" s="96"/>
      <c r="D433" s="96"/>
      <c r="E433" s="136"/>
      <c r="F433" s="137"/>
      <c r="G433" s="136"/>
      <c r="L433">
        <v>7000</v>
      </c>
      <c r="M433">
        <v>20000</v>
      </c>
      <c r="O433">
        <v>5850</v>
      </c>
    </row>
    <row r="434" spans="1:15" x14ac:dyDescent="0.3">
      <c r="A434" s="38"/>
      <c r="C434" s="14">
        <f>SUBTOTAL(109,Table14[Debit])</f>
        <v>27068414</v>
      </c>
      <c r="D434" s="14">
        <f>SUBTOTAL(109,Table14[Credit])</f>
        <v>27301414</v>
      </c>
      <c r="F434" s="54">
        <f>(Table14[[#Totals],[Credit]]-Table14[[#Totals],[Debit]])</f>
        <v>233000</v>
      </c>
      <c r="L434">
        <v>5332</v>
      </c>
      <c r="O434">
        <v>3300</v>
      </c>
    </row>
    <row r="435" spans="1:15" x14ac:dyDescent="0.3">
      <c r="L435">
        <v>35000</v>
      </c>
      <c r="O435">
        <v>17500</v>
      </c>
    </row>
    <row r="436" spans="1:15" x14ac:dyDescent="0.3">
      <c r="L436">
        <v>11000</v>
      </c>
      <c r="M436">
        <v>17000</v>
      </c>
      <c r="O436">
        <v>17500</v>
      </c>
    </row>
    <row r="437" spans="1:15" x14ac:dyDescent="0.3">
      <c r="L437">
        <v>17460</v>
      </c>
      <c r="M437">
        <v>22000</v>
      </c>
      <c r="O437">
        <v>17500</v>
      </c>
    </row>
    <row r="438" spans="1:15" x14ac:dyDescent="0.3">
      <c r="L438">
        <v>11640</v>
      </c>
      <c r="O438">
        <v>16500</v>
      </c>
    </row>
    <row r="439" spans="1:15" x14ac:dyDescent="0.3">
      <c r="L439">
        <v>10800</v>
      </c>
      <c r="O439">
        <v>14300</v>
      </c>
    </row>
    <row r="440" spans="1:15" x14ac:dyDescent="0.3">
      <c r="L440">
        <v>17000</v>
      </c>
      <c r="O440">
        <v>15000</v>
      </c>
    </row>
    <row r="441" spans="1:15" x14ac:dyDescent="0.3">
      <c r="O441">
        <v>22650</v>
      </c>
    </row>
    <row r="442" spans="1:15" x14ac:dyDescent="0.3">
      <c r="O442">
        <v>20000</v>
      </c>
    </row>
    <row r="443" spans="1:15" x14ac:dyDescent="0.3">
      <c r="O443">
        <v>15600</v>
      </c>
    </row>
    <row r="444" spans="1:15" x14ac:dyDescent="0.3">
      <c r="O444">
        <v>15000</v>
      </c>
    </row>
    <row r="445" spans="1:15" x14ac:dyDescent="0.3">
      <c r="O445">
        <v>400</v>
      </c>
    </row>
    <row r="446" spans="1:15" x14ac:dyDescent="0.3">
      <c r="O446">
        <v>20000</v>
      </c>
    </row>
    <row r="447" spans="1:15" x14ac:dyDescent="0.3">
      <c r="O447">
        <v>30000</v>
      </c>
    </row>
    <row r="448" spans="1: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I19" sqref="I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8"/>
      <c r="M10" s="138">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8">
        <v>183750</v>
      </c>
      <c r="M11" s="138">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8">
        <v>111250</v>
      </c>
      <c r="M12" s="138">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8">
        <v>84000</v>
      </c>
      <c r="M13" s="138">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8">
        <v>162500</v>
      </c>
      <c r="M14" s="138">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8">
        <v>111000</v>
      </c>
      <c r="M15" s="138">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8">
        <v>180250</v>
      </c>
      <c r="M16" s="138">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8"/>
      <c r="M17" s="138">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8">
        <v>187000</v>
      </c>
      <c r="M18" s="13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s="138">
        <v>231750</v>
      </c>
      <c r="M19" s="138">
        <v>111250</v>
      </c>
    </row>
    <row r="20" spans="1:13" x14ac:dyDescent="0.3">
      <c r="G20">
        <f>SUMIFS(Table14[Debit], Table14[Date], Table8[[#This Row],[Date]], Table14[Party], Table8[[#This Row],[Party]])</f>
        <v>0</v>
      </c>
      <c r="H20">
        <f>Table8[[#This Row],[Price]]-Table8[[#This Row],[Paid]]</f>
        <v>0</v>
      </c>
      <c r="K20" s="26">
        <v>46029</v>
      </c>
      <c r="L20" s="138"/>
      <c r="M20" s="138">
        <v>-218250</v>
      </c>
    </row>
    <row r="21" spans="1:13" x14ac:dyDescent="0.3">
      <c r="G21">
        <f>SUMIFS(Table14[Debit], Table14[Date], Table8[[#This Row],[Date]], Table14[Party], Table8[[#This Row],[Party]])</f>
        <v>0</v>
      </c>
      <c r="H21">
        <f>Table8[[#This Row],[Price]]-Table8[[#This Row],[Paid]]</f>
        <v>0</v>
      </c>
      <c r="K21" s="26">
        <v>46031</v>
      </c>
      <c r="L21" s="138">
        <v>110375</v>
      </c>
      <c r="M21" s="138">
        <v>43500</v>
      </c>
    </row>
    <row r="22" spans="1:13" x14ac:dyDescent="0.3">
      <c r="G22">
        <f>SUMIFS(Table14[Debit], Table14[Date], Table8[[#This Row],[Date]], Table14[Party], Table8[[#This Row],[Party]])</f>
        <v>0</v>
      </c>
      <c r="H22">
        <f>Table8[[#This Row],[Price]]-Table8[[#This Row],[Paid]]</f>
        <v>0</v>
      </c>
      <c r="K22" s="26">
        <v>46034</v>
      </c>
      <c r="L22" s="138"/>
      <c r="M22" s="138">
        <v>-43500</v>
      </c>
    </row>
    <row r="23" spans="1:13" x14ac:dyDescent="0.3">
      <c r="G23">
        <f>SUMIFS(Table14[Debit], Table14[Date], Table8[[#This Row],[Date]], Table14[Party], Table8[[#This Row],[Party]])</f>
        <v>0</v>
      </c>
      <c r="H23">
        <f>Table8[[#This Row],[Price]]-Table8[[#This Row],[Paid]]</f>
        <v>0</v>
      </c>
      <c r="K23" s="4" t="s">
        <v>103</v>
      </c>
      <c r="L23" s="138"/>
      <c r="M23" s="138">
        <v>0</v>
      </c>
    </row>
    <row r="24" spans="1:13" x14ac:dyDescent="0.3">
      <c r="E24">
        <f>SUBTOTAL(109,Table8[Price])</f>
        <v>1361875</v>
      </c>
      <c r="H24">
        <f>SUBTOTAL(109,Table8[Balance])</f>
        <v>0</v>
      </c>
      <c r="K24" s="4" t="s">
        <v>28</v>
      </c>
      <c r="L24" s="138">
        <v>1361875</v>
      </c>
      <c r="M24" s="138">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s="138">
        <v>0</v>
      </c>
      <c r="L5" s="138">
        <v>268000</v>
      </c>
      <c r="M5" s="138">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s="138">
        <v>0</v>
      </c>
      <c r="L6" s="138">
        <v>0</v>
      </c>
      <c r="M6" s="138">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s="138">
        <v>0</v>
      </c>
      <c r="L7" s="138">
        <v>0</v>
      </c>
      <c r="M7" s="138">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s="138">
        <v>351000</v>
      </c>
      <c r="L8" s="138">
        <v>351000</v>
      </c>
      <c r="M8" s="138">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s="138">
        <v>0</v>
      </c>
      <c r="L9" s="138">
        <v>0</v>
      </c>
      <c r="M9" s="138">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s="138">
        <v>351000</v>
      </c>
      <c r="L10" s="138">
        <v>619000</v>
      </c>
      <c r="M10" s="138">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1500687</v>
      </c>
      <c r="C2" s="32">
        <f>GETPIVOTDATA("Sum of Tiyaar/gaz",$A$3)</f>
        <v>1533754.8824</v>
      </c>
      <c r="D2" s="31">
        <f>((B2*48)+((C2/1.0936)*10))/C2</f>
        <v>56.109227213593435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23397</v>
      </c>
      <c r="D58" s="28">
        <f t="shared" si="19"/>
        <v>107.99575883952636</v>
      </c>
      <c r="E58" s="11">
        <f t="shared" si="20"/>
        <v>52694.022399999994</v>
      </c>
      <c r="F58" s="11">
        <f t="shared" si="21"/>
        <v>23397</v>
      </c>
      <c r="G58" s="78">
        <f t="shared" si="22"/>
        <v>55.598379219575385</v>
      </c>
      <c r="H58" s="28">
        <f t="shared" si="23"/>
        <v>21394.476956839797</v>
      </c>
      <c r="I58" s="28">
        <f t="shared" si="24"/>
        <v>107.99575883952636</v>
      </c>
    </row>
    <row r="59" spans="1:9" x14ac:dyDescent="0.3">
      <c r="A59" s="16" t="s">
        <v>28</v>
      </c>
      <c r="B59" s="30">
        <v>80202</v>
      </c>
      <c r="C59" s="30">
        <v>1533754.8824</v>
      </c>
      <c r="D59" s="28">
        <f t="shared" ref="D59:D73" si="25">I59</f>
        <v>11.654092444400273</v>
      </c>
      <c r="E59" s="11">
        <f t="shared" ref="E59:E73" si="26">B59 * 1.0936</f>
        <v>87708.907199999987</v>
      </c>
      <c r="F59" s="11">
        <f t="shared" ref="F59:F73" si="27">C59</f>
        <v>1533754.8824</v>
      </c>
      <c r="G59" s="78">
        <f t="shared" ref="G59:G73" si="28">100- (F59/E59 *100)</f>
        <v>-1648.687711845075</v>
      </c>
      <c r="H59" s="28">
        <f t="shared" ref="H59:H73" si="29">F59/1.0936</f>
        <v>1402482.518653987</v>
      </c>
      <c r="I59" s="28">
        <f t="shared" ref="I59:I73" si="30">((B59*48)+(H59*10))/C59</f>
        <v>11.654092444400273</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413124</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4805962</v>
      </c>
      <c r="C3" s="103">
        <f>Billing!AE6</f>
        <v>389357.12948061526</v>
      </c>
    </row>
    <row r="4" spans="1:3" ht="21" x14ac:dyDescent="0.4">
      <c r="A4" s="102" t="str">
        <f>Billing!Q7</f>
        <v>Arshad</v>
      </c>
      <c r="B4" s="105">
        <f>Billing!AD7</f>
        <v>7535501</v>
      </c>
      <c r="C4" s="104">
        <f>Billing!AE7</f>
        <v>360684.07681053504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1496025</v>
      </c>
      <c r="C21" s="103">
        <f>Billing!AE24</f>
        <v>152448.84784198995</v>
      </c>
    </row>
    <row r="22" spans="1:3" ht="21" x14ac:dyDescent="0.4">
      <c r="A22" s="102" t="str">
        <f>Billing!Q25</f>
        <v>Shahid Qasayi</v>
      </c>
      <c r="B22" s="105">
        <f>Billing!AD25</f>
        <v>2461895</v>
      </c>
      <c r="C22" s="103">
        <f>Billing!AE25</f>
        <v>215950.6474030721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200000</v>
      </c>
      <c r="C28" s="103">
        <f>Billing!AE31</f>
        <v>304069.1294806145</v>
      </c>
    </row>
  </sheetData>
  <conditionalFormatting sqref="C2:C28">
    <cfRule type="cellIs" dxfId="49" priority="1" operator="lessThan">
      <formula>10</formula>
    </cfRule>
  </conditionalFormatting>
  <conditionalFormatting sqref="C2:C29">
    <cfRule type="cellIs" dxfId="48"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2026-01-13T20:58:31Z</dcterms:modified>
  <cp:category/>
  <cp:contentStatus/>
</cp:coreProperties>
</file>