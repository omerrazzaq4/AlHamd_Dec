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62" documentId="13_ncr:1_{89B07303-4F83-4416-81AD-F450F7417961}" xr6:coauthVersionLast="47" xr6:coauthVersionMax="47" xr10:uidLastSave="{51568E05-6D51-407F-BCD8-A2B3D5413EA6}"/>
  <bookViews>
    <workbookView xWindow="-108" yWindow="-108" windowWidth="23256" windowHeight="12456" tabRatio="597"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6" l="1"/>
  <c r="I130" i="1"/>
  <c r="J130" i="1" s="1" a="1"/>
  <c r="J130" i="1" s="1"/>
  <c r="I131" i="1"/>
  <c r="J131" i="1" s="1" a="1"/>
  <c r="J131" i="1" s="1"/>
  <c r="I132" i="1"/>
  <c r="J132" i="1" a="1"/>
  <c r="J132" i="1" s="1"/>
  <c r="I133" i="1"/>
  <c r="J133" i="1" s="1" a="1"/>
  <c r="J133" i="1" s="1"/>
  <c r="I134" i="1"/>
  <c r="J134" i="1" a="1"/>
  <c r="J134" i="1" s="1"/>
  <c r="F112" i="1"/>
  <c r="F116" i="1"/>
  <c r="F124" i="1"/>
  <c r="H84" i="6"/>
  <c r="I84" i="6" s="1"/>
  <c r="H83" i="6"/>
  <c r="I83" i="6" s="1"/>
  <c r="G83" i="6"/>
  <c r="G84" i="6"/>
  <c r="G85" i="6"/>
  <c r="G86" i="6"/>
  <c r="G87" i="6"/>
  <c r="G88" i="6"/>
  <c r="G89" i="6"/>
  <c r="G90" i="6"/>
  <c r="I85" i="6"/>
  <c r="I86" i="6"/>
  <c r="I87" i="6"/>
  <c r="I88" i="6"/>
  <c r="I89" i="6"/>
  <c r="I90" i="6"/>
  <c r="G101" i="1" l="1"/>
  <c r="G100" i="1"/>
  <c r="I69" i="1"/>
  <c r="J69" i="1" a="1"/>
  <c r="J69" i="1" s="1"/>
  <c r="H44" i="6"/>
  <c r="I44" i="6" s="1"/>
  <c r="I118" i="1"/>
  <c r="J118" i="1" s="1" a="1"/>
  <c r="J118" i="1" s="1"/>
  <c r="I119" i="1"/>
  <c r="J119" i="1" a="1"/>
  <c r="J119" i="1" s="1"/>
  <c r="I120" i="1"/>
  <c r="J120" i="1" a="1"/>
  <c r="J120" i="1" s="1"/>
  <c r="I121" i="1"/>
  <c r="J121" i="1" a="1"/>
  <c r="J121" i="1" s="1"/>
  <c r="I122" i="1"/>
  <c r="J122" i="1" a="1"/>
  <c r="J122" i="1" s="1"/>
  <c r="I123" i="1"/>
  <c r="J123" i="1" s="1" a="1"/>
  <c r="J123" i="1" s="1"/>
  <c r="I124" i="1"/>
  <c r="J124" i="1" a="1"/>
  <c r="J124" i="1" s="1"/>
  <c r="I125" i="1"/>
  <c r="J125" i="1" s="1" a="1"/>
  <c r="J125" i="1" s="1"/>
  <c r="I126" i="1"/>
  <c r="J126" i="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C12" i="10" s="1"/>
  <c r="D2" i="17"/>
  <c r="B4" i="21"/>
  <c r="H53" i="6"/>
  <c r="I53" i="6" s="1"/>
  <c r="H52" i="6"/>
  <c r="I52" i="6" s="1"/>
  <c r="G54" i="6"/>
  <c r="G55" i="6"/>
  <c r="I54" i="6"/>
  <c r="I55" i="6"/>
  <c r="G51" i="6"/>
  <c r="G52" i="6"/>
  <c r="G53" i="6"/>
  <c r="I51"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C334" i="17" s="1"/>
  <c r="K4" i="17" s="1"/>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s="1" a="1"/>
  <c r="X33" i="9" s="1"/>
  <c r="J112" i="9"/>
  <c r="N112" i="9" s="1"/>
  <c r="P112" i="9" s="1"/>
  <c r="K112" i="9"/>
  <c r="Z33" i="9" s="1" a="1"/>
  <c r="Z33" i="9" s="1"/>
  <c r="L112" i="9"/>
  <c r="AA33" i="9" a="1"/>
  <c r="AA33" i="9" s="1"/>
  <c r="M112" i="9"/>
  <c r="AB33" i="9" a="1"/>
  <c r="AB33" i="9" s="1"/>
  <c r="C113" i="9"/>
  <c r="D113" i="9"/>
  <c r="S34" i="9" s="1" a="1"/>
  <c r="S34" i="9" s="1"/>
  <c r="E113" i="9"/>
  <c r="F113" i="9"/>
  <c r="G113" i="9"/>
  <c r="V34" i="9" s="1" a="1"/>
  <c r="V34" i="9" s="1"/>
  <c r="H113" i="9"/>
  <c r="I113" i="9"/>
  <c r="X34" i="9" s="1" a="1"/>
  <c r="X34" i="9" s="1"/>
  <c r="J113" i="9"/>
  <c r="Y34" i="9" s="1" a="1"/>
  <c r="Y34" i="9" s="1"/>
  <c r="K113" i="9"/>
  <c r="Z34" i="9" s="1" a="1"/>
  <c r="Z34" i="9" s="1"/>
  <c r="L113" i="9"/>
  <c r="AA34" i="9" s="1" a="1"/>
  <c r="AA34" i="9" s="1"/>
  <c r="M113" i="9"/>
  <c r="C114" i="9"/>
  <c r="D114" i="9"/>
  <c r="S35" i="9" a="1"/>
  <c r="S35" i="9" s="1"/>
  <c r="E114" i="9"/>
  <c r="T35" i="9" s="1" a="1"/>
  <c r="T35" i="9" s="1"/>
  <c r="F114" i="9"/>
  <c r="G114" i="9"/>
  <c r="H114" i="9"/>
  <c r="W35" i="9" s="1" a="1"/>
  <c r="W35" i="9" s="1"/>
  <c r="I114" i="9"/>
  <c r="X35" i="9" a="1"/>
  <c r="X35" i="9" s="1"/>
  <c r="J114" i="9"/>
  <c r="Y35" i="9" s="1" a="1"/>
  <c r="Y35" i="9" s="1"/>
  <c r="K114" i="9"/>
  <c r="Z35" i="9" s="1" a="1"/>
  <c r="Z35" i="9" s="1"/>
  <c r="L114" i="9"/>
  <c r="AA35" i="9" a="1"/>
  <c r="AA35" i="9" s="1"/>
  <c r="M114" i="9"/>
  <c r="AB35" i="9" s="1" a="1"/>
  <c r="AB35" i="9" s="1"/>
  <c r="C115" i="9"/>
  <c r="D115" i="9"/>
  <c r="E115" i="9"/>
  <c r="F115" i="9"/>
  <c r="G115" i="9"/>
  <c r="V36" i="9" a="1"/>
  <c r="V36" i="9" s="1"/>
  <c r="H115" i="9"/>
  <c r="W36" i="9"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25"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s="1"/>
  <c r="H129" i="1" s="1"/>
  <c r="E46" i="2"/>
  <c r="F46" i="2"/>
  <c r="E47" i="2"/>
  <c r="F47" i="2"/>
  <c r="H47" i="2" s="1"/>
  <c r="I47" i="2" s="1"/>
  <c r="D47" i="2" s="1"/>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G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G5" i="2" s="1"/>
  <c r="E34" i="2"/>
  <c r="F34" i="2"/>
  <c r="F18" i="2"/>
  <c r="E18" i="2"/>
  <c r="E35" i="2"/>
  <c r="F35" i="2"/>
  <c r="H35" i="2" s="1"/>
  <c r="I35" i="2" s="1"/>
  <c r="D35" i="2" s="1"/>
  <c r="E36" i="2"/>
  <c r="G36" i="2" s="1"/>
  <c r="H117" i="1" s="1"/>
  <c r="F36" i="2"/>
  <c r="F22" i="2"/>
  <c r="H22" i="2" s="1"/>
  <c r="I22" i="2" s="1"/>
  <c r="D22" i="2" s="1"/>
  <c r="E22" i="2"/>
  <c r="F7" i="2"/>
  <c r="H7" i="2" s="1"/>
  <c r="I7" i="2" s="1"/>
  <c r="D7" i="2" s="1"/>
  <c r="E7" i="2"/>
  <c r="E37" i="2"/>
  <c r="F37" i="2"/>
  <c r="H37" i="2" s="1"/>
  <c r="I37" i="2" s="1"/>
  <c r="D37" i="2" s="1"/>
  <c r="E39" i="2"/>
  <c r="F39" i="2"/>
  <c r="E40" i="2"/>
  <c r="F40" i="2"/>
  <c r="H40" i="2" s="1"/>
  <c r="I40" i="2" s="1"/>
  <c r="D40" i="2" s="1"/>
  <c r="E41" i="2"/>
  <c r="F41" i="2"/>
  <c r="H41" i="2" s="1"/>
  <c r="I41" i="2" s="1"/>
  <c r="D41" i="2" s="1"/>
  <c r="E42" i="2"/>
  <c r="F42" i="2"/>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H30" i="2" s="1"/>
  <c r="I30" i="2" s="1"/>
  <c r="D30" i="2" s="1"/>
  <c r="F31" i="2"/>
  <c r="H31" i="2" s="1"/>
  <c r="I31" i="2" s="1"/>
  <c r="D31" i="2" s="1"/>
  <c r="E31" i="2"/>
  <c r="G31" i="2" s="1"/>
  <c r="H110" i="1" s="1"/>
  <c r="H43" i="1"/>
  <c r="F32" i="2"/>
  <c r="H32" i="2" s="1"/>
  <c r="I32" i="2" s="1"/>
  <c r="D32" i="2" s="1"/>
  <c r="F14" i="2"/>
  <c r="G14" i="2" s="1"/>
  <c r="E14" i="2"/>
  <c r="E30" i="2"/>
  <c r="E32" i="2"/>
  <c r="N4" i="17"/>
  <c r="F12" i="2"/>
  <c r="E12" i="2"/>
  <c r="G12" i="2" s="1"/>
  <c r="F11" i="2"/>
  <c r="H11" i="2" s="1"/>
  <c r="I11" i="2" s="1"/>
  <c r="E11" i="2"/>
  <c r="G11" i="2" s="1"/>
  <c r="H78" i="1" s="1"/>
  <c r="E17" i="2"/>
  <c r="F17" i="2"/>
  <c r="F9" i="2"/>
  <c r="E9" i="2"/>
  <c r="E8" i="2"/>
  <c r="F8" i="2"/>
  <c r="H8" i="2" s="1"/>
  <c r="I8" i="2" s="1"/>
  <c r="D8" i="2" s="1"/>
  <c r="E10" i="2"/>
  <c r="E4" i="2"/>
  <c r="G4" i="2" s="1"/>
  <c r="C8" i="8"/>
  <c r="F10" i="2"/>
  <c r="H10" i="2" s="1"/>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H65" i="2"/>
  <c r="I65" i="2"/>
  <c r="D65" i="2"/>
  <c r="H88" i="2"/>
  <c r="I88" i="2"/>
  <c r="D88" i="2"/>
  <c r="G4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H45" i="2"/>
  <c r="I45" i="2" s="1"/>
  <c r="D45" i="2" s="1"/>
  <c r="G43" i="2"/>
  <c r="H126" i="1"/>
  <c r="G44" i="2"/>
  <c r="H127" i="1" s="1"/>
  <c r="I81" i="6"/>
  <c r="P56" i="7"/>
  <c r="C5" i="8"/>
  <c r="E48" i="7"/>
  <c r="H36" i="2"/>
  <c r="I36" i="2" s="1"/>
  <c r="D36" i="2" s="1"/>
  <c r="X36" i="9" a="1"/>
  <c r="X36" i="9" s="1"/>
  <c r="AB34" i="9" a="1"/>
  <c r="AB34" i="9" s="1"/>
  <c r="G35" i="2"/>
  <c r="H115" i="1"/>
  <c r="H34" i="2"/>
  <c r="I34" i="2"/>
  <c r="D34" i="2" s="1"/>
  <c r="G33" i="2"/>
  <c r="H112" i="1" s="1"/>
  <c r="G32" i="2"/>
  <c r="H111" i="1" s="1"/>
  <c r="G27" i="2"/>
  <c r="G6" i="2"/>
  <c r="H103" i="1" s="1"/>
  <c r="G17" i="2"/>
  <c r="H81" i="1" s="1"/>
  <c r="G29" i="2"/>
  <c r="H106" i="1" s="1"/>
  <c r="G8" i="2"/>
  <c r="H71" i="1" s="1"/>
  <c r="G9" i="2"/>
  <c r="H66" i="1" s="1"/>
  <c r="G19" i="2"/>
  <c r="H84" i="1" s="1"/>
  <c r="G25" i="2"/>
  <c r="H95" i="1" s="1"/>
  <c r="G26" i="2"/>
  <c r="H94" i="1" s="1"/>
  <c r="G18" i="2"/>
  <c r="H83" i="1" s="1"/>
  <c r="G23" i="2"/>
  <c r="H91" i="1" s="1"/>
  <c r="G21" i="2"/>
  <c r="H18" i="2"/>
  <c r="I18" i="2" s="1"/>
  <c r="D18" i="2" s="1"/>
  <c r="H17" i="2"/>
  <c r="I17" i="2" s="1"/>
  <c r="D17" i="2" s="1"/>
  <c r="H9" i="2"/>
  <c r="I9" i="2" s="1"/>
  <c r="D9" i="2" s="1"/>
  <c r="H12" i="2"/>
  <c r="I12" i="2"/>
  <c r="D12" i="2" s="1"/>
  <c r="B3" i="21"/>
  <c r="B15" i="21"/>
  <c r="B5" i="21"/>
  <c r="B22" i="21"/>
  <c r="B13" i="21"/>
  <c r="B26" i="21"/>
  <c r="B24" i="21"/>
  <c r="AD33" i="9"/>
  <c r="B27" i="21"/>
  <c r="B2" i="21"/>
  <c r="O114" i="9"/>
  <c r="AD35" i="9"/>
  <c r="B23" i="21"/>
  <c r="O115" i="9"/>
  <c r="O113" i="9"/>
  <c r="B9" i="21"/>
  <c r="B11" i="21"/>
  <c r="B6" i="21"/>
  <c r="B19" i="21"/>
  <c r="B12" i="21"/>
  <c r="B17" i="21"/>
  <c r="B7" i="21"/>
  <c r="B20" i="21"/>
  <c r="B8" i="21"/>
  <c r="B18" i="21"/>
  <c r="B25" i="21"/>
  <c r="B16" i="21"/>
  <c r="H97" i="1"/>
  <c r="H86" i="1"/>
  <c r="AD34" i="9"/>
  <c r="H98" i="1"/>
  <c r="AD36" i="9"/>
  <c r="C2" i="2"/>
  <c r="G47" i="2" l="1"/>
  <c r="G46" i="2"/>
  <c r="H133" i="1" s="1"/>
  <c r="H14" i="2"/>
  <c r="I14" i="2" s="1"/>
  <c r="D14" i="2" s="1"/>
  <c r="G40" i="2"/>
  <c r="H130" i="1" s="1"/>
  <c r="G39" i="2"/>
  <c r="H72" i="1"/>
  <c r="H64" i="1"/>
  <c r="G37" i="2"/>
  <c r="H118" i="1" s="1"/>
  <c r="G42" i="2"/>
  <c r="H24" i="2"/>
  <c r="I24" i="2" s="1"/>
  <c r="D24" i="2" s="1"/>
  <c r="H61" i="1"/>
  <c r="H74" i="1"/>
  <c r="H65" i="1"/>
  <c r="H131" i="1"/>
  <c r="H120" i="1"/>
  <c r="H124" i="1"/>
  <c r="H39" i="2"/>
  <c r="I39" i="2" s="1"/>
  <c r="D39" i="2" s="1"/>
  <c r="H46" i="2"/>
  <c r="I46" i="2" s="1"/>
  <c r="D46" i="2" s="1"/>
  <c r="H73" i="1"/>
  <c r="H89" i="1"/>
  <c r="G10" i="2"/>
  <c r="H60" i="1" s="1"/>
  <c r="H42" i="2"/>
  <c r="I42" i="2" s="1"/>
  <c r="D42" i="2" s="1"/>
  <c r="G38" i="2"/>
  <c r="H119" i="1" s="1"/>
  <c r="G20" i="2"/>
  <c r="H85" i="1" s="1"/>
  <c r="G22" i="2"/>
  <c r="G34" i="2"/>
  <c r="H113" i="1" s="1"/>
  <c r="H114" i="1"/>
  <c r="G15" i="2"/>
  <c r="G7" i="2"/>
  <c r="H70" i="1"/>
  <c r="H96" i="1"/>
  <c r="H93" i="1"/>
  <c r="H68" i="1"/>
  <c r="H101" i="1"/>
  <c r="H100" i="1"/>
  <c r="H90" i="1"/>
  <c r="H121" i="1"/>
  <c r="H125" i="1"/>
  <c r="H123" i="1"/>
  <c r="H82" i="1"/>
  <c r="H75" i="1"/>
  <c r="H80" i="1"/>
  <c r="H76" i="1"/>
  <c r="H62" i="1"/>
  <c r="H63" i="1"/>
  <c r="H99" i="1"/>
  <c r="G28" i="2"/>
  <c r="H132" i="1"/>
  <c r="H134" i="1"/>
  <c r="H20" i="2"/>
  <c r="I20" i="2" s="1"/>
  <c r="D20" i="2" s="1"/>
  <c r="H109" i="1"/>
  <c r="G13" i="2"/>
  <c r="H77" i="1"/>
  <c r="H116" i="1"/>
  <c r="H128" i="1"/>
  <c r="G16" i="2"/>
  <c r="H79" i="1" s="1"/>
  <c r="G30" i="2"/>
  <c r="K70" i="9" a="1"/>
  <c r="K70" i="9" s="1"/>
  <c r="J76" i="9" a="1"/>
  <c r="J76" i="9" s="1"/>
  <c r="I111" i="9"/>
  <c r="L111" i="9"/>
  <c r="AA32" i="9" s="1" a="1"/>
  <c r="AA32" i="9" s="1"/>
  <c r="O111" i="9"/>
  <c r="AD32" i="9" s="1"/>
  <c r="X32" i="9" a="1"/>
  <c r="X32" i="9" s="1"/>
  <c r="O76" i="9"/>
  <c r="J111" i="9"/>
  <c r="Y32" i="9" s="1" a="1"/>
  <c r="Y32" i="9" s="1"/>
  <c r="M111" i="9"/>
  <c r="AB32" i="9" s="1" a="1"/>
  <c r="AB32" i="9" s="1"/>
  <c r="E111" i="9"/>
  <c r="T32" i="9" s="1" a="1"/>
  <c r="T32" i="9" s="1"/>
  <c r="I76" i="9" a="1"/>
  <c r="I76" i="9" s="1"/>
  <c r="H111" i="9"/>
  <c r="L76" i="9" a="1"/>
  <c r="L76" i="9" s="1"/>
  <c r="K76" i="9" a="1"/>
  <c r="K76" i="9" s="1"/>
  <c r="F111" i="9"/>
  <c r="U32" i="9" s="1" a="1"/>
  <c r="U32" i="9" s="1"/>
  <c r="G76" i="9" a="1"/>
  <c r="G76" i="9" s="1"/>
  <c r="H76" i="9" a="1"/>
  <c r="H76" i="9" s="1"/>
  <c r="W32" i="9" a="1"/>
  <c r="W32" i="9" s="1"/>
  <c r="D111" i="9"/>
  <c r="S32" i="9" s="1" a="1"/>
  <c r="S32" i="9" s="1"/>
  <c r="C111" i="9"/>
  <c r="G111" i="9"/>
  <c r="V32" i="9" s="1" a="1"/>
  <c r="V32" i="9" s="1"/>
  <c r="R32" i="9" a="1"/>
  <c r="R32" i="9" s="1"/>
  <c r="M76" i="9" a="1"/>
  <c r="M76" i="9" s="1"/>
  <c r="K111" i="9"/>
  <c r="Z32" i="9" s="1" a="1"/>
  <c r="Z32" i="9" s="1"/>
  <c r="A3" i="20"/>
  <c r="A28" i="20"/>
  <c r="E92" i="9"/>
  <c r="T13" i="9" s="1" a="1"/>
  <c r="T13" i="9" s="1"/>
  <c r="A6" i="20"/>
  <c r="H92" i="9"/>
  <c r="W13" i="9" s="1" a="1"/>
  <c r="W13" i="9" s="1"/>
  <c r="O59" i="9"/>
  <c r="M62" i="9" a="1"/>
  <c r="M62" i="9" s="1"/>
  <c r="B49" i="9"/>
  <c r="J49" i="9" s="1" a="1"/>
  <c r="J49" i="9" s="1"/>
  <c r="B17" i="9"/>
  <c r="E17" i="9" s="1"/>
  <c r="K52" i="9" a="1"/>
  <c r="K52" i="9" s="1"/>
  <c r="A21" i="20"/>
  <c r="H99" i="9"/>
  <c r="W20" i="9" s="1" a="1"/>
  <c r="W20" i="9" s="1"/>
  <c r="I61" i="9" a="1"/>
  <c r="I61" i="9" s="1"/>
  <c r="E110" i="9"/>
  <c r="T31" i="9" s="1" a="1"/>
  <c r="T31" i="9" s="1"/>
  <c r="Q5" i="9"/>
  <c r="A2" i="20" s="1"/>
  <c r="O107" i="9"/>
  <c r="AD28" i="9" s="1"/>
  <c r="B25" i="20" s="1"/>
  <c r="A12" i="20"/>
  <c r="I98" i="9"/>
  <c r="X19" i="9" s="1" a="1"/>
  <c r="X19" i="9" s="1"/>
  <c r="H66" i="9" a="1"/>
  <c r="H66" i="9" s="1"/>
  <c r="J85" i="9"/>
  <c r="Y6" i="9" s="1" a="1"/>
  <c r="Y6" i="9" s="1"/>
  <c r="G73" i="9" a="1"/>
  <c r="G73" i="9" s="1"/>
  <c r="F100" i="9"/>
  <c r="U21" i="9" s="1" a="1"/>
  <c r="U21" i="9" s="1"/>
  <c r="K56" i="9" a="1"/>
  <c r="K56" i="9" s="1"/>
  <c r="O86" i="9"/>
  <c r="AD7" i="9" s="1"/>
  <c r="B4" i="20" s="1"/>
  <c r="A26" i="20"/>
  <c r="C95" i="9"/>
  <c r="R16" i="9" s="1" a="1"/>
  <c r="R16" i="9" s="1"/>
  <c r="L91" i="9"/>
  <c r="AA12" i="9" s="1" a="1"/>
  <c r="AA12" i="9" s="1"/>
  <c r="A23" i="20"/>
  <c r="G63" i="9" a="1"/>
  <c r="G63" i="9" s="1"/>
  <c r="K75" i="9" a="1"/>
  <c r="K75" i="9" s="1"/>
  <c r="J93" i="9"/>
  <c r="Y14" i="9" s="1" a="1"/>
  <c r="Y14" i="9" s="1"/>
  <c r="A4" i="20"/>
  <c r="G62" i="9" a="1"/>
  <c r="G62" i="9" s="1"/>
  <c r="B13" i="9"/>
  <c r="E13" i="9" s="1"/>
  <c r="A22" i="20"/>
  <c r="A8" i="20"/>
  <c r="L68" i="9" a="1"/>
  <c r="L68" i="9" s="1"/>
  <c r="I54" i="9" a="1"/>
  <c r="I54" i="9" s="1"/>
  <c r="F101" i="9"/>
  <c r="U22" i="9" s="1" a="1"/>
  <c r="U22" i="9" s="1"/>
  <c r="A13" i="20"/>
  <c r="I50" i="9" a="1"/>
  <c r="I50" i="9" s="1"/>
  <c r="C17" i="9"/>
  <c r="K99" i="9"/>
  <c r="Z20" i="9" s="1" a="1"/>
  <c r="Z20" i="9" s="1"/>
  <c r="K109" i="9"/>
  <c r="Z30" i="9" s="1" a="1"/>
  <c r="Z30" i="9" s="1"/>
  <c r="E99" i="9"/>
  <c r="T20" i="9" s="1" a="1"/>
  <c r="T20" i="9" s="1"/>
  <c r="I71" i="9" a="1"/>
  <c r="I71" i="9" s="1"/>
  <c r="I88" i="9"/>
  <c r="X9" i="9" s="1" a="1"/>
  <c r="X9" i="9" s="1"/>
  <c r="E93" i="9"/>
  <c r="T14" i="9" s="1" a="1"/>
  <c r="T14" i="9" s="1"/>
  <c r="M59" i="9" a="1"/>
  <c r="M59" i="9" s="1"/>
  <c r="J98" i="9"/>
  <c r="Y19" i="9" s="1" a="1"/>
  <c r="Y19" i="9" s="1"/>
  <c r="J92" i="9"/>
  <c r="Y13" i="9" s="1" a="1"/>
  <c r="Y13" i="9" s="1"/>
  <c r="J95" i="9"/>
  <c r="Y16" i="9" s="1" a="1"/>
  <c r="Y16" i="9" s="1"/>
  <c r="K54" i="9" a="1"/>
  <c r="K54" i="9" s="1"/>
  <c r="C108" i="9"/>
  <c r="R29" i="9" s="1" a="1"/>
  <c r="R29" i="9" s="1"/>
  <c r="B12" i="9"/>
  <c r="E12" i="9" s="1"/>
  <c r="G105" i="9"/>
  <c r="V26" i="9" s="1" a="1"/>
  <c r="V26" i="9" s="1"/>
  <c r="C104" i="9"/>
  <c r="R25" i="9" s="1" a="1"/>
  <c r="R25" i="9" s="1"/>
  <c r="D8" i="19" s="1" a="1"/>
  <c r="D8" i="19" s="1"/>
  <c r="M61" i="9" a="1"/>
  <c r="M61" i="9" s="1"/>
  <c r="H54" i="9" a="1"/>
  <c r="H54" i="9" s="1"/>
  <c r="G110" i="9"/>
  <c r="V31" i="9" s="1" a="1"/>
  <c r="V31" i="9" s="1"/>
  <c r="G97" i="9"/>
  <c r="V18" i="9" s="1" a="1"/>
  <c r="V18" i="9" s="1"/>
  <c r="O71" i="9"/>
  <c r="K105" i="9"/>
  <c r="C110" i="9"/>
  <c r="R31" i="9" s="1" a="1"/>
  <c r="R31" i="9" s="1"/>
  <c r="M70" i="9" a="1"/>
  <c r="M70" i="9" s="1"/>
  <c r="J84" i="9"/>
  <c r="Y5" i="9" s="1" a="1"/>
  <c r="Y5" i="9" s="1"/>
  <c r="D96" i="9"/>
  <c r="S17" i="9" s="1" a="1"/>
  <c r="S17" i="9" s="1"/>
  <c r="E101" i="9"/>
  <c r="T22" i="9" s="1" a="1"/>
  <c r="T22" i="9" s="1"/>
  <c r="E96" i="9"/>
  <c r="T17" i="9" s="1" a="1"/>
  <c r="T17" i="9" s="1"/>
  <c r="E109" i="9"/>
  <c r="T30" i="9" s="1" a="1"/>
  <c r="T30" i="9" s="1"/>
  <c r="O85" i="9"/>
  <c r="AD6" i="9" s="1"/>
  <c r="B3" i="20" s="1"/>
  <c r="H69" i="9" a="1"/>
  <c r="H69" i="9" s="1"/>
  <c r="B4" i="9"/>
  <c r="E4" i="9" s="1"/>
  <c r="G91" i="9"/>
  <c r="V12" i="9" s="1" a="1"/>
  <c r="V12" i="9" s="1"/>
  <c r="C88" i="9"/>
  <c r="R9" i="9" s="1" a="1"/>
  <c r="R9" i="9" s="1"/>
  <c r="C100" i="9"/>
  <c r="K102" i="9"/>
  <c r="Z23" i="9" s="1" a="1"/>
  <c r="Z23" i="9" s="1"/>
  <c r="G86" i="9"/>
  <c r="K98" i="9"/>
  <c r="Z19" i="9" s="1" a="1"/>
  <c r="Z19" i="9" s="1"/>
  <c r="M55" i="9" a="1"/>
  <c r="M55" i="9" s="1"/>
  <c r="L87" i="9"/>
  <c r="AA8" i="9" s="1" a="1"/>
  <c r="AA8" i="9" s="1"/>
  <c r="L107" i="9"/>
  <c r="AA28" i="9" s="1" a="1"/>
  <c r="AA28" i="9" s="1"/>
  <c r="H74" i="9" a="1"/>
  <c r="H74" i="9" s="1"/>
  <c r="I97" i="9"/>
  <c r="X18" i="9" s="1" a="1"/>
  <c r="X18" i="9" s="1"/>
  <c r="J91" i="9"/>
  <c r="Y12" i="9" s="1" a="1"/>
  <c r="Y12" i="9" s="1"/>
  <c r="O73" i="9"/>
  <c r="J88" i="9"/>
  <c r="Y9" i="9" s="1" a="1"/>
  <c r="Y9" i="9" s="1"/>
  <c r="M97" i="9"/>
  <c r="AB18" i="9" s="1" a="1"/>
  <c r="AB18" i="9" s="1"/>
  <c r="O109" i="9"/>
  <c r="AD30" i="9" s="1"/>
  <c r="B27" i="20" s="1"/>
  <c r="O105" i="9"/>
  <c r="AD26" i="9" s="1"/>
  <c r="B23" i="20" s="1"/>
  <c r="O96" i="9"/>
  <c r="AD17" i="9" s="1"/>
  <c r="B14" i="20" s="1"/>
  <c r="O51" i="9"/>
  <c r="G53" i="9" a="1"/>
  <c r="G53" i="9" s="1"/>
  <c r="J58" i="9" a="1"/>
  <c r="J58" i="9" s="1"/>
  <c r="D92" i="9"/>
  <c r="S13" i="9" s="1" a="1"/>
  <c r="S13" i="9" s="1"/>
  <c r="J69" i="9" a="1"/>
  <c r="J69" i="9" s="1"/>
  <c r="O103" i="9"/>
  <c r="AD24" i="9" s="1"/>
  <c r="B21" i="20" s="1"/>
  <c r="O91" i="9"/>
  <c r="L65" i="9" a="1"/>
  <c r="L65" i="9" s="1"/>
  <c r="H70" i="9" a="1"/>
  <c r="H70" i="9" s="1"/>
  <c r="K97" i="9"/>
  <c r="Z18" i="9" s="1" a="1"/>
  <c r="Z18" i="9" s="1"/>
  <c r="L56" i="9" a="1"/>
  <c r="L56" i="9" s="1"/>
  <c r="J109" i="9"/>
  <c r="Y30" i="9" s="1" a="1"/>
  <c r="Y30" i="9" s="1"/>
  <c r="K59" i="9" a="1"/>
  <c r="K59" i="9" s="1"/>
  <c r="J74" i="9" a="1"/>
  <c r="J74" i="9" s="1"/>
  <c r="D95" i="9"/>
  <c r="S16" i="9" s="1" a="1"/>
  <c r="S16" i="9" s="1"/>
  <c r="I55" i="9" a="1"/>
  <c r="I55" i="9" s="1"/>
  <c r="H53" i="9" a="1"/>
  <c r="H53" i="9" s="1"/>
  <c r="G75" i="9" a="1"/>
  <c r="G75" i="9" s="1"/>
  <c r="H84" i="9"/>
  <c r="W5" i="9" s="1" a="1"/>
  <c r="W5" i="9" s="1"/>
  <c r="I63" i="9" a="1"/>
  <c r="I63" i="9" s="1"/>
  <c r="J65" i="9" a="1"/>
  <c r="J65" i="9" s="1"/>
  <c r="C84" i="9"/>
  <c r="K71" i="9" a="1"/>
  <c r="K71" i="9" s="1"/>
  <c r="D87" i="9"/>
  <c r="S8" i="9" s="1" a="1"/>
  <c r="S8" i="9" s="1"/>
  <c r="H59" i="9" a="1"/>
  <c r="H59" i="9" s="1"/>
  <c r="L52" i="9" a="1"/>
  <c r="L52" i="9" s="1"/>
  <c r="K94" i="9"/>
  <c r="Z15" i="9" s="1" a="1"/>
  <c r="Z15" i="9" s="1"/>
  <c r="E102" i="9"/>
  <c r="T23" i="9" s="1" a="1"/>
  <c r="T23" i="9" s="1"/>
  <c r="J104" i="9"/>
  <c r="Y25" i="9" s="1" a="1"/>
  <c r="Y25" i="9" s="1"/>
  <c r="K92" i="9"/>
  <c r="H71" i="9" a="1"/>
  <c r="H71" i="9" s="1"/>
  <c r="L86" i="9"/>
  <c r="H86" i="9"/>
  <c r="W7" i="9" s="1" a="1"/>
  <c r="W7" i="9" s="1"/>
  <c r="L59" i="9" a="1"/>
  <c r="L59" i="9" s="1"/>
  <c r="F90" i="9"/>
  <c r="U11" i="9" s="1" a="1"/>
  <c r="U11" i="9" s="1"/>
  <c r="K106" i="9"/>
  <c r="Z27" i="9" s="1" a="1"/>
  <c r="Z27" i="9" s="1"/>
  <c r="F103" i="9"/>
  <c r="U24" i="9" s="1" a="1"/>
  <c r="U24" i="9" s="1"/>
  <c r="L63" i="9" a="1"/>
  <c r="L63" i="9" s="1"/>
  <c r="L98" i="9"/>
  <c r="AA19" i="9" s="1" a="1"/>
  <c r="AA19" i="9" s="1"/>
  <c r="H65" i="9" a="1"/>
  <c r="H65" i="9" s="1"/>
  <c r="D104" i="9"/>
  <c r="S25" i="9" s="1" a="1"/>
  <c r="S25" i="9" s="1"/>
  <c r="D10" i="19" s="1" a="1"/>
  <c r="D10" i="19" s="1"/>
  <c r="K64" i="9" a="1"/>
  <c r="K64" i="9" s="1"/>
  <c r="H104" i="9"/>
  <c r="W25" i="9" s="1" a="1"/>
  <c r="W25" i="9" s="1"/>
  <c r="O72" i="9"/>
  <c r="J57" i="9" a="1"/>
  <c r="J57" i="9" s="1"/>
  <c r="H63" i="9" a="1"/>
  <c r="H63" i="9" s="1"/>
  <c r="O84" i="9"/>
  <c r="AD5" i="9" s="1"/>
  <c r="B2" i="20" s="1"/>
  <c r="O95" i="9"/>
  <c r="M96" i="9"/>
  <c r="AB17" i="9" s="1" a="1"/>
  <c r="AB17" i="9" s="1"/>
  <c r="F85" i="9"/>
  <c r="U6" i="9" s="1" a="1"/>
  <c r="U6" i="9" s="1"/>
  <c r="K104" i="9"/>
  <c r="Z25" i="9" s="1" a="1"/>
  <c r="Z25" i="9" s="1"/>
  <c r="I59" i="9" a="1"/>
  <c r="I59" i="9" s="1"/>
  <c r="M110" i="9"/>
  <c r="AB31" i="9" s="1" a="1"/>
  <c r="AB31" i="9" s="1"/>
  <c r="D105" i="9"/>
  <c r="S26" i="9" s="1" a="1"/>
  <c r="S26" i="9" s="1"/>
  <c r="K50" i="9" a="1"/>
  <c r="K50" i="9" s="1"/>
  <c r="E97" i="9"/>
  <c r="T18" i="9" s="1" a="1"/>
  <c r="T18" i="9" s="1"/>
  <c r="G95" i="9"/>
  <c r="O68" i="9"/>
  <c r="K58" i="9" a="1"/>
  <c r="K58" i="9" s="1"/>
  <c r="G72" i="9" a="1"/>
  <c r="G72" i="9" s="1"/>
  <c r="I107" i="9"/>
  <c r="X28" i="9" s="1" a="1"/>
  <c r="X28" i="9" s="1"/>
  <c r="E87" i="9"/>
  <c r="H57" i="9" a="1"/>
  <c r="H57" i="9" s="1"/>
  <c r="K65" i="9" a="1"/>
  <c r="K65" i="9" s="1"/>
  <c r="M66" i="9" a="1"/>
  <c r="M66" i="9" s="1"/>
  <c r="H102" i="9"/>
  <c r="J72" i="9" a="1"/>
  <c r="J72" i="9" s="1"/>
  <c r="I58" i="9" a="1"/>
  <c r="I58" i="9" s="1"/>
  <c r="G68" i="9" a="1"/>
  <c r="G68" i="9" s="1"/>
  <c r="M49" i="9" a="1"/>
  <c r="M49" i="9" s="1"/>
  <c r="O94" i="9"/>
  <c r="AD15" i="9" s="1"/>
  <c r="B12" i="20" s="1"/>
  <c r="O90" i="9"/>
  <c r="AD11" i="9" s="1"/>
  <c r="B8" i="20" s="1"/>
  <c r="M91" i="9"/>
  <c r="AB12" i="9" s="1" a="1"/>
  <c r="AB12" i="9" s="1"/>
  <c r="J105" i="9"/>
  <c r="Y26" i="9" s="1" a="1"/>
  <c r="Y26" i="9" s="1"/>
  <c r="L57" i="9" a="1"/>
  <c r="L57" i="9" s="1"/>
  <c r="M98" i="9"/>
  <c r="AB19" i="9" s="1" a="1"/>
  <c r="AB19" i="9" s="1"/>
  <c r="J100" i="9"/>
  <c r="Y21" i="9" s="1" a="1"/>
  <c r="Y21" i="9" s="1"/>
  <c r="K51" i="9" a="1"/>
  <c r="K51" i="9" s="1"/>
  <c r="B18" i="9"/>
  <c r="E18" i="9" s="1"/>
  <c r="H109" i="9"/>
  <c r="W30" i="9" s="1" a="1"/>
  <c r="W30" i="9" s="1"/>
  <c r="M64" i="9" a="1"/>
  <c r="M64" i="9" s="1"/>
  <c r="H58" i="9" a="1"/>
  <c r="H58" i="9" s="1"/>
  <c r="O52" i="9"/>
  <c r="I60" i="9" a="1"/>
  <c r="I60" i="9" s="1"/>
  <c r="L90" i="9"/>
  <c r="AA11" i="9" s="1" a="1"/>
  <c r="AA11" i="9" s="1"/>
  <c r="I109" i="9"/>
  <c r="L66" i="9" a="1"/>
  <c r="L66" i="9" s="1"/>
  <c r="B2" i="9"/>
  <c r="E2" i="9" s="1"/>
  <c r="C12" i="19" a="1"/>
  <c r="C12" i="19" s="1"/>
  <c r="O93" i="9"/>
  <c r="AD14" i="9" s="1"/>
  <c r="B11" i="20" s="1"/>
  <c r="D109" i="9"/>
  <c r="S30" i="9" s="1" a="1"/>
  <c r="S30" i="9" s="1"/>
  <c r="D93" i="9"/>
  <c r="S14" i="9" s="1" a="1"/>
  <c r="S14" i="9" s="1"/>
  <c r="I93" i="9"/>
  <c r="X14" i="9" s="1" a="1"/>
  <c r="X14" i="9" s="1"/>
  <c r="M92" i="9"/>
  <c r="AB13" i="9" s="1" a="1"/>
  <c r="AB13" i="9" s="1"/>
  <c r="L109" i="9"/>
  <c r="AA30" i="9" s="1" a="1"/>
  <c r="AA30" i="9" s="1"/>
  <c r="O67" i="9"/>
  <c r="E90" i="9"/>
  <c r="T11" i="9" s="1" a="1"/>
  <c r="T11" i="9" s="1"/>
  <c r="H95" i="9"/>
  <c r="W16" i="9" s="1" a="1"/>
  <c r="W16" i="9" s="1"/>
  <c r="I91" i="9"/>
  <c r="X12" i="9" s="1" a="1"/>
  <c r="X12" i="9" s="1"/>
  <c r="I96" i="9"/>
  <c r="X17" i="9" s="1" a="1"/>
  <c r="X17" i="9" s="1"/>
  <c r="G94" i="9"/>
  <c r="V15" i="9" s="1" a="1"/>
  <c r="V15" i="9" s="1"/>
  <c r="L67" i="9" a="1"/>
  <c r="L67" i="9" s="1"/>
  <c r="D100" i="9"/>
  <c r="S21" i="9" s="1" a="1"/>
  <c r="S21" i="9" s="1"/>
  <c r="C96" i="9"/>
  <c r="R17" i="9" s="1" a="1"/>
  <c r="R17" i="9" s="1"/>
  <c r="I94" i="9"/>
  <c r="K63" i="9" a="1"/>
  <c r="K63" i="9" s="1"/>
  <c r="M51" i="9" a="1"/>
  <c r="M51" i="9" s="1"/>
  <c r="K69" i="9" a="1"/>
  <c r="K69" i="9" s="1"/>
  <c r="F84" i="9"/>
  <c r="U5" i="9" s="1" a="1"/>
  <c r="U5" i="9" s="1"/>
  <c r="K67" i="9" a="1"/>
  <c r="K67" i="9" s="1"/>
  <c r="L96" i="9"/>
  <c r="M87" i="9"/>
  <c r="AB8" i="9" s="1" a="1"/>
  <c r="AB8" i="9" s="1"/>
  <c r="G106" i="9"/>
  <c r="V27" i="9" s="1" a="1"/>
  <c r="V27" i="9" s="1"/>
  <c r="F104" i="9"/>
  <c r="U25" i="9" s="1" a="1"/>
  <c r="U25" i="9" s="1"/>
  <c r="D14" i="19" s="1" a="1"/>
  <c r="D14" i="19" s="1"/>
  <c r="I64" i="9" a="1"/>
  <c r="I64" i="9" s="1"/>
  <c r="K108" i="9"/>
  <c r="E100" i="9"/>
  <c r="F94" i="9"/>
  <c r="U15" i="9" s="1" a="1"/>
  <c r="U15" i="9" s="1"/>
  <c r="F107" i="9"/>
  <c r="M75" i="9" a="1"/>
  <c r="M75" i="9" s="1"/>
  <c r="G84" i="9"/>
  <c r="I84" i="9"/>
  <c r="X5" i="9" s="1" a="1"/>
  <c r="X5" i="9" s="1"/>
  <c r="M84" i="9"/>
  <c r="AB5" i="9" s="1" a="1"/>
  <c r="AB5" i="9" s="1"/>
  <c r="O99" i="9"/>
  <c r="AD20" i="9" s="1"/>
  <c r="B17" i="20" s="1"/>
  <c r="G58" i="9" a="1"/>
  <c r="G58" i="9" s="1"/>
  <c r="K93" i="9"/>
  <c r="Z14" i="9" s="1" a="1"/>
  <c r="Z14" i="9" s="1"/>
  <c r="D106" i="9"/>
  <c r="S27" i="9" s="1" a="1"/>
  <c r="S27" i="9" s="1"/>
  <c r="L71" i="9" a="1"/>
  <c r="L71" i="9" s="1"/>
  <c r="M85" i="9"/>
  <c r="C93" i="9"/>
  <c r="R14" i="9" s="1" a="1"/>
  <c r="R14" i="9" s="1"/>
  <c r="L62" i="9" a="1"/>
  <c r="L62" i="9" s="1"/>
  <c r="J52" i="9" a="1"/>
  <c r="J52" i="9" s="1"/>
  <c r="M95" i="9"/>
  <c r="AB16" i="9" s="1" a="1"/>
  <c r="AB16" i="9" s="1"/>
  <c r="I85" i="9"/>
  <c r="X6" i="9" s="1" a="1"/>
  <c r="X6" i="9" s="1"/>
  <c r="I69" i="9" a="1"/>
  <c r="I69" i="9" s="1"/>
  <c r="H98" i="9"/>
  <c r="W19" i="9" s="1" a="1"/>
  <c r="W19" i="9" s="1"/>
  <c r="J50" i="9" a="1"/>
  <c r="J50" i="9" s="1"/>
  <c r="G100" i="9"/>
  <c r="V21" i="9" s="1" a="1"/>
  <c r="V21" i="9" s="1"/>
  <c r="M106" i="9"/>
  <c r="AB27" i="9" s="1" a="1"/>
  <c r="AB27" i="9" s="1"/>
  <c r="H75" i="9" a="1"/>
  <c r="H75" i="9" s="1"/>
  <c r="E108" i="9"/>
  <c r="T29" i="9" s="1" a="1"/>
  <c r="T29" i="9" s="1"/>
  <c r="E84" i="9"/>
  <c r="T5" i="9" s="1" a="1"/>
  <c r="T5" i="9" s="1"/>
  <c r="G109" i="9"/>
  <c r="M73" i="9" a="1"/>
  <c r="M73" i="9" s="1"/>
  <c r="H61" i="9" a="1"/>
  <c r="H61" i="9" s="1"/>
  <c r="D110" i="9"/>
  <c r="S31" i="9" s="1" a="1"/>
  <c r="S31" i="9" s="1"/>
  <c r="D103" i="9"/>
  <c r="S24" i="9" s="1" a="1"/>
  <c r="S24" i="9" s="1"/>
  <c r="M107" i="9"/>
  <c r="AB28" i="9" s="1" a="1"/>
  <c r="AB28" i="9" s="1"/>
  <c r="L103" i="9"/>
  <c r="AA24" i="9" s="1" a="1"/>
  <c r="AA24" i="9" s="1"/>
  <c r="L88" i="9"/>
  <c r="E85" i="9"/>
  <c r="M50" i="9" a="1"/>
  <c r="M50" i="9" s="1"/>
  <c r="C98" i="9"/>
  <c r="R19" i="9" s="1" a="1"/>
  <c r="R19" i="9" s="1"/>
  <c r="H94" i="9"/>
  <c r="W15" i="9" s="1" a="1"/>
  <c r="W15" i="9" s="1"/>
  <c r="I52" i="9" a="1"/>
  <c r="I52" i="9" s="1"/>
  <c r="O61" i="9"/>
  <c r="I110" i="9"/>
  <c r="L49" i="9" a="1"/>
  <c r="L49" i="9" s="1"/>
  <c r="C14" i="19" a="1"/>
  <c r="C14" i="19" s="1"/>
  <c r="I49" i="9" a="1"/>
  <c r="I49" i="9" s="1"/>
  <c r="X31" i="9" a="1"/>
  <c r="X31" i="9" s="1"/>
  <c r="G92" i="9"/>
  <c r="V13" i="9" s="1" a="1"/>
  <c r="V13" i="9" s="1"/>
  <c r="J108" i="9"/>
  <c r="Y29" i="9" s="1" a="1"/>
  <c r="Y29" i="9" s="1"/>
  <c r="D86" i="9"/>
  <c r="S7" i="9" s="1" a="1"/>
  <c r="S7" i="9" s="1"/>
  <c r="G93" i="9"/>
  <c r="V14" i="9" s="1" a="1"/>
  <c r="V14" i="9" s="1"/>
  <c r="L55" i="9" a="1"/>
  <c r="L55" i="9" s="1"/>
  <c r="J75" i="9" a="1"/>
  <c r="J75" i="9" s="1"/>
  <c r="I108" i="9"/>
  <c r="C89" i="9"/>
  <c r="R10" i="9" s="1" a="1"/>
  <c r="R10" i="9" s="1"/>
  <c r="L75" i="9" a="1"/>
  <c r="L75" i="9" s="1"/>
  <c r="D89" i="9"/>
  <c r="S10" i="9" s="1" a="1"/>
  <c r="S10" i="9" s="1"/>
  <c r="C101" i="9"/>
  <c r="R22" i="9" s="1" a="1"/>
  <c r="R22" i="9" s="1"/>
  <c r="A9" i="20"/>
  <c r="C49" i="9" a="1"/>
  <c r="C49" i="9" s="1"/>
  <c r="E49" i="9" a="1"/>
  <c r="E49" i="9" s="1"/>
  <c r="D84" i="9"/>
  <c r="S5" i="9" s="1" a="1"/>
  <c r="S5" i="9" s="1"/>
  <c r="J71" i="9" a="1"/>
  <c r="J71" i="9" s="1"/>
  <c r="H60" i="9" a="1"/>
  <c r="H60" i="9" s="1"/>
  <c r="F110" i="9"/>
  <c r="U31" i="9" s="1" a="1"/>
  <c r="U31" i="9" s="1"/>
  <c r="O92" i="9"/>
  <c r="AD13" i="9" s="1"/>
  <c r="B10" i="20" s="1"/>
  <c r="I86" i="9"/>
  <c r="X7" i="9" s="1" a="1"/>
  <c r="X7" i="9" s="1"/>
  <c r="I62" i="9" a="1"/>
  <c r="I62" i="9" s="1"/>
  <c r="K89" i="9"/>
  <c r="Z10" i="9" s="1" a="1"/>
  <c r="Z10" i="9" s="1"/>
  <c r="L99" i="9"/>
  <c r="AA20" i="9" s="1" a="1"/>
  <c r="AA20" i="9" s="1"/>
  <c r="C94" i="9"/>
  <c r="R15" i="9" s="1" a="1"/>
  <c r="R15" i="9" s="1"/>
  <c r="O49" i="9"/>
  <c r="E95" i="9"/>
  <c r="T16" i="9" s="1" a="1"/>
  <c r="T16" i="9" s="1"/>
  <c r="G107" i="9"/>
  <c r="V28" i="9" s="1" a="1"/>
  <c r="V28" i="9" s="1"/>
  <c r="G98" i="9"/>
  <c r="V19" i="9" s="1" a="1"/>
  <c r="V19" i="9" s="1"/>
  <c r="M56" i="9" a="1"/>
  <c r="M56" i="9" s="1"/>
  <c r="E105" i="9"/>
  <c r="T26" i="9" s="1" a="1"/>
  <c r="T26" i="9" s="1"/>
  <c r="C91" i="9"/>
  <c r="R12" i="9" s="1" a="1"/>
  <c r="R12" i="9" s="1"/>
  <c r="I70" i="9" a="1"/>
  <c r="I70" i="9" s="1"/>
  <c r="J96" i="9"/>
  <c r="Y17" i="9" s="1" a="1"/>
  <c r="Y17" i="9" s="1"/>
  <c r="L101" i="9"/>
  <c r="AA22" i="9" s="1" a="1"/>
  <c r="AA22" i="9" s="1"/>
  <c r="O75" i="9"/>
  <c r="O110" i="9"/>
  <c r="AD31" i="9" s="1"/>
  <c r="B28" i="20" s="1"/>
  <c r="F88" i="9"/>
  <c r="U9" i="9" s="1" a="1"/>
  <c r="U9" i="9" s="1"/>
  <c r="A10" i="20"/>
  <c r="C12" i="9"/>
  <c r="G59" i="9" a="1"/>
  <c r="G59" i="9" s="1"/>
  <c r="K84" i="9"/>
  <c r="Z5" i="9" s="1" a="1"/>
  <c r="Z5" i="9" s="1"/>
  <c r="O104" i="9"/>
  <c r="AD25" i="9" s="1"/>
  <c r="B22" i="20" s="1"/>
  <c r="J67" i="9" a="1"/>
  <c r="J67" i="9" s="1"/>
  <c r="O65" i="9"/>
  <c r="A11" i="20"/>
  <c r="J97" i="9"/>
  <c r="Y18" i="9" s="1" a="1"/>
  <c r="Y18" i="9" s="1"/>
  <c r="L110" i="9"/>
  <c r="AA31" i="9" s="1" a="1"/>
  <c r="AA31" i="9" s="1"/>
  <c r="A5" i="20"/>
  <c r="E89" i="9"/>
  <c r="T10" i="9" s="1" a="1"/>
  <c r="T10" i="9" s="1"/>
  <c r="M103" i="9"/>
  <c r="AB24" i="9" s="1" a="1"/>
  <c r="AB24" i="9" s="1"/>
  <c r="L89" i="9"/>
  <c r="AA10" i="9" s="1" a="1"/>
  <c r="AA10" i="9" s="1"/>
  <c r="M65" i="9" a="1"/>
  <c r="M65" i="9" s="1"/>
  <c r="M100" i="9"/>
  <c r="AB21" i="9" s="1" a="1"/>
  <c r="AB21" i="9" s="1"/>
  <c r="C105" i="9"/>
  <c r="R26" i="9" s="1" a="1"/>
  <c r="R26" i="9" s="1"/>
  <c r="C87" i="9"/>
  <c r="R8" i="9" s="1" a="1"/>
  <c r="R8" i="9" s="1"/>
  <c r="G87" i="9"/>
  <c r="V8" i="9" s="1" a="1"/>
  <c r="V8" i="9" s="1"/>
  <c r="H110" i="9"/>
  <c r="I105" i="9"/>
  <c r="X26" i="9" s="1" a="1"/>
  <c r="X26" i="9" s="1"/>
  <c r="E94" i="9"/>
  <c r="T15" i="9" s="1" a="1"/>
  <c r="T15" i="9" s="1"/>
  <c r="C107" i="9"/>
  <c r="R28" i="9" s="1" a="1"/>
  <c r="R28" i="9" s="1"/>
  <c r="B7" i="9"/>
  <c r="I75" i="9" a="1"/>
  <c r="I75" i="9" s="1"/>
  <c r="J70" i="9" a="1"/>
  <c r="J70" i="9" s="1"/>
  <c r="I65" i="9" a="1"/>
  <c r="I65" i="9" s="1"/>
  <c r="I73" i="9" a="1"/>
  <c r="I73" i="9" s="1"/>
  <c r="J102" i="9"/>
  <c r="Y23" i="9" s="1" a="1"/>
  <c r="Y23" i="9" s="1"/>
  <c r="H89" i="9"/>
  <c r="W10" i="9" s="1" a="1"/>
  <c r="W10" i="9" s="1"/>
  <c r="F106" i="9"/>
  <c r="U27" i="9" s="1" a="1"/>
  <c r="U27" i="9" s="1"/>
  <c r="R5" i="9" a="1"/>
  <c r="R5" i="9" s="1"/>
  <c r="AD12" i="9"/>
  <c r="B9" i="20" s="1"/>
  <c r="F49" i="9" a="1"/>
  <c r="F49" i="9" s="1"/>
  <c r="O100" i="9"/>
  <c r="AD21" i="9" s="1"/>
  <c r="B18" i="20" s="1"/>
  <c r="O102" i="9"/>
  <c r="AD23" i="9" s="1"/>
  <c r="B20" i="20" s="1"/>
  <c r="M90" i="9"/>
  <c r="AB11" i="9" s="1" a="1"/>
  <c r="AB11" i="9" s="1"/>
  <c r="C86" i="9"/>
  <c r="R7" i="9" s="1" a="1"/>
  <c r="R7" i="9" s="1"/>
  <c r="A7" i="20"/>
  <c r="J68" i="9" a="1"/>
  <c r="J68" i="9" s="1"/>
  <c r="J101" i="9"/>
  <c r="Y22" i="9" s="1" a="1"/>
  <c r="Y22" i="9" s="1"/>
  <c r="G55" i="9" a="1"/>
  <c r="G55" i="9" s="1"/>
  <c r="M99" i="9"/>
  <c r="AB20" i="9" s="1" a="1"/>
  <c r="AB20" i="9" s="1"/>
  <c r="G65" i="9" a="1"/>
  <c r="G65" i="9" s="1"/>
  <c r="M54" i="9" a="1"/>
  <c r="M54" i="9" s="1"/>
  <c r="K110" i="9"/>
  <c r="Z31" i="9" s="1" a="1"/>
  <c r="Z31" i="9" s="1"/>
  <c r="L54" i="9" a="1"/>
  <c r="L54" i="9" s="1"/>
  <c r="J110" i="9"/>
  <c r="Y31" i="9" s="1" a="1"/>
  <c r="Y31" i="9" s="1"/>
  <c r="K66" i="9" a="1"/>
  <c r="K66" i="9" s="1"/>
  <c r="E104" i="9"/>
  <c r="T25" i="9" s="1" a="1"/>
  <c r="T25" i="9" s="1"/>
  <c r="D12" i="19" s="1" a="1"/>
  <c r="D12" i="19" s="1"/>
  <c r="I67" i="9" a="1"/>
  <c r="I67" i="9" s="1"/>
  <c r="L104" i="9"/>
  <c r="AA25" i="9" s="1" a="1"/>
  <c r="AA25" i="9" s="1"/>
  <c r="L61" i="9" a="1"/>
  <c r="L61" i="9" s="1"/>
  <c r="J61" i="9" a="1"/>
  <c r="J61" i="9" s="1"/>
  <c r="H106" i="9"/>
  <c r="W27" i="9" s="1" a="1"/>
  <c r="W27" i="9" s="1"/>
  <c r="H88" i="9"/>
  <c r="W9" i="9" s="1" a="1"/>
  <c r="W9" i="9" s="1"/>
  <c r="O56" i="9"/>
  <c r="L53" i="9" a="1"/>
  <c r="L53" i="9" s="1"/>
  <c r="F95" i="9"/>
  <c r="F102" i="9"/>
  <c r="A19" i="20"/>
  <c r="H50" i="9" a="1"/>
  <c r="H50" i="9" s="1"/>
  <c r="H49" i="9" a="1"/>
  <c r="H49" i="9" s="1"/>
  <c r="K49" i="9" a="1"/>
  <c r="K49" i="9" s="1"/>
  <c r="L84" i="9"/>
  <c r="AA5" i="9" s="1" a="1"/>
  <c r="AA5" i="9" s="1"/>
  <c r="H90" i="9"/>
  <c r="W11" i="9" s="1" a="1"/>
  <c r="W11" i="9" s="1"/>
  <c r="J73" i="9" a="1"/>
  <c r="J73" i="9" s="1"/>
  <c r="O70" i="9"/>
  <c r="K103" i="9"/>
  <c r="Z24" i="9" s="1" a="1"/>
  <c r="Z24" i="9" s="1"/>
  <c r="H100" i="9"/>
  <c r="W21" i="9" s="1" a="1"/>
  <c r="W21" i="9" s="1"/>
  <c r="D108" i="9"/>
  <c r="S29" i="9" s="1" a="1"/>
  <c r="S29" i="9" s="1"/>
  <c r="M60" i="9" a="1"/>
  <c r="M60" i="9" s="1"/>
  <c r="L72" i="9" a="1"/>
  <c r="L72" i="9" s="1"/>
  <c r="G89" i="9"/>
  <c r="V10" i="9" s="1" a="1"/>
  <c r="V10" i="9" s="1"/>
  <c r="I92" i="9"/>
  <c r="X13" i="9" s="1" a="1"/>
  <c r="X13" i="9" s="1"/>
  <c r="J106" i="9"/>
  <c r="Y27" i="9" s="1" a="1"/>
  <c r="Y27" i="9" s="1"/>
  <c r="T8" i="9" a="1"/>
  <c r="T8" i="9" s="1"/>
  <c r="B8" i="9"/>
  <c r="I89" i="9"/>
  <c r="X10" i="9" s="1" a="1"/>
  <c r="X10" i="9" s="1"/>
  <c r="J94" i="9"/>
  <c r="Y15" i="9" s="1" a="1"/>
  <c r="Y15" i="9" s="1"/>
  <c r="K53" i="9" a="1"/>
  <c r="K53" i="9" s="1"/>
  <c r="L50" i="9" a="1"/>
  <c r="L50" i="9" s="1"/>
  <c r="H107" i="9"/>
  <c r="W28" i="9" s="1" a="1"/>
  <c r="W28" i="9" s="1"/>
  <c r="J55" i="9" a="1"/>
  <c r="J55" i="9" s="1"/>
  <c r="O66" i="9"/>
  <c r="L97" i="9"/>
  <c r="AA18" i="9" s="1" a="1"/>
  <c r="AA18" i="9" s="1"/>
  <c r="B14" i="9"/>
  <c r="I104" i="9"/>
  <c r="X25" i="9" s="1" a="1"/>
  <c r="X25" i="9" s="1"/>
  <c r="L102" i="9"/>
  <c r="AA23" i="9" s="1" a="1"/>
  <c r="AA23" i="9" s="1"/>
  <c r="K74" i="9" a="1"/>
  <c r="K74" i="9" s="1"/>
  <c r="H68" i="9" a="1"/>
  <c r="H68" i="9" s="1"/>
  <c r="G104" i="9"/>
  <c r="V25" i="9" s="1" a="1"/>
  <c r="V25" i="9" s="1"/>
  <c r="M53" i="9" a="1"/>
  <c r="M53" i="9" s="1"/>
  <c r="M105" i="9"/>
  <c r="AB26" i="9" s="1" a="1"/>
  <c r="AB26" i="9" s="1"/>
  <c r="G66" i="9" a="1"/>
  <c r="G66" i="9" s="1"/>
  <c r="M71" i="9" a="1"/>
  <c r="M71" i="9" s="1"/>
  <c r="K100" i="9"/>
  <c r="Z21" i="9" s="1" a="1"/>
  <c r="Z21" i="9" s="1"/>
  <c r="M101" i="9"/>
  <c r="AB22" i="9" s="1" a="1"/>
  <c r="AB22" i="9" s="1"/>
  <c r="J90" i="9"/>
  <c r="Y11" i="9" s="1" a="1"/>
  <c r="Y11" i="9" s="1"/>
  <c r="G108" i="9"/>
  <c r="V29" i="9" s="1" a="1"/>
  <c r="V29" i="9" s="1"/>
  <c r="I56" i="9" a="1"/>
  <c r="I56" i="9" s="1"/>
  <c r="J86" i="9"/>
  <c r="Y7" i="9" s="1" a="1"/>
  <c r="Y7" i="9" s="1"/>
  <c r="J107" i="9"/>
  <c r="Y28" i="9" s="1" a="1"/>
  <c r="Y28" i="9" s="1"/>
  <c r="E86" i="9"/>
  <c r="T7" i="9" s="1" a="1"/>
  <c r="T7" i="9" s="1"/>
  <c r="F98" i="9"/>
  <c r="U19" i="9" s="1" a="1"/>
  <c r="U19" i="9" s="1"/>
  <c r="J51" i="9" a="1"/>
  <c r="J51" i="9" s="1"/>
  <c r="J63" i="9" a="1"/>
  <c r="J63" i="9" s="1"/>
  <c r="H55" i="9" a="1"/>
  <c r="H55" i="9" s="1"/>
  <c r="M63" i="9" a="1"/>
  <c r="M63" i="9" s="1"/>
  <c r="F86" i="9"/>
  <c r="U7" i="9" s="1" a="1"/>
  <c r="U7" i="9" s="1"/>
  <c r="J59" i="9" a="1"/>
  <c r="J59" i="9" s="1"/>
  <c r="D98" i="9"/>
  <c r="S19" i="9" s="1" a="1"/>
  <c r="S19" i="9" s="1"/>
  <c r="G74" i="9" a="1"/>
  <c r="G74" i="9" s="1"/>
  <c r="T6" i="9" a="1"/>
  <c r="T6" i="9" s="1"/>
  <c r="M67" i="9" a="1"/>
  <c r="M67" i="9" s="1"/>
  <c r="K61" i="9" a="1"/>
  <c r="K61" i="9" s="1"/>
  <c r="C99" i="9"/>
  <c r="R20" i="9" s="1" a="1"/>
  <c r="R20" i="9" s="1"/>
  <c r="K62" i="9" a="1"/>
  <c r="K62" i="9" s="1"/>
  <c r="D91" i="9"/>
  <c r="S12" i="9" s="1" a="1"/>
  <c r="S12" i="9" s="1"/>
  <c r="G67" i="9" a="1"/>
  <c r="G67" i="9" s="1"/>
  <c r="F99" i="9"/>
  <c r="U20" i="9" s="1" a="1"/>
  <c r="U20" i="9" s="1"/>
  <c r="B3" i="9"/>
  <c r="J60" i="9" a="1"/>
  <c r="J60" i="9" s="1"/>
  <c r="I51" i="9" a="1"/>
  <c r="I51" i="9" s="1"/>
  <c r="K55" i="9" a="1"/>
  <c r="K55" i="9" s="1"/>
  <c r="C90" i="9"/>
  <c r="R11" i="9" s="1" a="1"/>
  <c r="R11" i="9" s="1"/>
  <c r="I99" i="9"/>
  <c r="X20" i="9" s="1" a="1"/>
  <c r="X20" i="9" s="1"/>
  <c r="J64" i="9" a="1"/>
  <c r="J64" i="9" s="1"/>
  <c r="K90" i="9"/>
  <c r="Z11" i="9" s="1" a="1"/>
  <c r="Z11" i="9" s="1"/>
  <c r="L105" i="9"/>
  <c r="AA26" i="9" s="1" a="1"/>
  <c r="AA26" i="9" s="1"/>
  <c r="L74" i="9" a="1"/>
  <c r="L74" i="9" s="1"/>
  <c r="K96" i="9"/>
  <c r="Z17" i="9" s="1" a="1"/>
  <c r="Z17" i="9" s="1"/>
  <c r="F96" i="9"/>
  <c r="U17" i="9" s="1" a="1"/>
  <c r="U17" i="9" s="1"/>
  <c r="M52" i="9" a="1"/>
  <c r="M52" i="9" s="1"/>
  <c r="C106" i="9"/>
  <c r="R27" i="9" s="1" a="1"/>
  <c r="R27" i="9" s="1"/>
  <c r="G101" i="9"/>
  <c r="V22" i="9" s="1" a="1"/>
  <c r="V22" i="9" s="1"/>
  <c r="M108" i="9"/>
  <c r="AB29" i="9" s="1" a="1"/>
  <c r="AB29" i="9" s="1"/>
  <c r="M69" i="9" a="1"/>
  <c r="M69" i="9" s="1"/>
  <c r="G70" i="9" a="1"/>
  <c r="G70" i="9" s="1"/>
  <c r="E88" i="9"/>
  <c r="O55" i="9"/>
  <c r="Z13" i="9" a="1"/>
  <c r="Z13" i="9" s="1"/>
  <c r="O54" i="9"/>
  <c r="H108" i="9"/>
  <c r="W29" i="9" s="1" a="1"/>
  <c r="W29" i="9" s="1"/>
  <c r="L93" i="9"/>
  <c r="AA14" i="9" s="1" a="1"/>
  <c r="AA14" i="9" s="1"/>
  <c r="L58" i="9" a="1"/>
  <c r="L58" i="9" s="1"/>
  <c r="M94" i="9"/>
  <c r="AB15" i="9" s="1" a="1"/>
  <c r="AB15" i="9" s="1"/>
  <c r="O69" i="9"/>
  <c r="I74" i="9" a="1"/>
  <c r="I74" i="9" s="1"/>
  <c r="L94" i="9"/>
  <c r="AA15" i="9" s="1" a="1"/>
  <c r="AA15" i="9" s="1"/>
  <c r="F109" i="9"/>
  <c r="U30" i="9" s="1" a="1"/>
  <c r="U30" i="9" s="1"/>
  <c r="O87" i="9"/>
  <c r="AD8" i="9" s="1"/>
  <c r="B5" i="20" s="1"/>
  <c r="F97" i="9"/>
  <c r="U18" i="9" s="1" a="1"/>
  <c r="U18" i="9" s="1"/>
  <c r="F108" i="9"/>
  <c r="U29" i="9" s="1" a="1"/>
  <c r="U29" i="9" s="1"/>
  <c r="J66" i="9" a="1"/>
  <c r="J66" i="9" s="1"/>
  <c r="J87" i="9"/>
  <c r="Y8" i="9" s="1" a="1"/>
  <c r="Y8" i="9" s="1"/>
  <c r="B5" i="9"/>
  <c r="G52" i="9" a="1"/>
  <c r="G52" i="9" s="1"/>
  <c r="I103" i="9"/>
  <c r="X24" i="9" s="1" a="1"/>
  <c r="X24" i="9" s="1"/>
  <c r="D97" i="9"/>
  <c r="S18" i="9" s="1" a="1"/>
  <c r="S18" i="9" s="1"/>
  <c r="F105" i="9"/>
  <c r="U26" i="9" s="1" a="1"/>
  <c r="U26" i="9" s="1"/>
  <c r="E91" i="9"/>
  <c r="T12" i="9" s="1" a="1"/>
  <c r="T12" i="9" s="1"/>
  <c r="J89" i="9"/>
  <c r="Y10" i="9" s="1" a="1"/>
  <c r="Y10" i="9" s="1"/>
  <c r="T9" i="9" a="1"/>
  <c r="T9" i="9" s="1"/>
  <c r="D85" i="9"/>
  <c r="S6" i="9" s="1" a="1"/>
  <c r="S6" i="9" s="1"/>
  <c r="H62" i="9" a="1"/>
  <c r="H62" i="9" s="1"/>
  <c r="G90" i="9"/>
  <c r="V11" i="9" s="1" a="1"/>
  <c r="V11" i="9" s="1"/>
  <c r="O98" i="9"/>
  <c r="AD19" i="9" s="1"/>
  <c r="B16" i="20" s="1"/>
  <c r="F89" i="9"/>
  <c r="U10" i="9" s="1" a="1"/>
  <c r="U10" i="9" s="1"/>
  <c r="B10" i="9"/>
  <c r="K72" i="9" a="1"/>
  <c r="K72" i="9" s="1"/>
  <c r="C103" i="9"/>
  <c r="R24" i="9" s="1" a="1"/>
  <c r="R24" i="9" s="1"/>
  <c r="M93" i="9"/>
  <c r="AB14" i="9" s="1" a="1"/>
  <c r="AB14" i="9" s="1"/>
  <c r="G102" i="9"/>
  <c r="H103" i="9"/>
  <c r="W24" i="9" s="1" a="1"/>
  <c r="W24" i="9" s="1"/>
  <c r="H56" i="9" a="1"/>
  <c r="H56" i="9" s="1"/>
  <c r="E98" i="9"/>
  <c r="T19" i="9" s="1" a="1"/>
  <c r="T19" i="9" s="1"/>
  <c r="H91" i="9"/>
  <c r="W12" i="9" s="1" a="1"/>
  <c r="W12" i="9" s="1"/>
  <c r="G61" i="9" a="1"/>
  <c r="G61" i="9" s="1"/>
  <c r="M104" i="9"/>
  <c r="AB25" i="9" s="1" a="1"/>
  <c r="AB25" i="9" s="1"/>
  <c r="I87" i="9"/>
  <c r="X8" i="9" s="1" a="1"/>
  <c r="X8" i="9" s="1"/>
  <c r="B11" i="9"/>
  <c r="J56" i="9" a="1"/>
  <c r="J56" i="9" s="1"/>
  <c r="D90" i="9"/>
  <c r="S11" i="9" s="1" a="1"/>
  <c r="S11" i="9" s="1"/>
  <c r="K87" i="9"/>
  <c r="Z8" i="9" s="1" a="1"/>
  <c r="Z8" i="9" s="1"/>
  <c r="K73" i="9" a="1"/>
  <c r="K73" i="9" s="1"/>
  <c r="G50" i="9" a="1"/>
  <c r="G50" i="9" s="1"/>
  <c r="G57" i="9" a="1"/>
  <c r="G57" i="9" s="1"/>
  <c r="D99" i="9"/>
  <c r="S20" i="9" s="1" a="1"/>
  <c r="S20" i="9" s="1"/>
  <c r="F92" i="9"/>
  <c r="U13" i="9" s="1" a="1"/>
  <c r="U13" i="9" s="1"/>
  <c r="H52" i="9" a="1"/>
  <c r="H52" i="9" s="1"/>
  <c r="I90" i="9"/>
  <c r="X11" i="9" s="1" a="1"/>
  <c r="X11" i="9" s="1"/>
  <c r="I106" i="9"/>
  <c r="X27" i="9" s="1" a="1"/>
  <c r="X27" i="9" s="1"/>
  <c r="O63" i="9"/>
  <c r="M68" i="9" a="1"/>
  <c r="M68" i="9" s="1"/>
  <c r="B16" i="9"/>
  <c r="L95" i="9"/>
  <c r="AA16" i="9" s="1" a="1"/>
  <c r="AA16" i="9" s="1"/>
  <c r="L60" i="9" a="1"/>
  <c r="L60" i="9" s="1"/>
  <c r="U28" i="9" a="1"/>
  <c r="U28" i="9" s="1"/>
  <c r="X30" i="9" a="1"/>
  <c r="X30" i="9" s="1"/>
  <c r="O74" i="9"/>
  <c r="U16" i="9" a="1"/>
  <c r="U16" i="9" s="1"/>
  <c r="C85" i="9"/>
  <c r="R6" i="9" s="1" a="1"/>
  <c r="R6" i="9" s="1"/>
  <c r="K68" i="9" a="1"/>
  <c r="K68" i="9" s="1"/>
  <c r="I102" i="9"/>
  <c r="X23" i="9" s="1" a="1"/>
  <c r="X23" i="9" s="1"/>
  <c r="W23" i="9" a="1"/>
  <c r="W23" i="9" s="1"/>
  <c r="B6" i="9"/>
  <c r="T21" i="9" a="1"/>
  <c r="T21" i="9" s="1"/>
  <c r="M57" i="9" a="1"/>
  <c r="M57" i="9" s="1"/>
  <c r="K95" i="9"/>
  <c r="Z16" i="9" s="1" a="1"/>
  <c r="Z16" i="9" s="1"/>
  <c r="H73" i="9" a="1"/>
  <c r="H73" i="9" s="1"/>
  <c r="J103" i="9"/>
  <c r="Y24" i="9" s="1" a="1"/>
  <c r="Y24" i="9" s="1"/>
  <c r="D102" i="9"/>
  <c r="S23" i="9" s="1" a="1"/>
  <c r="S23" i="9" s="1"/>
  <c r="I100" i="9"/>
  <c r="X21" i="9" s="1" a="1"/>
  <c r="X21" i="9" s="1"/>
  <c r="H101" i="9"/>
  <c r="W22" i="9" s="1" a="1"/>
  <c r="W22" i="9" s="1"/>
  <c r="H67" i="9" a="1"/>
  <c r="H67" i="9" s="1"/>
  <c r="I68" i="9" a="1"/>
  <c r="I68" i="9" s="1"/>
  <c r="J54" i="9" a="1"/>
  <c r="J54" i="9" s="1"/>
  <c r="Z26" i="9" a="1"/>
  <c r="Z26" i="9" s="1"/>
  <c r="D107" i="9"/>
  <c r="S28" i="9" s="1" a="1"/>
  <c r="S28" i="9" s="1"/>
  <c r="K85" i="9"/>
  <c r="Z6" i="9" s="1" a="1"/>
  <c r="Z6" i="9" s="1"/>
  <c r="L92" i="9"/>
  <c r="AA13" i="9" s="1" a="1"/>
  <c r="AA13" i="9" s="1"/>
  <c r="M86" i="9"/>
  <c r="AB7" i="9" s="1" a="1"/>
  <c r="AB7" i="9" s="1"/>
  <c r="L106" i="9"/>
  <c r="AA27" i="9" s="1" a="1"/>
  <c r="AA27" i="9" s="1"/>
  <c r="H64" i="9" a="1"/>
  <c r="H64" i="9" s="1"/>
  <c r="AA17" i="9" a="1"/>
  <c r="AA17" i="9" s="1"/>
  <c r="I101" i="9"/>
  <c r="X22" i="9" s="1" a="1"/>
  <c r="X22" i="9" s="1"/>
  <c r="O57" i="9"/>
  <c r="K88" i="9"/>
  <c r="Z9" i="9" s="1" a="1"/>
  <c r="Z9" i="9" s="1"/>
  <c r="D49" i="9" a="1"/>
  <c r="D49" i="9" s="1"/>
  <c r="O50" i="9"/>
  <c r="F93" i="9"/>
  <c r="U14" i="9" s="1" a="1"/>
  <c r="U14" i="9" s="1"/>
  <c r="M102" i="9"/>
  <c r="AB23" i="9" s="1" a="1"/>
  <c r="AB23" i="9" s="1"/>
  <c r="H96" i="9"/>
  <c r="W17" i="9" s="1" a="1"/>
  <c r="W17" i="9" s="1"/>
  <c r="K60" i="9" a="1"/>
  <c r="K60" i="9" s="1"/>
  <c r="O53" i="9"/>
  <c r="G71" i="9" a="1"/>
  <c r="G71" i="9" s="1"/>
  <c r="B9" i="9"/>
  <c r="H85" i="9"/>
  <c r="W6" i="9" s="1" a="1"/>
  <c r="W6" i="9" s="1"/>
  <c r="O108" i="9"/>
  <c r="AD29" i="9" s="1"/>
  <c r="B26" i="20" s="1"/>
  <c r="O101" i="9"/>
  <c r="AD22" i="9" s="1"/>
  <c r="B19" i="20" s="1"/>
  <c r="O89" i="9"/>
  <c r="AD10" i="9" s="1"/>
  <c r="B7" i="20" s="1"/>
  <c r="H51" i="9" a="1"/>
  <c r="H51" i="9" s="1"/>
  <c r="L100" i="9"/>
  <c r="AA21" i="9" s="1" a="1"/>
  <c r="AA21" i="9" s="1"/>
  <c r="M89" i="9"/>
  <c r="AB10" i="9" s="1" a="1"/>
  <c r="AB10" i="9" s="1"/>
  <c r="G96" i="9"/>
  <c r="V17" i="9" s="1" a="1"/>
  <c r="V17" i="9" s="1"/>
  <c r="G64" i="9" a="1"/>
  <c r="G64" i="9" s="1"/>
  <c r="L64" i="9" a="1"/>
  <c r="L64" i="9" s="1"/>
  <c r="D101" i="9"/>
  <c r="S22" i="9" s="1" a="1"/>
  <c r="S22" i="9" s="1"/>
  <c r="K57" i="9" a="1"/>
  <c r="K57" i="9" s="1"/>
  <c r="M58" i="9" a="1"/>
  <c r="M58" i="9" s="1"/>
  <c r="K101" i="9"/>
  <c r="Z22" i="9" s="1" a="1"/>
  <c r="Z22" i="9" s="1"/>
  <c r="K107" i="9"/>
  <c r="Z28" i="9" s="1" a="1"/>
  <c r="Z28" i="9" s="1"/>
  <c r="L51" i="9" a="1"/>
  <c r="L51" i="9" s="1"/>
  <c r="H97" i="9"/>
  <c r="W18" i="9" s="1" a="1"/>
  <c r="W18" i="9" s="1"/>
  <c r="O62" i="9"/>
  <c r="E103" i="9"/>
  <c r="T24" i="9" s="1" a="1"/>
  <c r="T24" i="9" s="1"/>
  <c r="E106" i="9"/>
  <c r="T27" i="9" s="1" a="1"/>
  <c r="T27" i="9" s="1"/>
  <c r="K86" i="9"/>
  <c r="Z7" i="9" s="1" a="1"/>
  <c r="Z7" i="9" s="1"/>
  <c r="L85" i="9"/>
  <c r="AA6" i="9" s="1" a="1"/>
  <c r="AA6" i="9" s="1"/>
  <c r="E107" i="9"/>
  <c r="T28" i="9" s="1" a="1"/>
  <c r="T28" i="9" s="1"/>
  <c r="O88" i="9"/>
  <c r="AD9" i="9" s="1"/>
  <c r="B6" i="20" s="1"/>
  <c r="O106" i="9"/>
  <c r="AD27" i="9" s="1"/>
  <c r="B24" i="20" s="1"/>
  <c r="AD16" i="9"/>
  <c r="B13" i="20" s="1"/>
  <c r="K91" i="9"/>
  <c r="Z12" i="9" s="1" a="1"/>
  <c r="Z12" i="9" s="1"/>
  <c r="A20" i="20"/>
  <c r="B15" i="9"/>
  <c r="D94" i="9"/>
  <c r="S15" i="9" s="1" a="1"/>
  <c r="S15" i="9" s="1"/>
  <c r="O58" i="9"/>
  <c r="D88" i="9"/>
  <c r="S9" i="9" s="1" a="1"/>
  <c r="S9" i="9" s="1"/>
  <c r="F87" i="9"/>
  <c r="U8" i="9" s="1" a="1"/>
  <c r="U8" i="9" s="1"/>
  <c r="F91" i="9"/>
  <c r="U12" i="9" s="1" a="1"/>
  <c r="U12" i="9" s="1"/>
  <c r="AB6" i="9" a="1"/>
  <c r="AB6" i="9" s="1"/>
  <c r="A24" i="20"/>
  <c r="C109" i="9"/>
  <c r="R30" i="9" s="1" a="1"/>
  <c r="R30" i="9" s="1"/>
  <c r="R21" i="9" a="1"/>
  <c r="R21" i="9" s="1"/>
  <c r="H87" i="9"/>
  <c r="W8" i="9" s="1" a="1"/>
  <c r="W8" i="9" s="1"/>
  <c r="G88" i="9"/>
  <c r="I95" i="9"/>
  <c r="X16" i="9" s="1" a="1"/>
  <c r="X16" i="9" s="1"/>
  <c r="L73" i="9" a="1"/>
  <c r="L73" i="9" s="1"/>
  <c r="M88" i="9"/>
  <c r="AB9" i="9" s="1" a="1"/>
  <c r="AB9" i="9" s="1"/>
  <c r="O60" i="9"/>
  <c r="H105" i="9"/>
  <c r="V30" i="9" a="1"/>
  <c r="V30" i="9" s="1"/>
  <c r="J53" i="9" a="1"/>
  <c r="J53" i="9" s="1"/>
  <c r="G85" i="9"/>
  <c r="V6" i="9" s="1" a="1"/>
  <c r="V6" i="9" s="1"/>
  <c r="I72" i="9" a="1"/>
  <c r="I72" i="9" s="1"/>
  <c r="L108" i="9"/>
  <c r="AA29" i="9" s="1" a="1"/>
  <c r="AA29" i="9" s="1"/>
  <c r="I57" i="9" a="1"/>
  <c r="I57" i="9" s="1"/>
  <c r="M72" i="9" a="1"/>
  <c r="M72" i="9" s="1"/>
  <c r="H72" i="9" a="1"/>
  <c r="H72" i="9" s="1"/>
  <c r="Z29" i="9" a="1"/>
  <c r="Z29" i="9" s="1"/>
  <c r="L70" i="9" a="1"/>
  <c r="L70" i="9" s="1"/>
  <c r="L69" i="9" a="1"/>
  <c r="L69" i="9" s="1"/>
  <c r="M109" i="9"/>
  <c r="AB30" i="9" s="1" a="1"/>
  <c r="AB30" i="9" s="1"/>
  <c r="O97" i="9"/>
  <c r="AD18" i="9" s="1"/>
  <c r="B15" i="20" s="1"/>
  <c r="X29" i="9" a="1"/>
  <c r="X29" i="9" s="1"/>
  <c r="G99" i="9"/>
  <c r="V20" i="9" s="1" a="1"/>
  <c r="V20" i="9" s="1"/>
  <c r="AA9" i="9" a="1"/>
  <c r="AA9" i="9" s="1"/>
  <c r="G54" i="9" a="1"/>
  <c r="G54" i="9" s="1"/>
  <c r="J99" i="9"/>
  <c r="Y20" i="9" s="1" a="1"/>
  <c r="Y20" i="9" s="1"/>
  <c r="I53" i="9" a="1"/>
  <c r="I53" i="9" s="1"/>
  <c r="C92" i="9"/>
  <c r="R13" i="9" s="1" a="1"/>
  <c r="R13" i="9" s="1"/>
  <c r="G103" i="9"/>
  <c r="V24" i="9" s="1" a="1"/>
  <c r="V24" i="9" s="1"/>
  <c r="C97" i="9"/>
  <c r="R18" i="9" s="1" a="1"/>
  <c r="R18" i="9" s="1"/>
  <c r="J62" i="9" a="1"/>
  <c r="J62" i="9" s="1"/>
  <c r="U23" i="9" a="1"/>
  <c r="U23" i="9" s="1"/>
  <c r="C102" i="9"/>
  <c r="R23" i="9" s="1" a="1"/>
  <c r="R23" i="9" s="1"/>
  <c r="H93" i="9"/>
  <c r="W14" i="9" s="1" a="1"/>
  <c r="W14" i="9" s="1"/>
  <c r="A17" i="20"/>
  <c r="G49" i="9" a="1"/>
  <c r="G49" i="9" s="1"/>
  <c r="I66" i="9" a="1"/>
  <c r="I66" i="9" s="1"/>
  <c r="A18" i="20"/>
  <c r="G51" i="9" a="1"/>
  <c r="G51" i="9" s="1"/>
  <c r="N78" i="9"/>
  <c r="P78" i="9" s="1"/>
  <c r="A27" i="20"/>
  <c r="A15" i="20"/>
  <c r="A16" i="20"/>
  <c r="A14" i="20"/>
  <c r="I91" i="6"/>
  <c r="K6" i="6"/>
  <c r="C4" i="8" s="1"/>
  <c r="G91" i="6"/>
  <c r="H91" i="6"/>
  <c r="N6" i="17"/>
  <c r="D334" i="17"/>
  <c r="K5" i="17" s="1"/>
  <c r="G14" i="15"/>
  <c r="D38" i="18"/>
  <c r="C11" i="8" s="1"/>
  <c r="D38" i="14"/>
  <c r="C10" i="8" s="1"/>
  <c r="I37" i="12"/>
  <c r="C43" i="12"/>
  <c r="K6" i="17"/>
  <c r="J37" i="14"/>
  <c r="C12" i="8" s="1"/>
  <c r="N5" i="17"/>
  <c r="C16" i="10"/>
  <c r="H16" i="7"/>
  <c r="E38" i="18"/>
  <c r="M74" i="9" a="1"/>
  <c r="M74" i="9" s="1"/>
  <c r="G69" i="9" a="1"/>
  <c r="G69" i="9" s="1"/>
  <c r="G56" i="9" a="1"/>
  <c r="G56" i="9" s="1"/>
  <c r="K135" i="1"/>
  <c r="G60" i="9" a="1"/>
  <c r="G60" i="9" s="1"/>
  <c r="V16" i="9" a="1"/>
  <c r="V16" i="9" s="1"/>
  <c r="N79" i="9"/>
  <c r="X15" i="9" a="1"/>
  <c r="X15" i="9" s="1"/>
  <c r="Y33" i="9" a="1"/>
  <c r="Y33" i="9" s="1"/>
  <c r="AC33" i="9" s="1"/>
  <c r="AE33" i="9" s="1"/>
  <c r="V5" i="9" a="1"/>
  <c r="V5" i="9" s="1"/>
  <c r="V7" i="9" a="1"/>
  <c r="V7" i="9" s="1"/>
  <c r="N77" i="9"/>
  <c r="P77" i="9" s="1"/>
  <c r="AC36" i="9"/>
  <c r="W34" i="9" a="1"/>
  <c r="W34" i="9" s="1"/>
  <c r="AC34" i="9" s="1"/>
  <c r="AE34" i="9" s="1"/>
  <c r="N113" i="9"/>
  <c r="P113" i="9" s="1"/>
  <c r="F334" i="17"/>
  <c r="N115" i="9"/>
  <c r="P115" i="9" s="1"/>
  <c r="AA7" i="9" a="1"/>
  <c r="AA7" i="9" s="1"/>
  <c r="J135" i="1" a="1"/>
  <c r="J135" i="1" s="1"/>
  <c r="I135" i="1" a="1"/>
  <c r="I135" i="1" s="1"/>
  <c r="E10" i="8" s="1"/>
  <c r="N114" i="9"/>
  <c r="P114" i="9" s="1"/>
  <c r="V35" i="9" a="1"/>
  <c r="V35" i="9" s="1"/>
  <c r="AC35" i="9" s="1"/>
  <c r="AE35" i="9" s="1"/>
  <c r="N111" i="9"/>
  <c r="P111" i="9" s="1"/>
  <c r="D2" i="2"/>
  <c r="H87" i="1" l="1"/>
  <c r="H88" i="1"/>
  <c r="H105" i="1"/>
  <c r="H92" i="1"/>
  <c r="H69" i="1"/>
  <c r="H67" i="1"/>
  <c r="H102" i="1"/>
  <c r="H104" i="1"/>
  <c r="H108" i="1"/>
  <c r="H107" i="1"/>
  <c r="AC32" i="9"/>
  <c r="AE32" i="9" s="1"/>
  <c r="N76" i="9"/>
  <c r="P76" i="9" s="1"/>
  <c r="N95" i="9"/>
  <c r="P95" i="9" s="1"/>
  <c r="C18" i="9"/>
  <c r="C4" i="9"/>
  <c r="N58" i="9"/>
  <c r="P58" i="9" s="1"/>
  <c r="N68" i="9"/>
  <c r="P68" i="9" s="1"/>
  <c r="AC19" i="9"/>
  <c r="AE19" i="9" s="1"/>
  <c r="C16" i="20" s="1"/>
  <c r="N65" i="9"/>
  <c r="P65" i="9" s="1"/>
  <c r="N75" i="9"/>
  <c r="P75" i="9" s="1"/>
  <c r="N70" i="9"/>
  <c r="P70" i="9" s="1"/>
  <c r="C2" i="9"/>
  <c r="N98" i="9"/>
  <c r="P98" i="9" s="1"/>
  <c r="N66" i="9"/>
  <c r="P66" i="9" s="1"/>
  <c r="N54" i="9"/>
  <c r="P54" i="9" s="1"/>
  <c r="N59" i="9"/>
  <c r="P59" i="9" s="1"/>
  <c r="N52" i="9"/>
  <c r="P52" i="9" s="1"/>
  <c r="AC7" i="9"/>
  <c r="AE7" i="9" s="1"/>
  <c r="C4" i="20" s="1"/>
  <c r="C13" i="9"/>
  <c r="N50" i="9"/>
  <c r="P50" i="9" s="1"/>
  <c r="E14" i="19"/>
  <c r="E12" i="19"/>
  <c r="AC13" i="9"/>
  <c r="AE13" i="9" s="1"/>
  <c r="C10" i="20" s="1"/>
  <c r="AC27" i="9"/>
  <c r="AE27" i="9" s="1"/>
  <c r="C24" i="20" s="1"/>
  <c r="AC22" i="9"/>
  <c r="AE22" i="9" s="1"/>
  <c r="C19" i="20" s="1"/>
  <c r="N67" i="9"/>
  <c r="P67" i="9" s="1"/>
  <c r="N63" i="9"/>
  <c r="P63" i="9" s="1"/>
  <c r="N55" i="9"/>
  <c r="P55" i="9" s="1"/>
  <c r="N57" i="9"/>
  <c r="P57" i="9" s="1"/>
  <c r="N64" i="9"/>
  <c r="P64" i="9" s="1"/>
  <c r="N71" i="9"/>
  <c r="P71" i="9" s="1"/>
  <c r="N101" i="9"/>
  <c r="P101" i="9" s="1"/>
  <c r="AC8" i="9"/>
  <c r="AE8" i="9" s="1"/>
  <c r="C5" i="20" s="1"/>
  <c r="N91" i="9"/>
  <c r="P91" i="9" s="1"/>
  <c r="AC18" i="9"/>
  <c r="AE18" i="9" s="1"/>
  <c r="C15" i="20" s="1"/>
  <c r="N51" i="9"/>
  <c r="P51" i="9" s="1"/>
  <c r="N72" i="9"/>
  <c r="P72" i="9" s="1"/>
  <c r="N56" i="9"/>
  <c r="P56" i="9" s="1"/>
  <c r="N53" i="9"/>
  <c r="P53" i="9" s="1"/>
  <c r="AC6" i="9"/>
  <c r="AE6" i="9" s="1"/>
  <c r="C3" i="20" s="1"/>
  <c r="N61" i="9"/>
  <c r="P61" i="9" s="1"/>
  <c r="N92" i="9"/>
  <c r="P92" i="9" s="1"/>
  <c r="N62" i="9"/>
  <c r="P62" i="9" s="1"/>
  <c r="AC21" i="9"/>
  <c r="AE21" i="9" s="1"/>
  <c r="C18" i="20" s="1"/>
  <c r="N74" i="9"/>
  <c r="P74" i="9" s="1"/>
  <c r="N106" i="9"/>
  <c r="P106" i="9" s="1"/>
  <c r="AC11" i="9"/>
  <c r="AE11" i="9" s="1"/>
  <c r="C8" i="20" s="1"/>
  <c r="AC24" i="9"/>
  <c r="AE24" i="9" s="1"/>
  <c r="C21" i="20" s="1"/>
  <c r="N97" i="9"/>
  <c r="P97" i="9" s="1"/>
  <c r="N103" i="9"/>
  <c r="P103" i="9" s="1"/>
  <c r="N99" i="9"/>
  <c r="P99" i="9" s="1"/>
  <c r="N93" i="9"/>
  <c r="P93" i="9" s="1"/>
  <c r="N69" i="9"/>
  <c r="P69" i="9" s="1"/>
  <c r="N100" i="9"/>
  <c r="P100" i="9" s="1"/>
  <c r="N84" i="9"/>
  <c r="P84" i="9" s="1"/>
  <c r="N85" i="9"/>
  <c r="P85" i="9" s="1"/>
  <c r="N107" i="9"/>
  <c r="P107" i="9" s="1"/>
  <c r="AC16" i="9"/>
  <c r="AE16" i="9" s="1"/>
  <c r="C13" i="20" s="1"/>
  <c r="E7" i="9" a="1"/>
  <c r="E7" i="9" s="1"/>
  <c r="C7" i="9"/>
  <c r="N49" i="9"/>
  <c r="P49" i="9" s="1"/>
  <c r="AC17" i="9"/>
  <c r="AE17" i="9" s="1"/>
  <c r="C14" i="20" s="1"/>
  <c r="N73" i="9"/>
  <c r="P73" i="9" s="1"/>
  <c r="AC29" i="9"/>
  <c r="AE29" i="9" s="1"/>
  <c r="C26" i="20" s="1"/>
  <c r="AC10" i="9"/>
  <c r="AE10" i="9" s="1"/>
  <c r="C7" i="20" s="1"/>
  <c r="AC14" i="9"/>
  <c r="AE14" i="9" s="1"/>
  <c r="C11" i="20" s="1"/>
  <c r="AC20" i="9"/>
  <c r="AE20" i="9" s="1"/>
  <c r="C17" i="20" s="1"/>
  <c r="AC28" i="9"/>
  <c r="AE28" i="9" s="1"/>
  <c r="C25" i="20" s="1"/>
  <c r="E18" i="19" a="1"/>
  <c r="E18" i="19" s="1"/>
  <c r="W31" i="9" a="1"/>
  <c r="W31" i="9" s="1"/>
  <c r="AC31" i="9" s="1"/>
  <c r="AE31" i="9" s="1"/>
  <c r="C28" i="20" s="1"/>
  <c r="N110" i="9"/>
  <c r="P110" i="9" s="1"/>
  <c r="AC5" i="9"/>
  <c r="AE5" i="9" s="1"/>
  <c r="C2" i="20" s="1"/>
  <c r="N104" i="9"/>
  <c r="P104" i="9" s="1"/>
  <c r="AC15" i="9"/>
  <c r="AE15" i="9" s="1"/>
  <c r="C12" i="20" s="1"/>
  <c r="AC30" i="9"/>
  <c r="AE30" i="9" s="1"/>
  <c r="C27" i="20" s="1"/>
  <c r="C8" i="9"/>
  <c r="E8" i="9"/>
  <c r="E3" i="9"/>
  <c r="C3" i="9"/>
  <c r="AC25" i="9"/>
  <c r="AE25" i="9" s="1"/>
  <c r="C22" i="20" s="1"/>
  <c r="C14" i="9"/>
  <c r="E14" i="9"/>
  <c r="N96" i="9"/>
  <c r="P96" i="9" s="1"/>
  <c r="N86" i="9"/>
  <c r="P86" i="9" s="1"/>
  <c r="N109" i="9"/>
  <c r="P109" i="9" s="1"/>
  <c r="C6" i="9"/>
  <c r="E6" i="9"/>
  <c r="C16" i="9"/>
  <c r="E16" i="9"/>
  <c r="V23" i="9" a="1"/>
  <c r="V23" i="9" s="1"/>
  <c r="AC23" i="9" s="1"/>
  <c r="AE23" i="9" s="1"/>
  <c r="C20" i="20" s="1"/>
  <c r="N102" i="9"/>
  <c r="P102" i="9" s="1"/>
  <c r="W26" i="9" a="1"/>
  <c r="W26" i="9" s="1"/>
  <c r="AC26" i="9" s="1"/>
  <c r="AE26" i="9" s="1"/>
  <c r="C23" i="20" s="1"/>
  <c r="N105" i="9"/>
  <c r="P105" i="9" s="1"/>
  <c r="V9" i="9" a="1"/>
  <c r="V9" i="9" s="1"/>
  <c r="AC9" i="9" s="1"/>
  <c r="AE9" i="9" s="1"/>
  <c r="C6" i="20" s="1"/>
  <c r="N88" i="9"/>
  <c r="P88" i="9" s="1"/>
  <c r="N87" i="9"/>
  <c r="P87" i="9" s="1"/>
  <c r="N60" i="9"/>
  <c r="P60" i="9" s="1"/>
  <c r="C9" i="9"/>
  <c r="E9" i="9"/>
  <c r="E11" i="9"/>
  <c r="C11" i="9"/>
  <c r="E10" i="9"/>
  <c r="C10" i="9"/>
  <c r="N90" i="9"/>
  <c r="P90" i="9" s="1"/>
  <c r="N108" i="9"/>
  <c r="P108" i="9" s="1"/>
  <c r="N89" i="9"/>
  <c r="P89" i="9" s="1"/>
  <c r="C15" i="9"/>
  <c r="E15" i="9"/>
  <c r="E5" i="9"/>
  <c r="C5" i="9"/>
  <c r="N94" i="9"/>
  <c r="P94" i="9" s="1"/>
  <c r="N7" i="17"/>
  <c r="P7" i="17" s="1"/>
  <c r="C14" i="8"/>
  <c r="C4" i="10" s="1"/>
  <c r="C15" i="10" s="1"/>
  <c r="C17" i="10" s="1"/>
  <c r="F38" i="18"/>
  <c r="C19" i="10"/>
  <c r="AC12" i="9"/>
  <c r="AE12" i="9" s="1"/>
  <c r="C9" i="20" s="1"/>
  <c r="E13" i="8"/>
  <c r="E11" i="8"/>
  <c r="E20" i="19" a="1"/>
  <c r="E20" i="19" s="1"/>
  <c r="E6" i="8"/>
  <c r="E4" i="8"/>
  <c r="E9" i="8"/>
  <c r="E12" i="8"/>
  <c r="E7" i="8"/>
  <c r="E8" i="8"/>
  <c r="E5" i="8"/>
  <c r="E16" i="19" l="1"/>
  <c r="C23" i="9"/>
  <c r="C3" i="10" s="1"/>
  <c r="C5" i="10" s="1"/>
  <c r="F21" i="10" s="1"/>
  <c r="C21" i="9"/>
  <c r="E14" i="8"/>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<sst xmlns="http://schemas.openxmlformats.org/spreadsheetml/2006/main" count="1905" uniqueCount="426">
  <si>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</si>
  <si>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</si>
  <si>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</si>
  <si>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</si>
  <si>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</si>
  <si>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</si>
  <si>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</si>
  <si>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</si>
  <si>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</si>
  <si>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</si>
  <si>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</si>
  <si>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</si>
  <si>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</si>
  <si>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</si>
  <si>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</si>
  <si>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</si>
  <si>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</si>
  <si>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</si>
  <si>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</si>
  <si>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</si>
  <si>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</si>
  <si>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</si>
  <si>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</si>
  <si>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</si>
  <si>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</si>
  <si>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</si>
  <si>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</si>
  <si>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</si>
  <si>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</si>
  <si>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</si>
  <si>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</si>
  <si>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</si>
  <si>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</si>
  <si>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</si>
  <si>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</si>
  <si>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</si>
  <si>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</si>
  <si>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</si>
  <si>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</si>
  <si>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</si>
  <si>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</si>
  <si>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</si>
  <si>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</si>
  <si>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</si>
  <si>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</si>
  <si>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</si>
  <si>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</si>
  <si>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</si>
  <si>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</si>
  <si>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</si>
  <si>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</si>
  <si>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</si>
  <si>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</si>
  <si>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</si>
  <si>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</si>
  <si>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</si>
  <si>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</si>
  <si>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</si>
  <si>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</si>
  <si>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</si>
  <si>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</si>
  <si>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</si>
  <si>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</si>
  <si>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</si>
  <si>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</si>
  <si>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</si>
  <si>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</si>
  <si>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</si>
  <si>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</si>
  <si>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</si>
  <si>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</si>
  <si>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</si>
  <si>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</si>
  <si>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</si>
  <si>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</si>
  <si>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</si>
  <si>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</si>
  <si>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</si>
  <si>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</si>
  <si>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</si>
  <si>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</si>
  <si>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</si>
  <si>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</si>
  <si>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</si>
  <si>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</si>
  <si>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</si>
  <si>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</si>
  <si>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</si>
  <si>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</si>
  <si>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</si>
  <si>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</si>
  <si>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</si>
  <si>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</si>
  <si>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</si>
  <si>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</si>
  <si>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</si>
  <si>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</si>
  <si>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</si>
  <si>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</si>
  <si>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</si>
  <si>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</si>
  <si>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</si>
  <si>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</si>
  <si>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</si>
  <si>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</si>
  <si>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</si>
  <si>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</si>
  <si>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</si>
  <si>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</si>
  <si>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</si>
  <si>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</si>
  <si>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</si>
  <si>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</si>
  <si>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</si>
  <si>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</si>
  <si>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</si>
  <si>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</si>
  <si>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</si>
  <si>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</si>
  <si>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</si>
  <si>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</si>
  <si>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</si>
  <si>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</si>
  <si>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</si>
  <si>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</si>
  <si>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</si>
  <si>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</si>
  <si>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</si>
  <si>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</si>
  <si>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</si>
  <si>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</si>
  <si>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</si>
  <si>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</si>
  <si>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</si>
  <si>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</si>
  <si>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</si>
  <si>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</si>
  <si>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</si>
  <si>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</si>
  <si>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</si>
  <si>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</si>
  <si>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</si>
  <si>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</si>
  <si>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</si>
  <si>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</si>
  <si>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</si>
  <si>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</si>
  <si>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</si>
  <si>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</si>
  <si>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</si>
  <si>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</si>
  <si>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</si>
  <si>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</si>
  <si>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</si>
  <si>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</si>
  <si>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</si>
  <si>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</si>
  <si>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</si>
  <si>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</si>
  <si>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</si>
  <si>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</si>
  <si>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</si>
  <si>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</si>
  <si>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</si>
  <si>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</si>
  <si>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</si>
  <si>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</si>
  <si>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</si>
  <si>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</si>
  <si>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</si>
  <si>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</si>
  <si>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</si>
  <si>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</si>
  <si>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</si>
  <si>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</si>
  <si>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</si>
  <si>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</si>
  <si>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</si>
  <si>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</si>
  <si>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</si>
  <si>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</si>
  <si>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</si>
  <si>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</si>
  <si>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</si>
  <si>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</si>
  <si>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</si>
  <si>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</si>
  <si>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</si>
  <si>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</si>
  <si>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</si>
  <si>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</si>
  <si>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</si>
  <si>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</si>
  <si>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</si>
  <si>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</si>
  <si>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</si>
  <si>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</si>
  <si>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</si>
  <si>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</si>
  <si>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</si>
  <si>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</si>
  <si>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</si>
  <si>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</si>
  <si>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</si>
  <si>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</si>
  <si>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</si>
  <si>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</si>
  <si>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</si>
  <si>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</si>
  <si>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</si>
  <si>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</si>
  <si>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</si>
  <si>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</si>
  <si>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</si>
  <si>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</si>
  <si>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</si>
  <si>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</si>
  <si>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</si>
  <si>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</si>
  <si>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</si>
  <si>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</si>
  <si>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</si>
  <si>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</si>
  <si>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</si>
  <si>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</si>
  <si>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</si>
  <si>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</si>
  <si>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</si>
  <si>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</si>
  <si>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</si>
  <si>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</si>
  <si>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</si>
  <si>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</si>
  <si>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</si>
  <si>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</si>
  <si>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</si>
  <si>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</si>
  <si>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</si>
  <si>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</si>
  <si>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</si>
  <si>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</si>
  <si>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</si>
  <si>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</si>
  <si>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</si>
  <si>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</si>
  <si>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</si>
  <si>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</si>
  <si>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</si>
  <si>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</si>
  <si>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</si>
  <si>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</si>
  <si>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</si>
  <si>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</si>
  <si>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</si>
  <si>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</si>
  <si>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</si>
  <si>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</si>
  <si>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</si>
  <si>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</si>
  <si>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</si>
  <si>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</si>
  <si>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</si>
  <si>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</si>
  <si>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</si>
  <si>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</si>
  <si>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</si>
  <si>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</si>
  <si>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</si>
  <si>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</si>
  <si>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</si>
  <si>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</si>
  <si>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</si>
  <si>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</si>
  <si>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</si>
  <si>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</si>
  <si>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</si>
  <si>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</si>
  <si>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</si>
  <si>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</si>
  <si>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</si>
  <si>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</si>
  <si>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</si>
  <si>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</si>
  <si>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</si>
  <si>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</si>
  <si>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</si>
  <si>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</si>
  <si>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</si>
  <si>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</si>
  <si>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</si>
  <si>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</si>
  <si>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</si>
  <si>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</si>
  <si>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</si>
  <si>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</si>
  <si>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</si>
  <si>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</si>
  <si>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</si>
  <si>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</si>
  <si>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</si>
  <si>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</si>
  <si>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</si>
  <si>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</si>
  <si>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</si>
  <si>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</si>
  <si>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</si>
  <si>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</si>
  <si>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</si>
  <si>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</si>
  <si>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</si>
  <si>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</si>
  <si>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</si>
  <si>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</si>
  <si>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</si>
  <si>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</si>
  <si>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</si>
  <si>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</si>
  <si>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</si>
  <si>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</si>
  <si>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</si>
  <si>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</si>
  <si>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</si>
  <si>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</si>
  <si>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</si>
  <si>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</si>
  <si>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</si>
  <si>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</si>
  <si>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</si>
  <si>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</si>
  <si>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</si>
  <si>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</si>
  <si>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</si>
  <si>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</si>
  <si>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</si>
  <si>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</si>
  <si>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</si>
  <si>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</si>
  <si>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</si>
  <si>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</si>
  <si>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</si>
  <si>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</si>
  <si>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</si>
  <si>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</si>
  <si>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</si>
  <si>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</si>
  <si>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</si>
  <si>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</si>
  <si>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</si>
  <si>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</si>
  <si>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</si>
  <si>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</si>
  <si>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</si>
  <si>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</si>
  <si>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</si>
  <si>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</si>
  <si>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</si>
  <si>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</si>
  <si>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</si>
  <si>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</si>
  <si>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</si>
  <si>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</si>
  <si>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</si>
  <si>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</si>
  <si>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</si>
  <si>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</si>
  <si>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</si>
  <si>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</si>
  <si>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</si>
  <si>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</si>
  <si>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</si>
  <si>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</si>
  <si>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</si>
  <si>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</si>
  <si>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</si>
  <si>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</si>
  <si>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</si>
  <si>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</si>
  <si>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</si>
  <si>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</si>
  <si>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</si>
  <si>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</si>
  <si>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</si>
  <si>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</si>
  <si>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</si>
  <si>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</si>
  <si>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</si>
  <si>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</si>
  <si>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</si>
  <si>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</si>
  <si>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</si>
  <si>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</si>
  <si>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</si>
  <si>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</si>
  <si>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</si>
  <si>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</si>
  <si>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</si>
  <si>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</si>
  <si>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</si>
  <si>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</si>
  <si>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</si>
  <si>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</si>
  <si>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</si>
  <si>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</si>
  <si>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</si>
  <si>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</si>
  <si>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</si>
  <si>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</si>
  <si>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</si>
  <si>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</si>
  <si>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</si>
  <si>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</si>
  <si>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</si>
  <si>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</si>
  <si>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</si>
  <si>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</si>
  <si>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</si>
  <si>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</si>
  <si>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</si>
  <si>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</si>
  <si>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</si>
  <si>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</si>
  <si>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</si>
  <si>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</si>
  <si>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</si>
  <si>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</si>
  <si>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Badshah 25o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</si>
</sst>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580672</xdr:colOff>
      <xdr:row>7</xdr:row>
      <xdr:rowOff>43181</xdr:rowOff>
    </xdr:from>
    <xdr:to>
      <xdr:col>13</xdr:col>
      <xdr:colOff>466114</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278961</xdr:colOff>
      <xdr:row>12</xdr:row>
      <xdr:rowOff>138748</xdr:rowOff>
    </xdr:from>
    <xdr:to>
      <xdr:col>14</xdr:col>
      <xdr:colOff>601857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7870371" createdVersion="8" refreshedVersion="8" minRefreshableVersion="3" recordCount="332"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9">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21759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95529.33650329191"/>
    </cacheField>
    <cacheField name="Rate" numFmtId="0">
      <sharedItems containsString="0" containsBlank="1" containsNumber="1" minValue="10" maxValue="12"/>
    </cacheField>
    <cacheField name="Total" numFmtId="164">
      <sharedItems containsSemiMixedTypes="0" containsString="0" containsNumber="1" minValue="0" maxValue="3681638.624725676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33333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7T00:00:00" count="61">
        <d v="2025-12-17T00:00:00"/>
        <d v="2025-12-18T00:00:00"/>
        <d v="2025-12-22T00:00:00"/>
        <d v="2025-12-26T00:00:00"/>
        <d v="2025-12-25T00:00:00"/>
        <d v="2025-12-27T00:00:00"/>
        <d v="2025-12-29T00:00:00"/>
        <d v="2026-01-02T00:00:00"/>
        <d v="2026-01-03T00:00:00"/>
        <d v="2026-01-0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21825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449071" createdVersion="8" refreshedVersion="8" minRefreshableVersion="3" recordCount="8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7">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6-01-06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5648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680556" createdVersion="8" refreshedVersion="8" minRefreshableVersion="3" recordCount="133" xr:uid="{46CBB50D-3613-4E5B-8212-DD0313DCD05A}">
  <cacheSource type="worksheet">
    <worksheetSource name="Table1"/>
  </cacheSource>
  <cacheFields count="14">
    <cacheField name="Date" numFmtId="0">
      <sharedItems containsSemiMixedTypes="0" containsNonDate="0" containsDate="1" containsString="0" minDate="2025-11-18T00:00:00" maxDate="2026-01-07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29"/>
    </cacheField>
    <cacheField name="Quality" numFmtId="0">
      <sharedItems/>
    </cacheField>
    <cacheField name="Shipment Number" numFmtId="164">
      <sharedItems containsBlank="1" containsMixedTypes="1" containsNumber="1" containsInteger="1" minValue="1558" maxValue="17000" count="362">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1.2821711996982401" maxValue="86.372725777835356"/>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n v="250000"/>
    <m/>
    <s v="Badshah 25o"/>
    <s v="Bank"/>
    <m/>
  </r>
  <r>
    <d v="2026-01-06T00:00:00"/>
    <x v="36"/>
    <m/>
    <m/>
    <m/>
    <m/>
    <m/>
  </r>
  <r>
    <d v="2026-01-06T00:00:00"/>
    <x v="36"/>
    <m/>
    <m/>
    <m/>
    <m/>
    <m/>
  </r>
  <r>
    <d v="2026-01-06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95529.33650329191"/>
    <n v="10"/>
    <n v="3681638.6247256766"/>
  </r>
  <r>
    <x v="1"/>
    <n v="34084.674469641555"/>
    <n v="10"/>
    <n v="409016.09363569866"/>
  </r>
  <r>
    <x v="2"/>
    <n v="116424.6525237747"/>
    <n v="10"/>
    <n v="1189901.2435991224"/>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m/>
    <m/>
    <m/>
    <m/>
    <x v="5"/>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r>
    <x v="22"/>
    <x v="6"/>
    <x v="5"/>
    <n v="182"/>
    <n v="820"/>
    <m/>
    <n v="149240"/>
    <n v="106500"/>
    <n v="42740"/>
  </r>
  <r>
    <x v="22"/>
    <x v="10"/>
    <x v="5"/>
    <n v="234"/>
    <n v="820"/>
    <m/>
    <n v="191880"/>
    <n v="36000"/>
    <n v="155880"/>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1.2821711996982401"/>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41.003999423312742"/>
    <n v="42813.643013899054"/>
    <n v="428136.43013899052"/>
    <m/>
  </r>
  <r>
    <d v="2026-01-05T00:00:00"/>
    <x v="2"/>
    <n v="1323"/>
    <s v="Chamki"/>
    <x v="40"/>
    <n v="51009"/>
    <n v="8175"/>
    <n v="41.003999423312742"/>
    <n v="7475.3108997805421"/>
    <n v="74753.108997805422"/>
    <m/>
  </r>
  <r>
    <d v="2026-01-05T00:00:00"/>
    <x v="10"/>
    <n v="1324"/>
    <s v="Chamki"/>
    <x v="41"/>
    <n v="25470"/>
    <n v="13785"/>
    <n v="0.64619821819435685"/>
    <n v="12605.15727871251"/>
    <n v="126051.5727871251"/>
    <m/>
  </r>
  <r>
    <d v="2026-01-06T00:00:00"/>
    <x v="0"/>
    <n v="1325"/>
    <s v="Silky"/>
    <x v="36"/>
    <m/>
    <n v="39807"/>
    <e v="#DIV/0!"/>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158">
        <item m="1" x="141"/>
        <item m="1" x="142"/>
        <item m="1" x="143"/>
        <item m="1" x="144"/>
        <item m="1" x="145"/>
        <item m="1" x="146"/>
        <item m="1" x="147"/>
        <item m="1" x="156"/>
        <item m="1" x="137"/>
        <item m="1" x="148"/>
        <item m="1" x="149"/>
        <item m="1" x="150"/>
        <item m="1" x="151"/>
        <item m="1" x="152"/>
        <item m="1" x="153"/>
        <item m="1" x="154"/>
        <item m="1" x="108"/>
        <item m="1" x="109"/>
        <item m="1" x="155"/>
        <item m="1" x="110"/>
        <item m="1" x="107"/>
        <item m="1" x="111"/>
        <item m="1" x="113"/>
        <item m="1" x="114"/>
        <item m="1" x="115"/>
        <item m="1" x="117"/>
        <item m="1" x="118"/>
        <item m="1" x="119"/>
        <item m="1" x="112"/>
        <item m="1" x="116"/>
        <item m="1" x="120"/>
        <item m="1" x="121"/>
        <item m="1" x="122"/>
        <item m="1" x="123"/>
        <item m="1" x="106"/>
        <item m="1" x="124"/>
        <item m="1" x="138"/>
        <item m="1" x="139"/>
        <item m="1" x="140"/>
        <item m="1" x="125"/>
        <item m="1" x="126"/>
        <item m="1" x="127"/>
        <item m="1" x="128"/>
        <item m="1" x="129"/>
        <item m="1" x="130"/>
        <item m="1" x="131"/>
        <item m="1" x="132"/>
        <item m="1" x="133"/>
        <item m="1" x="134"/>
        <item m="1" x="135"/>
        <item m="1" x="136"/>
        <item m="1" x="77"/>
        <item m="1" x="78"/>
        <item m="1" x="79"/>
        <item m="1" x="80"/>
        <item m="1" x="81"/>
        <item m="1" x="82"/>
        <item m="1" x="83"/>
        <item m="1" x="84"/>
        <item m="1" x="86"/>
        <item m="1" x="87"/>
        <item m="1" x="88"/>
        <item m="1" x="85"/>
        <item m="1" x="89"/>
        <item m="1" x="90"/>
        <item m="1" x="91"/>
        <item m="1" x="92"/>
        <item m="1" x="93"/>
        <item m="1" x="94"/>
        <item m="1" x="95"/>
        <item m="1" x="96"/>
        <item m="1" x="97"/>
        <item m="1" x="98"/>
        <item m="1" x="99"/>
        <item m="1" x="100"/>
        <item m="1" x="101"/>
        <item m="1" x="102"/>
        <item m="1" x="103"/>
        <item m="1" x="104"/>
        <item m="1" x="105"/>
        <item m="1" x="23"/>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24"/>
        <item m="1" x="27"/>
        <item m="1" x="25"/>
        <item m="1" x="26"/>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x="0"/>
        <item x="1"/>
        <item x="2"/>
        <item x="3"/>
        <item x="4"/>
        <item x="5"/>
        <item x="6"/>
        <item x="7"/>
        <item x="9"/>
        <item x="8"/>
        <item x="10"/>
        <item x="11"/>
        <item x="13"/>
        <item x="14"/>
        <item x="15"/>
        <item x="12"/>
        <item x="16"/>
        <item x="17"/>
        <item x="18"/>
        <item x="19"/>
        <item x="20"/>
        <item x="21"/>
        <item x="22"/>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x v="15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80">
        <item x="15"/>
        <item x="19"/>
        <item m="1" x="39"/>
        <item m="1" x="65"/>
        <item m="1" x="69"/>
        <item m="1" x="40"/>
        <item x="5"/>
        <item x="16"/>
        <item x="9"/>
        <item x="26"/>
        <item x="4"/>
        <item m="1" x="77"/>
        <item x="29"/>
        <item x="17"/>
        <item x="24"/>
        <item m="1" x="75"/>
        <item x="2"/>
        <item x="31"/>
        <item x="1"/>
        <item x="28"/>
        <item x="36"/>
        <item x="22"/>
        <item m="1" x="78"/>
        <item x="30"/>
        <item x="8"/>
        <item m="1" x="76"/>
        <item m="1" x="68"/>
        <item m="1" x="48"/>
        <item m="1" x="70"/>
        <item m="1" x="71"/>
        <item m="1" x="72"/>
        <item m="1" x="73"/>
        <item m="1" x="51"/>
        <item m="1" x="74"/>
        <item x="32"/>
        <item x="12"/>
        <item x="35"/>
        <item x="14"/>
        <item m="1" x="64"/>
        <item m="1" x="60"/>
        <item x="23"/>
        <item x="13"/>
        <item m="1" x="47"/>
        <item m="1" x="66"/>
        <item x="6"/>
        <item m="1" x="67"/>
        <item m="1" x="55"/>
        <item m="1" x="44"/>
        <item x="7"/>
        <item m="1" x="56"/>
        <item m="1" x="57"/>
        <item m="1" x="58"/>
        <item m="1" x="59"/>
        <item m="1" x="61"/>
        <item x="33"/>
        <item m="1" x="41"/>
        <item m="1" x="62"/>
        <item m="1" x="63"/>
        <item m="1" x="38"/>
        <item m="1" x="43"/>
        <item m="1" x="37"/>
        <item x="18"/>
        <item m="1" x="42"/>
        <item m="1" x="45"/>
        <item m="1" x="54"/>
        <item x="3"/>
        <item m="1" x="49"/>
        <item m="1" x="50"/>
        <item x="21"/>
        <item m="1" x="46"/>
        <item x="10"/>
        <item m="1" x="52"/>
        <item x="11"/>
        <item m="1" x="53"/>
        <item x="0"/>
        <item x="20"/>
        <item x="25"/>
        <item x="27"/>
        <item x="34"/>
        <item t="default"/>
      </items>
    </pivotField>
    <pivotField dataField="1" showAll="0"/>
    <pivotField dataField="1" showAll="0"/>
    <pivotField showAll="0"/>
    <pivotField showAll="0"/>
    <pivotField showAll="0"/>
  </pivotFields>
  <rowFields count="1">
    <field x="1"/>
  </rowFields>
  <rowItems count="38">
    <i>
      <x/>
    </i>
    <i>
      <x v="1"/>
    </i>
    <i>
      <x v="6"/>
    </i>
    <i>
      <x v="7"/>
    </i>
    <i>
      <x v="8"/>
    </i>
    <i>
      <x v="9"/>
    </i>
    <i>
      <x v="10"/>
    </i>
    <i>
      <x v="12"/>
    </i>
    <i>
      <x v="13"/>
    </i>
    <i>
      <x v="14"/>
    </i>
    <i>
      <x v="16"/>
    </i>
    <i>
      <x v="17"/>
    </i>
    <i>
      <x v="18"/>
    </i>
    <i>
      <x v="19"/>
    </i>
    <i>
      <x v="20"/>
    </i>
    <i>
      <x v="21"/>
    </i>
    <i>
      <x v="23"/>
    </i>
    <i>
      <x v="24"/>
    </i>
    <i>
      <x v="34"/>
    </i>
    <i>
      <x v="35"/>
    </i>
    <i>
      <x v="36"/>
    </i>
    <i>
      <x v="37"/>
    </i>
    <i>
      <x v="40"/>
    </i>
    <i>
      <x v="41"/>
    </i>
    <i>
      <x v="44"/>
    </i>
    <i>
      <x v="48"/>
    </i>
    <i>
      <x v="54"/>
    </i>
    <i>
      <x v="61"/>
    </i>
    <i>
      <x v="65"/>
    </i>
    <i>
      <x v="68"/>
    </i>
    <i>
      <x v="70"/>
    </i>
    <i>
      <x v="72"/>
    </i>
    <i>
      <x v="74"/>
    </i>
    <i>
      <x v="75"/>
    </i>
    <i>
      <x v="76"/>
    </i>
    <i>
      <x v="77"/>
    </i>
    <i>
      <x v="78"/>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62">
        <item m="1" x="56"/>
        <item m="1" x="57"/>
        <item m="1" x="58"/>
        <item m="1" x="59"/>
        <item m="1" x="60"/>
        <item m="1" x="55"/>
        <item m="1" x="43"/>
        <item m="1" x="44"/>
        <item m="1" x="48"/>
        <item m="1" x="49"/>
        <item m="1" x="45"/>
        <item m="1" x="50"/>
        <item m="1" x="51"/>
        <item m="1" x="52"/>
        <item m="1" x="53"/>
        <item m="1" x="54"/>
        <item m="1" x="42"/>
        <item m="1" x="46"/>
        <item m="1" x="47"/>
        <item m="1" x="35"/>
        <item m="1" x="36"/>
        <item m="1" x="37"/>
        <item m="1" x="38"/>
        <item m="1" x="39"/>
        <item m="1" x="40"/>
        <item m="1" x="41"/>
        <item m="1" x="11"/>
        <item m="1" x="27"/>
        <item m="1" x="28"/>
        <item m="1" x="29"/>
        <item m="1" x="30"/>
        <item m="1" x="31"/>
        <item m="1" x="32"/>
        <item m="1" x="33"/>
        <item m="1" x="34"/>
        <item m="1" x="12"/>
        <item m="1" x="13"/>
        <item m="1" x="14"/>
        <item m="1" x="15"/>
        <item m="1" x="16"/>
        <item m="1" x="17"/>
        <item m="1" x="18"/>
        <item m="1" x="20"/>
        <item m="1" x="21"/>
        <item m="1" x="19"/>
        <item m="1" x="22"/>
        <item m="1" x="23"/>
        <item m="1" x="24"/>
        <item m="1" x="25"/>
        <item m="1" x="26"/>
        <item x="0"/>
        <item x="1"/>
        <item x="2"/>
        <item x="3"/>
        <item x="4"/>
        <item x="5"/>
        <item x="6"/>
        <item x="7"/>
        <item x="8"/>
        <item x="10"/>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2">
    <i>
      <x v="50"/>
    </i>
    <i>
      <x v="51"/>
    </i>
    <i>
      <x v="52"/>
    </i>
    <i>
      <x v="53"/>
    </i>
    <i>
      <x v="54"/>
    </i>
    <i>
      <x v="55"/>
    </i>
    <i>
      <x v="56"/>
    </i>
    <i>
      <x v="57"/>
    </i>
    <i>
      <x v="58"/>
    </i>
    <i>
      <x v="59"/>
    </i>
    <i>
      <x v="6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3">
        <item m="1" x="345"/>
        <item m="1" x="346"/>
        <item m="1" x="344"/>
        <item m="1" x="343"/>
        <item m="1" x="347"/>
        <item m="1" x="349"/>
        <item m="1" x="348"/>
        <item m="1" x="350"/>
        <item m="1" x="351"/>
        <item m="1" x="352"/>
        <item m="1" x="353"/>
        <item m="1" x="354"/>
        <item m="1" x="355"/>
        <item m="1" x="356"/>
        <item m="1" x="281"/>
        <item m="1" x="303"/>
        <item m="1" x="357"/>
        <item m="1" x="358"/>
        <item m="1" x="359"/>
        <item m="1" x="311"/>
        <item m="1" x="310"/>
        <item m="1" x="360"/>
        <item m="1" x="361"/>
        <item m="1" x="320"/>
        <item m="1" x="312"/>
        <item m="1" x="313"/>
        <item m="1" x="314"/>
        <item m="1" x="315"/>
        <item m="1" x="316"/>
        <item m="1" x="317"/>
        <item m="1" x="318"/>
        <item m="1" x="319"/>
        <item m="1" x="321"/>
        <item m="1" x="341"/>
        <item m="1" x="322"/>
        <item m="1" x="342"/>
        <item m="1" x="323"/>
        <item m="1" x="324"/>
        <item m="1" x="325"/>
        <item m="1" x="326"/>
        <item m="1" x="327"/>
        <item m="1" x="258"/>
        <item m="1" x="328"/>
        <item m="1" x="329"/>
        <item m="1" x="330"/>
        <item m="1" x="331"/>
        <item m="1" x="332"/>
        <item m="1" x="333"/>
        <item m="1" x="334"/>
        <item m="1" x="335"/>
        <item m="1" x="336"/>
        <item m="1" x="337"/>
        <item m="1" x="338"/>
        <item m="1" x="339"/>
        <item m="1" x="340"/>
        <item x="0"/>
        <item m="1" x="257"/>
        <item m="1" x="259"/>
        <item m="1" x="260"/>
        <item m="1" x="261"/>
        <item m="1" x="262"/>
        <item m="1" x="263"/>
        <item m="1" x="264"/>
        <item m="1" x="265"/>
        <item m="1" x="266"/>
        <item m="1" x="267"/>
        <item m="1" x="268"/>
        <item m="1" x="269"/>
        <item m="1" x="270"/>
        <item m="1" x="271"/>
        <item x="6"/>
        <item m="1" x="272"/>
        <item m="1" x="273"/>
        <item m="1" x="274"/>
        <item m="1" x="275"/>
        <item m="1" x="276"/>
        <item m="1" x="277"/>
        <item m="1" x="278"/>
        <item m="1" x="279"/>
        <item m="1" x="280"/>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4"/>
        <item m="1" x="305"/>
        <item m="1" x="306"/>
        <item m="1" x="307"/>
        <item m="1" x="308"/>
        <item m="1" x="309"/>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x="24"/>
        <item m="1" x="226"/>
        <item m="1" x="227"/>
        <item m="1" x="228"/>
        <item m="1" x="229"/>
        <item m="1" x="230"/>
        <item m="1" x="231"/>
        <item m="1" x="232"/>
        <item m="1" x="233"/>
        <item m="1" x="234"/>
        <item m="1" x="235"/>
        <item m="1" x="236"/>
        <item m="1" x="256"/>
        <item m="1" x="237"/>
        <item m="1" x="238"/>
        <item m="1" x="239"/>
        <item m="1" x="240"/>
        <item m="1" x="241"/>
        <item m="1" x="242"/>
        <item m="1" x="243"/>
        <item m="1" x="244"/>
        <item m="1" x="245"/>
        <item m="1" x="246"/>
        <item m="1" x="247"/>
        <item m="1" x="248"/>
        <item m="1" x="249"/>
        <item m="1" x="250"/>
        <item m="1" x="251"/>
        <item m="1" x="252"/>
        <item m="1" x="253"/>
        <item m="1" x="254"/>
        <item m="1" x="255"/>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52"/>
        <item m="1" x="175"/>
        <item m="1" x="43"/>
        <item m="1" x="44"/>
        <item m="1" x="45"/>
        <item m="1" x="46"/>
        <item m="1" x="47"/>
        <item m="1" x="48"/>
        <item m="1" x="49"/>
        <item m="1" x="50"/>
        <item m="1" x="51"/>
        <item m="1" x="53"/>
        <item m="1" x="54"/>
        <item m="1" x="55"/>
        <item m="1" x="56"/>
        <item m="1" x="57"/>
        <item m="1" x="58"/>
        <item m="1" x="59"/>
        <item m="1" x="60"/>
        <item m="1" x="61"/>
        <item m="1" x="62"/>
        <item m="1" x="63"/>
        <item m="1" x="64"/>
        <item m="1" x="65"/>
        <item m="1" x="66"/>
        <item x="3"/>
        <item m="1" x="67"/>
        <item m="1" x="68"/>
        <item m="1" x="69"/>
        <item m="1" x="70"/>
        <item m="1" x="71"/>
        <item m="1" x="72"/>
        <item m="1" x="73"/>
        <item m="1" x="74"/>
        <item m="1" x="75"/>
        <item m="1" x="76"/>
        <item m="1" x="77"/>
        <item m="1" x="78"/>
        <item m="1" x="79"/>
        <item m="1" x="80"/>
        <item m="1" x="81"/>
        <item m="1" x="82"/>
        <item m="1" x="83"/>
        <item m="1" x="84"/>
        <item m="1" x="85"/>
        <item m="1" x="86"/>
        <item m="1" x="87"/>
        <item m="1" x="88"/>
        <item x="7"/>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x="4"/>
        <item m="1" x="118"/>
        <item m="1" x="119"/>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2">
        <i x="6" s="1"/>
        <i x="27" s="1"/>
        <i x="22" s="1"/>
        <i x="5" s="1"/>
        <i x="4" s="1"/>
        <i x="3" s="1"/>
        <i x="23" s="1"/>
        <i x="16" s="1"/>
        <i x="15" s="1"/>
        <i x="2" s="1"/>
        <i x="14" s="1"/>
        <i x="7" s="1"/>
        <i x="1" s="1"/>
        <i x="10" s="1"/>
        <i x="9" s="1"/>
        <i x="39" s="1"/>
        <i x="13" s="1"/>
        <i x="11" s="1"/>
        <i x="18" s="1"/>
        <i x="19" s="1"/>
        <i x="17" s="1"/>
        <i x="12" s="1"/>
        <i x="8" s="1"/>
        <i x="29" s="1"/>
        <i x="28" s="1"/>
        <i x="41" s="1"/>
        <i x="26" s="1"/>
        <i x="21" s="1"/>
        <i x="25" s="1"/>
        <i x="40" s="1"/>
        <i x="42" s="1"/>
        <i x="24" s="1"/>
        <i x="30" s="1"/>
        <i x="35" s="1"/>
        <i x="32" s="1"/>
        <i x="33" s="1"/>
        <i x="34" s="1"/>
        <i x="38" s="1"/>
        <i x="36" s="1"/>
        <i x="37" s="1"/>
        <i x="31" s="1"/>
        <i x="20" s="1"/>
        <i x="316" s="1" nd="1"/>
        <i x="345" s="1" nd="1"/>
        <i x="346" s="1" nd="1"/>
        <i x="354" s="1" nd="1"/>
        <i x="344" s="1" nd="1"/>
        <i x="343" s="1" nd="1"/>
        <i x="347" s="1" nd="1"/>
        <i x="358" s="1" nd="1"/>
        <i x="350" s="1" nd="1"/>
        <i x="351" s="1" nd="1"/>
        <i x="348" s="1" nd="1"/>
        <i x="349" s="1" nd="1"/>
        <i x="359" s="1" nd="1"/>
        <i x="352" s="1" nd="1"/>
        <i x="353" s="1" nd="1"/>
        <i x="356" s="1" nd="1"/>
        <i x="357" s="1" nd="1"/>
        <i x="355" s="1" nd="1"/>
        <i x="311" s="1" nd="1"/>
        <i x="361" s="1" nd="1"/>
        <i x="310" s="1" nd="1"/>
        <i x="360" s="1" nd="1"/>
        <i x="313" s="1" nd="1"/>
        <i x="274" s="1" nd="1"/>
        <i x="312" s="1" nd="1"/>
        <i x="314" s="1" nd="1"/>
        <i x="320" s="1" nd="1"/>
        <i x="315" s="1" nd="1"/>
        <i x="317" s="1" nd="1"/>
        <i x="333" s="1" nd="1"/>
        <i x="257" s="1" nd="1"/>
        <i x="321" s="1" nd="1"/>
        <i x="262" s="1" nd="1"/>
        <i x="327" s="1" nd="1"/>
        <i x="322" s="1" nd="1"/>
        <i x="325" s="1" nd="1"/>
        <i x="330" s="1" nd="1"/>
        <i x="341" s="1" nd="1"/>
        <i x="323" s="1" nd="1"/>
        <i x="335" s="1" nd="1"/>
        <i x="338" s="1" nd="1"/>
        <i x="329" s="1" nd="1"/>
        <i x="318" s="1" nd="1"/>
        <i x="326" s="1" nd="1"/>
        <i x="319" s="1" nd="1"/>
        <i x="324" s="1" nd="1"/>
        <i x="258" s="1" nd="1"/>
        <i x="328" s="1" nd="1"/>
        <i x="334" s="1" nd="1"/>
        <i x="331" s="1" nd="1"/>
        <i x="336" s="1" nd="1"/>
        <i x="332" s="1" nd="1"/>
        <i x="298" s="1" nd="1"/>
        <i x="337" s="1" nd="1"/>
        <i x="339" s="1" nd="1"/>
        <i x="260" s="1" nd="1"/>
        <i x="267" s="1" nd="1"/>
        <i x="340" s="1" nd="1"/>
        <i x="264" s="1" nd="1"/>
        <i x="265" s="1" nd="1"/>
        <i x="259" s="1" nd="1"/>
        <i x="263" s="1" nd="1"/>
        <i x="151" s="1" nd="1"/>
        <i x="261" s="1" nd="1"/>
        <i x="270" s="1" nd="1"/>
        <i x="266" s="1" nd="1"/>
        <i x="268" s="1" nd="1"/>
        <i x="271" s="1" nd="1"/>
        <i x="278" s="1" nd="1"/>
        <i x="269" s="1" nd="1"/>
        <i x="277" s="1" nd="1"/>
        <i x="282" s="1" nd="1"/>
        <i x="276" s="1" nd="1"/>
        <i x="279" s="1" nd="1"/>
        <i x="289" s="1" nd="1"/>
        <i x="275" s="1" nd="1"/>
        <i x="272" s="1" nd="1"/>
        <i x="273" s="1" nd="1"/>
        <i x="288" s="1" nd="1"/>
        <i x="147" s="1" nd="1"/>
        <i x="281" s="1" nd="1"/>
        <i x="292" s="1" nd="1"/>
        <i x="287" s="1" nd="1"/>
        <i x="280" s="1" nd="1"/>
        <i x="304" s="1" nd="1"/>
        <i x="285" s="1" nd="1"/>
        <i x="295" s="1" nd="1"/>
        <i x="293" s="1" nd="1"/>
        <i x="283" s="1" nd="1"/>
        <i x="291" s="1" nd="1"/>
        <i x="290" s="1" nd="1"/>
        <i x="286" s="1" nd="1"/>
        <i x="296" s="1" nd="1"/>
        <i x="294" s="1" nd="1"/>
        <i x="297" s="1" nd="1"/>
        <i x="284" s="1" nd="1"/>
        <i x="226" s="1" nd="1"/>
        <i x="299" s="1" nd="1"/>
        <i x="300" s="1" nd="1"/>
        <i x="185" s="1" nd="1"/>
        <i x="187" s="1" nd="1"/>
        <i x="307" s="1" nd="1"/>
        <i x="181" s="1" nd="1"/>
        <i x="227" s="1" nd="1"/>
        <i x="301" s="1" nd="1"/>
        <i x="302" s="1" nd="1"/>
        <i x="184" s="1" nd="1"/>
        <i x="309" s="1" nd="1"/>
        <i x="183" s="1" nd="1"/>
        <i x="198" s="1" nd="1"/>
        <i x="308" s="1" nd="1"/>
        <i x="303" s="1" nd="1"/>
        <i x="202" s="1" nd="1"/>
        <i x="306" s="1" nd="1"/>
        <i x="305" s="1" nd="1"/>
        <i x="223" s="1" nd="1"/>
        <i x="176" s="1" nd="1"/>
        <i x="188" s="1" nd="1"/>
        <i x="224" s="1" nd="1"/>
        <i x="222" s="1" nd="1"/>
        <i x="180" s="1" nd="1"/>
        <i x="182" s="1" nd="1"/>
        <i x="186" s="1" nd="1"/>
        <i x="177" s="1" nd="1"/>
        <i x="212" s="1" nd="1"/>
        <i x="217" s="1" nd="1"/>
        <i x="178" s="1" nd="1"/>
        <i x="179" s="1" nd="1"/>
        <i x="189" s="1" nd="1"/>
        <i x="192" s="1" nd="1"/>
        <i x="199" s="1" nd="1"/>
        <i x="191" s="1" nd="1"/>
        <i x="194" s="1" nd="1"/>
        <i x="193" s="1" nd="1"/>
        <i x="235" s="1" nd="1"/>
        <i x="190" s="1" nd="1"/>
        <i x="215" s="1" nd="1"/>
        <i x="230" s="1" nd="1"/>
        <i x="195" s="1" nd="1"/>
        <i x="220" s="1" nd="1"/>
        <i x="232" s="1" nd="1"/>
        <i x="204" s="1" nd="1"/>
        <i x="244" s="1" nd="1"/>
        <i x="203" s="1" nd="1"/>
        <i x="200" s="1" nd="1"/>
        <i x="196" s="1" nd="1"/>
        <i x="197" s="1" nd="1"/>
        <i x="216" s="1" nd="1"/>
        <i x="205" s="1" nd="1"/>
        <i x="128" s="1" nd="1"/>
        <i x="206" s="1" nd="1"/>
        <i x="201" s="1" nd="1"/>
        <i x="208" s="1" nd="1"/>
        <i x="209" s="1" nd="1"/>
        <i x="237" s="1" nd="1"/>
        <i x="207" s="1" nd="1"/>
        <i x="225" s="1" nd="1"/>
        <i x="213" s="1" nd="1"/>
        <i x="210" s="1" nd="1"/>
        <i x="214" s="1" nd="1"/>
        <i x="211" s="1" nd="1"/>
        <i x="218" s="1" nd="1"/>
        <i x="236" s="1" nd="1"/>
        <i x="231" s="1" nd="1"/>
        <i x="250" s="1" nd="1"/>
        <i x="219" s="1" nd="1"/>
        <i x="121" s="1" nd="1"/>
        <i x="229" s="1" nd="1"/>
        <i x="221" s="1" nd="1"/>
        <i x="245" s="1" nd="1"/>
        <i x="228" s="1" nd="1"/>
        <i x="243" s="1" nd="1"/>
        <i x="129" s="1" nd="1"/>
        <i x="234" s="1" nd="1"/>
        <i x="233" s="1" nd="1"/>
        <i x="249" s="1" nd="1"/>
        <i x="246" s="1" nd="1"/>
        <i x="140" s="1" nd="1"/>
        <i x="254" s="1" nd="1"/>
        <i x="238" s="1" nd="1"/>
        <i x="247" s="1" nd="1"/>
        <i x="252" s="1" nd="1"/>
        <i x="131" s="1" nd="1"/>
        <i x="157" s="1" nd="1"/>
        <i x="256" s="1" nd="1"/>
        <i x="253" s="1" nd="1"/>
        <i x="122" s="1" nd="1"/>
        <i x="142" s="1" nd="1"/>
        <i x="248" s="1" nd="1"/>
        <i x="124" s="1" nd="1"/>
        <i x="239" s="1" nd="1"/>
        <i x="242" s="1" nd="1"/>
        <i x="139" s="1" nd="1"/>
        <i x="251" s="1" nd="1"/>
        <i x="240" s="1" nd="1"/>
        <i x="241" s="1" nd="1"/>
        <i x="126" s="1" nd="1"/>
        <i x="144" s="1" nd="1"/>
        <i x="145" s="1" nd="1"/>
        <i x="158" s="1" nd="1"/>
        <i x="255" s="1" nd="1"/>
        <i x="120" s="1" nd="1"/>
        <i x="143" s="1" nd="1"/>
        <i x="136" s="1" nd="1"/>
        <i x="123" s="1" nd="1"/>
        <i x="127" s="1" nd="1"/>
        <i x="133" s="1" nd="1"/>
        <i x="125" s="1" nd="1"/>
        <i x="149" s="1" nd="1"/>
        <i x="153" s="1" nd="1"/>
        <i x="154" s="1" nd="1"/>
        <i x="146" s="1" nd="1"/>
        <i x="130" s="1" nd="1"/>
        <i x="132" s="1" nd="1"/>
        <i x="134" s="1" nd="1"/>
        <i x="137" s="1" nd="1"/>
        <i x="150" s="1" nd="1"/>
        <i x="135" s="1" nd="1"/>
        <i x="156" s="1" nd="1"/>
        <i x="88" s="1" nd="1"/>
        <i x="67" s="1" nd="1"/>
        <i x="171" s="1" nd="1"/>
        <i x="138" s="1" nd="1"/>
        <i x="159" s="1" nd="1"/>
        <i x="155" s="1" nd="1"/>
        <i x="141" s="1" nd="1"/>
        <i x="163" s="1" nd="1"/>
        <i x="99" s="1" nd="1"/>
        <i x="62" s="1" nd="1"/>
        <i x="148" s="1" nd="1"/>
        <i x="172" s="1" nd="1"/>
        <i x="152" s="1" nd="1"/>
        <i x="175" s="1" nd="1"/>
        <i x="162" s="1" nd="1"/>
        <i x="167" s="1" nd="1"/>
        <i x="44" s="1" nd="1"/>
        <i x="164" s="1" nd="1"/>
        <i x="166" s="1" nd="1"/>
        <i x="84" s="1" nd="1"/>
        <i x="52" s="1" nd="1"/>
        <i x="161" s="1" nd="1"/>
        <i x="49" s="1" nd="1"/>
        <i x="160" s="1" nd="1"/>
        <i x="61" s="1" nd="1"/>
        <i x="45" s="1" nd="1"/>
        <i x="43" s="1" nd="1"/>
        <i x="165" s="1" nd="1"/>
        <i x="59" s="1" nd="1"/>
        <i x="53" s="1" nd="1"/>
        <i x="64" s="1" nd="1"/>
        <i x="81" s="1" nd="1"/>
        <i x="58" s="1" nd="1"/>
        <i x="69" s="1" nd="1"/>
        <i x="63" s="1" nd="1"/>
        <i x="60" s="1" nd="1"/>
        <i x="173" s="1" nd="1"/>
        <i x="117" s="1" nd="1"/>
        <i x="71" s="1" nd="1"/>
        <i x="72" s="1" nd="1"/>
        <i x="169" s="1" nd="1"/>
        <i x="168" s="1" nd="1"/>
        <i x="46" s="1" nd="1"/>
        <i x="48" s="1" nd="1"/>
        <i x="79" s="1" nd="1"/>
        <i x="55" s="1" nd="1"/>
        <i x="174" s="1" nd="1"/>
        <i x="113" s="1" nd="1"/>
        <i x="104" s="1" nd="1"/>
        <i x="92" s="1" nd="1"/>
        <i x="66" s="1" nd="1"/>
        <i x="51" s="1" nd="1"/>
        <i x="82" s="1" nd="1"/>
        <i x="101" s="1" nd="1"/>
        <i x="93" s="1" nd="1"/>
        <i x="89" s="1" nd="1"/>
        <i x="57" s="1" nd="1"/>
        <i x="77" s="1" nd="1"/>
        <i x="76" s="1" nd="1"/>
        <i x="91" s="1" nd="1"/>
        <i x="78" s="1" nd="1"/>
        <i x="170" s="1" nd="1"/>
        <i x="54" s="1" nd="1"/>
        <i x="50" s="1" nd="1"/>
        <i x="80" s="1" nd="1"/>
        <i x="47" s="1" nd="1"/>
        <i x="85" s="1" nd="1"/>
        <i x="86" s="1" nd="1"/>
        <i x="90" s="1" nd="1"/>
        <i x="70" s="1" nd="1"/>
        <i x="65" s="1" nd="1"/>
        <i x="98" s="1" nd="1"/>
        <i x="97" s="1" nd="1"/>
        <i x="102" s="1" nd="1"/>
        <i x="56" s="1" nd="1"/>
        <i x="100" s="1" nd="1"/>
        <i x="87" s="1" nd="1"/>
        <i x="68" s="1" nd="1"/>
        <i x="73" s="1" nd="1"/>
        <i x="74" s="1" nd="1"/>
        <i x="83" s="1" nd="1"/>
        <i x="75" s="1" nd="1"/>
        <i x="94" s="1" nd="1"/>
        <i x="105" s="1" nd="1"/>
        <i x="95" s="1" nd="1"/>
        <i x="111" s="1" nd="1"/>
        <i x="108" s="1" nd="1"/>
        <i x="106" s="1" nd="1"/>
        <i x="118" s="1" nd="1"/>
        <i x="112" s="1" nd="1"/>
        <i x="119" s="1" nd="1"/>
        <i x="114" s="1" nd="1"/>
        <i x="115" s="1" nd="1"/>
        <i x="96" s="1" nd="1"/>
        <i x="109" s="1" nd="1"/>
        <i x="116" s="1" nd="1"/>
        <i x="107" s="1" nd="1"/>
        <i x="110" s="1" nd="1"/>
        <i x="103" s="1" nd="1"/>
        <i x="34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5" totalsRowCount="1" headerRowDxfId="108" dataDxfId="107" headerRowCellStyle="Comma" dataCellStyle="Comma">
  <autoFilter ref="A1:K134"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1" totalsRowCount="1" headerRowDxfId="86" headerRowBorderDxfId="85" tableBorderDxfId="84">
  <autoFilter ref="A1:I90" xr:uid="{F8E8C957-ABE7-4E4F-8D4E-7D44E26B334F}"/>
  <tableColumns count="9">
    <tableColumn id="1" xr3:uid="{C2E817D6-AB98-4DDD-8890-736B27F261CD}" name="Date" dataDxfId="83" totalsRowDxfId="6"/>
    <tableColumn id="2" xr3:uid="{CFB51890-CCDC-463C-81C9-3F8BD7469CB9}" name="Party Name"/>
    <tableColumn id="3" xr3:uid="{A113D971-1C9D-4733-99C4-BD0CC4333209}" name="Vehicle Number"/>
    <tableColumn id="4" xr3:uid="{49780304-3DD1-4AE9-98EE-2BC7EB8F3B57}" name="Weight" dataDxfId="82" totalsRowDxfId="5" dataCellStyle="Comma"/>
    <tableColumn id="5" xr3:uid="{FCAF1BC6-1D8C-42AD-8BBC-F924BF2DC7FE}" name="Rate" dataDxfId="81" totalsRowDxfId="4" dataCellStyle="Comma"/>
    <tableColumn id="6" xr3:uid="{8C70A624-4134-410C-9C45-9FDEB51D51BF}" name="Rent" dataDxfId="80" totalsRowDxfId="3" dataCellStyle="Comma"/>
    <tableColumn id="7" xr3:uid="{EBCE10AE-9634-4982-9C95-37ABC8A7078C}" name="Total" totalsRowFunction="sum" dataDxfId="79" totalsRowDxfId="2" dataCellStyle="Comma">
      <calculatedColumnFormula>D2*E2</calculatedColumnFormula>
    </tableColumn>
    <tableColumn id="9" xr3:uid="{D4788559-C94A-44D9-B9AE-E72B214355AC}" name="Paid" totalsRowFunction="sum" dataDxfId="78" totalsRowDxfId="1" dataCellStyle="Comma"/>
    <tableColumn id="8" xr3:uid="{E26F5BF0-1875-4FC6-994D-49F202ED562B}" name="balance" totalsRowFunction="sum" dataDxfId="7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34" totalsRowCount="1">
  <autoFilter ref="A1:G333" xr:uid="{CB032221-B416-47A8-9A76-693DE76CFD04}"/>
  <tableColumns count="7">
    <tableColumn id="1" xr3:uid="{554B1EED-65B6-4E9A-B646-82727FAC40DE}" name="Date" dataDxfId="75" totalsRowDxfId="74"/>
    <tableColumn id="2" xr3:uid="{32259059-42CF-4947-83DE-115AA430BE2B}" name="Party"/>
    <tableColumn id="3" xr3:uid="{A1320223-D55D-483C-91C3-AB19B95CC9D8}" name="Debit" totalsRowFunction="sum" dataDxfId="73" totalsRowDxfId="72" dataCellStyle="Comma"/>
    <tableColumn id="4" xr3:uid="{E9745767-9FF0-4B1C-9052-FF335D1D7588}" name="Credit" totalsRowFunction="sum" dataDxfId="71" totalsRowDxfId="70" dataCellStyle="Comma"/>
    <tableColumn id="5" xr3:uid="{5C88A48E-2467-4E6D-B626-2442B7FD0BE4}" name="Description"/>
    <tableColumn id="6" xr3:uid="{63CA4666-144E-4BE6-8B7C-7CB992BD3041}" name="Mode" totalsRowFunction="custom" dataDxfId="69" totalsRowDxfId="6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7" tableBorderDxfId="66" totalsRowBorderDxfId="65">
  <autoFilter ref="J3:K6" xr:uid="{DCE01694-23ED-48BF-8B92-4186B9ED10A8}"/>
  <tableColumns count="2">
    <tableColumn id="1" xr3:uid="{C8484DAF-2989-4C2F-9AEC-A6917E1C57F6}" name="Type" dataDxfId="64"/>
    <tableColumn id="2" xr3:uid="{B07B7A2A-4D4E-4654-BED6-FE2F0A7BEC34}" name="Amount" dataDxfId="6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2" headerRowBorderDxfId="61" tableBorderDxfId="60" totalsRowBorderDxfId="59">
  <autoFilter ref="M3:O6" xr:uid="{D166BDD1-ACD7-45D7-8AE9-7350373F8CEB}"/>
  <tableColumns count="3">
    <tableColumn id="1" xr3:uid="{64F0205E-DEA7-4571-BA86-E4374A5FEE28}" name="Type" totalsRowLabel="Total" dataDxfId="58" totalsRowDxfId="57"/>
    <tableColumn id="2" xr3:uid="{15FA05F9-789C-4459-9BE0-5C1EC84D3365}" name="amount" totalsRowFunction="custom" dataDxfId="56" totalsRowDxfId="55">
      <totalsRowFormula>SUM(N5:N6)</totalsRowFormula>
    </tableColumn>
    <tableColumn id="3" xr3:uid="{3681D409-90C6-44D0-BDE2-4B5943A516F0}" name="Actual" totalsRowFunction="custom" totalsRowDxfId="5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9" headerRowBorderDxfId="48">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4" headerRowBorderDxfId="43">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395529.33650329191</v>
      </c>
      <c r="D2">
        <v>10</v>
      </c>
      <c r="E2" s="14">
        <f>(SUMIFS(ledger!G:G, ledger!B:B, B2, ledger!E:E, "&lt;&gt;*RD*",ledger!D:D, "Silky") / 1.0936)*12 + (SUMIFS(ledger!G:G, ledger!B:B, B2, ledger!E:E, "&lt;&gt;*RD*",ledger!D:D, "Chamki") / 1.0936)*10</f>
        <v>3681638.6247256766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116424.6525237747</v>
      </c>
      <c r="D4">
        <v>10</v>
      </c>
      <c r="E4" s="14">
        <f>(SUMIFS(ledger!G:G, ledger!B:B, B4, ledger!E:E, "&lt;&gt;*RD*",ledger!D:D, "Silky") / 1.0936)*12 + (SUMIFS(ledger!G:G, ledger!B:B, B4, ledger!E:E, "&lt;&gt;*RD*",ledger!D:D, "Chamki") / 1.0936)*10</f>
        <v>1189901.2435991224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2967489.8824</v>
      </c>
      <c r="S5" s="22" cm="1">
        <f t="array" ref="S5">_xlfn.BYROW(B49, _xlfn.LAMBDA(_xlpm.party, SUMIFS(ledger!G:G, ledger!B:B, _xlpm.party, ledger!E:E, "&lt;&gt;*RD*") / 1.0936 ))+_xlfn.IFNA(D84,0)</f>
        <v>2713505.744696416</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359782.37015362107</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4588814.9231894668</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28126048.66861742</v>
      </c>
      <c r="AD5" s="22">
        <f>(SUMIF(Table14[Party],Q5,Table14[Credit]))+_xlfn.IFNA(O84,0)</f>
        <v>19750734</v>
      </c>
      <c r="AE5" s="33">
        <f>AC5-AD5</f>
        <v>8375314.6686174199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4471992</v>
      </c>
      <c r="AE6" s="33">
        <f t="shared" ref="AE6:AE31" si="2">AC6-AD6</f>
        <v>143937.95610826649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784470</v>
      </c>
      <c r="S7" s="22" cm="1">
        <f t="array" ref="S7">_xlfn.BYROW(B51, _xlfn.LAMBDA(_xlpm.party, SUMIFS(ledger!G:G, ledger!B:B, _xlpm.party, ledger!E:E, "&lt;&gt;*RD*") / 1.0936 ))+_xlfn.IFNA(D86,0)</f>
        <v>717328.09070958302</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7431306.6934893932</v>
      </c>
      <c r="AD7" s="22">
        <f>(SUMIF(Table14[Party],Q7,Table14[Credit]))+_xlfn.IFNA(O86,0)</f>
        <v>7155301</v>
      </c>
      <c r="AE7" s="33">
        <f t="shared" si="2"/>
        <v>276005.69348939322</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2616679</v>
      </c>
      <c r="AE15" s="33">
        <f t="shared" si="2"/>
        <v>263021.07315288996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6315761</v>
      </c>
      <c r="AE16" s="33">
        <f t="shared" si="2"/>
        <v>321938.34162399545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11267755.874177029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11267755.874177029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996025</v>
      </c>
      <c r="AE24" s="33">
        <f t="shared" si="2"/>
        <v>100107.95537673752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432550.8824</v>
      </c>
      <c r="D49" s="22" cm="1">
        <f t="array" ref="D49:D74">_xlfn.BYROW(_xlfn.ANCHORARRAY(B49), _xlfn.LAMBDA(_xlpm.party, SUMIFS(ledger!G:G, ledger!B:B, _xlpm.party, ledger!E:E, "&lt;&gt;*RD*") / 1.0936 ))</f>
        <v>395529.33650329191</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77313.460131675209</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1005074.9817117777</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4187233.7454279452</v>
      </c>
      <c r="O49" s="22">
        <f>(SUMIF(Table14[Party],B49,Table14[Credit]))</f>
        <v>0</v>
      </c>
      <c r="P49" s="37">
        <f>N49-O49</f>
        <v>4187233.7454279452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508088</v>
      </c>
      <c r="P50" s="37">
        <f>N50-O50</f>
        <v>-64987.23189465981</v>
      </c>
      <c r="Q50" s="21">
        <v>10</v>
      </c>
      <c r="R50" s="21">
        <v>12</v>
      </c>
    </row>
    <row r="51" spans="1:23" x14ac:dyDescent="0.3">
      <c r="B51" s="24" t="str">
        <v>Arshad</v>
      </c>
      <c r="C51" s="22">
        <v>127322</v>
      </c>
      <c r="D51" s="22">
        <v>116424.6525237747</v>
      </c>
      <c r="E51" s="63">
        <v>103597.29334308706</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1202728.6027798099</v>
      </c>
      <c r="O51" s="22">
        <f>(SUMIF(Table14[Party],B51,Table14[Credit]))</f>
        <v>1152366</v>
      </c>
      <c r="P51" s="37">
        <f>N51-O51</f>
        <v>50362.602779809851</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395529.33650329191</v>
      </c>
      <c r="W58" s="18">
        <v>3681638.6247256766</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810699</v>
      </c>
      <c r="P59" s="37">
        <f t="shared" si="6"/>
        <v>214438.16166788619</v>
      </c>
      <c r="Q59" s="21">
        <v>10</v>
      </c>
      <c r="R59" s="21">
        <v>12</v>
      </c>
      <c r="U59" s="4" t="s">
        <v>22</v>
      </c>
      <c r="V59" s="5">
        <v>34084.674469641555</v>
      </c>
      <c r="W59" s="18">
        <v>409016.09363569866</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1390000</v>
      </c>
      <c r="P60" s="37">
        <f t="shared" si="6"/>
        <v>227976.40819312376</v>
      </c>
      <c r="Q60" s="21">
        <v>10</v>
      </c>
      <c r="R60" s="21">
        <v>12</v>
      </c>
      <c r="U60" s="4" t="s">
        <v>9</v>
      </c>
      <c r="V60" s="5">
        <v>116424.6525237747</v>
      </c>
      <c r="W60" s="18">
        <v>1189901.2435991224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996025</v>
      </c>
      <c r="P68" s="37">
        <f t="shared" si="6"/>
        <v>-613417.09948792984</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948609.07315288961</v>
      </c>
      <c r="W75" s="14">
        <v>8654686.3569861017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I18" sqref="I1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191698.97585954645</v>
      </c>
      <c r="E12" s="92">
        <f ca="1">Table21[[#This Row],[gazana]]*Table21[[#This Row],[Rate]]</f>
        <v>1916989.7585954645</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1916989.7585954645</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2005.8778346739709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5784890</v>
      </c>
      <c r="D4" t="s">
        <v>190</v>
      </c>
      <c r="E4" s="43">
        <f ca="1">Table12[[#This Row],[Amount]]/Table1[[#Totals],[tiyar/meters]]</f>
        <v>5.3835924027293141</v>
      </c>
    </row>
    <row r="5" spans="1:5" x14ac:dyDescent="0.3">
      <c r="B5" t="s">
        <v>48</v>
      </c>
      <c r="C5" s="11">
        <f>SUM(Table8[Price])+Dyes!P56</f>
        <v>1482910</v>
      </c>
      <c r="E5" s="43">
        <f ca="1">Table12[[#This Row],[Amount]]/Table1[[#Totals],[tiyar/meters]]</f>
        <v>1.380040590215428</v>
      </c>
    </row>
    <row r="6" spans="1:5" x14ac:dyDescent="0.3">
      <c r="B6" t="s">
        <v>49</v>
      </c>
      <c r="C6" s="11">
        <f>SUM(Table2[Price])+Finish!K30</f>
        <v>457600</v>
      </c>
      <c r="D6" t="s">
        <v>189</v>
      </c>
      <c r="E6" s="43">
        <f ca="1">Table12[[#This Row],[Amount]]/Table1[[#Totals],[tiyar/meters]]</f>
        <v>0.42585630556310217</v>
      </c>
    </row>
    <row r="7" spans="1:5" x14ac:dyDescent="0.3">
      <c r="B7" t="s">
        <v>50</v>
      </c>
      <c r="C7" s="11">
        <f>SUMIFS(Table14[Debit], Table14[Party],Table12[[#This Row],[Type]])</f>
        <v>31855</v>
      </c>
      <c r="E7" s="43">
        <f ca="1">Table12[[#This Row],[Amount]]/Table1[[#Totals],[tiyar/meters]]</f>
        <v>2.9645219872623731E-2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236300</v>
      </c>
      <c r="E9" s="43">
        <f ca="1">Table12[[#This Row],[Amount]]/Table1[[#Totals],[tiyar/meters]]</f>
        <v>0.21990787806940787</v>
      </c>
    </row>
    <row r="10" spans="1:5" x14ac:dyDescent="0.3">
      <c r="B10" t="s">
        <v>53</v>
      </c>
      <c r="C10" s="11">
        <f>Table5[[#Totals],[Amount]]</f>
        <v>75460</v>
      </c>
      <c r="E10" s="43">
        <f ca="1">Table12[[#This Row],[Amount]]/Table1[[#Totals],[tiyar/meters]]</f>
        <v>7.0225342696223103E-2</v>
      </c>
    </row>
    <row r="11" spans="1:5" x14ac:dyDescent="0.3">
      <c r="B11" t="s">
        <v>54</v>
      </c>
      <c r="C11" s="11">
        <f>Table13[[#Totals],[Debit]]</f>
        <v>116568</v>
      </c>
      <c r="E11" s="43">
        <f ca="1">Table12[[#This Row],[Amount]]/Table1[[#Totals],[tiyar/meters]]</f>
        <v>0.10848168231398535</v>
      </c>
    </row>
    <row r="12" spans="1:5" x14ac:dyDescent="0.3">
      <c r="B12" t="s">
        <v>55</v>
      </c>
      <c r="C12" s="11">
        <f>Table15[[#Totals],[Amount]]</f>
        <v>89355</v>
      </c>
      <c r="E12" s="43">
        <f ca="1">Table12[[#This Row],[Amount]]/Table1[[#Totals],[tiyar/meters]]</f>
        <v>8.3156447079525769E-2</v>
      </c>
    </row>
    <row r="13" spans="1:5" x14ac:dyDescent="0.3">
      <c r="C13" s="11"/>
      <c r="E13" s="43">
        <f ca="1">Table12[[#This Row],[Amount]]/Table1[[#Totals],[tiyar/meters]]</f>
        <v>0</v>
      </c>
    </row>
    <row r="14" spans="1:5" x14ac:dyDescent="0.3">
      <c r="C14" s="14">
        <f>SUM(Table12[Amount])</f>
        <v>8274938</v>
      </c>
      <c r="E14" s="43">
        <f ca="1">SUM(Table12[cost per meter])</f>
        <v>7.7009058685396097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11267755.874177029</v>
      </c>
    </row>
    <row r="4" spans="1:3" x14ac:dyDescent="0.3">
      <c r="B4" s="11" t="s">
        <v>44</v>
      </c>
      <c r="C4" s="11">
        <f>Table12[[#Totals],[Amount]]</f>
        <v>8274938</v>
      </c>
    </row>
    <row r="5" spans="1:3" x14ac:dyDescent="0.3">
      <c r="A5" s="6"/>
      <c r="B5" s="15" t="s">
        <v>68</v>
      </c>
      <c r="C5" s="15">
        <f>C3-C4</f>
        <v>2992817.8741770294</v>
      </c>
    </row>
    <row r="10" spans="1:3" ht="15" thickBot="1" x14ac:dyDescent="0.35">
      <c r="B10" t="s">
        <v>66</v>
      </c>
      <c r="C10" s="14" t="s">
        <v>67</v>
      </c>
    </row>
    <row r="11" spans="1:3" x14ac:dyDescent="0.3">
      <c r="B11" s="56" t="s">
        <v>0</v>
      </c>
      <c r="C11" s="57">
        <f>C3</f>
        <v>11267755.874177029</v>
      </c>
    </row>
    <row r="12" spans="1:3" x14ac:dyDescent="0.3">
      <c r="B12" s="58" t="s">
        <v>69</v>
      </c>
      <c r="C12" s="59">
        <f>SUM(Table14[Credit])</f>
        <v>22888869</v>
      </c>
    </row>
    <row r="13" spans="1:3" ht="15" thickBot="1" x14ac:dyDescent="0.35">
      <c r="B13" s="74" t="s">
        <v>93</v>
      </c>
      <c r="C13" s="73">
        <f>(C11-C12)</f>
        <v>-11621113.125822971</v>
      </c>
    </row>
    <row r="14" spans="1:3" ht="15" thickBot="1" x14ac:dyDescent="0.35">
      <c r="B14" s="58"/>
      <c r="C14" s="59"/>
    </row>
    <row r="15" spans="1:3" x14ac:dyDescent="0.3">
      <c r="B15" s="56" t="s">
        <v>44</v>
      </c>
      <c r="C15" s="57">
        <f>C4</f>
        <v>8274938</v>
      </c>
    </row>
    <row r="16" spans="1:3" x14ac:dyDescent="0.3">
      <c r="B16" s="58" t="s">
        <v>70</v>
      </c>
      <c r="C16" s="59">
        <f>SUM(Table14[Debit])</f>
        <v>22842284</v>
      </c>
    </row>
    <row r="17" spans="2:6" ht="15" thickBot="1" x14ac:dyDescent="0.35">
      <c r="B17" s="74" t="s">
        <v>71</v>
      </c>
      <c r="C17" s="73">
        <f>C15-C16</f>
        <v>-14567346</v>
      </c>
    </row>
    <row r="18" spans="2:6" ht="15" thickBot="1" x14ac:dyDescent="0.35">
      <c r="B18" s="58"/>
      <c r="C18" s="59"/>
    </row>
    <row r="19" spans="2:6" ht="15" thickBot="1" x14ac:dyDescent="0.35">
      <c r="B19" s="75" t="s">
        <v>72</v>
      </c>
      <c r="C19" s="76">
        <f>Table18[[#Totals],[amount]]</f>
        <v>96585</v>
      </c>
    </row>
    <row r="20" spans="2:6" ht="15" thickBot="1" x14ac:dyDescent="0.35">
      <c r="B20" s="71"/>
      <c r="C20" s="72"/>
    </row>
    <row r="21" spans="2:6" ht="15" thickBot="1" x14ac:dyDescent="0.35">
      <c r="B21" s="60" t="s">
        <v>73</v>
      </c>
      <c r="C21" s="61">
        <f>(C13-C17)+C19</f>
        <v>3042817.8741770294</v>
      </c>
      <c r="E21" s="79" t="s">
        <v>74</v>
      </c>
      <c r="F21" s="80">
        <f>C5*0.05</f>
        <v>149640.89370885148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116568</v>
      </c>
      <c r="E38">
        <f>SUBTOTAL(109,Table13[Credit])</f>
        <v>0</v>
      </c>
      <c r="F38">
        <f>Table13[[#Totals],[Debit]]-Table13[[#Totals],[Credit]]</f>
        <v>116568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1" zoomScale="137" zoomScaleNormal="82" workbookViewId="0">
      <selection activeCell="G128" sqref="G12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t="e">
        <f>_xlfn.XLOOKUP(Table1[[#This Row],[Shipment Number]], 'pivot '!A:A,'pivot '!G:G, "NF")</f>
        <v>#DIV/0!</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c r="B135"/>
      <c r="C135"/>
      <c r="D135"/>
      <c r="E135" s="14"/>
      <c r="F135" s="14"/>
      <c r="G135" s="14"/>
      <c r="H135" s="43"/>
      <c r="I135" s="94" cm="1">
        <f t="array" aca="1" ref="I135" ca="1">SUMPRODUCT( SUBTOTAL(109, OFFSET(Table1[tiyar/meters], ROW(Table1[tiyar/meters])-MIN(ROW(Table1[tiyar/meters])), 0, 1)), --(Table1[Bill Number]&lt;&gt;"November Closing CF") )</f>
        <v>1074540.8580833944</v>
      </c>
      <c r="J135" s="43" cm="1">
        <f t="array" aca="1" ref="J135" ca="1">SUMPRODUCT( SUBTOTAL(109, OFFSET(Table1[billing], ROW(Table1[billing])-MIN(ROW(Table1[billing])), 0, 1)), --(Table1[Bill Number]&lt;&gt;"November Closing CF") )</f>
        <v>11267755.874177031</v>
      </c>
      <c r="K135" s="14">
        <f>SUMIFS(Table1[billing], Table1[Bill Number], "&lt;&gt;November Closing CF")</f>
        <v>11267755.874177031</v>
      </c>
    </row>
    <row r="163" spans="12:12" x14ac:dyDescent="0.3">
      <c r="L163"/>
    </row>
  </sheetData>
  <phoneticPr fontId="7" alignment="center"/>
  <conditionalFormatting sqref="H2:H135">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1"/>
  <sheetViews>
    <sheetView tabSelected="1" topLeftCell="A45" zoomScale="145" zoomScaleNormal="90" workbookViewId="0">
      <selection activeCell="H51" sqref="H5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5212790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805</v>
      </c>
      <c r="N40" s="14">
        <v>662560</v>
      </c>
      <c r="O40" s="14">
        <v>185000</v>
      </c>
      <c r="P40" s="14">
        <v>477560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108</v>
      </c>
      <c r="N43" s="14">
        <v>83700</v>
      </c>
      <c r="O43" s="14">
        <v>0</v>
      </c>
      <c r="P43" s="14">
        <v>83700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135</v>
      </c>
      <c r="N51" s="14">
        <v>95850</v>
      </c>
      <c r="O51" s="14"/>
      <c r="P51" s="14">
        <v>95850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v>46028</v>
      </c>
      <c r="M66" s="14">
        <v>416</v>
      </c>
      <c r="N66" s="14">
        <v>341120</v>
      </c>
      <c r="O66" s="14">
        <v>142500</v>
      </c>
      <c r="P66" s="14">
        <v>198620</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42" t="s">
        <v>103</v>
      </c>
      <c r="M67" s="14">
        <v>416</v>
      </c>
      <c r="N67" s="14">
        <v>341120</v>
      </c>
      <c r="O67" s="14">
        <v>142500</v>
      </c>
      <c r="P67" s="14">
        <v>198620</v>
      </c>
    </row>
    <row r="68" spans="1:16" x14ac:dyDescent="0.3">
      <c r="A68" s="1">
        <v>46024</v>
      </c>
      <c r="B68" t="s">
        <v>200</v>
      </c>
      <c r="D68" s="11">
        <v>244</v>
      </c>
      <c r="E68" s="11">
        <v>850</v>
      </c>
      <c r="F68" s="11"/>
      <c r="G68" s="11">
        <f t="shared" ref="G68:G69" si="14">D68*E68</f>
        <v>207400</v>
      </c>
      <c r="H68" s="11"/>
      <c r="I68" s="11">
        <f>(D68*E68)-Table3[[#This Row],[Paid]]</f>
        <v>207400</v>
      </c>
      <c r="L68" s="26" t="s">
        <v>28</v>
      </c>
      <c r="M68" s="14">
        <v>6635</v>
      </c>
      <c r="N68" s="14">
        <v>5212790</v>
      </c>
      <c r="O68" s="14">
        <v>4329376</v>
      </c>
      <c r="P68" s="14">
        <v>4204842</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c r="D85" s="11"/>
      <c r="E85" s="11"/>
      <c r="F85" s="11"/>
      <c r="G85" s="11">
        <f t="shared" si="19"/>
        <v>0</v>
      </c>
      <c r="H85" s="11"/>
      <c r="I85" s="11">
        <f>(D85*E85)-Table3[[#This Row],[Paid]]</f>
        <v>0</v>
      </c>
    </row>
    <row r="86" spans="1:9" x14ac:dyDescent="0.3">
      <c r="A86" s="1"/>
      <c r="D86" s="11"/>
      <c r="E86" s="11"/>
      <c r="F86" s="11"/>
      <c r="G86" s="11">
        <f t="shared" si="19"/>
        <v>0</v>
      </c>
      <c r="H86" s="11"/>
      <c r="I86" s="11">
        <f>(D86*E86)-Table3[[#This Row],[Paid]]</f>
        <v>0</v>
      </c>
    </row>
    <row r="87" spans="1:9" x14ac:dyDescent="0.3">
      <c r="A87" s="1"/>
      <c r="D87" s="11"/>
      <c r="E87" s="11"/>
      <c r="F87" s="11"/>
      <c r="G87" s="11">
        <f t="shared" si="19"/>
        <v>0</v>
      </c>
      <c r="H87" s="11"/>
      <c r="I87" s="11">
        <f>(D87*E87)-Table3[[#This Row],[Paid]]</f>
        <v>0</v>
      </c>
    </row>
    <row r="88" spans="1:9" x14ac:dyDescent="0.3">
      <c r="A88" s="1"/>
      <c r="D88" s="11"/>
      <c r="E88" s="11"/>
      <c r="F88" s="11"/>
      <c r="G88" s="11">
        <f t="shared" si="19"/>
        <v>0</v>
      </c>
      <c r="H88" s="11"/>
      <c r="I88" s="11">
        <f>(D88*E88)-Table3[[#This Row],[Paid]]</f>
        <v>0</v>
      </c>
    </row>
    <row r="89" spans="1:9" x14ac:dyDescent="0.3">
      <c r="A89" s="1"/>
      <c r="D89" s="11"/>
      <c r="E89" s="11"/>
      <c r="F89" s="11"/>
      <c r="G89" s="11">
        <f t="shared" si="19"/>
        <v>0</v>
      </c>
      <c r="H89" s="11"/>
      <c r="I89" s="11">
        <f>(D89*E89)-Table3[[#This Row],[Paid]]</f>
        <v>0</v>
      </c>
    </row>
    <row r="90" spans="1:9" x14ac:dyDescent="0.3">
      <c r="A90" s="1"/>
      <c r="D90" s="11"/>
      <c r="E90" s="11"/>
      <c r="F90" s="11"/>
      <c r="G90" s="11">
        <f t="shared" si="19"/>
        <v>0</v>
      </c>
      <c r="H90" s="11"/>
      <c r="I90" s="11">
        <f>(D90*E90)-Table3[[#This Row],[Paid]]</f>
        <v>0</v>
      </c>
    </row>
    <row r="91" spans="1:9" x14ac:dyDescent="0.3">
      <c r="A91" s="1"/>
      <c r="D91" s="14"/>
      <c r="E91" s="14"/>
      <c r="F91" s="14"/>
      <c r="G91" s="14">
        <f>SUBTOTAL(109,Table3[Total])</f>
        <v>5212790</v>
      </c>
      <c r="H91" s="14">
        <f>SUBTOTAL(109,Table3[Paid])</f>
        <v>4329376</v>
      </c>
      <c r="I91" s="14">
        <f>SUBTOTAL(109,Table3[balance])</f>
        <v>4204842</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319" zoomScale="158" workbookViewId="0">
      <selection activeCell="B331" sqref="B33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22842284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22888869</v>
      </c>
      <c r="M5" s="45" t="s">
        <v>108</v>
      </c>
      <c r="N5" s="46">
        <f>(SUMIFS(Table14[Credit],Table14[Mode],"Bank")-SUMIFS(Table14[Debit],Table14[Mode],"Bank")-SUMIFS(Table14[Withdrawal],Table14[Mode],"Transfer"))</f>
        <v>707501</v>
      </c>
      <c r="O5">
        <v>360000</v>
      </c>
    </row>
    <row r="6" spans="1:16" x14ac:dyDescent="0.3">
      <c r="A6" s="38">
        <v>46009</v>
      </c>
      <c r="B6" t="s">
        <v>177</v>
      </c>
      <c r="C6" s="96">
        <v>3600</v>
      </c>
      <c r="D6" s="96"/>
      <c r="E6" t="s">
        <v>218</v>
      </c>
      <c r="F6" s="111" t="s">
        <v>108</v>
      </c>
      <c r="J6" s="52" t="s">
        <v>43</v>
      </c>
      <c r="K6" s="53">
        <f>(K5-K4)</f>
        <v>46585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96585</v>
      </c>
      <c r="O7" s="90">
        <f>SUM(O5,O6)</f>
        <v>410000</v>
      </c>
      <c r="P7" s="14">
        <f>Table18[[#Totals],[amount]]-Table18[[#Totals],[Actual]]</f>
        <v>-313415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191300</v>
      </c>
    </row>
    <row r="165" spans="1:12" x14ac:dyDescent="0.3">
      <c r="A165" s="38">
        <v>46018</v>
      </c>
      <c r="B165" t="s">
        <v>54</v>
      </c>
      <c r="C165" s="11">
        <v>2500</v>
      </c>
      <c r="D165" s="11"/>
      <c r="E165" t="s">
        <v>236</v>
      </c>
      <c r="F165" s="111" t="s">
        <v>108</v>
      </c>
      <c r="J165" s="4" t="s">
        <v>9</v>
      </c>
      <c r="K165" s="14">
        <v>1152366</v>
      </c>
      <c r="L165" s="14"/>
    </row>
    <row r="166" spans="1:12" x14ac:dyDescent="0.3">
      <c r="A166" s="38">
        <v>46018</v>
      </c>
      <c r="B166" t="s">
        <v>55</v>
      </c>
      <c r="C166" s="11">
        <v>1000</v>
      </c>
      <c r="D166" s="11"/>
      <c r="F166" s="111" t="s">
        <v>108</v>
      </c>
      <c r="J166" s="4" t="s">
        <v>94</v>
      </c>
      <c r="K166" s="14"/>
      <c r="L166" s="14">
        <v>916455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89355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116568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374511</v>
      </c>
      <c r="L176" s="14">
        <v>113043</v>
      </c>
    </row>
    <row r="177" spans="1:12" x14ac:dyDescent="0.3">
      <c r="A177" s="116">
        <v>46020</v>
      </c>
      <c r="B177" t="s">
        <v>54</v>
      </c>
      <c r="C177" s="11">
        <v>7950</v>
      </c>
      <c r="D177" s="11"/>
      <c r="E177" t="s">
        <v>236</v>
      </c>
      <c r="F177" s="111" t="s">
        <v>108</v>
      </c>
      <c r="J177" s="4" t="s">
        <v>326</v>
      </c>
      <c r="K177" s="14">
        <v>508088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810699</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64</v>
      </c>
      <c r="K184" s="14"/>
      <c r="L184" s="14">
        <v>13500</v>
      </c>
    </row>
    <row r="185" spans="1:12" x14ac:dyDescent="0.3">
      <c r="A185" s="116">
        <v>46021</v>
      </c>
      <c r="B185" t="s">
        <v>224</v>
      </c>
      <c r="C185" s="11"/>
      <c r="D185" s="11">
        <v>68900</v>
      </c>
      <c r="E185" t="s">
        <v>352</v>
      </c>
      <c r="F185" s="111" t="s">
        <v>108</v>
      </c>
      <c r="J185" s="4" t="s">
        <v>152</v>
      </c>
      <c r="K185" s="14">
        <v>1007920</v>
      </c>
      <c r="L185" s="14"/>
    </row>
    <row r="186" spans="1:12" x14ac:dyDescent="0.3">
      <c r="A186" s="38">
        <v>46021</v>
      </c>
      <c r="B186" t="s">
        <v>192</v>
      </c>
      <c r="C186" s="96"/>
      <c r="D186" s="96">
        <v>194000</v>
      </c>
      <c r="F186" s="111" t="s">
        <v>108</v>
      </c>
      <c r="J186" s="4" t="s">
        <v>166</v>
      </c>
      <c r="K186" s="14">
        <v>1390000</v>
      </c>
      <c r="L186" s="14"/>
    </row>
    <row r="187" spans="1:12" x14ac:dyDescent="0.3">
      <c r="A187" s="116">
        <v>46021</v>
      </c>
      <c r="B187" t="s">
        <v>199</v>
      </c>
      <c r="C187" s="11"/>
      <c r="D187" s="11">
        <v>100000</v>
      </c>
      <c r="E187" t="s">
        <v>338</v>
      </c>
      <c r="F187" s="111" t="s">
        <v>108</v>
      </c>
      <c r="J187" s="4" t="s">
        <v>169</v>
      </c>
      <c r="K187" s="14"/>
      <c r="L187" s="14">
        <v>1492300</v>
      </c>
    </row>
    <row r="188" spans="1:12" x14ac:dyDescent="0.3">
      <c r="A188" s="38">
        <v>46021</v>
      </c>
      <c r="B188" t="s">
        <v>199</v>
      </c>
      <c r="C188" s="96"/>
      <c r="D188" s="96">
        <v>100000</v>
      </c>
      <c r="E188" t="s">
        <v>225</v>
      </c>
      <c r="F188" s="111" t="s">
        <v>108</v>
      </c>
      <c r="J188" s="4" t="s">
        <v>192</v>
      </c>
      <c r="K188" s="14">
        <v>6645200</v>
      </c>
      <c r="L188" s="14">
        <v>13542982</v>
      </c>
    </row>
    <row r="189" spans="1:12" x14ac:dyDescent="0.3">
      <c r="A189" s="116">
        <v>46021</v>
      </c>
      <c r="B189" t="s">
        <v>339</v>
      </c>
      <c r="C189" s="11"/>
      <c r="D189" s="11">
        <v>84970</v>
      </c>
      <c r="F189" s="111" t="s">
        <v>108</v>
      </c>
      <c r="J189" s="4" t="s">
        <v>198</v>
      </c>
      <c r="K189" s="14"/>
      <c r="L189" s="14">
        <v>857250</v>
      </c>
    </row>
    <row r="190" spans="1:12" x14ac:dyDescent="0.3">
      <c r="A190" s="38">
        <v>46021</v>
      </c>
      <c r="B190" t="s">
        <v>222</v>
      </c>
      <c r="C190" s="11">
        <f>883+150+150</f>
        <v>1183</v>
      </c>
      <c r="D190" s="11"/>
      <c r="F190" s="111" t="s">
        <v>108</v>
      </c>
      <c r="J190" s="4" t="s">
        <v>179</v>
      </c>
      <c r="K190" s="14">
        <v>409310</v>
      </c>
      <c r="L190" s="14"/>
    </row>
    <row r="191" spans="1:12" x14ac:dyDescent="0.3">
      <c r="A191" s="116">
        <v>46021</v>
      </c>
      <c r="B191" t="s">
        <v>229</v>
      </c>
      <c r="C191" s="11">
        <v>200401</v>
      </c>
      <c r="D191" s="11"/>
      <c r="E191" t="s">
        <v>340</v>
      </c>
      <c r="F191" s="111" t="s">
        <v>108</v>
      </c>
      <c r="J191" s="4" t="s">
        <v>51</v>
      </c>
      <c r="K191" s="14"/>
      <c r="L191" s="14">
        <v>2047865</v>
      </c>
    </row>
    <row r="192" spans="1:12" x14ac:dyDescent="0.3">
      <c r="A192" s="38">
        <v>46021</v>
      </c>
      <c r="B192" t="s">
        <v>341</v>
      </c>
      <c r="C192" s="11"/>
      <c r="D192" s="11">
        <v>239960</v>
      </c>
      <c r="F192" s="111" t="s">
        <v>108</v>
      </c>
      <c r="J192" s="4" t="s">
        <v>219</v>
      </c>
      <c r="K192" s="14"/>
      <c r="L192" s="14">
        <v>23400</v>
      </c>
    </row>
    <row r="193" spans="1:12" x14ac:dyDescent="0.3">
      <c r="A193" s="116">
        <v>46021</v>
      </c>
      <c r="B193" t="s">
        <v>169</v>
      </c>
      <c r="C193" s="11">
        <v>250000</v>
      </c>
      <c r="D193" s="11"/>
      <c r="F193" s="111" t="s">
        <v>108</v>
      </c>
      <c r="J193" s="4" t="s">
        <v>199</v>
      </c>
      <c r="K193" s="14">
        <v>993570</v>
      </c>
      <c r="L193" s="14"/>
    </row>
    <row r="194" spans="1:12" x14ac:dyDescent="0.3">
      <c r="A194" s="38">
        <v>46021</v>
      </c>
      <c r="B194" t="s">
        <v>326</v>
      </c>
      <c r="C194" s="11"/>
      <c r="D194" s="11">
        <v>60000</v>
      </c>
      <c r="E194" t="s">
        <v>342</v>
      </c>
      <c r="F194" s="111" t="s">
        <v>108</v>
      </c>
      <c r="J194" s="4" t="s">
        <v>229</v>
      </c>
      <c r="K194" s="14"/>
      <c r="L194" s="14">
        <v>1963491</v>
      </c>
    </row>
    <row r="195" spans="1:12" x14ac:dyDescent="0.3">
      <c r="A195" s="116">
        <v>46021</v>
      </c>
      <c r="B195" t="s">
        <v>192</v>
      </c>
      <c r="C195" s="11">
        <v>60000</v>
      </c>
      <c r="D195" s="11"/>
      <c r="E195" t="s">
        <v>343</v>
      </c>
      <c r="F195" s="111" t="s">
        <v>108</v>
      </c>
      <c r="J195" s="4" t="s">
        <v>202</v>
      </c>
      <c r="K195" s="14"/>
      <c r="L195" s="14">
        <v>127000</v>
      </c>
    </row>
    <row r="196" spans="1:12" x14ac:dyDescent="0.3">
      <c r="A196" s="38">
        <v>46021</v>
      </c>
      <c r="B196" t="s">
        <v>256</v>
      </c>
      <c r="C196" s="11">
        <v>11850</v>
      </c>
      <c r="D196" s="11"/>
      <c r="E196" t="s">
        <v>294</v>
      </c>
      <c r="F196" s="111" t="s">
        <v>108</v>
      </c>
      <c r="J196" s="4" t="s">
        <v>216</v>
      </c>
      <c r="K196" s="14">
        <v>6866546</v>
      </c>
      <c r="L196" s="14"/>
    </row>
    <row r="197" spans="1:12" x14ac:dyDescent="0.3">
      <c r="A197" s="116">
        <v>46021</v>
      </c>
      <c r="B197" t="s">
        <v>202</v>
      </c>
      <c r="C197" s="11">
        <v>27000</v>
      </c>
      <c r="D197" s="11"/>
      <c r="E197" t="s">
        <v>230</v>
      </c>
      <c r="F197" s="111" t="s">
        <v>108</v>
      </c>
      <c r="J197" s="4" t="s">
        <v>256</v>
      </c>
      <c r="K197" s="14"/>
      <c r="L197" s="14">
        <v>66850</v>
      </c>
    </row>
    <row r="198" spans="1:12" x14ac:dyDescent="0.3">
      <c r="A198" s="38">
        <v>46021</v>
      </c>
      <c r="B198" t="s">
        <v>233</v>
      </c>
      <c r="C198" s="11">
        <v>1300</v>
      </c>
      <c r="D198" s="11"/>
      <c r="E198" t="s">
        <v>344</v>
      </c>
      <c r="F198" s="111" t="s">
        <v>108</v>
      </c>
      <c r="J198" s="4" t="s">
        <v>286</v>
      </c>
      <c r="K198" s="14">
        <v>996025</v>
      </c>
      <c r="L198" s="14"/>
    </row>
    <row r="199" spans="1:12" x14ac:dyDescent="0.3">
      <c r="A199" s="116">
        <v>46021</v>
      </c>
      <c r="B199" t="s">
        <v>233</v>
      </c>
      <c r="C199" s="11">
        <v>60000</v>
      </c>
      <c r="D199" s="11"/>
      <c r="E199" t="s">
        <v>290</v>
      </c>
      <c r="F199" s="111" t="s">
        <v>108</v>
      </c>
      <c r="J199" s="4" t="s">
        <v>302</v>
      </c>
      <c r="K199" s="14"/>
      <c r="L199" s="14">
        <v>162500</v>
      </c>
    </row>
    <row r="200" spans="1:12" x14ac:dyDescent="0.3">
      <c r="A200" s="38">
        <v>46021</v>
      </c>
      <c r="B200" t="s">
        <v>94</v>
      </c>
      <c r="C200" s="11">
        <v>1000</v>
      </c>
      <c r="D200" s="11"/>
      <c r="E200" t="s">
        <v>345</v>
      </c>
      <c r="F200" s="111" t="s">
        <v>108</v>
      </c>
      <c r="J200" s="4" t="s">
        <v>410</v>
      </c>
      <c r="K200" s="14"/>
      <c r="L200" s="14">
        <v>36000</v>
      </c>
    </row>
    <row r="201" spans="1:12" x14ac:dyDescent="0.3">
      <c r="A201" s="116">
        <v>46021</v>
      </c>
      <c r="B201" t="s">
        <v>229</v>
      </c>
      <c r="C201" s="11">
        <v>5000</v>
      </c>
      <c r="D201" s="11"/>
      <c r="E201" t="s">
        <v>345</v>
      </c>
      <c r="F201" s="111" t="s">
        <v>108</v>
      </c>
      <c r="J201" s="4" t="s">
        <v>28</v>
      </c>
      <c r="K201" s="14">
        <v>22888869</v>
      </c>
      <c r="L201" s="14">
        <v>22842284</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v>250000</v>
      </c>
      <c r="D330" s="11"/>
      <c r="E330" t="s">
        <v>425</v>
      </c>
      <c r="F330" s="111" t="s">
        <v>108</v>
      </c>
    </row>
    <row r="331" spans="1:6" x14ac:dyDescent="0.3">
      <c r="A331" s="38">
        <v>46028</v>
      </c>
      <c r="C331" s="11"/>
      <c r="D331" s="11"/>
      <c r="F331" s="111"/>
    </row>
    <row r="332" spans="1:6" x14ac:dyDescent="0.3">
      <c r="A332" s="38">
        <v>46028</v>
      </c>
      <c r="C332" s="11"/>
      <c r="D332" s="11"/>
      <c r="F332" s="111"/>
    </row>
    <row r="333" spans="1:6" x14ac:dyDescent="0.3">
      <c r="A333" s="38">
        <v>46028</v>
      </c>
      <c r="C333" s="11"/>
      <c r="D333" s="11"/>
      <c r="F333" s="111"/>
    </row>
    <row r="334" spans="1:6" x14ac:dyDescent="0.3">
      <c r="A334" s="38"/>
      <c r="C334" s="14">
        <f>SUBTOTAL(109,Table14[Debit])</f>
        <v>22842284</v>
      </c>
      <c r="D334" s="14">
        <f>SUBTOTAL(109,Table14[Credit])</f>
        <v>22888869</v>
      </c>
      <c r="F334" s="54">
        <f>(Table14[[#Totals],[Credit]]-Table14[[#Totals],[Debit]])</f>
        <v>46585</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5" sqref="A1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v>162500</v>
      </c>
      <c r="M14">
        <v>0</v>
      </c>
    </row>
    <row r="15" spans="1:14" x14ac:dyDescent="0.3">
      <c r="G15">
        <f>SUMIFS(Table14[Debit], Table14[Date], Table8[[#This Row],[Date]], Table14[Party], Table8[[#This Row],[Party]])</f>
        <v>0</v>
      </c>
      <c r="H15">
        <f>Table8[[#This Row],[Price]]-Table8[[#This Row],[Paid]]</f>
        <v>0</v>
      </c>
      <c r="K15" s="26">
        <v>46018</v>
      </c>
      <c r="L15">
        <v>111000</v>
      </c>
      <c r="M15">
        <v>27000</v>
      </c>
    </row>
    <row r="16" spans="1:14" x14ac:dyDescent="0.3">
      <c r="E16">
        <f>SUBTOTAL(109,Table8[Price])</f>
        <v>1238000</v>
      </c>
      <c r="H16">
        <f>SUBTOTAL(109,Table8[Balance])</f>
        <v>218250</v>
      </c>
      <c r="K16" s="26">
        <v>46020</v>
      </c>
      <c r="L16">
        <v>180250</v>
      </c>
      <c r="M16">
        <v>19250</v>
      </c>
    </row>
    <row r="17" spans="1:13" x14ac:dyDescent="0.3">
      <c r="K17" s="26">
        <v>46024</v>
      </c>
      <c r="M17">
        <v>-80250</v>
      </c>
    </row>
    <row r="18" spans="1:13" x14ac:dyDescent="0.3">
      <c r="K18" s="26">
        <v>46025</v>
      </c>
      <c r="L18">
        <v>187000</v>
      </c>
      <c r="M18">
        <v>107000</v>
      </c>
    </row>
    <row r="19" spans="1:13" x14ac:dyDescent="0.3">
      <c r="K19" s="4" t="s">
        <v>103</v>
      </c>
      <c r="M19">
        <v>0</v>
      </c>
    </row>
    <row r="20" spans="1:13" x14ac:dyDescent="0.3">
      <c r="K20" s="26">
        <v>46028</v>
      </c>
      <c r="L20">
        <v>218250</v>
      </c>
      <c r="M20">
        <v>111250</v>
      </c>
    </row>
    <row r="21" spans="1:13" x14ac:dyDescent="0.3">
      <c r="A21" t="s">
        <v>57</v>
      </c>
      <c r="B21" t="s">
        <v>156</v>
      </c>
      <c r="C21" t="s">
        <v>157</v>
      </c>
      <c r="D21" t="s">
        <v>4</v>
      </c>
      <c r="E21" t="s">
        <v>158</v>
      </c>
      <c r="K21" s="4" t="s">
        <v>28</v>
      </c>
      <c r="L21">
        <v>1238000</v>
      </c>
      <c r="M21">
        <v>218250</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1121551</v>
      </c>
      <c r="C2" s="32">
        <f>GETPIVOTDATA("Sum of Tiyaar/gaz",$A$3)</f>
        <v>1175117.8824</v>
      </c>
      <c r="D2" s="31">
        <f>((B2*48)+((C2/1.0936)*10))/C2</f>
        <v>54.956066576860685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c r="C40" s="14">
        <v>45815</v>
      </c>
      <c r="D40" s="28">
        <f t="shared" si="13"/>
        <v>9.1441111923920992</v>
      </c>
      <c r="E40" s="11">
        <f t="shared" si="14"/>
        <v>0</v>
      </c>
      <c r="F40" s="11">
        <f t="shared" si="15"/>
        <v>45815</v>
      </c>
      <c r="G40" s="78" t="e">
        <f t="shared" si="16"/>
        <v>#DIV/0!</v>
      </c>
      <c r="H40" s="28">
        <f t="shared" si="17"/>
        <v>41893.745427944406</v>
      </c>
      <c r="I40" s="28">
        <f t="shared" si="18"/>
        <v>9.1441111923920992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t="s">
        <v>28</v>
      </c>
      <c r="B47" s="30">
        <v>80202</v>
      </c>
      <c r="C47" s="30">
        <v>1175117.8824</v>
      </c>
      <c r="D47" s="28">
        <f t="shared" si="19"/>
        <v>12.420119546666804</v>
      </c>
      <c r="E47" s="11">
        <f t="shared" si="20"/>
        <v>87708.907199999987</v>
      </c>
      <c r="F47" s="11">
        <f t="shared" si="21"/>
        <v>1175117.8824</v>
      </c>
      <c r="G47" s="78">
        <f t="shared" si="22"/>
        <v>-1239.793095039269</v>
      </c>
      <c r="H47" s="28">
        <f t="shared" si="23"/>
        <v>1074540.8580833944</v>
      </c>
      <c r="I47" s="28">
        <f t="shared" si="24"/>
        <v>12.420119546666804</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89355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8375314.6686174199</v>
      </c>
    </row>
    <row r="3" spans="1:3" ht="21" x14ac:dyDescent="0.4">
      <c r="A3" s="102" t="str">
        <f>Billing!Q6</f>
        <v>Ejaz Sahab</v>
      </c>
      <c r="B3" s="105">
        <f>Billing!AD6</f>
        <v>4471992</v>
      </c>
      <c r="C3" s="103">
        <f>Billing!AE6</f>
        <v>143937.95610826649</v>
      </c>
    </row>
    <row r="4" spans="1:3" ht="21" x14ac:dyDescent="0.4">
      <c r="A4" s="102" t="str">
        <f>Billing!Q7</f>
        <v>Arshad</v>
      </c>
      <c r="B4" s="105">
        <f>Billing!AD7</f>
        <v>7155301</v>
      </c>
      <c r="C4" s="104">
        <f>Billing!AE7</f>
        <v>276005.69348939322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2616679</v>
      </c>
      <c r="C12" s="103">
        <f>Billing!AE15</f>
        <v>263021.07315288996</v>
      </c>
    </row>
    <row r="13" spans="1:3" ht="21" x14ac:dyDescent="0.4">
      <c r="A13" s="102" t="str">
        <f>Billing!Q16</f>
        <v>Badshah Fabrics</v>
      </c>
      <c r="B13" s="105">
        <f>Billing!AD16</f>
        <v>6315761</v>
      </c>
      <c r="C13" s="103">
        <f>Billing!AE16</f>
        <v>321938.34162399545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996025</v>
      </c>
      <c r="C21" s="103">
        <f>Billing!AE24</f>
        <v>100107.95537673752</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2026-01-06T20:34:21Z</dcterms:modified>
  <cp:category/>
  <cp:contentStatus/>
</cp:coreProperties>
</file>