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439" documentId="8_{882B14A6-A67C-4C60-A7D4-43427E6D1DAC}" xr6:coauthVersionLast="47" xr6:coauthVersionMax="47" xr10:uidLastSave="{15D19D38-6001-41CA-AF12-ED514FA57596}"/>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 i="6" l="1"/>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2" i="6"/>
  <c r="I43" i="6"/>
  <c r="I44" i="6"/>
  <c r="I70" i="1"/>
  <c r="J70" i="1" a="1"/>
  <c r="J70" i="1" s="1"/>
  <c r="I71" i="1"/>
  <c r="J71" i="1" a="1"/>
  <c r="J71" i="1" s="1"/>
  <c r="I72" i="1"/>
  <c r="J72" i="1" a="1"/>
  <c r="J72" i="1" s="1"/>
  <c r="I73" i="1"/>
  <c r="J73" i="1" a="1"/>
  <c r="J73" i="1" s="1"/>
  <c r="I74" i="1"/>
  <c r="J74" i="1" a="1"/>
  <c r="J74" i="1" s="1"/>
  <c r="I75" i="1"/>
  <c r="J75" i="1" a="1"/>
  <c r="J75" i="1" s="1"/>
  <c r="I76" i="1"/>
  <c r="J76" i="1" a="1"/>
  <c r="J76" i="1" s="1"/>
  <c r="C106" i="17" l="1"/>
  <c r="C103" i="17"/>
  <c r="H31" i="6"/>
  <c r="I31" i="6" s="1"/>
  <c r="G31" i="6"/>
  <c r="G22" i="6"/>
  <c r="I22" i="6"/>
  <c r="G26" i="6"/>
  <c r="I26" i="6"/>
  <c r="G28" i="6"/>
  <c r="G29" i="6"/>
  <c r="G30" i="6"/>
  <c r="I28" i="6"/>
  <c r="I29" i="6"/>
  <c r="I30" i="6"/>
  <c r="C74" i="17" l="1"/>
  <c r="H27" i="6"/>
  <c r="I27" i="6" s="1"/>
  <c r="G27" i="6"/>
  <c r="G25" i="6"/>
  <c r="H23" i="6"/>
  <c r="I23" i="6" s="1"/>
  <c r="H24" i="6"/>
  <c r="I24" i="6" s="1"/>
  <c r="H25" i="6"/>
  <c r="I25" i="6" s="1"/>
  <c r="H21" i="6"/>
  <c r="I21" i="6" s="1"/>
  <c r="G21" i="6"/>
  <c r="G23" i="6"/>
  <c r="G24" i="6"/>
  <c r="I65" i="1"/>
  <c r="J65" i="1" s="1" a="1"/>
  <c r="J65" i="1" s="1"/>
  <c r="I66" i="1"/>
  <c r="J66" i="1" a="1"/>
  <c r="J66" i="1" s="1"/>
  <c r="I67" i="1"/>
  <c r="J67" i="1" s="1" a="1"/>
  <c r="J67" i="1" s="1"/>
  <c r="I68" i="1"/>
  <c r="J68" i="1" s="1" a="1"/>
  <c r="J68" i="1" s="1"/>
  <c r="I69" i="1"/>
  <c r="J69" i="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s="1" a="1"/>
  <c r="J61" i="1" s="1"/>
  <c r="I62" i="1"/>
  <c r="J62" i="1" s="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7"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H8" i="7"/>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7" i="1" a="1"/>
  <c r="J77" i="1" s="1"/>
  <c r="N112" i="9"/>
  <c r="P112" i="9" s="1"/>
  <c r="N111" i="9"/>
  <c r="P111" i="9" s="1"/>
  <c r="N113" i="9"/>
  <c r="P113" i="9" s="1"/>
  <c r="I77" i="1" a="1"/>
  <c r="I77"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49"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81" i="2"/>
  <c r="I81" i="2" s="1"/>
  <c r="D81" i="2" s="1"/>
  <c r="G15" i="2"/>
  <c r="G10" i="2"/>
  <c r="H74" i="1" s="1"/>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H75" i="1" s="1"/>
  <c r="G59" i="2"/>
  <c r="G9" i="2"/>
  <c r="H65" i="1" s="1"/>
  <c r="G74" i="2"/>
  <c r="G5" i="2"/>
  <c r="G92" i="2"/>
  <c r="G88" i="2"/>
  <c r="G83" i="2"/>
  <c r="G8" i="2"/>
  <c r="H72" i="1" s="1"/>
  <c r="G36" i="2"/>
  <c r="G47" i="2"/>
  <c r="H65" i="2"/>
  <c r="I65" i="2" s="1"/>
  <c r="D65" i="2" s="1"/>
  <c r="G26" i="2"/>
  <c r="H12" i="2"/>
  <c r="I12" i="2" s="1"/>
  <c r="D12" i="2" s="1"/>
  <c r="H88" i="2"/>
  <c r="I88" i="2" s="1"/>
  <c r="D88" i="2" s="1"/>
  <c r="G13" i="2"/>
  <c r="H76" i="1" s="1"/>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45" i="6"/>
  <c r="C12" i="10"/>
  <c r="N6" i="17"/>
  <c r="N7" i="17" s="1"/>
  <c r="I37" i="12"/>
  <c r="D38" i="14"/>
  <c r="C10" i="8" s="1"/>
  <c r="G14" i="15"/>
  <c r="D38" i="18"/>
  <c r="C11" i="8" s="1"/>
  <c r="H45" i="6"/>
  <c r="E38" i="18"/>
  <c r="J37" i="14"/>
  <c r="C12" i="8" s="1"/>
  <c r="C43" i="12"/>
  <c r="H10" i="7"/>
  <c r="I45" i="6"/>
  <c r="D149" i="17"/>
  <c r="D2" i="2"/>
  <c r="H68" i="1" l="1"/>
  <c r="H70" i="1"/>
  <c r="H66" i="1"/>
  <c r="H71" i="1"/>
  <c r="H73" i="1"/>
  <c r="H67" i="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49"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<sst xmlns="http://schemas.openxmlformats.org/spreadsheetml/2006/main" count="1154" uniqueCount="312">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</sst>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cellXfs>
  <cellStyles count="2">
    <cellStyle name="Comma" xfId="1" builtinId="3"/>
    <cellStyle name="Normal" xfId="0" builtinId="0"/>
  </cellStyles>
  <dxfs count="133">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609610</xdr:colOff>
      <xdr:row>7</xdr:row>
      <xdr:rowOff>43181</xdr:rowOff>
    </xdr:from>
    <xdr:to>
      <xdr:col>13</xdr:col>
      <xdr:colOff>504697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307899</xdr:colOff>
      <xdr:row>12</xdr:row>
      <xdr:rowOff>138748</xdr:rowOff>
    </xdr:from>
    <xdr:to>
      <xdr:col>14</xdr:col>
      <xdr:colOff>640440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8820832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175929" createdVersion="8" refreshedVersion="8" minRefreshableVersion="3" recordCount="75" xr:uid="{46CBB50D-3613-4E5B-8212-DD0313DCD05A}">
  <cacheSource type="worksheet">
    <worksheetSource name="Table1"/>
  </cacheSource>
  <cacheFields count="14">
    <cacheField name="Date" numFmtId="14">
      <sharedItems containsSemiMixedTypes="0" containsNonDate="0" containsDate="1" containsString="0" minDate="2025-11-18T00:00:00" maxDate="2025-12-25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272"/>
    </cacheField>
    <cacheField name="Quality" numFmtId="0">
      <sharedItems/>
    </cacheField>
    <cacheField name="Shipment Number" numFmtId="164">
      <sharedItems containsString="0" containsBlank="1" containsNumber="1" containsInteger="1" minValue="1558" maxValue="17000" count="331">
        <m/>
        <n v="1971"/>
        <n v="1951"/>
        <n v="1934"/>
        <n v="1924"/>
        <n v="1835"/>
        <n v="1628"/>
        <n v="1958"/>
        <n v="1987"/>
        <n v="197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5613" maxValue="80202"/>
    </cacheField>
    <cacheField name="Tiyaar/gaz" numFmtId="164">
      <sharedItems containsString="0" containsBlank="1" containsNumber="1" containsInteger="1" minValue="1495" maxValue="49746"/>
    </cacheField>
    <cacheField name="shortage %" numFmtId="165">
      <sharedItems containsMixedTypes="1" containsNumber="1" minValue="1.0043531815888258" maxValue="97.292820121467372"/>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523145"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870369" createdVersion="8" refreshedVersion="8" minRefreshableVersion="3" recordCount="41" xr:uid="{3E5C2981-ACF5-44A9-8567-B1D65DB3A8D2}">
  <cacheSource type="worksheet">
    <worksheetSource name="Table3"/>
  </cacheSource>
  <cacheFields count="9">
    <cacheField name="Date" numFmtId="14">
      <sharedItems containsNonDate="0" containsDate="1" containsString="0" containsBlank="1" minDate="2025-05-02T00:00:00" maxDate="2025-12-25T00:00:00" count="143">
        <d v="2025-12-17T00:00:00"/>
        <d v="2025-12-18T00:00:00"/>
        <d v="2025-12-19T00:00:00"/>
        <d v="2025-12-20T00:00:00"/>
        <d v="2025-12-22T00:00:00"/>
        <d v="2025-12-21T00:00:00"/>
        <d v="2025-12-23T00:00:00"/>
        <d v="2025-12-24T00:00:00"/>
        <m/>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2">
        <s v="Closing Balance CF"/>
        <s v="TKL 364"/>
        <n v="9662"/>
        <s v="LES 9718"/>
        <s v="APL"/>
        <m/>
        <n v="2223"/>
        <s v="LEI 2223"/>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101853"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2-27T00:00:00" count="55">
        <d v="2025-12-17T00:00:00"/>
        <d v="2025-12-18T00:00:00"/>
        <d v="2025-12-22T00:00:00"/>
        <d v="2025-12-26T00:00:00"/>
        <d v="2025-12-25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44907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8264.44769568399"/>
    </cacheField>
    <cacheField name="Rate" numFmtId="0">
      <sharedItems containsString="0" containsBlank="1" containsNumber="1" minValue="10" maxValue="12"/>
    </cacheField>
    <cacheField name="Total" numFmtId="164">
      <sharedItems containsSemiMixedTypes="0" containsString="0" containsNumber="1" minValue="0" maxValue="809363.569861009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7963" createdVersion="8" refreshedVersion="8" minRefreshableVersion="3" recordCount="147" xr:uid="{B5BDFB73-D93A-4A7A-8149-666BC190B09B}">
  <cacheSource type="worksheet">
    <worksheetSource name="Table14"/>
  </cacheSource>
  <cacheFields count="7">
    <cacheField name="Date" numFmtId="14">
      <sharedItems containsSemiMixedTypes="0" containsNonDate="0" containsDate="1" containsString="0" minDate="2025-12-17T00:00:00" maxDate="2025-12-27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m/>
        <s v="Closing October CF" u="1"/>
        <s v="Aurangzeb" u="1"/>
        <s v="BSC" u="1"/>
        <s v="Finish" u="1"/>
        <s v="ejaz sahab"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882083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76.307801035189726"/>
    <n v="9188.9173372348214"/>
    <n v="91889.173372348218"/>
    <m/>
  </r>
  <r>
    <d v="2025-12-22T00:00:00"/>
    <x v="11"/>
    <n v="1265"/>
    <s v="crinkle"/>
    <x v="5"/>
    <n v="50010"/>
    <n v="25349"/>
    <n v="7.1820602960607403"/>
    <n v="23179.407461594736"/>
    <n v="231794.07461594735"/>
    <m/>
  </r>
  <r>
    <d v="2025-12-23T00:00:00"/>
    <x v="0"/>
    <n v="1266"/>
    <s v="crinkle"/>
    <x v="6"/>
    <n v="48198"/>
    <n v="2439"/>
    <n v="76.307801035189726"/>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72.566037327653135"/>
    <n v="1539.8683247988297"/>
    <n v="15398.683247988298"/>
    <m/>
  </r>
  <r>
    <d v="2025-12-24T00:00:00"/>
    <x v="7"/>
    <n v="1272"/>
    <s v="Chamki"/>
    <x v="9"/>
    <n v="50497"/>
    <n v="1495"/>
    <n v="97.292820121467372"/>
    <n v="1367.0446232626191"/>
    <n v="13670.44623262619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10"/>
    <n v="775"/>
    <m/>
    <n v="85250"/>
    <m/>
    <n v="85250"/>
  </r>
  <r>
    <x v="6"/>
    <x v="3"/>
    <x v="2"/>
    <n v="25"/>
    <n v="580"/>
    <m/>
    <n v="14500"/>
    <m/>
    <n v="14500"/>
  </r>
  <r>
    <x v="6"/>
    <x v="3"/>
    <x v="2"/>
    <n v="120"/>
    <n v="775"/>
    <m/>
    <n v="93000"/>
    <m/>
    <n v="93000"/>
  </r>
  <r>
    <x v="6"/>
    <x v="6"/>
    <x v="5"/>
    <m/>
    <m/>
    <m/>
    <n v="0"/>
    <n v="150000"/>
    <n v="-150000"/>
  </r>
  <r>
    <x v="7"/>
    <x v="6"/>
    <x v="7"/>
    <n v="212"/>
    <n v="810"/>
    <m/>
    <n v="171720"/>
    <n v="146000"/>
    <n v="25720"/>
  </r>
  <r>
    <x v="7"/>
    <x v="3"/>
    <x v="2"/>
    <n v="120"/>
    <n v="775"/>
    <m/>
    <n v="93000"/>
    <n v="150000"/>
    <n v="-57000"/>
  </r>
  <r>
    <x v="7"/>
    <x v="3"/>
    <x v="2"/>
    <n v="115"/>
    <n v="775"/>
    <m/>
    <n v="89125"/>
    <m/>
    <n v="89125"/>
  </r>
  <r>
    <x v="8"/>
    <x v="9"/>
    <x v="5"/>
    <m/>
    <m/>
    <m/>
    <n v="0"/>
    <m/>
    <n v="0"/>
  </r>
  <r>
    <x v="8"/>
    <x v="9"/>
    <x v="5"/>
    <m/>
    <m/>
    <m/>
    <n v="0"/>
    <m/>
    <n v="0"/>
  </r>
  <r>
    <x v="8"/>
    <x v="9"/>
    <x v="5"/>
    <m/>
    <m/>
    <m/>
    <n v="0"/>
    <m/>
    <n v="0"/>
  </r>
  <r>
    <x v="8"/>
    <x v="9"/>
    <x v="5"/>
    <m/>
    <m/>
    <m/>
    <n v="0"/>
    <m/>
    <n v="0"/>
  </r>
  <r>
    <x v="8"/>
    <x v="9"/>
    <x v="5"/>
    <m/>
    <m/>
    <m/>
    <n v="0"/>
    <m/>
    <n v="0"/>
  </r>
  <r>
    <x v="8"/>
    <x v="9"/>
    <x v="5"/>
    <m/>
    <m/>
    <m/>
    <n v="0"/>
    <m/>
    <n v="0"/>
  </r>
  <r>
    <x v="8"/>
    <x v="9"/>
    <x v="5"/>
    <m/>
    <m/>
    <m/>
    <n v="0"/>
    <m/>
    <n v="0"/>
  </r>
  <r>
    <x v="8"/>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84000"/>
    <n v="0"/>
    <m/>
  </r>
  <r>
    <x v="4"/>
    <s v="Dyes"/>
    <m/>
    <m/>
    <n v="162500"/>
    <x v="4"/>
    <n v="1625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2355.52304316021"/>
    <n v="10"/>
    <n v="809363.5698610096"/>
  </r>
  <r>
    <x v="1"/>
    <n v="0"/>
    <n v="10"/>
    <n v="0"/>
  </r>
  <r>
    <x v="2"/>
    <n v="53308.339429407468"/>
    <n v="10"/>
    <n v="533083.39429407474"/>
  </r>
  <r>
    <x v="3"/>
    <n v="0"/>
    <n v="10.5"/>
    <n v="0"/>
  </r>
  <r>
    <x v="4"/>
    <n v="0"/>
    <n v="10"/>
    <n v="0"/>
  </r>
  <r>
    <x v="5"/>
    <n v="0"/>
    <n v="10"/>
    <n v="0"/>
  </r>
  <r>
    <x v="6"/>
    <n v="0"/>
    <n v="10"/>
    <n v="0"/>
  </r>
  <r>
    <x v="7"/>
    <n v="46855.340160936365"/>
    <n v="10"/>
    <n v="468553.40160936362"/>
  </r>
  <r>
    <x v="8"/>
    <n v="0"/>
    <n v="10"/>
    <n v="0"/>
  </r>
  <r>
    <x v="9"/>
    <n v="0"/>
    <n v="12"/>
    <n v="0"/>
  </r>
  <r>
    <x v="10"/>
    <n v="0"/>
    <m/>
    <n v="0"/>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d v="2025-12-17T00:00:00"/>
    <x v="0"/>
    <m/>
    <n v="882083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84000"/>
    <m/>
    <s v="Dyes"/>
    <s v="Bank"/>
    <m/>
  </r>
  <r>
    <d v="2025-12-26T00:00:00"/>
    <x v="6"/>
    <m/>
    <n v="84000"/>
    <s v="50K+34K"/>
    <s v="Bank"/>
    <m/>
  </r>
  <r>
    <d v="2025-12-26T00:00:00"/>
    <x v="6"/>
    <m/>
    <n v="200000"/>
    <m/>
    <s v="Bank"/>
    <m/>
  </r>
  <r>
    <d v="2025-12-26T00:00:00"/>
    <x v="10"/>
    <n v="201000"/>
    <m/>
    <s v="TID:480293"/>
    <s v="Bank"/>
    <m/>
  </r>
  <r>
    <d v="2025-12-26T00:00:00"/>
    <x v="28"/>
    <m/>
    <m/>
    <m/>
    <m/>
    <m/>
  </r>
  <r>
    <d v="2025-12-26T00:00:00"/>
    <x v="28"/>
    <m/>
    <m/>
    <m/>
    <m/>
    <m/>
  </r>
  <r>
    <d v="2025-12-26T00:00:00"/>
    <x v="28"/>
    <m/>
    <m/>
    <m/>
    <m/>
    <m/>
  </r>
  <r>
    <d v="2025-12-26T00:00:00"/>
    <x v="28"/>
    <m/>
    <m/>
    <m/>
    <m/>
    <m/>
  </r>
  <r>
    <d v="2025-12-26T00:00:00"/>
    <x v="28"/>
    <m/>
    <m/>
    <m/>
    <m/>
    <m/>
  </r>
  <r>
    <d v="2025-12-26T00:00:00"/>
    <x v="28"/>
    <m/>
    <m/>
    <m/>
    <m/>
    <m/>
  </r>
  <r>
    <d v="2025-12-24T00:00:00"/>
    <x v="28"/>
    <m/>
    <m/>
    <m/>
    <m/>
    <m/>
  </r>
  <r>
    <d v="2025-12-24T00:00:00"/>
    <x v="28"/>
    <m/>
    <m/>
    <m/>
    <m/>
    <m/>
  </r>
  <r>
    <d v="2025-12-24T00:00:00"/>
    <x v="28"/>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5" firstHeaderRow="0" firstDataRow="1" firstDataCol="1" rowPageCount="1" colPageCount="1"/>
  <pivotFields count="9">
    <pivotField axis="axisRow" numFmtId="14" showAll="0">
      <items count="144">
        <item m="1" x="127"/>
        <item m="1" x="128"/>
        <item m="1" x="129"/>
        <item m="1" x="130"/>
        <item m="1" x="131"/>
        <item m="1" x="132"/>
        <item m="1" x="133"/>
        <item m="1" x="142"/>
        <item m="1" x="123"/>
        <item m="1" x="134"/>
        <item m="1" x="135"/>
        <item m="1" x="136"/>
        <item m="1" x="137"/>
        <item m="1" x="138"/>
        <item m="1" x="139"/>
        <item m="1" x="140"/>
        <item m="1" x="94"/>
        <item m="1" x="95"/>
        <item m="1" x="141"/>
        <item m="1" x="96"/>
        <item m="1" x="93"/>
        <item m="1" x="97"/>
        <item m="1" x="99"/>
        <item m="1" x="100"/>
        <item m="1" x="101"/>
        <item m="1" x="103"/>
        <item m="1" x="104"/>
        <item m="1" x="105"/>
        <item m="1" x="98"/>
        <item m="1" x="102"/>
        <item m="1" x="106"/>
        <item m="1" x="107"/>
        <item m="1" x="108"/>
        <item m="1" x="109"/>
        <item m="1" x="92"/>
        <item m="1" x="110"/>
        <item m="1" x="124"/>
        <item m="1" x="125"/>
        <item m="1" x="126"/>
        <item m="1" x="111"/>
        <item m="1" x="112"/>
        <item m="1" x="113"/>
        <item m="1" x="114"/>
        <item m="1" x="115"/>
        <item m="1" x="116"/>
        <item m="1" x="117"/>
        <item m="1" x="118"/>
        <item m="1" x="119"/>
        <item m="1" x="120"/>
        <item m="1" x="121"/>
        <item m="1" x="122"/>
        <item m="1" x="63"/>
        <item m="1" x="64"/>
        <item m="1" x="65"/>
        <item m="1" x="66"/>
        <item m="1" x="67"/>
        <item m="1" x="68"/>
        <item m="1" x="69"/>
        <item m="1" x="70"/>
        <item m="1" x="72"/>
        <item m="1" x="73"/>
        <item m="1" x="74"/>
        <item m="1" x="71"/>
        <item m="1" x="75"/>
        <item m="1" x="76"/>
        <item m="1" x="77"/>
        <item m="1" x="78"/>
        <item m="1" x="79"/>
        <item m="1" x="80"/>
        <item m="1" x="81"/>
        <item m="1" x="82"/>
        <item m="1" x="83"/>
        <item m="1" x="84"/>
        <item m="1" x="85"/>
        <item m="1" x="86"/>
        <item m="1" x="87"/>
        <item m="1" x="88"/>
        <item m="1" x="89"/>
        <item m="1" x="90"/>
        <item m="1" x="91"/>
        <item m="1" x="9"/>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10"/>
        <item m="1" x="13"/>
        <item m="1" x="11"/>
        <item m="1" x="12"/>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0"/>
        <item x="1"/>
        <item x="2"/>
        <item x="3"/>
        <item x="4"/>
        <item x="5"/>
        <item x="6"/>
        <item x="7"/>
        <item x="8"/>
        <item t="default"/>
      </items>
    </pivotField>
    <pivotField axis="axisPage" showAll="0">
      <items count="13">
        <item x="1"/>
        <item x="0"/>
        <item x="9"/>
        <item m="1" x="11"/>
        <item x="2"/>
        <item x="3"/>
        <item x="4"/>
        <item m="1" x="10"/>
        <item x="5"/>
        <item x="6"/>
        <item x="7"/>
        <item x="8"/>
        <item t="default"/>
      </items>
    </pivotField>
    <pivotField axis="axisRow" showAll="0">
      <items count="63">
        <item m="1" x="52"/>
        <item m="1" x="36"/>
        <item m="1" x="48"/>
        <item m="1" x="18"/>
        <item m="1" x="53"/>
        <item m="1" x="54"/>
        <item m="1" x="49"/>
        <item m="1" x="50"/>
        <item m="1" x="51"/>
        <item m="1" x="29"/>
        <item m="1" x="55"/>
        <item m="1" x="56"/>
        <item m="1" x="57"/>
        <item m="1" x="58"/>
        <item m="1" x="59"/>
        <item m="1" x="60"/>
        <item m="1" x="25"/>
        <item m="1" x="26"/>
        <item m="1" x="61"/>
        <item m="1" x="27"/>
        <item x="0"/>
        <item m="1" x="28"/>
        <item m="1" x="30"/>
        <item m="1" x="31"/>
        <item m="1" x="32"/>
        <item m="1" x="33"/>
        <item m="1" x="34"/>
        <item m="1" x="35"/>
        <item m="1" x="37"/>
        <item m="1" x="38"/>
        <item m="1" x="20"/>
        <item m="1" x="39"/>
        <item m="1" x="40"/>
        <item m="1" x="41"/>
        <item m="1" x="24"/>
        <item m="1" x="42"/>
        <item m="1" x="43"/>
        <item m="1" x="22"/>
        <item m="1" x="44"/>
        <item m="1" x="45"/>
        <item m="1" x="46"/>
        <item m="1" x="47"/>
        <item m="1" x="10"/>
        <item m="1" x="11"/>
        <item m="1" x="12"/>
        <item m="1" x="13"/>
        <item m="1" x="14"/>
        <item m="1" x="15"/>
        <item m="1" x="16"/>
        <item m="1" x="17"/>
        <item m="1" x="19"/>
        <item m="1" x="21"/>
        <item m="1" x="23"/>
        <item m="1" x="9"/>
        <item x="5"/>
        <item x="1"/>
        <item x="2"/>
        <item m="1" x="8"/>
        <item x="3"/>
        <item x="4"/>
        <item x="6"/>
        <item x="7"/>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7">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3" firstHeaderRow="0" firstDataRow="1" firstDataCol="1"/>
  <pivotFields count="7">
    <pivotField numFmtId="14" showAll="0"/>
    <pivotField axis="axisRow" showAll="0">
      <items count="79">
        <item x="15"/>
        <item x="19"/>
        <item m="1" x="31"/>
        <item m="1" x="64"/>
        <item m="1" x="68"/>
        <item m="1" x="32"/>
        <item x="5"/>
        <item x="16"/>
        <item x="9"/>
        <item x="26"/>
        <item x="4"/>
        <item m="1" x="76"/>
        <item m="1" x="63"/>
        <item x="17"/>
        <item x="24"/>
        <item m="1" x="74"/>
        <item x="2"/>
        <item m="1" x="48"/>
        <item x="1"/>
        <item m="1" x="33"/>
        <item x="28"/>
        <item x="22"/>
        <item m="1" x="77"/>
        <item m="1" x="60"/>
        <item x="8"/>
        <item m="1" x="75"/>
        <item m="1" x="67"/>
        <item m="1" x="42"/>
        <item m="1" x="69"/>
        <item m="1" x="70"/>
        <item m="1" x="71"/>
        <item m="1" x="72"/>
        <item m="1" x="45"/>
        <item m="1" x="73"/>
        <item m="1" x="47"/>
        <item x="12"/>
        <item m="1" x="54"/>
        <item x="14"/>
        <item m="1" x="62"/>
        <item m="1" x="57"/>
        <item x="23"/>
        <item x="13"/>
        <item m="1" x="41"/>
        <item m="1" x="65"/>
        <item x="6"/>
        <item m="1" x="66"/>
        <item m="1" x="51"/>
        <item m="1" x="38"/>
        <item x="7"/>
        <item m="1" x="52"/>
        <item m="1" x="53"/>
        <item m="1" x="55"/>
        <item m="1" x="56"/>
        <item m="1" x="58"/>
        <item m="1" x="34"/>
        <item m="1" x="35"/>
        <item m="1" x="59"/>
        <item m="1" x="61"/>
        <item m="1" x="30"/>
        <item m="1" x="37"/>
        <item m="1" x="29"/>
        <item x="18"/>
        <item m="1" x="36"/>
        <item m="1" x="39"/>
        <item m="1" x="50"/>
        <item x="3"/>
        <item m="1" x="43"/>
        <item m="1" x="44"/>
        <item x="21"/>
        <item m="1" x="40"/>
        <item x="10"/>
        <item m="1" x="46"/>
        <item x="11"/>
        <item m="1" x="49"/>
        <item x="0"/>
        <item x="20"/>
        <item x="25"/>
        <item x="27"/>
        <item t="default"/>
      </items>
    </pivotField>
    <pivotField dataField="1" showAll="0"/>
    <pivotField dataField="1" showAll="0"/>
    <pivotField showAll="0"/>
    <pivotField showAll="0"/>
    <pivotField showAll="0"/>
  </pivotFields>
  <rowFields count="1">
    <field x="1"/>
  </rowFields>
  <rowItems count="30">
    <i>
      <x/>
    </i>
    <i>
      <x v="1"/>
    </i>
    <i>
      <x v="6"/>
    </i>
    <i>
      <x v="7"/>
    </i>
    <i>
      <x v="8"/>
    </i>
    <i>
      <x v="9"/>
    </i>
    <i>
      <x v="10"/>
    </i>
    <i>
      <x v="13"/>
    </i>
    <i>
      <x v="14"/>
    </i>
    <i>
      <x v="16"/>
    </i>
    <i>
      <x v="18"/>
    </i>
    <i>
      <x v="20"/>
    </i>
    <i>
      <x v="21"/>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5" firstHeaderRow="0" firstDataRow="1" firstDataCol="1" rowPageCount="1" colPageCount="1"/>
  <pivotFields count="9">
    <pivotField axis="axisRow" showAll="0">
      <items count="56">
        <item m="1" x="50"/>
        <item m="1" x="51"/>
        <item m="1" x="52"/>
        <item m="1" x="53"/>
        <item m="1" x="54"/>
        <item m="1" x="49"/>
        <item m="1" x="37"/>
        <item m="1" x="38"/>
        <item m="1" x="42"/>
        <item m="1" x="43"/>
        <item m="1" x="39"/>
        <item m="1" x="44"/>
        <item m="1" x="45"/>
        <item m="1" x="46"/>
        <item m="1" x="47"/>
        <item m="1" x="48"/>
        <item m="1" x="36"/>
        <item m="1" x="40"/>
        <item m="1" x="41"/>
        <item m="1" x="29"/>
        <item m="1" x="30"/>
        <item m="1" x="31"/>
        <item m="1" x="32"/>
        <item m="1" x="33"/>
        <item m="1" x="34"/>
        <item m="1" x="35"/>
        <item m="1" x="5"/>
        <item m="1" x="21"/>
        <item m="1" x="22"/>
        <item m="1" x="23"/>
        <item m="1" x="24"/>
        <item m="1" x="25"/>
        <item m="1" x="26"/>
        <item m="1" x="27"/>
        <item m="1" x="28"/>
        <item m="1" x="6"/>
        <item m="1" x="7"/>
        <item m="1" x="8"/>
        <item m="1" x="9"/>
        <item m="1" x="10"/>
        <item m="1" x="11"/>
        <item m="1" x="12"/>
        <item m="1" x="14"/>
        <item m="1" x="15"/>
        <item m="1" x="13"/>
        <item m="1" x="16"/>
        <item m="1" x="17"/>
        <item m="1" x="18"/>
        <item m="1" x="19"/>
        <item m="1" x="20"/>
        <item x="0"/>
        <item x="1"/>
        <item x="2"/>
        <item x="3"/>
        <item x="4"/>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6">
    <i>
      <x v="50"/>
    </i>
    <i>
      <x v="51"/>
    </i>
    <i>
      <x v="52"/>
    </i>
    <i>
      <x v="53"/>
    </i>
    <i>
      <x v="5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2">
        <item m="1" x="314"/>
        <item m="1" x="315"/>
        <item m="1" x="313"/>
        <item m="1" x="312"/>
        <item m="1" x="316"/>
        <item m="1" x="318"/>
        <item m="1" x="317"/>
        <item m="1" x="319"/>
        <item m="1" x="320"/>
        <item m="1" x="321"/>
        <item m="1" x="322"/>
        <item m="1" x="323"/>
        <item m="1" x="324"/>
        <item m="1" x="325"/>
        <item m="1" x="250"/>
        <item m="1" x="272"/>
        <item m="1" x="326"/>
        <item m="1" x="327"/>
        <item m="1" x="328"/>
        <item m="1" x="280"/>
        <item m="1" x="279"/>
        <item m="1" x="329"/>
        <item m="1" x="330"/>
        <item m="1" x="289"/>
        <item m="1" x="281"/>
        <item m="1" x="282"/>
        <item m="1" x="283"/>
        <item m="1" x="284"/>
        <item m="1" x="285"/>
        <item m="1" x="286"/>
        <item m="1" x="287"/>
        <item m="1" x="288"/>
        <item m="1" x="290"/>
        <item m="1" x="310"/>
        <item m="1" x="291"/>
        <item m="1" x="311"/>
        <item m="1" x="292"/>
        <item m="1" x="293"/>
        <item m="1" x="294"/>
        <item m="1" x="295"/>
        <item m="1" x="296"/>
        <item m="1" x="227"/>
        <item m="1" x="297"/>
        <item m="1" x="298"/>
        <item m="1" x="299"/>
        <item m="1" x="300"/>
        <item m="1" x="301"/>
        <item m="1" x="302"/>
        <item m="1" x="303"/>
        <item m="1" x="304"/>
        <item m="1" x="305"/>
        <item m="1" x="306"/>
        <item m="1" x="307"/>
        <item m="1" x="308"/>
        <item m="1" x="309"/>
        <item x="0"/>
        <item m="1" x="226"/>
        <item m="1" x="228"/>
        <item m="1" x="229"/>
        <item m="1" x="230"/>
        <item m="1" x="231"/>
        <item m="1" x="232"/>
        <item m="1" x="233"/>
        <item m="1" x="234"/>
        <item m="1" x="235"/>
        <item m="1" x="236"/>
        <item m="1" x="237"/>
        <item m="1" x="238"/>
        <item m="1" x="239"/>
        <item m="1" x="240"/>
        <item x="6"/>
        <item m="1" x="241"/>
        <item m="1" x="242"/>
        <item m="1" x="243"/>
        <item m="1" x="244"/>
        <item m="1" x="245"/>
        <item m="1" x="246"/>
        <item m="1" x="247"/>
        <item m="1" x="24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3"/>
        <item m="1" x="274"/>
        <item m="1" x="275"/>
        <item m="1" x="276"/>
        <item m="1" x="277"/>
        <item m="1" x="278"/>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9"/>
        <item m="1" x="143"/>
        <item m="1" x="10"/>
        <item m="1" x="11"/>
        <item m="1" x="12"/>
        <item m="1" x="13"/>
        <item m="1" x="14"/>
        <item m="1" x="15"/>
        <item m="1" x="16"/>
        <item m="1" x="17"/>
        <item m="1" x="18"/>
        <item m="1" x="20"/>
        <item m="1" x="21"/>
        <item m="1" x="22"/>
        <item m="1" x="23"/>
        <item m="1" x="24"/>
        <item m="1" x="25"/>
        <item m="1" x="26"/>
        <item m="1" x="27"/>
        <item m="1" x="28"/>
        <item m="1" x="29"/>
        <item m="1" x="30"/>
        <item m="1" x="31"/>
        <item m="1" x="32"/>
        <item m="1" x="33"/>
        <item x="3"/>
        <item m="1" x="34"/>
        <item m="1" x="35"/>
        <item m="1" x="36"/>
        <item m="1" x="37"/>
        <item m="1" x="38"/>
        <item m="1" x="39"/>
        <item m="1" x="40"/>
        <item m="1" x="41"/>
        <item m="1" x="42"/>
        <item m="1" x="43"/>
        <item m="1" x="44"/>
        <item m="1" x="45"/>
        <item m="1" x="46"/>
        <item m="1" x="47"/>
        <item m="1" x="48"/>
        <item m="1" x="49"/>
        <item m="1" x="50"/>
        <item m="1" x="51"/>
        <item m="1" x="52"/>
        <item m="1" x="53"/>
        <item m="1" x="54"/>
        <item m="1" x="55"/>
        <item x="7"/>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4"/>
        <item m="1" x="85"/>
        <item m="1" x="86"/>
        <item x="1"/>
        <item m="1" x="87"/>
        <item x="2"/>
        <item x="5"/>
        <item x="8"/>
        <item x="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
    <i>
      <x v="55"/>
    </i>
    <i>
      <x v="70"/>
    </i>
    <i>
      <x v="269"/>
    </i>
    <i>
      <x v="292"/>
    </i>
    <i>
      <x v="322"/>
    </i>
    <i>
      <x v="325"/>
    </i>
    <i>
      <x v="327"/>
    </i>
    <i>
      <x v="328"/>
    </i>
    <i>
      <x v="329"/>
    </i>
    <i>
      <x v="33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1">
        <i x="6" s="1"/>
        <i x="5" s="1"/>
        <i x="4" s="1"/>
        <i x="3" s="1"/>
        <i x="2" s="1"/>
        <i x="7" s="1"/>
        <i x="1" s="1"/>
        <i x="9" s="1"/>
        <i x="8" s="1"/>
        <i x="285" s="1" nd="1"/>
        <i x="314" s="1" nd="1"/>
        <i x="315" s="1" nd="1"/>
        <i x="323" s="1" nd="1"/>
        <i x="313" s="1" nd="1"/>
        <i x="312" s="1" nd="1"/>
        <i x="316" s="1" nd="1"/>
        <i x="327" s="1" nd="1"/>
        <i x="319" s="1" nd="1"/>
        <i x="320" s="1" nd="1"/>
        <i x="317" s="1" nd="1"/>
        <i x="318" s="1" nd="1"/>
        <i x="328" s="1" nd="1"/>
        <i x="321" s="1" nd="1"/>
        <i x="322" s="1" nd="1"/>
        <i x="325" s="1" nd="1"/>
        <i x="326" s="1" nd="1"/>
        <i x="324" s="1" nd="1"/>
        <i x="280" s="1" nd="1"/>
        <i x="330" s="1" nd="1"/>
        <i x="279" s="1" nd="1"/>
        <i x="329" s="1" nd="1"/>
        <i x="282" s="1" nd="1"/>
        <i x="243" s="1" nd="1"/>
        <i x="281" s="1" nd="1"/>
        <i x="283" s="1" nd="1"/>
        <i x="289" s="1" nd="1"/>
        <i x="284" s="1" nd="1"/>
        <i x="286" s="1" nd="1"/>
        <i x="302" s="1" nd="1"/>
        <i x="226" s="1" nd="1"/>
        <i x="290" s="1" nd="1"/>
        <i x="231" s="1" nd="1"/>
        <i x="296" s="1" nd="1"/>
        <i x="291" s="1" nd="1"/>
        <i x="294" s="1" nd="1"/>
        <i x="299" s="1" nd="1"/>
        <i x="310" s="1" nd="1"/>
        <i x="292" s="1" nd="1"/>
        <i x="304" s="1" nd="1"/>
        <i x="307" s="1" nd="1"/>
        <i x="298" s="1" nd="1"/>
        <i x="287" s="1" nd="1"/>
        <i x="295" s="1" nd="1"/>
        <i x="288" s="1" nd="1"/>
        <i x="293" s="1" nd="1"/>
        <i x="227" s="1" nd="1"/>
        <i x="297" s="1" nd="1"/>
        <i x="303" s="1" nd="1"/>
        <i x="300" s="1" nd="1"/>
        <i x="305" s="1" nd="1"/>
        <i x="301" s="1" nd="1"/>
        <i x="267" s="1" nd="1"/>
        <i x="306" s="1" nd="1"/>
        <i x="308" s="1" nd="1"/>
        <i x="229" s="1" nd="1"/>
        <i x="236" s="1" nd="1"/>
        <i x="309" s="1" nd="1"/>
        <i x="233" s="1" nd="1"/>
        <i x="234" s="1" nd="1"/>
        <i x="228" s="1" nd="1"/>
        <i x="232" s="1" nd="1"/>
        <i x="119" s="1" nd="1"/>
        <i x="230" s="1" nd="1"/>
        <i x="239" s="1" nd="1"/>
        <i x="235" s="1" nd="1"/>
        <i x="237" s="1" nd="1"/>
        <i x="240" s="1" nd="1"/>
        <i x="247" s="1" nd="1"/>
        <i x="238" s="1" nd="1"/>
        <i x="246" s="1" nd="1"/>
        <i x="251" s="1" nd="1"/>
        <i x="245" s="1" nd="1"/>
        <i x="248" s="1" nd="1"/>
        <i x="258" s="1" nd="1"/>
        <i x="244" s="1" nd="1"/>
        <i x="241" s="1" nd="1"/>
        <i x="242" s="1" nd="1"/>
        <i x="257" s="1" nd="1"/>
        <i x="115" s="1" nd="1"/>
        <i x="250" s="1" nd="1"/>
        <i x="261" s="1" nd="1"/>
        <i x="256" s="1" nd="1"/>
        <i x="249" s="1" nd="1"/>
        <i x="273" s="1" nd="1"/>
        <i x="254" s="1" nd="1"/>
        <i x="264" s="1" nd="1"/>
        <i x="262" s="1" nd="1"/>
        <i x="252" s="1" nd="1"/>
        <i x="260" s="1" nd="1"/>
        <i x="259" s="1" nd="1"/>
        <i x="255" s="1" nd="1"/>
        <i x="265" s="1" nd="1"/>
        <i x="263" s="1" nd="1"/>
        <i x="266" s="1" nd="1"/>
        <i x="253" s="1" nd="1"/>
        <i x="195" s="1" nd="1"/>
        <i x="268" s="1" nd="1"/>
        <i x="269" s="1" nd="1"/>
        <i x="153" s="1" nd="1"/>
        <i x="155" s="1" nd="1"/>
        <i x="276" s="1" nd="1"/>
        <i x="149" s="1" nd="1"/>
        <i x="196" s="1" nd="1"/>
        <i x="270" s="1" nd="1"/>
        <i x="271" s="1" nd="1"/>
        <i x="152" s="1" nd="1"/>
        <i x="278" s="1" nd="1"/>
        <i x="151" s="1" nd="1"/>
        <i x="166" s="1" nd="1"/>
        <i x="277" s="1" nd="1"/>
        <i x="272" s="1" nd="1"/>
        <i x="170" s="1" nd="1"/>
        <i x="275" s="1" nd="1"/>
        <i x="274"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55" s="1" nd="1"/>
        <i x="34" s="1" nd="1"/>
        <i x="139" s="1" nd="1"/>
        <i x="106" s="1" nd="1"/>
        <i x="127" s="1" nd="1"/>
        <i x="123" s="1" nd="1"/>
        <i x="109" s="1" nd="1"/>
        <i x="131" s="1" nd="1"/>
        <i x="66" s="1" nd="1"/>
        <i x="29" s="1" nd="1"/>
        <i x="116" s="1" nd="1"/>
        <i x="140" s="1" nd="1"/>
        <i x="120" s="1" nd="1"/>
        <i x="143" s="1" nd="1"/>
        <i x="130" s="1" nd="1"/>
        <i x="135" s="1" nd="1"/>
        <i x="11" s="1" nd="1"/>
        <i x="132" s="1" nd="1"/>
        <i x="134" s="1" nd="1"/>
        <i x="51" s="1" nd="1"/>
        <i x="19" s="1" nd="1"/>
        <i x="129" s="1" nd="1"/>
        <i x="16" s="1" nd="1"/>
        <i x="128" s="1" nd="1"/>
        <i x="28" s="1" nd="1"/>
        <i x="12" s="1" nd="1"/>
        <i x="10" s="1" nd="1"/>
        <i x="133" s="1" nd="1"/>
        <i x="26" s="1" nd="1"/>
        <i x="20" s="1" nd="1"/>
        <i x="31" s="1" nd="1"/>
        <i x="48" s="1" nd="1"/>
        <i x="25" s="1" nd="1"/>
        <i x="36" s="1" nd="1"/>
        <i x="30" s="1" nd="1"/>
        <i x="27" s="1" nd="1"/>
        <i x="141" s="1" nd="1"/>
        <i x="84" s="1" nd="1"/>
        <i x="38" s="1" nd="1"/>
        <i x="39" s="1" nd="1"/>
        <i x="137" s="1" nd="1"/>
        <i x="136" s="1" nd="1"/>
        <i x="13" s="1" nd="1"/>
        <i x="15" s="1" nd="1"/>
        <i x="46" s="1" nd="1"/>
        <i x="22" s="1" nd="1"/>
        <i x="142" s="1" nd="1"/>
        <i x="80" s="1" nd="1"/>
        <i x="71" s="1" nd="1"/>
        <i x="59" s="1" nd="1"/>
        <i x="33" s="1" nd="1"/>
        <i x="18" s="1" nd="1"/>
        <i x="49" s="1" nd="1"/>
        <i x="68" s="1" nd="1"/>
        <i x="60" s="1" nd="1"/>
        <i x="56" s="1" nd="1"/>
        <i x="24" s="1" nd="1"/>
        <i x="44" s="1" nd="1"/>
        <i x="43" s="1" nd="1"/>
        <i x="58" s="1" nd="1"/>
        <i x="45" s="1" nd="1"/>
        <i x="138" s="1" nd="1"/>
        <i x="21" s="1" nd="1"/>
        <i x="17" s="1" nd="1"/>
        <i x="47" s="1" nd="1"/>
        <i x="14" s="1" nd="1"/>
        <i x="52" s="1" nd="1"/>
        <i x="53" s="1" nd="1"/>
        <i x="57" s="1" nd="1"/>
        <i x="37" s="1" nd="1"/>
        <i x="32" s="1" nd="1"/>
        <i x="65" s="1" nd="1"/>
        <i x="64" s="1" nd="1"/>
        <i x="69" s="1" nd="1"/>
        <i x="23" s="1" nd="1"/>
        <i x="67" s="1" nd="1"/>
        <i x="54" s="1" nd="1"/>
        <i x="35" s="1" nd="1"/>
        <i x="40" s="1" nd="1"/>
        <i x="41" s="1" nd="1"/>
        <i x="50" s="1" nd="1"/>
        <i x="42" s="1" nd="1"/>
        <i x="61" s="1" nd="1"/>
        <i x="72" s="1" nd="1"/>
        <i x="62" s="1" nd="1"/>
        <i x="78" s="1" nd="1"/>
        <i x="75" s="1" nd="1"/>
        <i x="73" s="1" nd="1"/>
        <i x="85" s="1" nd="1"/>
        <i x="79" s="1" nd="1"/>
        <i x="86" s="1" nd="1"/>
        <i x="81" s="1" nd="1"/>
        <i x="82" s="1" nd="1"/>
        <i x="63" s="1" nd="1"/>
        <i x="76" s="1" nd="1"/>
        <i x="83" s="1" nd="1"/>
        <i x="74" s="1" nd="1"/>
        <i x="77" s="1" nd="1"/>
        <i x="87" s="1" nd="1"/>
        <i x="70" s="1" nd="1"/>
        <i x="194" s="1" nd="1"/>
        <i x="31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7" totalsRowCount="1" headerRowDxfId="108" dataDxfId="107" headerRowCellStyle="Comma" dataCellStyle="Comma">
  <autoFilter ref="A1:K76"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5" totalsRowCount="1" headerRowDxfId="86" headerRowBorderDxfId="85" tableBorderDxfId="84">
  <autoFilter ref="A1:I44"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9" totalsRowCount="1">
  <autoFilter ref="A1:G148" xr:uid="{CB032221-B416-47A8-9A76-693DE76CFD04}"/>
  <tableColumns count="7">
    <tableColumn id="1" xr3:uid="{554B1EED-65B6-4E9A-B646-82727FAC40DE}" name="Date" dataDxfId="7" totalsRowDxfId="3"/>
    <tableColumn id="2" xr3:uid="{32259059-42CF-4947-83DE-115AA430BE2B}" name="Party"/>
    <tableColumn id="3" xr3:uid="{A1320223-D55D-483C-91C3-AB19B95CC9D8}" name="Debit" totalsRowFunction="sum" dataDxfId="6" totalsRowDxfId="2" dataCellStyle="Comma"/>
    <tableColumn id="4" xr3:uid="{E9745767-9FF0-4B1C-9052-FF335D1D7588}" name="Credit" totalsRowFunction="sum" dataDxfId="5" totalsRowDxfId="1" dataCellStyle="Comma"/>
    <tableColumn id="5" xr3:uid="{5C88A48E-2467-4E6D-B626-2442B7FD0BE4}" name="Description"/>
    <tableColumn id="6" xr3:uid="{63CA4666-144E-4BE6-8B7C-7CB992BD3041}" name="Mode" totalsRowFunction="custom" dataDxfId="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8" tableBorderDxfId="67" totalsRowBorderDxfId="66">
  <autoFilter ref="J3:K6" xr:uid="{DCE01694-23ED-48BF-8B92-4186B9ED10A8}"/>
  <tableColumns count="2">
    <tableColumn id="1" xr3:uid="{C8484DAF-2989-4C2F-9AEC-A6917E1C57F6}" name="Type" dataDxfId="65"/>
    <tableColumn id="2" xr3:uid="{B07B7A2A-4D4E-4654-BED6-FE2F0A7BEC34}" name="Amount" dataDxfId="6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3" headerRowBorderDxfId="62" tableBorderDxfId="61" totalsRowBorderDxfId="60">
  <autoFilter ref="M3:O6" xr:uid="{D166BDD1-ACD7-45D7-8AE9-7350373F8CEB}"/>
  <tableColumns count="3">
    <tableColumn id="1" xr3:uid="{64F0205E-DEA7-4571-BA86-E4374A5FEE28}" name="Type" totalsRowLabel="Total" dataDxfId="59" totalsRowDxfId="58"/>
    <tableColumn id="2" xr3:uid="{15FA05F9-789C-4459-9BE0-5C1EC84D3365}" name="amount" totalsRowFunction="custom" dataDxfId="57" totalsRowDxfId="56">
      <totalsRowFormula>SUM(N5:N6)</totalsRowFormula>
    </tableColumn>
    <tableColumn id="3" xr3:uid="{3681D409-90C6-44D0-BDE2-4B5943A516F0}" name="Actual" totalsRowFunction="custom" totalsRowDxfId="5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50" headerRowBorderDxfId="49">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5" headerRowBorderDxfId="44">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6">
      <calculatedColumnFormula>Billing!Q5</calculatedColumnFormula>
    </tableColumn>
    <tableColumn id="2" xr3:uid="{7093A59E-B58F-487D-888A-9AA8156B5F9A}" name="Amount Paid" dataDxfId="1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4"/>
    <tableColumn id="2" xr3:uid="{F72CFEEB-BA11-4A49-BD19-88592EB6A27C}" name="Credit" dataDxfId="1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92355.52304316021</v>
      </c>
      <c r="D2">
        <v>10</v>
      </c>
      <c r="E2" s="14">
        <f>(SUMIFS(ledger!G:G, ledger!B:B, B2, ledger!E:E, "&lt;&gt;*RD*",ledger!D:D, "Silky") / 1.0936)*12 + (SUMIFS(ledger!G:G, ledger!B:B, B2, ledger!E:E, "&lt;&gt;*RD*",ledger!D:D, "Chamki") / 1.0936)*10</f>
        <v>809363.5698610096</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53308.339429407468</v>
      </c>
      <c r="D4">
        <v>10</v>
      </c>
      <c r="E4" s="14">
        <f>(SUMIFS(ledger!G:G, ledger!B:B, B4, ledger!E:E, "&lt;&gt;*RD*",ledger!D:D, "Silky") / 1.0936)*12 + (SUMIFS(ledger!G:G, ledger!B:B, B4, ledger!E:E, "&lt;&gt;*RD*",ledger!D:D, "Chamki") / 1.0936)*10</f>
        <v>533083.39429407474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2635939</v>
      </c>
      <c r="S5" s="22" cm="1">
        <f t="array" ref="S5">_xlfn.BYROW(B49, _xlfn.LAMBDA(_xlpm.party, SUMIFS(ledger!G:G, ledger!B:B, _xlpm.party, ledger!E:E, "&lt;&gt;*RD*") / 1.0936 ))+_xlfn.IFNA(D84,0)</f>
        <v>2410331.9312362843</v>
      </c>
      <c r="T5" s="22" cm="1">
        <f t="array" ref="T5">(_xlfn.BYROW(B49,_xlfn.LAMBDA(_xlpm.party,SUMIFS(ledger!G:G,ledger!B:B,_xlpm.party,ledger!E:E,"&lt;&gt;*RD*",ledger!D:D,"Chamki")+SUMIFS(ledger!G:G, ledger!B:B, _xlpm.party, ledger!E:E, "&lt;&gt;*RD*", ledger!D:D, "Crinkle")))/1.0936)+_xlfn.IFNA(E84,0)</f>
        <v>2127863.021214338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21278630.212143384</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24862370.153621074</v>
      </c>
      <c r="AD5" s="22">
        <f>(SUMIF(Table14[Party],Q5,Table14[Credit]))+_xlfn.IFNA(O84,0)</f>
        <v>19750734</v>
      </c>
      <c r="AE5" s="33">
        <f>AC5-AD5</f>
        <v>5111636.1536210738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715446</v>
      </c>
      <c r="S7" s="22" cm="1">
        <f t="array" ref="S7">_xlfn.BYROW(B51, _xlfn.LAMBDA(_xlpm.party, SUMIFS(ledger!G:G, ledger!B:B, _xlpm.party, ledger!E:E, "&lt;&gt;*RD*") / 1.0936 ))+_xlfn.IFNA(D86,0)</f>
        <v>654211.77761521586</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6761661.4850036576</v>
      </c>
      <c r="AD7" s="22">
        <f>(SUMIF(Table14[Party],Q7,Table14[Credit]))+_xlfn.IFNA(O86,0)</f>
        <v>6352935</v>
      </c>
      <c r="AE7" s="33">
        <f t="shared" si="2"/>
        <v>408726.48500365764</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46855.340160936365</v>
      </c>
      <c r="D9">
        <v>10</v>
      </c>
      <c r="E9" s="14">
        <f>(SUMIFS(ledger!G:G, ledger!B:B, B9, ledger!E:E, "&lt;&gt;*RD*",ledger!D:D, "Silky") / 1.0936)*12 + (SUMIFS(ledger!G:G, ledger!B:B, B9, ledger!E:E, "&lt;&gt;*RD*",ledger!D:D, "Chamki") / 1.0936)*10</f>
        <v>468553.40160936362</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412848</v>
      </c>
      <c r="S12" s="22" cm="1">
        <f t="array" ref="S12">_xlfn.BYROW(B56, _xlfn.LAMBDA(_xlpm.party, SUMIFS(ledger!G:G, ledger!B:B, _xlpm.party, ledger!E:E, "&lt;&gt;*RD*") / 1.0936 ))+_xlfn.IFNA(D91,0)</f>
        <v>377512.80175566941</v>
      </c>
      <c r="T12" s="22" cm="1">
        <f t="array" ref="T12">(_xlfn.BYROW(B56,_xlfn.LAMBDA(_xlpm.party,SUMIFS(ledger!G:G,ledger!B:B,_xlpm.party,ledger!E:E,"&lt;&gt;*RD*",ledger!D:D,"Chamki")+SUMIFS(ledger!G:G, ledger!B:B, _xlpm.party, ledger!E:E, "&lt;&gt;*RD*", ledger!D:D, "Crinkle")))/1.0936)+_xlfn.IFNA(E91,0)</f>
        <v>352324.4330651061</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3523244.3306510611</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3850693.1236283835</v>
      </c>
      <c r="AD12" s="22">
        <f>(SUMIF(Table14[Party],Q12,Table14[Credit]))+_xlfn.IFNA(O91,0)</f>
        <v>4230620</v>
      </c>
      <c r="AE12" s="33">
        <f t="shared" si="2"/>
        <v>-379926.8763716165</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5615761</v>
      </c>
      <c r="AE16" s="33">
        <f t="shared" si="2"/>
        <v>486606.4103877116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3007836.5032918802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3007836.5032918802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813525</v>
      </c>
      <c r="AE24" s="33">
        <f t="shared" si="2"/>
        <v>-99999.94513533276</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101000</v>
      </c>
      <c r="D49" s="22" cm="1">
        <f t="array" ref="D49:D74">_xlfn.BYROW(_xlfn.ANCHORARRAY(B49), _xlfn.LAMBDA(_xlpm.party, SUMIFS(ledger!G:G, ledger!B:B, _xlpm.party, ledger!E:E, "&lt;&gt;*RD*") / 1.0936 ))</f>
        <v>92355.52304316021</v>
      </c>
      <c r="E49" s="63" cm="1">
        <f t="array" ref="E49:E74">(_xlfn.BYROW(_xlfn.ANCHORARRAY(B49),_xlfn.LAMBDA(_xlpm.party,SUMIFS(ledger!G:G,ledger!B:B,_xlpm.party,ledger!E:E,"&lt;&gt;*RD*",ledger!D:D,"Chamki")+SUMIFS(ledger!G:G, ledger!B:B, _xlpm.party, ledger!E:E, "&lt;&gt;*RD*", ledger!D:D, "Crinkle")))/1.0936)</f>
        <v>92355.52304316021</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923555.2304316021</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923555.2304316021</v>
      </c>
      <c r="O49" s="22">
        <f>(SUMIF(Table14[Party],B49,Table14[Credit]))</f>
        <v>0</v>
      </c>
      <c r="P49" s="37">
        <f>N49-O49</f>
        <v>923555.2304316021</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58298</v>
      </c>
      <c r="D51" s="22">
        <v>53308.339429407468</v>
      </c>
      <c r="E51" s="63">
        <v>53308.339429407468</v>
      </c>
      <c r="F51" s="63">
        <v>0</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533083.39429407462</v>
      </c>
      <c r="O51" s="22">
        <f>(SUMIF(Table14[Party],B51,Table14[Credit]))</f>
        <v>350000</v>
      </c>
      <c r="P51" s="37">
        <f>N51-O51</f>
        <v>183083.39429407462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51241</v>
      </c>
      <c r="D56" s="22">
        <v>46855.340160936365</v>
      </c>
      <c r="E56" s="63">
        <v>46855.340160936365</v>
      </c>
      <c r="F56" s="63">
        <v>0</v>
      </c>
      <c r="G56" s="22" cm="1">
        <f t="array" ref="G56">(_xlfn.BYROW(B56,_xlfn.LAMBDA(_xlpm.party,
(SUMIFS(ledger!J:J,ledger!B:B,_xlpm.party,ledger!E:E,"&lt;&gt;*RD*",ledger!D:D,"Chamki",ledger!C:C,"&lt;&gt;November Closing CF")+
SUMIFS(ledger!J:J,ledger!B:B,_xlpm.party,ledger!E:E,"&lt;&gt;*RD*",ledger!D:D,"Crinkle",ledger!C:C,"&lt;&gt;November Closing CF")
))))</f>
        <v>468553.40160936367</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468553.40160936367</v>
      </c>
      <c r="O56" s="22">
        <f>(SUMIF(Table14[Party],B56,Table14[Credit]))</f>
        <v>908000</v>
      </c>
      <c r="P56" s="37">
        <f t="shared" ref="P56:P78" si="6">N56-O56</f>
        <v>-439446.59839063633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92355.52304316021</v>
      </c>
      <c r="W58" s="18">
        <v>809363.5698610096</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690000</v>
      </c>
      <c r="P60" s="37">
        <f t="shared" si="6"/>
        <v>392644.47695683991</v>
      </c>
      <c r="Q60" s="21">
        <v>10</v>
      </c>
      <c r="R60" s="21">
        <v>12</v>
      </c>
      <c r="U60" s="4" t="s">
        <v>9</v>
      </c>
      <c r="V60" s="5">
        <v>53308.339429407468</v>
      </c>
      <c r="W60" s="18">
        <v>533083.39429407474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46855.340160936365</v>
      </c>
      <c r="W65" s="18">
        <v>468553.40160936362</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813525</v>
      </c>
      <c r="P68" s="37">
        <f t="shared" si="6"/>
        <v>-813525</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300783.65032918804</v>
      </c>
      <c r="W75" s="14">
        <v>2429462.3262618878</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2" priority="1" operator="lessThan">
      <formula>20000</formula>
    </cfRule>
    <cfRule type="cellIs" dxfId="1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2168110</v>
      </c>
      <c r="D4" t="s">
        <v>190</v>
      </c>
    </row>
    <row r="5" spans="1:4" x14ac:dyDescent="0.3">
      <c r="B5" t="s">
        <v>48</v>
      </c>
      <c r="C5" s="11">
        <f>SUM(Table8[Price])+Dyes!P56</f>
        <v>786410</v>
      </c>
    </row>
    <row r="6" spans="1:4" x14ac:dyDescent="0.3">
      <c r="B6" t="s">
        <v>49</v>
      </c>
      <c r="C6" s="11">
        <f>SUM(Table2[Price])+Finish!K30</f>
        <v>457600</v>
      </c>
      <c r="D6" t="s">
        <v>189</v>
      </c>
    </row>
    <row r="7" spans="1:4" x14ac:dyDescent="0.3">
      <c r="B7" t="s">
        <v>50</v>
      </c>
      <c r="C7" s="11">
        <f>SUMIFS(Table14[Debit], Table14[Party],Table12[[#This Row],[Type]])</f>
        <v>5835</v>
      </c>
    </row>
    <row r="8" spans="1:4" x14ac:dyDescent="0.3">
      <c r="B8" t="s">
        <v>51</v>
      </c>
      <c r="C8" s="11">
        <f>Electricity!E3</f>
        <v>0</v>
      </c>
    </row>
    <row r="9" spans="1:4" x14ac:dyDescent="0.3">
      <c r="B9" t="s">
        <v>52</v>
      </c>
      <c r="C9" s="11">
        <f>SUMIFS(Table14[Debit], Table14[Party],Table12[[#This Row],[Type]])+SUMIFS(Table14[Debit], Table14[Party],"Advance Salary")</f>
        <v>39000</v>
      </c>
    </row>
    <row r="10" spans="1:4" x14ac:dyDescent="0.3">
      <c r="B10" t="s">
        <v>53</v>
      </c>
      <c r="C10" s="11">
        <f>Table5[[#Totals],[Amount]]</f>
        <v>36865</v>
      </c>
    </row>
    <row r="11" spans="1:4" x14ac:dyDescent="0.3">
      <c r="B11" t="s">
        <v>54</v>
      </c>
      <c r="C11" s="11">
        <f>Table13[[#Totals],[Debit]]</f>
        <v>53355</v>
      </c>
    </row>
    <row r="12" spans="1:4" x14ac:dyDescent="0.3">
      <c r="B12" t="s">
        <v>55</v>
      </c>
      <c r="C12" s="11">
        <f>Table15[[#Totals],[Amount]]</f>
        <v>25805</v>
      </c>
    </row>
    <row r="13" spans="1:4" x14ac:dyDescent="0.3">
      <c r="C13" s="11"/>
    </row>
    <row r="14" spans="1:4" x14ac:dyDescent="0.3">
      <c r="C14" s="14">
        <f>SUM(Table12[Amount])</f>
        <v>3572980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3007836.5032918802</v>
      </c>
    </row>
    <row r="4" spans="1:3" x14ac:dyDescent="0.3">
      <c r="B4" s="11" t="s">
        <v>44</v>
      </c>
      <c r="C4" s="11">
        <f>Table12[[#Totals],[Amount]]</f>
        <v>3572980</v>
      </c>
    </row>
    <row r="5" spans="1:3" x14ac:dyDescent="0.3">
      <c r="A5" s="6"/>
      <c r="B5" s="15" t="s">
        <v>68</v>
      </c>
      <c r="C5" s="15">
        <f>C3-C4</f>
        <v>-565143.49670811975</v>
      </c>
    </row>
    <row r="10" spans="1:3" ht="15" thickBot="1" x14ac:dyDescent="0.35">
      <c r="B10" t="s">
        <v>66</v>
      </c>
      <c r="C10" s="14" t="s">
        <v>67</v>
      </c>
    </row>
    <row r="11" spans="1:3" x14ac:dyDescent="0.3">
      <c r="B11" s="56" t="s">
        <v>0</v>
      </c>
      <c r="C11" s="57">
        <f>C3</f>
        <v>3007836.5032918802</v>
      </c>
    </row>
    <row r="12" spans="1:3" x14ac:dyDescent="0.3">
      <c r="B12" s="58" t="s">
        <v>69</v>
      </c>
      <c r="C12" s="59">
        <f>SUM(Table14[Credit])</f>
        <v>16192013</v>
      </c>
    </row>
    <row r="13" spans="1:3" ht="15" thickBot="1" x14ac:dyDescent="0.35">
      <c r="B13" s="74" t="s">
        <v>93</v>
      </c>
      <c r="C13" s="73">
        <f>(C11-C12)</f>
        <v>-13184176.496708119</v>
      </c>
    </row>
    <row r="14" spans="1:3" ht="15" thickBot="1" x14ac:dyDescent="0.35">
      <c r="B14" s="58"/>
      <c r="C14" s="59"/>
    </row>
    <row r="15" spans="1:3" x14ac:dyDescent="0.3">
      <c r="B15" s="56" t="s">
        <v>44</v>
      </c>
      <c r="C15" s="57">
        <f>C4</f>
        <v>3572980</v>
      </c>
    </row>
    <row r="16" spans="1:3" x14ac:dyDescent="0.3">
      <c r="B16" s="58" t="s">
        <v>70</v>
      </c>
      <c r="C16" s="59">
        <f>SUM(Table14[Debit])</f>
        <v>16199253</v>
      </c>
    </row>
    <row r="17" spans="2:6" ht="15" thickBot="1" x14ac:dyDescent="0.35">
      <c r="B17" s="74" t="s">
        <v>71</v>
      </c>
      <c r="C17" s="73">
        <f>C15-C16</f>
        <v>-12626273</v>
      </c>
    </row>
    <row r="18" spans="2:6" ht="15" thickBot="1" x14ac:dyDescent="0.35">
      <c r="B18" s="58"/>
      <c r="C18" s="59"/>
    </row>
    <row r="19" spans="2:6" ht="15" thickBot="1" x14ac:dyDescent="0.35">
      <c r="B19" s="75" t="s">
        <v>72</v>
      </c>
      <c r="C19" s="76">
        <f>Table18[[#Totals],[amount]]</f>
        <v>-7240</v>
      </c>
    </row>
    <row r="20" spans="2:6" ht="15" thickBot="1" x14ac:dyDescent="0.35">
      <c r="B20" s="71"/>
      <c r="C20" s="72"/>
    </row>
    <row r="21" spans="2:6" ht="15" thickBot="1" x14ac:dyDescent="0.35">
      <c r="B21" s="60" t="s">
        <v>73</v>
      </c>
      <c r="C21" s="61">
        <f>(C13-C17)+C19</f>
        <v>-565143.49670811929</v>
      </c>
      <c r="E21" s="79" t="s">
        <v>74</v>
      </c>
      <c r="F21" s="80">
        <f>C5*0.05</f>
        <v>-28257.174835405989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53355</v>
      </c>
      <c r="E38">
        <f>SUBTOTAL(109,Table13[Credit])</f>
        <v>0</v>
      </c>
      <c r="F38">
        <f>Table13[[#Totals],[Debit]]-Table13[[#Totals],[Credit]]</f>
        <v>53355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M72" sqref="M7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76.307801035189726</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76.307801035189726</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72.566037327653135</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97.292820121467372</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c r="B77"/>
      <c r="C77"/>
      <c r="D77"/>
      <c r="E77" s="14"/>
      <c r="F77" s="14"/>
      <c r="G77" s="14"/>
      <c r="H77" s="43"/>
      <c r="I77" s="94" cm="1">
        <f t="array" aca="1" ref="I77" ca="1">SUMPRODUCT( SUBTOTAL(109, OFFSET(Table1[tiyar/meters], ROW(Table1[tiyar/meters])-MIN(ROW(Table1[tiyar/meters])), 0, 1)), --(Table1[Bill Number]&lt;&gt;"November Closing CF") )</f>
        <v>300783.65032918804</v>
      </c>
      <c r="J77" s="43" cm="1">
        <f t="array" aca="1" ref="J77" ca="1">SUMPRODUCT( SUBTOTAL(109, OFFSET(Table1[billing], ROW(Table1[billing])-MIN(ROW(Table1[billing])), 0, 1)), --(Table1[Bill Number]&lt;&gt;"November Closing CF") )</f>
        <v>3007836.5032918802</v>
      </c>
      <c r="K77" s="14">
        <f>SUMIFS(Table1[billing], Table1[Bill Number], "&lt;&gt;November Closing CF")</f>
        <v>3007836.5032918802</v>
      </c>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76">
    <cfRule type="cellIs" dxfId="1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5"/>
  <sheetViews>
    <sheetView topLeftCell="A32" zoomScale="145" zoomScaleNormal="90" workbookViewId="0">
      <selection activeCell="C38" sqref="C3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1596010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255</v>
      </c>
      <c r="N27" s="14">
        <v>192750</v>
      </c>
      <c r="O27" s="14">
        <v>150000</v>
      </c>
      <c r="P27" s="14">
        <v>42750</v>
      </c>
    </row>
    <row r="28" spans="1:16" x14ac:dyDescent="0.3">
      <c r="A28" s="1">
        <v>46014</v>
      </c>
      <c r="B28" t="s">
        <v>169</v>
      </c>
      <c r="C28">
        <v>9662</v>
      </c>
      <c r="D28" s="11">
        <v>110</v>
      </c>
      <c r="E28" s="11">
        <v>775</v>
      </c>
      <c r="F28" s="11"/>
      <c r="G28" s="11">
        <f t="shared" ref="G28:G30" si="4">D28*E28</f>
        <v>85250</v>
      </c>
      <c r="H28" s="11"/>
      <c r="I28" s="11">
        <f>(D28*E28)-Table3[[#This Row],[Paid]]</f>
        <v>85250</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255</v>
      </c>
      <c r="N29" s="14">
        <v>192750</v>
      </c>
      <c r="O29" s="14"/>
      <c r="P29" s="14">
        <v>192750</v>
      </c>
    </row>
    <row r="30" spans="1:16" x14ac:dyDescent="0.3">
      <c r="A30" s="1">
        <v>46014</v>
      </c>
      <c r="B30" t="s">
        <v>169</v>
      </c>
      <c r="C30">
        <v>9662</v>
      </c>
      <c r="D30" s="11">
        <v>120</v>
      </c>
      <c r="E30" s="11">
        <v>775</v>
      </c>
      <c r="F30" s="11"/>
      <c r="G30" s="11">
        <f t="shared" si="4"/>
        <v>93000</v>
      </c>
      <c r="H30" s="11"/>
      <c r="I30" s="11">
        <f>(D30*E30)-Table3[[#This Row],[Paid]]</f>
        <v>93000</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t="s">
        <v>28</v>
      </c>
      <c r="M35" s="14">
        <v>1962</v>
      </c>
      <c r="N35" s="14">
        <v>1489095</v>
      </c>
      <c r="O35" s="14">
        <v>1264784</v>
      </c>
      <c r="P35" s="14">
        <v>3545739</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row>
    <row r="37" spans="1:16" x14ac:dyDescent="0.3">
      <c r="A37" s="1">
        <v>46016</v>
      </c>
      <c r="B37" t="s">
        <v>200</v>
      </c>
      <c r="D37" s="11"/>
      <c r="E37" s="11"/>
      <c r="F37" s="11"/>
      <c r="G37" s="11">
        <f t="shared" ref="G37:G38" si="6">D37*E37</f>
        <v>0</v>
      </c>
      <c r="H37" s="11">
        <f>SUMIFS(Table14[Debit], Table14[Date], Table3[[#This Row],[Date]], Table14[Party], Table3[[#This Row],[Party Name]])</f>
        <v>50000</v>
      </c>
      <c r="I37" s="11">
        <f>(D37*E37)-Table3[[#This Row],[Paid]]</f>
        <v>-50000</v>
      </c>
    </row>
    <row r="38" spans="1:16" x14ac:dyDescent="0.3">
      <c r="A38" s="1"/>
      <c r="D38" s="11"/>
      <c r="E38" s="11"/>
      <c r="F38" s="11"/>
      <c r="G38" s="11">
        <f t="shared" si="6"/>
        <v>0</v>
      </c>
      <c r="H38" s="11"/>
      <c r="I38" s="11">
        <f>(D38*E38)-Table3[[#This Row],[Paid]]</f>
        <v>0</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row>
    <row r="42" spans="1:16" x14ac:dyDescent="0.3">
      <c r="A42" s="1"/>
      <c r="D42" s="11"/>
      <c r="E42" s="11"/>
      <c r="F42" s="11"/>
      <c r="G42" s="11">
        <f t="shared" si="5"/>
        <v>0</v>
      </c>
      <c r="H42" s="11"/>
      <c r="I42" s="11">
        <f>(D42*E42)-Table3[[#This Row],[Paid]]</f>
        <v>0</v>
      </c>
    </row>
    <row r="43" spans="1:16" x14ac:dyDescent="0.3">
      <c r="A43" s="1"/>
      <c r="D43" s="11"/>
      <c r="E43" s="11"/>
      <c r="F43" s="11"/>
      <c r="G43" s="11">
        <f t="shared" si="5"/>
        <v>0</v>
      </c>
      <c r="H43" s="11"/>
      <c r="I43" s="11">
        <f>(D43*E43)-Table3[[#This Row],[Paid]]</f>
        <v>0</v>
      </c>
    </row>
    <row r="44" spans="1:16" x14ac:dyDescent="0.3">
      <c r="A44" s="1"/>
      <c r="D44" s="11"/>
      <c r="E44" s="11"/>
      <c r="F44" s="11"/>
      <c r="G44" s="11">
        <f t="shared" si="5"/>
        <v>0</v>
      </c>
      <c r="H44" s="11"/>
      <c r="I44" s="11">
        <f>(D44*E44)-Table3[[#This Row],[Paid]]</f>
        <v>0</v>
      </c>
    </row>
    <row r="45" spans="1:16" x14ac:dyDescent="0.3">
      <c r="A45" s="1"/>
      <c r="D45" s="14"/>
      <c r="E45" s="14"/>
      <c r="F45" s="14"/>
      <c r="G45" s="14">
        <f>SUBTOTAL(109,Table3[Total])</f>
        <v>1596010</v>
      </c>
      <c r="H45" s="14">
        <f>SUBTOTAL(109,Table3[Paid])</f>
        <v>1916650</v>
      </c>
      <c r="I45" s="14">
        <f>SUBTOTAL(109,Table3[balance])</f>
        <v>3000788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127" zoomScale="158" workbookViewId="0">
      <selection activeCell="E137" sqref="E13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8820832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16199253</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16192013</v>
      </c>
      <c r="M5" s="45" t="s">
        <v>108</v>
      </c>
      <c r="N5" s="46">
        <f>(SUMIFS(Table14[Credit],Table14[Mode],"Bank")-SUMIFS(Table14[Debit],Table14[Mode],"Bank")-SUMIFS(Table14[Withdrawal],Table14[Mode],"Transfer"))</f>
        <v>603676</v>
      </c>
      <c r="O5">
        <v>360000</v>
      </c>
    </row>
    <row r="6" spans="1:16" x14ac:dyDescent="0.3">
      <c r="A6" s="38">
        <v>46009</v>
      </c>
      <c r="B6" t="s">
        <v>177</v>
      </c>
      <c r="C6" s="96">
        <v>3600</v>
      </c>
      <c r="D6" s="96"/>
      <c r="E6" t="s">
        <v>218</v>
      </c>
      <c r="F6" s="111" t="s">
        <v>108</v>
      </c>
      <c r="J6" s="52" t="s">
        <v>43</v>
      </c>
      <c r="K6" s="53">
        <f>(K5-K4)</f>
        <v>-7240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-7240</v>
      </c>
      <c r="O7" s="90">
        <f>SUM(O5,O6)</f>
        <v>410000</v>
      </c>
      <c r="P7" s="14">
        <f>Table18[[#Totals],[amount]]-Table18[[#Totals],[Actual]]</f>
        <v>-417240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84000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C140" s="11"/>
      <c r="D140" s="11"/>
      <c r="F140" s="111"/>
    </row>
    <row r="141" spans="1:6" x14ac:dyDescent="0.3">
      <c r="A141" s="38">
        <v>46017</v>
      </c>
      <c r="C141" s="11"/>
      <c r="D141" s="11"/>
      <c r="F141" s="111"/>
    </row>
    <row r="142" spans="1:6" x14ac:dyDescent="0.3">
      <c r="A142" s="38">
        <v>46017</v>
      </c>
      <c r="C142" s="11"/>
      <c r="D142" s="11"/>
      <c r="F142" s="111"/>
    </row>
    <row r="143" spans="1:6" x14ac:dyDescent="0.3">
      <c r="A143" s="38">
        <v>46017</v>
      </c>
      <c r="C143" s="11"/>
      <c r="D143" s="11"/>
      <c r="F143" s="111"/>
    </row>
    <row r="144" spans="1:6" x14ac:dyDescent="0.3">
      <c r="A144" s="38">
        <v>46017</v>
      </c>
      <c r="C144" s="11"/>
      <c r="D144" s="11"/>
      <c r="F144" s="111"/>
    </row>
    <row r="145" spans="1:6" x14ac:dyDescent="0.3">
      <c r="A145" s="38">
        <v>46017</v>
      </c>
      <c r="C145" s="11"/>
      <c r="D145" s="11"/>
      <c r="F145" s="111"/>
    </row>
    <row r="146" spans="1:6" x14ac:dyDescent="0.3">
      <c r="A146" s="38">
        <v>46015</v>
      </c>
      <c r="C146" s="11"/>
      <c r="D146" s="11"/>
      <c r="F146" s="111"/>
    </row>
    <row r="147" spans="1:6" x14ac:dyDescent="0.3">
      <c r="A147" s="38">
        <v>46015</v>
      </c>
      <c r="C147" s="11"/>
      <c r="D147" s="11"/>
      <c r="F147" s="111"/>
    </row>
    <row r="148" spans="1:6" x14ac:dyDescent="0.3">
      <c r="A148" s="38">
        <v>46015</v>
      </c>
      <c r="C148" s="11"/>
      <c r="D148" s="11"/>
      <c r="F148" s="111"/>
    </row>
    <row r="149" spans="1:6" x14ac:dyDescent="0.3">
      <c r="A149" s="38"/>
      <c r="C149" s="14">
        <f>SUBTOTAL(109,Table14[Debit])</f>
        <v>16199253</v>
      </c>
      <c r="D149" s="14">
        <f>SUBTOTAL(109,Table14[Credit])</f>
        <v>16192013</v>
      </c>
      <c r="F149" s="54">
        <f>(Table14[[#Totals],[Credit]]-Table14[[#Totals],[Debit]])</f>
        <v>-7240</v>
      </c>
    </row>
    <row r="163" spans="10:12" x14ac:dyDescent="0.3">
      <c r="J163" s="3" t="s">
        <v>6</v>
      </c>
      <c r="K163" t="s">
        <v>118</v>
      </c>
      <c r="L163" t="s">
        <v>119</v>
      </c>
    </row>
    <row r="164" spans="10:12" x14ac:dyDescent="0.3">
      <c r="J164" s="4" t="s">
        <v>233</v>
      </c>
      <c r="K164" s="14"/>
      <c r="L164" s="14">
        <v>39000</v>
      </c>
    </row>
    <row r="165" spans="10:12" x14ac:dyDescent="0.3">
      <c r="J165" s="4" t="s">
        <v>9</v>
      </c>
      <c r="K165" s="14">
        <v>350000</v>
      </c>
      <c r="L165" s="14"/>
    </row>
    <row r="166" spans="10:12" x14ac:dyDescent="0.3">
      <c r="J166" s="4" t="s">
        <v>94</v>
      </c>
      <c r="K166" s="14"/>
      <c r="L166" s="14">
        <v>453825</v>
      </c>
    </row>
    <row r="167" spans="10:12" x14ac:dyDescent="0.3">
      <c r="J167" s="4" t="s">
        <v>50</v>
      </c>
      <c r="K167" s="14"/>
      <c r="L167" s="14">
        <v>5835</v>
      </c>
    </row>
    <row r="168" spans="10:12" x14ac:dyDescent="0.3">
      <c r="J168" s="4" t="s">
        <v>55</v>
      </c>
      <c r="K168" s="14"/>
      <c r="L168" s="14">
        <v>25805</v>
      </c>
    </row>
    <row r="169" spans="10:12" x14ac:dyDescent="0.3">
      <c r="J169" s="4" t="s">
        <v>113</v>
      </c>
      <c r="K169" s="14"/>
      <c r="L169" s="14">
        <v>36865</v>
      </c>
    </row>
    <row r="170" spans="10:12" x14ac:dyDescent="0.3">
      <c r="J170" s="4" t="s">
        <v>52</v>
      </c>
      <c r="K170" s="14"/>
      <c r="L170" s="14"/>
    </row>
    <row r="171" spans="10:12" x14ac:dyDescent="0.3">
      <c r="J171" s="4" t="s">
        <v>54</v>
      </c>
      <c r="K171" s="14"/>
      <c r="L171" s="14">
        <v>53355</v>
      </c>
    </row>
    <row r="172" spans="10:12" x14ac:dyDescent="0.3">
      <c r="J172" s="4" t="s">
        <v>116</v>
      </c>
      <c r="K172" s="14"/>
      <c r="L172" s="14">
        <v>150000</v>
      </c>
    </row>
    <row r="173" spans="10:12" x14ac:dyDescent="0.3">
      <c r="J173" s="4" t="s">
        <v>177</v>
      </c>
      <c r="K173" s="14"/>
      <c r="L173" s="14">
        <v>667240</v>
      </c>
    </row>
    <row r="174" spans="10:12" x14ac:dyDescent="0.3">
      <c r="J174" s="4" t="s">
        <v>222</v>
      </c>
      <c r="K174" s="14">
        <v>323372</v>
      </c>
      <c r="L174" s="14">
        <v>11090</v>
      </c>
    </row>
    <row r="175" spans="10:12" x14ac:dyDescent="0.3">
      <c r="J175" s="4" t="s">
        <v>103</v>
      </c>
      <c r="K175" s="14"/>
      <c r="L175" s="14"/>
    </row>
    <row r="176" spans="10:12" x14ac:dyDescent="0.3">
      <c r="J176" s="4" t="s">
        <v>277</v>
      </c>
      <c r="K176" s="14">
        <v>600000</v>
      </c>
      <c r="L176" s="14"/>
    </row>
    <row r="177" spans="10:12" x14ac:dyDescent="0.3">
      <c r="J177" s="4" t="s">
        <v>224</v>
      </c>
      <c r="K177" s="14">
        <v>36500</v>
      </c>
      <c r="L177" s="14"/>
    </row>
    <row r="178" spans="10:12" x14ac:dyDescent="0.3">
      <c r="J178" s="4" t="s">
        <v>149</v>
      </c>
      <c r="K178" s="14"/>
      <c r="L178" s="14">
        <v>50000</v>
      </c>
    </row>
    <row r="179" spans="10:12" x14ac:dyDescent="0.3">
      <c r="J179" s="4" t="s">
        <v>152</v>
      </c>
      <c r="K179" s="14">
        <v>908000</v>
      </c>
      <c r="L179" s="14"/>
    </row>
    <row r="180" spans="10:12" x14ac:dyDescent="0.3">
      <c r="J180" s="4" t="s">
        <v>166</v>
      </c>
      <c r="K180" s="14">
        <v>690000</v>
      </c>
      <c r="L180" s="14"/>
    </row>
    <row r="181" spans="10:12" x14ac:dyDescent="0.3">
      <c r="J181" s="4" t="s">
        <v>169</v>
      </c>
      <c r="K181" s="14"/>
      <c r="L181" s="14">
        <v>565800</v>
      </c>
    </row>
    <row r="182" spans="10:12" x14ac:dyDescent="0.3">
      <c r="J182" s="4" t="s">
        <v>192</v>
      </c>
      <c r="K182" s="14">
        <v>4054930</v>
      </c>
      <c r="L182" s="14">
        <v>10699048</v>
      </c>
    </row>
    <row r="183" spans="10:12" x14ac:dyDescent="0.3">
      <c r="J183" s="4" t="s">
        <v>198</v>
      </c>
      <c r="K183" s="14"/>
      <c r="L183" s="14">
        <v>379000</v>
      </c>
    </row>
    <row r="184" spans="10:12" x14ac:dyDescent="0.3">
      <c r="J184" s="4" t="s">
        <v>51</v>
      </c>
      <c r="K184" s="14"/>
      <c r="L184" s="14">
        <v>2047865</v>
      </c>
    </row>
    <row r="185" spans="10:12" x14ac:dyDescent="0.3">
      <c r="J185" s="4" t="s">
        <v>219</v>
      </c>
      <c r="K185" s="14"/>
      <c r="L185" s="14">
        <v>5000</v>
      </c>
    </row>
    <row r="186" spans="10:12" x14ac:dyDescent="0.3">
      <c r="J186" s="4" t="s">
        <v>199</v>
      </c>
      <c r="K186" s="14">
        <v>189770</v>
      </c>
      <c r="L186" s="14"/>
    </row>
    <row r="187" spans="10:12" x14ac:dyDescent="0.3">
      <c r="J187" s="4" t="s">
        <v>229</v>
      </c>
      <c r="K187" s="14">
        <v>50000</v>
      </c>
      <c r="L187" s="14">
        <v>797025</v>
      </c>
    </row>
    <row r="188" spans="10:12" x14ac:dyDescent="0.3">
      <c r="J188" s="4" t="s">
        <v>202</v>
      </c>
      <c r="K188" s="14"/>
      <c r="L188" s="14">
        <v>40000</v>
      </c>
    </row>
    <row r="189" spans="10:12" x14ac:dyDescent="0.3">
      <c r="J189" s="4" t="s">
        <v>216</v>
      </c>
      <c r="K189" s="14">
        <v>8209916</v>
      </c>
      <c r="L189" s="14"/>
    </row>
    <row r="190" spans="10:12" x14ac:dyDescent="0.3">
      <c r="J190" s="4" t="s">
        <v>256</v>
      </c>
      <c r="K190" s="14"/>
      <c r="L190" s="14">
        <v>10000</v>
      </c>
    </row>
    <row r="191" spans="10:12" x14ac:dyDescent="0.3">
      <c r="J191" s="4" t="s">
        <v>286</v>
      </c>
      <c r="K191" s="14">
        <v>813525</v>
      </c>
      <c r="L191" s="14"/>
    </row>
    <row r="192" spans="10:12" x14ac:dyDescent="0.3">
      <c r="J192" s="4" t="s">
        <v>302</v>
      </c>
      <c r="K192" s="14"/>
      <c r="L192" s="14">
        <v>162500</v>
      </c>
    </row>
    <row r="193" spans="10:12" x14ac:dyDescent="0.3">
      <c r="J193" s="4" t="s">
        <v>28</v>
      </c>
      <c r="K193" s="14">
        <v>16226013</v>
      </c>
      <c r="L193" s="14">
        <v>16199253</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abSelected="1" zoomScale="107" zoomScaleNormal="210" workbookViewId="0">
      <selection activeCell="H13" sqref="H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E10">
        <f>SUBTOTAL(109,Table8[Price])</f>
        <v>541500</v>
      </c>
      <c r="H10">
        <f>SUBTOTAL(109,Table8[Balance])</f>
        <v>34000</v>
      </c>
      <c r="K10" s="26">
        <v>46008</v>
      </c>
      <c r="M10">
        <v>0</v>
      </c>
    </row>
    <row r="11" spans="1:14" x14ac:dyDescent="0.3">
      <c r="K11" s="26">
        <v>46009</v>
      </c>
      <c r="L11">
        <v>183750</v>
      </c>
      <c r="M11">
        <v>0</v>
      </c>
    </row>
    <row r="12" spans="1:14" x14ac:dyDescent="0.3">
      <c r="K12" s="26">
        <v>46013</v>
      </c>
      <c r="L12">
        <v>111250</v>
      </c>
      <c r="M12">
        <v>0</v>
      </c>
    </row>
    <row r="13" spans="1:14" x14ac:dyDescent="0.3">
      <c r="K13" s="26">
        <v>46017</v>
      </c>
      <c r="L13">
        <v>84000</v>
      </c>
      <c r="M13">
        <v>0</v>
      </c>
    </row>
    <row r="14" spans="1:14" x14ac:dyDescent="0.3">
      <c r="A14" t="s">
        <v>57</v>
      </c>
      <c r="B14" t="s">
        <v>156</v>
      </c>
      <c r="C14" t="s">
        <v>157</v>
      </c>
      <c r="D14" t="s">
        <v>4</v>
      </c>
      <c r="E14" t="s">
        <v>158</v>
      </c>
      <c r="K14" s="26">
        <v>46016</v>
      </c>
      <c r="L14">
        <v>162500</v>
      </c>
      <c r="M14">
        <v>0</v>
      </c>
    </row>
    <row r="15" spans="1:14" x14ac:dyDescent="0.3">
      <c r="A15" t="s">
        <v>131</v>
      </c>
      <c r="B15">
        <v>1</v>
      </c>
      <c r="C15">
        <v>25</v>
      </c>
      <c r="D15">
        <v>1400</v>
      </c>
      <c r="E15">
        <f>Table2325[[#This Row],[boxes]]*Table2325[[#This Row],[kgs]]*Table2325[[#This Row],[Rate]]</f>
        <v>35000</v>
      </c>
      <c r="K15" s="4" t="s">
        <v>28</v>
      </c>
      <c r="L15">
        <v>541500</v>
      </c>
      <c r="M15">
        <v>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403031</v>
      </c>
      <c r="C2" s="32">
        <f>GETPIVOTDATA("Sum of Tiyaar/gaz",$A$3)</f>
        <v>328937</v>
      </c>
      <c r="D2" s="31">
        <f>((B2*48)+((C2/1.0936)*10))/C2</f>
        <v>67.95624847095911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12488</v>
      </c>
      <c r="D5" s="28">
        <f t="shared" ref="D5:D38" si="1">I5</f>
        <v>194.40227903351959</v>
      </c>
      <c r="E5" s="11">
        <f t="shared" ref="E5:E38" si="2">B5 * 1.0936</f>
        <v>52709.332799999996</v>
      </c>
      <c r="F5" s="11">
        <f t="shared" si="0"/>
        <v>12488</v>
      </c>
      <c r="G5" s="78">
        <f>100- (F5/E5 *100)</f>
        <v>76.307801035189726</v>
      </c>
      <c r="H5" s="28">
        <f t="shared" ref="H5:H38" si="3">F5/1.0936</f>
        <v>11419.166057059254</v>
      </c>
      <c r="I5" s="28">
        <f>((B5*48)+(H5*10))/C5</f>
        <v>194.40227903351959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1951</v>
      </c>
      <c r="B10" s="14">
        <v>54197</v>
      </c>
      <c r="C10" s="14">
        <v>58298</v>
      </c>
      <c r="D10" s="28">
        <f t="shared" si="1"/>
        <v>53.767528805346231</v>
      </c>
      <c r="E10" s="11">
        <f t="shared" si="2"/>
        <v>59269.839199999995</v>
      </c>
      <c r="F10" s="11">
        <f t="shared" si="0"/>
        <v>58298</v>
      </c>
      <c r="G10" s="78">
        <f t="shared" si="4"/>
        <v>1.6396859062171956</v>
      </c>
      <c r="H10" s="28">
        <f t="shared" si="3"/>
        <v>53308.339429407468</v>
      </c>
      <c r="I10" s="28">
        <f t="shared" si="5"/>
        <v>53.767528805346231</v>
      </c>
      <c r="J10" s="28"/>
      <c r="K10" s="28"/>
      <c r="L10" s="28"/>
    </row>
    <row r="11" spans="1:12" x14ac:dyDescent="0.3">
      <c r="A11" s="16">
        <v>1835</v>
      </c>
      <c r="B11" s="14">
        <v>50010</v>
      </c>
      <c r="C11" s="14">
        <v>50763</v>
      </c>
      <c r="D11" s="28"/>
      <c r="E11" s="11">
        <f t="shared" si="2"/>
        <v>54690.935999999994</v>
      </c>
      <c r="F11" s="11">
        <f t="shared" si="0"/>
        <v>50763</v>
      </c>
      <c r="G11" s="78">
        <f t="shared" si="4"/>
        <v>7.1820602960607403</v>
      </c>
      <c r="H11" s="28">
        <f t="shared" si="3"/>
        <v>46418.251645940021</v>
      </c>
      <c r="I11" s="28">
        <f t="shared" si="5"/>
        <v>56.432096536047915</v>
      </c>
      <c r="J11" s="28"/>
      <c r="K11" s="28"/>
      <c r="L11" s="28"/>
    </row>
    <row r="12" spans="1:12" x14ac:dyDescent="0.3">
      <c r="A12" s="16">
        <v>1987</v>
      </c>
      <c r="B12" s="14">
        <v>5613</v>
      </c>
      <c r="C12" s="14">
        <v>1684</v>
      </c>
      <c r="D12" s="28">
        <f t="shared" si="1"/>
        <v>169.13461000474365</v>
      </c>
      <c r="E12" s="11">
        <f t="shared" si="2"/>
        <v>6138.3767999999991</v>
      </c>
      <c r="F12" s="11">
        <f t="shared" si="0"/>
        <v>1684</v>
      </c>
      <c r="G12" s="78">
        <f t="shared" si="4"/>
        <v>72.566037327653135</v>
      </c>
      <c r="H12" s="28">
        <f t="shared" si="3"/>
        <v>1539.8683247988297</v>
      </c>
      <c r="I12" s="28">
        <f t="shared" si="5"/>
        <v>169.13461000474365</v>
      </c>
    </row>
    <row r="13" spans="1:12" x14ac:dyDescent="0.3">
      <c r="A13" s="16">
        <v>1974</v>
      </c>
      <c r="B13" s="14">
        <v>50497</v>
      </c>
      <c r="C13" s="14">
        <v>1495</v>
      </c>
      <c r="D13" s="28">
        <f t="shared" si="1"/>
        <v>1630.4524723964055</v>
      </c>
      <c r="E13" s="11">
        <f t="shared" si="2"/>
        <v>55223.519199999995</v>
      </c>
      <c r="F13" s="11">
        <f t="shared" si="0"/>
        <v>1495</v>
      </c>
      <c r="G13" s="78">
        <f t="shared" si="4"/>
        <v>97.292820121467372</v>
      </c>
      <c r="H13" s="28">
        <f t="shared" si="3"/>
        <v>1367.0446232626191</v>
      </c>
      <c r="I13" s="28">
        <f t="shared" si="5"/>
        <v>1630.4524723964055</v>
      </c>
    </row>
    <row r="14" spans="1:12" x14ac:dyDescent="0.3">
      <c r="A14" s="16" t="s">
        <v>28</v>
      </c>
      <c r="B14" s="30">
        <v>80202</v>
      </c>
      <c r="C14" s="30">
        <v>328937</v>
      </c>
      <c r="D14" s="28">
        <f t="shared" si="1"/>
        <v>20.847555924970074</v>
      </c>
      <c r="E14" s="11">
        <f t="shared" si="2"/>
        <v>87708.907199999987</v>
      </c>
      <c r="F14" s="11">
        <f t="shared" si="0"/>
        <v>328937</v>
      </c>
      <c r="G14" s="78">
        <f t="shared" si="4"/>
        <v>-275.03260558238952</v>
      </c>
      <c r="H14" s="28">
        <f t="shared" si="3"/>
        <v>300783.65032918804</v>
      </c>
      <c r="I14" s="28">
        <f t="shared" si="5"/>
        <v>20.847555924970074</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25805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J25" sqref="J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5111636.1536210738</v>
      </c>
    </row>
    <row r="3" spans="1:3" ht="21" x14ac:dyDescent="0.4">
      <c r="A3" s="102" t="str">
        <f>Billing!Q6</f>
        <v>Ejaz Sahab</v>
      </c>
      <c r="B3" s="105">
        <f>Billing!AD6</f>
        <v>3963904</v>
      </c>
      <c r="C3" s="103">
        <f>Billing!AE6</f>
        <v>208925.1880029263</v>
      </c>
    </row>
    <row r="4" spans="1:3" ht="21" x14ac:dyDescent="0.4">
      <c r="A4" s="102" t="str">
        <f>Billing!Q7</f>
        <v>Arshad</v>
      </c>
      <c r="B4" s="105">
        <f>Billing!AD7</f>
        <v>6352935</v>
      </c>
      <c r="C4" s="104">
        <f>Billing!AE7</f>
        <v>408726.48500365764</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4230620</v>
      </c>
      <c r="C9" s="103">
        <f>Billing!AE12</f>
        <v>-379926.8763716165</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5615761</v>
      </c>
      <c r="C13" s="103">
        <f>Billing!AE16</f>
        <v>486606.4103877116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-99999.94513533276</v>
      </c>
    </row>
    <row r="22" spans="1:3" ht="21" x14ac:dyDescent="0.4">
      <c r="A22" s="102" t="str">
        <f>Billing!Q25</f>
        <v>Shahid Qasayi</v>
      </c>
      <c r="B22" s="105">
        <f>Billing!AD25</f>
        <v>1658095</v>
      </c>
      <c r="C22" s="103">
        <f>Billing!AE25</f>
        <v>6.6825164593756199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54170.629114850039</v>
      </c>
    </row>
    <row r="28" spans="1:3" ht="21" x14ac:dyDescent="0.4">
      <c r="A28" s="102">
        <f>Billing!Q31</f>
        <v>0</v>
      </c>
      <c r="B28" s="105">
        <f>Billing!AD31</f>
        <v>0</v>
      </c>
      <c r="C28" s="103">
        <f>Billing!AE31</f>
        <v>0</v>
      </c>
    </row>
  </sheetData>
  <conditionalFormatting sqref="C2:C28">
    <cfRule type="cellIs" dxfId="9" priority="1" operator="lessThan">
      <formula>10</formula>
    </cfRule>
  </conditionalFormatting>
  <conditionalFormatting sqref="C2:C29">
    <cfRule type="cellIs" dxfId="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2025-12-26T19:07:40Z</dcterms:modified>
  <cp:category/>
  <cp:contentStatus/>
</cp:coreProperties>
</file>