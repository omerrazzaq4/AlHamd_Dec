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724" documentId="8_{882B14A6-A67C-4C60-A7D4-43427E6D1DAC}" xr6:coauthVersionLast="47" xr6:coauthVersionMax="47" xr10:uidLastSave="{15A18AA0-6B12-4394-B61C-FE9513C9E2BB}"/>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71" r:id="rId20"/>
    <pivotCache cacheId="75" r:id="rId21"/>
    <pivotCache cacheId="80" r:id="rId22"/>
    <pivotCache cacheId="86" r:id="rId23"/>
    <pivotCache cacheId="90" r:id="rId24"/>
    <pivotCache cacheId="9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7" l="1"/>
  <c r="H10" i="7" s="1"/>
  <c r="H47" i="6"/>
  <c r="I47" i="6" s="1"/>
  <c r="H46" i="6"/>
  <c r="I46" i="6" s="1"/>
  <c r="G46" i="6"/>
  <c r="G47" i="6"/>
  <c r="H42" i="6"/>
  <c r="G45" i="6"/>
  <c r="I45" i="6"/>
  <c r="I93" i="1"/>
  <c r="I94" i="1"/>
  <c r="I95" i="1"/>
  <c r="J95" i="1" a="1"/>
  <c r="J95" i="1" s="1"/>
  <c r="I77" i="1"/>
  <c r="J77" i="1" a="1"/>
  <c r="J77" i="1" s="1"/>
  <c r="I78" i="1"/>
  <c r="J78" i="1" a="1"/>
  <c r="J78" i="1" s="1"/>
  <c r="I79" i="1"/>
  <c r="J79" i="1" a="1"/>
  <c r="J79" i="1" s="1"/>
  <c r="I80" i="1"/>
  <c r="J80" i="1" a="1"/>
  <c r="J80" i="1" s="1"/>
  <c r="I81" i="1"/>
  <c r="J81" i="1" a="1"/>
  <c r="J81" i="1" s="1"/>
  <c r="I82" i="1"/>
  <c r="J82" i="1" a="1"/>
  <c r="J82" i="1" s="1"/>
  <c r="I83" i="1"/>
  <c r="J83" i="1" a="1"/>
  <c r="J83" i="1" s="1"/>
  <c r="I84" i="1"/>
  <c r="J84" i="1" a="1"/>
  <c r="J84" i="1" s="1"/>
  <c r="I85" i="1"/>
  <c r="J85" i="1" a="1"/>
  <c r="J85" i="1" s="1"/>
  <c r="I86" i="1"/>
  <c r="J86" i="1" a="1"/>
  <c r="J86" i="1" s="1"/>
  <c r="I87" i="1"/>
  <c r="J87" i="1" a="1"/>
  <c r="J87" i="1" s="1"/>
  <c r="I88" i="1"/>
  <c r="J88" i="1" a="1"/>
  <c r="J88" i="1" s="1"/>
  <c r="I89" i="1"/>
  <c r="J89" i="1" a="1"/>
  <c r="J89" i="1" s="1"/>
  <c r="I90" i="1"/>
  <c r="J90" i="1" a="1"/>
  <c r="J90" i="1" s="1"/>
  <c r="I91" i="1"/>
  <c r="J91" i="1" a="1"/>
  <c r="J91" i="1" s="1"/>
  <c r="I92" i="1"/>
  <c r="J92" i="1" a="1"/>
  <c r="J92" i="1" s="1"/>
  <c r="H96" i="1"/>
  <c r="H97" i="1"/>
  <c r="H93" i="1"/>
  <c r="H94" i="1"/>
  <c r="H37" i="6" l="1"/>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2" i="6"/>
  <c r="I43" i="6"/>
  <c r="I44" i="6"/>
  <c r="I70" i="1"/>
  <c r="J70" i="1" s="1" a="1"/>
  <c r="J70" i="1" s="1"/>
  <c r="I71" i="1"/>
  <c r="J71" i="1" a="1"/>
  <c r="J71" i="1" s="1"/>
  <c r="I72" i="1"/>
  <c r="J72" i="1" a="1"/>
  <c r="J72" i="1" s="1"/>
  <c r="I73" i="1"/>
  <c r="J73" i="1" s="1" a="1"/>
  <c r="J73" i="1" s="1"/>
  <c r="I74" i="1"/>
  <c r="J74" i="1" s="1" a="1"/>
  <c r="J74" i="1" s="1"/>
  <c r="I75" i="1"/>
  <c r="J75" i="1" s="1" a="1"/>
  <c r="J75" i="1" s="1"/>
  <c r="I76" i="1"/>
  <c r="J76" i="1" a="1"/>
  <c r="J76" i="1" s="1"/>
  <c r="C106" i="17" l="1"/>
  <c r="C103" i="17"/>
  <c r="H31" i="6"/>
  <c r="I31" i="6" s="1"/>
  <c r="G31" i="6"/>
  <c r="G22" i="6"/>
  <c r="I22" i="6"/>
  <c r="G26" i="6"/>
  <c r="I26" i="6"/>
  <c r="G28" i="6"/>
  <c r="G29" i="6"/>
  <c r="G30" i="6"/>
  <c r="I28" i="6"/>
  <c r="I29" i="6"/>
  <c r="I30" i="6"/>
  <c r="C74" i="17" l="1"/>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l="1"/>
  <c r="J61" i="1" s="1" a="1"/>
  <c r="J61" i="1" s="1"/>
  <c r="I62" i="1"/>
  <c r="J62" i="1" s="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2" i="9"/>
  <c r="D112" i="9"/>
  <c r="E112" i="9"/>
  <c r="F112" i="9"/>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98"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H8" i="7"/>
  <c r="G9" i="7"/>
  <c r="H9" i="7" s="1"/>
  <c r="G8" i="6"/>
  <c r="G9" i="6"/>
  <c r="G10" i="6"/>
  <c r="G11" i="6"/>
  <c r="G12" i="6"/>
  <c r="I10" i="6"/>
  <c r="I11" i="6"/>
  <c r="I12" i="6"/>
  <c r="D3" i="17"/>
  <c r="D2" i="17"/>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98" i="1" a="1"/>
  <c r="J98" i="1" s="1"/>
  <c r="N112" i="9"/>
  <c r="P112" i="9" s="1"/>
  <c r="N113" i="9"/>
  <c r="P113" i="9" s="1"/>
  <c r="I98" i="1" a="1"/>
  <c r="I98"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169" i="17"/>
  <c r="K4" i="17" s="1"/>
  <c r="E11" i="7"/>
  <c r="F11" i="15"/>
  <c r="F12" i="15"/>
  <c r="F13" i="15"/>
  <c r="H9" i="15"/>
  <c r="G10" i="15"/>
  <c r="G11" i="15"/>
  <c r="G12" i="15"/>
  <c r="G13" i="15"/>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s="1"/>
  <c r="I20" i="2" s="1"/>
  <c r="D20" i="2" s="1"/>
  <c r="E20" i="2"/>
  <c r="E49" i="2"/>
  <c r="F49" i="2"/>
  <c r="F21" i="2"/>
  <c r="H21" i="2" s="1"/>
  <c r="I21" i="2" s="1"/>
  <c r="D21" i="2" s="1"/>
  <c r="E21" i="2"/>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G16" i="2" l="1"/>
  <c r="H81" i="1" s="1"/>
  <c r="G21" i="2"/>
  <c r="G6" i="2"/>
  <c r="O111" i="9"/>
  <c r="AD32" i="9" s="1"/>
  <c r="H76" i="9" a="1"/>
  <c r="H76" i="9" s="1"/>
  <c r="L76" i="9" a="1"/>
  <c r="L76" i="9" s="1"/>
  <c r="C111" i="9"/>
  <c r="I76" i="9" a="1"/>
  <c r="I76" i="9" s="1"/>
  <c r="D111" i="9"/>
  <c r="J76" i="9" a="1"/>
  <c r="J76" i="9" s="1"/>
  <c r="E111" i="9"/>
  <c r="K76" i="9" a="1"/>
  <c r="K76" i="9" s="1"/>
  <c r="F111" i="9"/>
  <c r="M76" i="9" a="1"/>
  <c r="M76" i="9" s="1"/>
  <c r="M111" i="9"/>
  <c r="AB32" i="9" s="1" a="1"/>
  <c r="AB32" i="9" s="1"/>
  <c r="G111" i="9"/>
  <c r="G76" i="9" a="1"/>
  <c r="G76" i="9" s="1"/>
  <c r="H111" i="9"/>
  <c r="W32" i="9" s="1" a="1"/>
  <c r="W32" i="9" s="1"/>
  <c r="I111" i="9"/>
  <c r="X32" i="9" s="1" a="1"/>
  <c r="X32" i="9" s="1"/>
  <c r="J111" i="9"/>
  <c r="Y32" i="9" s="1" a="1"/>
  <c r="Y32" i="9" s="1"/>
  <c r="K111" i="9"/>
  <c r="Z32" i="9" s="1" a="1"/>
  <c r="Z32" i="9" s="1"/>
  <c r="L111" i="9"/>
  <c r="AA32" i="9" s="1" a="1"/>
  <c r="AA32" i="9" s="1"/>
  <c r="U32" i="9" a="1"/>
  <c r="U32" i="9" s="1"/>
  <c r="T32" i="9" a="1"/>
  <c r="T32" i="9" s="1"/>
  <c r="S32" i="9" a="1"/>
  <c r="S32" i="9" s="1"/>
  <c r="R32" i="9" a="1"/>
  <c r="R32" i="9" s="1"/>
  <c r="O76" i="9"/>
  <c r="F14" i="15"/>
  <c r="G28" i="2"/>
  <c r="G56" i="2"/>
  <c r="G24" i="2"/>
  <c r="H95" i="1" s="1"/>
  <c r="H64" i="2"/>
  <c r="I64" i="2" s="1"/>
  <c r="D64" i="2" s="1"/>
  <c r="G82" i="2"/>
  <c r="G77" i="2"/>
  <c r="G53" i="2"/>
  <c r="H89" i="2"/>
  <c r="I89" i="2" s="1"/>
  <c r="D89" i="2" s="1"/>
  <c r="G30" i="2"/>
  <c r="G7" i="2"/>
  <c r="H81" i="2"/>
  <c r="I81" i="2" s="1"/>
  <c r="D81" i="2" s="1"/>
  <c r="G15" i="2"/>
  <c r="H79" i="1" s="1"/>
  <c r="G10" i="2"/>
  <c r="G20" i="2"/>
  <c r="H86" i="1" s="1"/>
  <c r="G84" i="2"/>
  <c r="H58" i="2"/>
  <c r="I58" i="2" s="1"/>
  <c r="D58" i="2" s="1"/>
  <c r="G65" i="2"/>
  <c r="H56" i="2"/>
  <c r="I56" i="2" s="1"/>
  <c r="D56" i="2" s="1"/>
  <c r="M110" i="9"/>
  <c r="E110" i="9"/>
  <c r="T31" i="9" s="1" a="1"/>
  <c r="T31" i="9" s="1"/>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H90" i="1" s="1"/>
  <c r="G86" i="2"/>
  <c r="G79" i="2"/>
  <c r="H44" i="2"/>
  <c r="I44" i="2" s="1"/>
  <c r="D44" i="2" s="1"/>
  <c r="G80" i="2"/>
  <c r="H90" i="2"/>
  <c r="I90" i="2" s="1"/>
  <c r="D90" i="2" s="1"/>
  <c r="G22" i="2"/>
  <c r="G85" i="2"/>
  <c r="G12" i="2"/>
  <c r="H75" i="1" s="1"/>
  <c r="G59" i="2"/>
  <c r="G9" i="2"/>
  <c r="G74" i="2"/>
  <c r="G5" i="2"/>
  <c r="G92" i="2"/>
  <c r="G88" i="2"/>
  <c r="G83" i="2"/>
  <c r="G8" i="2"/>
  <c r="H72" i="1" s="1"/>
  <c r="G36" i="2"/>
  <c r="G47" i="2"/>
  <c r="H65" i="2"/>
  <c r="I65" i="2" s="1"/>
  <c r="D65" i="2" s="1"/>
  <c r="G26" i="2"/>
  <c r="H12" i="2"/>
  <c r="I12" i="2" s="1"/>
  <c r="D12" i="2" s="1"/>
  <c r="H88" i="2"/>
  <c r="I88" i="2" s="1"/>
  <c r="D88" i="2" s="1"/>
  <c r="G13" i="2"/>
  <c r="G18" i="2"/>
  <c r="H84" i="1" s="1"/>
  <c r="G17" i="2"/>
  <c r="H83" i="1" s="1"/>
  <c r="G34" i="2"/>
  <c r="G48" i="2"/>
  <c r="G62" i="2"/>
  <c r="G52" i="2"/>
  <c r="G14" i="2"/>
  <c r="H80" i="1" s="1"/>
  <c r="G19" i="2"/>
  <c r="H85" i="1" s="1"/>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AC33" i="9"/>
  <c r="AE33" i="9" s="1"/>
  <c r="AC35" i="9"/>
  <c r="AE35" i="9" s="1"/>
  <c r="AC34" i="9"/>
  <c r="AE34" i="9" s="1"/>
  <c r="N78" i="9"/>
  <c r="P78" i="9" s="1"/>
  <c r="N79" i="9"/>
  <c r="N77" i="9"/>
  <c r="P77" i="9" s="1"/>
  <c r="G48" i="6"/>
  <c r="C12" i="10"/>
  <c r="N6" i="17"/>
  <c r="N7" i="17" s="1"/>
  <c r="I37" i="12"/>
  <c r="D38" i="14"/>
  <c r="C10" i="8" s="1"/>
  <c r="G14" i="15"/>
  <c r="D38" i="18"/>
  <c r="C11" i="8" s="1"/>
  <c r="H48" i="6"/>
  <c r="E38" i="18"/>
  <c r="J37" i="14"/>
  <c r="C12" i="8" s="1"/>
  <c r="C43" i="12"/>
  <c r="H11" i="7"/>
  <c r="I48" i="6"/>
  <c r="D169" i="17"/>
  <c r="D2" i="2"/>
  <c r="H76" i="1" l="1"/>
  <c r="H82" i="1"/>
  <c r="H65" i="1"/>
  <c r="H74" i="1"/>
  <c r="H77" i="1"/>
  <c r="H78" i="1"/>
  <c r="H91" i="1"/>
  <c r="H89" i="1"/>
  <c r="H92" i="1"/>
  <c r="H87" i="1"/>
  <c r="H88" i="1"/>
  <c r="N76" i="9"/>
  <c r="P76" i="9" s="1"/>
  <c r="V32" i="9" a="1"/>
  <c r="V32" i="9" s="1"/>
  <c r="AC32" i="9" s="1"/>
  <c r="AE32" i="9" s="1"/>
  <c r="N111" i="9"/>
  <c r="P111" i="9" s="1"/>
  <c r="H68" i="1"/>
  <c r="H70" i="1"/>
  <c r="H66" i="1"/>
  <c r="H71" i="1"/>
  <c r="H73" i="1"/>
  <c r="H67" i="1"/>
  <c r="H69" i="1"/>
  <c r="H64" i="1"/>
  <c r="H61" i="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169" i="17"/>
  <c r="AC26" i="9" l="1"/>
  <c r="AE26" i="9" s="1"/>
  <c r="C23" i="20"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<sst xmlns="http://schemas.openxmlformats.org/spreadsheetml/2006/main" count="1279" uniqueCount="328">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</sst>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4" fontId="0" fillId="0" borderId="8" xfId="0" applyNumberFormat="1" applyFont="1" applyBorder="1"/>
    <xf numFmtId="0" fontId="0" fillId="0" borderId="0" xfId="0" applyBorder="1"/>
    <xf numFmtId="0" fontId="0" fillId="0" borderId="0" xfId="0" applyBorder="1" applyAlignment="1">
      <alignment horizontal="center"/>
    </xf>
    <xf numFmtId="165" fontId="0" fillId="8" borderId="0" xfId="1" applyNumberFormat="1" applyFont="1" applyFill="1"/>
    <xf numFmtId="0" fontId="0" fillId="0" borderId="0" xfId="0" applyNumberFormat="1"/>
  </cellXfs>
  <cellStyles count="2">
    <cellStyle name="Comma" xfId="1" builtinId="3"/>
    <cellStyle name="Normal" xfId="0" builtinId="0"/>
  </cellStyles>
  <dxfs count="183">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595141</xdr:colOff>
      <xdr:row>7</xdr:row>
      <xdr:rowOff>43181</xdr:rowOff>
    </xdr:from>
    <xdr:to>
      <xdr:col>13</xdr:col>
      <xdr:colOff>480583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293430</xdr:colOff>
      <xdr:row>12</xdr:row>
      <xdr:rowOff>138748</xdr:rowOff>
    </xdr:from>
    <xdr:to>
      <xdr:col>14</xdr:col>
      <xdr:colOff>616326</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8768032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9.054508680558" createdVersion="8" refreshedVersion="8" minRefreshableVersion="3" recordCount="167" xr:uid="{B5BDFB73-D93A-4A7A-8149-666BC190B09B}">
  <cacheSource type="worksheet">
    <worksheetSource name="Table14"/>
  </cacheSource>
  <cacheFields count="7">
    <cacheField name="Date" numFmtId="14">
      <sharedItems containsNonDate="0" containsDate="1" containsString="0" containsBlank="1" minDate="2025-12-17T00:00:00" maxDate="2025-12-28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m/>
        <s v="Closing October CF" u="1"/>
        <s v="Aurangzeb" u="1"/>
        <s v="BSC" u="1"/>
        <s v="Finish" u="1"/>
        <s v="Amjad Sohail" u="1"/>
        <s v="Haseeb Shamsi" u="1"/>
        <s v="Ashraf Zia" u="1"/>
        <s v="General Dyes" u="1"/>
        <s v="Faiz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876803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9.05450902778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21631.30943672276"/>
    </cacheField>
    <cacheField name="Rate" numFmtId="0">
      <sharedItems containsString="0" containsBlank="1" containsNumber="1" minValue="10" maxValue="12"/>
    </cacheField>
    <cacheField name="Total" numFmtId="164">
      <sharedItems containsSemiMixedTypes="0" containsString="0" containsNumber="1" minValue="0" maxValue="1102121.433796635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9.05450914352"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2-27T00:00:00" count="55">
        <d v="2025-12-17T00:00:00"/>
        <d v="2025-12-18T00:00:00"/>
        <d v="2025-12-22T00:00:00"/>
        <d v="2025-12-26T00:00:00"/>
        <d v="2025-12-25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9.054509259258" createdVersion="8" refreshedVersion="8" minRefreshableVersion="3" recordCount="43" xr:uid="{3E5C2981-ACF5-44A9-8567-B1D65DB3A8D2}">
  <cacheSource type="worksheet">
    <worksheetSource name="Table3"/>
  </cacheSource>
  <cacheFields count="9">
    <cacheField name="Date" numFmtId="14">
      <sharedItems containsNonDate="0" containsDate="1" containsString="0" containsBlank="1" minDate="2025-05-02T00:00:00" maxDate="2025-12-27T00:00:00" count="145">
        <d v="2025-12-17T00:00:00"/>
        <d v="2025-12-18T00:00:00"/>
        <d v="2025-12-19T00:00:00"/>
        <d v="2025-12-20T00:00:00"/>
        <d v="2025-12-22T00:00:00"/>
        <d v="2025-12-21T00:00:00"/>
        <d v="2025-12-23T00:00:00"/>
        <d v="2025-12-24T00:00:00"/>
        <d v="2025-12-25T00:00:00"/>
        <m/>
        <d v="2025-12-26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2">
        <s v="Closing Balance CF"/>
        <s v="TKL 364"/>
        <n v="9662"/>
        <s v="LES 9718"/>
        <s v="APL"/>
        <m/>
        <n v="2223"/>
        <s v="LEI 2223"/>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1000"/>
    </cacheField>
    <cacheField name="balance" numFmtId="164">
      <sharedItems containsSemiMixedTypes="0" containsString="0" containsNumber="1" containsInteger="1" minValue="-201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9.05450937499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9.054509490743" createdVersion="8" refreshedVersion="8" minRefreshableVersion="3" recordCount="96" xr:uid="{46CBB50D-3613-4E5B-8212-DD0313DCD05A}">
  <cacheSource type="worksheet">
    <worksheetSource name="Table1"/>
  </cacheSource>
  <cacheFields count="14">
    <cacheField name="Date" numFmtId="14">
      <sharedItems containsSemiMixedTypes="0" containsNonDate="0" containsDate="1" containsString="0" minDate="2025-11-18T00:00:00" maxDate="2025-12-2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291"/>
    </cacheField>
    <cacheField name="Quality" numFmtId="0">
      <sharedItems containsBlank="1"/>
    </cacheField>
    <cacheField name="Shipment Number" numFmtId="164">
      <sharedItems containsString="0" containsBlank="1" containsNumber="1" containsInteger="1" minValue="1558" maxValue="17000" count="341">
        <m/>
        <n v="1971"/>
        <n v="1951"/>
        <n v="1934"/>
        <n v="1924"/>
        <n v="1835"/>
        <n v="1628"/>
        <n v="1958"/>
        <n v="1987"/>
        <n v="1974"/>
        <n v="1972"/>
        <n v="1982"/>
        <n v="1986"/>
        <n v="1981"/>
        <n v="1954"/>
        <n v="1948"/>
        <n v="1947"/>
        <n v="1985"/>
        <n v="1983"/>
        <n v="1984"/>
        <n v="1993"/>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5613" maxValue="80202"/>
    </cacheField>
    <cacheField name="Tiyaar/gaz" numFmtId="164">
      <sharedItems containsString="0" containsBlank="1" containsNumber="1" containsInteger="1" minValue="1495" maxValue="52476"/>
    </cacheField>
    <cacheField name="shortage %" numFmtId="165">
      <sharedItems containsMixedTypes="1" containsNumber="1" minValue="0.24378481422199627" maxValue="86.372725777835356"/>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d v="2025-12-17T00:00:00"/>
    <x v="0"/>
    <m/>
    <n v="876803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m/>
    <x v="29"/>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1631.30943672276"/>
    <n v="10"/>
    <n v="1102121.4337966351"/>
  </r>
  <r>
    <x v="1"/>
    <n v="34084.674469641555"/>
    <n v="10"/>
    <n v="409016.09363569866"/>
  </r>
  <r>
    <x v="2"/>
    <n v="66135.698610095104"/>
    <n v="10"/>
    <n v="687011.70446232636"/>
  </r>
  <r>
    <x v="3"/>
    <n v="0"/>
    <n v="10.5"/>
    <n v="0"/>
  </r>
  <r>
    <x v="4"/>
    <n v="0"/>
    <n v="10"/>
    <n v="0"/>
  </r>
  <r>
    <x v="5"/>
    <n v="0"/>
    <n v="10"/>
    <n v="0"/>
  </r>
  <r>
    <x v="6"/>
    <n v="0"/>
    <n v="10"/>
    <n v="0"/>
  </r>
  <r>
    <x v="7"/>
    <n v="94839.978054133142"/>
    <n v="10"/>
    <n v="948399.78054133139"/>
  </r>
  <r>
    <x v="8"/>
    <n v="0"/>
    <n v="10"/>
    <n v="0"/>
  </r>
  <r>
    <x v="9"/>
    <n v="0"/>
    <n v="12"/>
    <n v="0"/>
  </r>
  <r>
    <x v="10"/>
    <n v="26688.917337234823"/>
    <m/>
    <n v="266889.17337234825"/>
  </r>
  <r>
    <x v="11"/>
    <n v="108264.44769568399"/>
    <m/>
    <n v="618461.96049743972"/>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10"/>
    <n v="775"/>
    <m/>
    <n v="85250"/>
    <m/>
    <n v="85250"/>
  </r>
  <r>
    <x v="6"/>
    <x v="3"/>
    <x v="2"/>
    <n v="25"/>
    <n v="580"/>
    <m/>
    <n v="14500"/>
    <m/>
    <n v="14500"/>
  </r>
  <r>
    <x v="6"/>
    <x v="3"/>
    <x v="2"/>
    <n v="120"/>
    <n v="775"/>
    <m/>
    <n v="93000"/>
    <m/>
    <n v="93000"/>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5"/>
    <m/>
    <m/>
    <m/>
    <n v="0"/>
    <n v="50000"/>
    <n v="-50000"/>
  </r>
  <r>
    <x v="9"/>
    <x v="9"/>
    <x v="5"/>
    <m/>
    <m/>
    <m/>
    <n v="0"/>
    <m/>
    <n v="0"/>
  </r>
  <r>
    <x v="10"/>
    <x v="3"/>
    <x v="5"/>
    <m/>
    <m/>
    <m/>
    <n v="0"/>
    <n v="200300"/>
    <n v="-200300"/>
  </r>
  <r>
    <x v="10"/>
    <x v="0"/>
    <x v="5"/>
    <m/>
    <m/>
    <m/>
    <n v="0"/>
    <n v="200566"/>
    <n v="-200566"/>
  </r>
  <r>
    <x v="10"/>
    <x v="6"/>
    <x v="5"/>
    <m/>
    <m/>
    <m/>
    <n v="0"/>
    <n v="201000"/>
    <n v="-20100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76.307801035189726"/>
    <n v="9188.9173372348214"/>
    <n v="91889.173372348218"/>
    <m/>
  </r>
  <r>
    <d v="2025-12-22T00:00:00"/>
    <x v="11"/>
    <n v="1265"/>
    <s v="crinkle"/>
    <x v="5"/>
    <n v="50010"/>
    <n v="25349"/>
    <n v="7.1820602960607403"/>
    <n v="23179.407461594736"/>
    <n v="231794.07461594735"/>
    <m/>
  </r>
  <r>
    <d v="2025-12-23T00:00:00"/>
    <x v="0"/>
    <n v="1266"/>
    <s v="crinkle"/>
    <x v="6"/>
    <n v="48198"/>
    <n v="2439"/>
    <n v="76.307801035189726"/>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8.2854878680684152"/>
    <n v="4149.597659107535"/>
    <n v="41495.976591075349"/>
    <m/>
  </r>
  <r>
    <d v="2025-12-27T00:00:00"/>
    <x v="20"/>
    <n v="1284"/>
    <s v="Chamki"/>
    <x v="17"/>
    <n v="28429"/>
    <n v="21699"/>
    <n v="8.2854878680684152"/>
    <n v="19841.806876371618"/>
    <n v="198418.06876371618"/>
    <m/>
  </r>
  <r>
    <d v="2025-12-27T00:00:00"/>
    <x v="20"/>
    <n v="1285"/>
    <s v="Chamki"/>
    <x v="18"/>
    <n v="24158"/>
    <n v="21623"/>
    <n v="1.378501068889733"/>
    <n v="19772.31163130944"/>
    <n v="197723.11631309439"/>
    <m/>
  </r>
  <r>
    <d v="2025-12-27T00:00:00"/>
    <x v="20"/>
    <n v="1286"/>
    <s v="Chamki"/>
    <x v="19"/>
    <n v="28662"/>
    <n v="22261"/>
    <n v="28.980162147149343"/>
    <n v="20355.705925384056"/>
    <n v="203557.05925384056"/>
    <m/>
  </r>
  <r>
    <d v="2025-12-27T00:00:00"/>
    <x v="20"/>
    <n v="1287"/>
    <s v="Chamki"/>
    <x v="18"/>
    <n v="24158"/>
    <n v="4432"/>
    <n v="1.378501068889733"/>
    <n v="4052.6700804681786"/>
    <n v="40526.700804681786"/>
    <m/>
  </r>
  <r>
    <d v="2025-12-27T00:00:00"/>
    <x v="20"/>
    <n v="1288"/>
    <s v="Chamki"/>
    <x v="17"/>
    <n v="28429"/>
    <n v="2277"/>
    <n v="8.2854878680684152"/>
    <n v="2082.1141185076813"/>
    <n v="20821.141185076813"/>
    <m/>
  </r>
  <r>
    <d v="2025-12-27T00:00:00"/>
    <x v="26"/>
    <n v="1289"/>
    <m/>
    <x v="0"/>
    <m/>
    <m/>
    <e v="#DIV/0!"/>
    <m/>
    <m/>
    <m/>
  </r>
  <r>
    <d v="2025-12-27T00:00:00"/>
    <x v="26"/>
    <n v="1290"/>
    <m/>
    <x v="0"/>
    <m/>
    <m/>
    <e v="#DIV/0!"/>
    <m/>
    <m/>
    <m/>
  </r>
  <r>
    <d v="2025-12-27T00:00:00"/>
    <x v="25"/>
    <n v="1291"/>
    <s v="Munaar"/>
    <x v="20"/>
    <n v="7587"/>
    <n v="8188"/>
    <s v="NF"/>
    <m/>
    <m/>
    <m/>
  </r>
  <r>
    <d v="2025-12-27T00:00:00"/>
    <x v="26"/>
    <m/>
    <m/>
    <x v="0"/>
    <m/>
    <m/>
    <e v="#DIV/0!"/>
    <m/>
    <m/>
    <m/>
  </r>
  <r>
    <d v="2025-12-27T00:00:00"/>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7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82">
      <pivotArea field="0" grandRow="1" outline="0" collapsedLevelsAreSubtotals="1" axis="axisRow" fieldPosition="0">
        <references count="1">
          <reference field="4294967294" count="1" selected="0">
            <x v="1"/>
          </reference>
        </references>
      </pivotArea>
    </format>
    <format dxfId="181">
      <pivotArea field="0" grandRow="1" outline="0" collapsedLevelsAreSubtotals="1" axis="axisRow" fieldPosition="0">
        <references count="1">
          <reference field="4294967294" count="1" selected="0">
            <x v="0"/>
          </reference>
        </references>
      </pivotArea>
    </format>
    <format dxfId="180">
      <pivotArea collapsedLevelsAreSubtotals="1" fieldPosition="0">
        <references count="2">
          <reference field="4294967294" count="1" selected="0">
            <x v="1"/>
          </reference>
          <reference field="0" count="0"/>
        </references>
      </pivotArea>
    </format>
    <format dxfId="17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0" firstHeaderRow="0" firstDataRow="1" firstDataCol="1" rowPageCount="1" colPageCount="1"/>
  <pivotFields count="9">
    <pivotField axis="axisRow" numFmtId="14" showAll="0">
      <items count="146">
        <item m="1" x="129"/>
        <item m="1" x="130"/>
        <item m="1" x="131"/>
        <item m="1" x="132"/>
        <item m="1" x="133"/>
        <item m="1" x="134"/>
        <item m="1" x="135"/>
        <item m="1" x="144"/>
        <item m="1" x="125"/>
        <item m="1" x="136"/>
        <item m="1" x="137"/>
        <item m="1" x="138"/>
        <item m="1" x="139"/>
        <item m="1" x="140"/>
        <item m="1" x="141"/>
        <item m="1" x="142"/>
        <item m="1" x="96"/>
        <item m="1" x="97"/>
        <item m="1" x="143"/>
        <item m="1" x="98"/>
        <item m="1" x="95"/>
        <item m="1" x="99"/>
        <item m="1" x="101"/>
        <item m="1" x="102"/>
        <item m="1" x="103"/>
        <item m="1" x="105"/>
        <item m="1" x="106"/>
        <item m="1" x="107"/>
        <item m="1" x="100"/>
        <item m="1" x="104"/>
        <item m="1" x="108"/>
        <item m="1" x="109"/>
        <item m="1" x="110"/>
        <item m="1" x="111"/>
        <item m="1" x="94"/>
        <item m="1" x="112"/>
        <item m="1" x="126"/>
        <item m="1" x="127"/>
        <item m="1" x="128"/>
        <item m="1" x="113"/>
        <item m="1" x="114"/>
        <item m="1" x="115"/>
        <item m="1" x="116"/>
        <item m="1" x="117"/>
        <item m="1" x="118"/>
        <item m="1" x="119"/>
        <item m="1" x="120"/>
        <item m="1" x="121"/>
        <item m="1" x="122"/>
        <item m="1" x="123"/>
        <item m="1" x="124"/>
        <item m="1" x="65"/>
        <item m="1" x="66"/>
        <item m="1" x="67"/>
        <item m="1" x="68"/>
        <item m="1" x="69"/>
        <item m="1" x="70"/>
        <item m="1" x="71"/>
        <item m="1" x="72"/>
        <item m="1" x="74"/>
        <item m="1" x="75"/>
        <item m="1" x="76"/>
        <item m="1" x="73"/>
        <item m="1" x="77"/>
        <item m="1" x="78"/>
        <item m="1" x="79"/>
        <item m="1" x="80"/>
        <item m="1" x="81"/>
        <item m="1" x="82"/>
        <item m="1" x="83"/>
        <item m="1" x="84"/>
        <item m="1" x="85"/>
        <item m="1" x="86"/>
        <item m="1" x="87"/>
        <item m="1" x="88"/>
        <item m="1" x="89"/>
        <item m="1" x="90"/>
        <item m="1" x="91"/>
        <item m="1" x="92"/>
        <item m="1" x="93"/>
        <item m="1" x="11"/>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12"/>
        <item m="1" x="15"/>
        <item m="1" x="13"/>
        <item m="1" x="14"/>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x="0"/>
        <item x="1"/>
        <item x="2"/>
        <item x="3"/>
        <item x="4"/>
        <item x="5"/>
        <item x="6"/>
        <item x="7"/>
        <item x="9"/>
        <item x="8"/>
        <item x="10"/>
        <item t="default"/>
      </items>
    </pivotField>
    <pivotField axis="axisPage" showAll="0">
      <items count="13">
        <item x="1"/>
        <item x="0"/>
        <item x="9"/>
        <item m="1" x="11"/>
        <item x="2"/>
        <item x="3"/>
        <item x="4"/>
        <item m="1" x="10"/>
        <item x="5"/>
        <item x="6"/>
        <item x="7"/>
        <item x="8"/>
        <item t="default"/>
      </items>
    </pivotField>
    <pivotField axis="axisRow" showAll="0">
      <items count="63">
        <item m="1" x="52"/>
        <item m="1" x="36"/>
        <item m="1" x="48"/>
        <item m="1" x="18"/>
        <item m="1" x="53"/>
        <item m="1" x="54"/>
        <item m="1" x="49"/>
        <item m="1" x="50"/>
        <item m="1" x="51"/>
        <item m="1" x="29"/>
        <item m="1" x="55"/>
        <item m="1" x="56"/>
        <item m="1" x="57"/>
        <item m="1" x="58"/>
        <item m="1" x="59"/>
        <item m="1" x="60"/>
        <item m="1" x="25"/>
        <item m="1" x="26"/>
        <item m="1" x="61"/>
        <item m="1" x="27"/>
        <item x="0"/>
        <item m="1" x="28"/>
        <item m="1" x="30"/>
        <item m="1" x="31"/>
        <item m="1" x="32"/>
        <item m="1" x="33"/>
        <item m="1" x="34"/>
        <item m="1" x="35"/>
        <item m="1" x="37"/>
        <item m="1" x="38"/>
        <item m="1" x="20"/>
        <item m="1" x="39"/>
        <item m="1" x="40"/>
        <item m="1" x="41"/>
        <item m="1" x="24"/>
        <item m="1" x="42"/>
        <item m="1" x="43"/>
        <item m="1" x="22"/>
        <item m="1" x="44"/>
        <item m="1" x="45"/>
        <item m="1" x="46"/>
        <item m="1" x="47"/>
        <item m="1" x="10"/>
        <item m="1" x="11"/>
        <item m="1" x="12"/>
        <item m="1" x="13"/>
        <item m="1" x="14"/>
        <item m="1" x="15"/>
        <item m="1" x="16"/>
        <item m="1" x="17"/>
        <item m="1" x="19"/>
        <item m="1" x="21"/>
        <item m="1" x="23"/>
        <item m="1" x="9"/>
        <item x="5"/>
        <item x="1"/>
        <item x="2"/>
        <item m="1" x="8"/>
        <item x="3"/>
        <item x="4"/>
        <item x="6"/>
        <item x="7"/>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2">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4"/>
    </i>
    <i r="1">
      <x v="56"/>
    </i>
    <i>
      <x v="14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5">
      <pivotArea dataOnly="0" labelOnly="1" outline="0" fieldPosition="0">
        <references count="1">
          <reference field="1" count="1">
            <x v="1"/>
          </reference>
        </references>
      </pivotArea>
    </format>
    <format dxfId="14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4" firstHeaderRow="0" firstDataRow="1" firstDataCol="1"/>
  <pivotFields count="7">
    <pivotField numFmtId="14" showAll="0"/>
    <pivotField axis="axisRow" showAll="0">
      <items count="79">
        <item x="15"/>
        <item x="19"/>
        <item m="1" x="32"/>
        <item m="1" x="64"/>
        <item m="1" x="68"/>
        <item m="1" x="33"/>
        <item x="5"/>
        <item x="16"/>
        <item x="9"/>
        <item x="26"/>
        <item x="4"/>
        <item m="1" x="76"/>
        <item m="1" x="63"/>
        <item x="17"/>
        <item x="24"/>
        <item m="1" x="74"/>
        <item x="2"/>
        <item m="1" x="48"/>
        <item x="1"/>
        <item x="28"/>
        <item x="29"/>
        <item x="22"/>
        <item m="1" x="77"/>
        <item m="1" x="60"/>
        <item x="8"/>
        <item m="1" x="75"/>
        <item m="1" x="67"/>
        <item m="1" x="42"/>
        <item m="1" x="69"/>
        <item m="1" x="70"/>
        <item m="1" x="71"/>
        <item m="1" x="72"/>
        <item m="1" x="45"/>
        <item m="1" x="73"/>
        <item m="1" x="47"/>
        <item x="12"/>
        <item m="1" x="54"/>
        <item x="14"/>
        <item m="1" x="62"/>
        <item m="1" x="57"/>
        <item x="23"/>
        <item x="13"/>
        <item m="1" x="41"/>
        <item m="1" x="65"/>
        <item x="6"/>
        <item m="1" x="66"/>
        <item m="1" x="51"/>
        <item m="1" x="38"/>
        <item x="7"/>
        <item m="1" x="52"/>
        <item m="1" x="53"/>
        <item m="1" x="55"/>
        <item m="1" x="56"/>
        <item m="1" x="58"/>
        <item m="1" x="34"/>
        <item m="1" x="35"/>
        <item m="1" x="59"/>
        <item m="1" x="61"/>
        <item m="1" x="31"/>
        <item m="1" x="37"/>
        <item m="1" x="30"/>
        <item x="18"/>
        <item m="1" x="36"/>
        <item m="1" x="39"/>
        <item m="1" x="50"/>
        <item x="3"/>
        <item m="1" x="43"/>
        <item m="1" x="44"/>
        <item x="21"/>
        <item m="1" x="40"/>
        <item x="10"/>
        <item m="1" x="46"/>
        <item x="11"/>
        <item m="1" x="49"/>
        <item x="0"/>
        <item x="20"/>
        <item x="25"/>
        <item x="27"/>
        <item t="default"/>
      </items>
    </pivotField>
    <pivotField dataField="1" showAll="0"/>
    <pivotField dataField="1" showAll="0"/>
    <pivotField showAll="0"/>
    <pivotField showAll="0"/>
    <pivotField showAll="0"/>
  </pivotFields>
  <rowFields count="1">
    <field x="1"/>
  </rowFields>
  <rowItems count="31">
    <i>
      <x/>
    </i>
    <i>
      <x v="1"/>
    </i>
    <i>
      <x v="6"/>
    </i>
    <i>
      <x v="7"/>
    </i>
    <i>
      <x v="8"/>
    </i>
    <i>
      <x v="9"/>
    </i>
    <i>
      <x v="10"/>
    </i>
    <i>
      <x v="13"/>
    </i>
    <i>
      <x v="14"/>
    </i>
    <i>
      <x v="16"/>
    </i>
    <i>
      <x v="18"/>
    </i>
    <i>
      <x v="19"/>
    </i>
    <i>
      <x v="20"/>
    </i>
    <i>
      <x v="21"/>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14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5" firstHeaderRow="0" firstDataRow="1" firstDataCol="1" rowPageCount="1" colPageCount="1"/>
  <pivotFields count="9">
    <pivotField axis="axisRow" showAll="0">
      <items count="56">
        <item m="1" x="50"/>
        <item m="1" x="51"/>
        <item m="1" x="52"/>
        <item m="1" x="53"/>
        <item m="1" x="54"/>
        <item m="1" x="49"/>
        <item m="1" x="37"/>
        <item m="1" x="38"/>
        <item m="1" x="42"/>
        <item m="1" x="43"/>
        <item m="1" x="39"/>
        <item m="1" x="44"/>
        <item m="1" x="45"/>
        <item m="1" x="46"/>
        <item m="1" x="47"/>
        <item m="1" x="48"/>
        <item m="1" x="36"/>
        <item m="1" x="40"/>
        <item m="1" x="41"/>
        <item m="1" x="29"/>
        <item m="1" x="30"/>
        <item m="1" x="31"/>
        <item m="1" x="32"/>
        <item m="1" x="33"/>
        <item m="1" x="34"/>
        <item m="1" x="35"/>
        <item m="1" x="5"/>
        <item m="1" x="21"/>
        <item m="1" x="22"/>
        <item m="1" x="23"/>
        <item m="1" x="24"/>
        <item m="1" x="25"/>
        <item m="1" x="26"/>
        <item m="1" x="27"/>
        <item m="1" x="28"/>
        <item m="1" x="6"/>
        <item m="1" x="7"/>
        <item m="1" x="8"/>
        <item m="1" x="9"/>
        <item m="1" x="10"/>
        <item m="1" x="11"/>
        <item m="1" x="12"/>
        <item m="1" x="14"/>
        <item m="1" x="15"/>
        <item m="1" x="13"/>
        <item m="1" x="16"/>
        <item m="1" x="17"/>
        <item m="1" x="18"/>
        <item m="1" x="19"/>
        <item m="1" x="20"/>
        <item x="0"/>
        <item x="1"/>
        <item x="2"/>
        <item x="3"/>
        <item x="4"/>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6">
    <i>
      <x v="50"/>
    </i>
    <i>
      <x v="51"/>
    </i>
    <i>
      <x v="52"/>
    </i>
    <i>
      <x v="53"/>
    </i>
    <i>
      <x v="5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5"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42">
        <item m="1" x="324"/>
        <item m="1" x="325"/>
        <item m="1" x="323"/>
        <item m="1" x="322"/>
        <item m="1" x="326"/>
        <item m="1" x="328"/>
        <item m="1" x="327"/>
        <item m="1" x="329"/>
        <item m="1" x="330"/>
        <item m="1" x="331"/>
        <item m="1" x="332"/>
        <item m="1" x="333"/>
        <item m="1" x="334"/>
        <item m="1" x="335"/>
        <item m="1" x="260"/>
        <item m="1" x="282"/>
        <item m="1" x="336"/>
        <item m="1" x="337"/>
        <item m="1" x="338"/>
        <item m="1" x="290"/>
        <item m="1" x="289"/>
        <item m="1" x="339"/>
        <item m="1" x="340"/>
        <item m="1" x="299"/>
        <item m="1" x="291"/>
        <item m="1" x="292"/>
        <item m="1" x="293"/>
        <item m="1" x="294"/>
        <item m="1" x="295"/>
        <item m="1" x="296"/>
        <item m="1" x="297"/>
        <item m="1" x="298"/>
        <item m="1" x="300"/>
        <item m="1" x="320"/>
        <item m="1" x="301"/>
        <item m="1" x="321"/>
        <item m="1" x="302"/>
        <item m="1" x="303"/>
        <item m="1" x="304"/>
        <item m="1" x="305"/>
        <item m="1" x="306"/>
        <item m="1" x="237"/>
        <item m="1" x="307"/>
        <item m="1" x="308"/>
        <item m="1" x="309"/>
        <item m="1" x="310"/>
        <item m="1" x="311"/>
        <item m="1" x="312"/>
        <item m="1" x="313"/>
        <item m="1" x="314"/>
        <item m="1" x="315"/>
        <item m="1" x="316"/>
        <item m="1" x="317"/>
        <item m="1" x="318"/>
        <item m="1" x="319"/>
        <item x="0"/>
        <item m="1" x="236"/>
        <item m="1" x="238"/>
        <item m="1" x="239"/>
        <item m="1" x="240"/>
        <item m="1" x="241"/>
        <item m="1" x="242"/>
        <item m="1" x="243"/>
        <item m="1" x="244"/>
        <item m="1" x="245"/>
        <item m="1" x="246"/>
        <item m="1" x="247"/>
        <item m="1" x="248"/>
        <item m="1" x="249"/>
        <item m="1" x="250"/>
        <item x="6"/>
        <item m="1" x="251"/>
        <item m="1" x="252"/>
        <item m="1" x="253"/>
        <item m="1" x="254"/>
        <item m="1" x="255"/>
        <item m="1" x="256"/>
        <item m="1" x="257"/>
        <item m="1" x="258"/>
        <item m="1" x="259"/>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3"/>
        <item m="1" x="284"/>
        <item m="1" x="285"/>
        <item m="1" x="286"/>
        <item m="1" x="287"/>
        <item m="1" x="288"/>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35"/>
        <item m="1" x="216"/>
        <item m="1" x="217"/>
        <item m="1" x="218"/>
        <item m="1" x="219"/>
        <item m="1" x="220"/>
        <item m="1" x="221"/>
        <item m="1" x="222"/>
        <item m="1" x="223"/>
        <item m="1" x="224"/>
        <item m="1" x="225"/>
        <item m="1" x="226"/>
        <item m="1" x="227"/>
        <item m="1" x="228"/>
        <item m="1" x="229"/>
        <item m="1" x="230"/>
        <item m="1" x="231"/>
        <item m="1" x="232"/>
        <item m="1" x="233"/>
        <item m="1" x="234"/>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30"/>
        <item m="1" x="153"/>
        <item m="1" x="21"/>
        <item m="1" x="22"/>
        <item m="1" x="23"/>
        <item m="1" x="24"/>
        <item m="1" x="25"/>
        <item m="1" x="26"/>
        <item m="1" x="27"/>
        <item m="1" x="28"/>
        <item m="1" x="29"/>
        <item m="1" x="31"/>
        <item m="1" x="32"/>
        <item m="1" x="33"/>
        <item m="1" x="34"/>
        <item m="1" x="35"/>
        <item m="1" x="36"/>
        <item m="1" x="37"/>
        <item m="1" x="38"/>
        <item m="1" x="39"/>
        <item m="1" x="40"/>
        <item m="1" x="41"/>
        <item m="1" x="42"/>
        <item m="1" x="43"/>
        <item m="1" x="44"/>
        <item x="3"/>
        <item m="1" x="45"/>
        <item m="1" x="46"/>
        <item m="1" x="47"/>
        <item m="1" x="48"/>
        <item m="1" x="49"/>
        <item m="1" x="50"/>
        <item m="1" x="51"/>
        <item m="1" x="52"/>
        <item m="1" x="53"/>
        <item m="1" x="54"/>
        <item m="1" x="55"/>
        <item m="1" x="56"/>
        <item m="1" x="57"/>
        <item m="1" x="58"/>
        <item m="1" x="59"/>
        <item m="1" x="60"/>
        <item m="1" x="61"/>
        <item m="1" x="62"/>
        <item m="1" x="63"/>
        <item m="1" x="64"/>
        <item m="1" x="65"/>
        <item m="1" x="66"/>
        <item x="7"/>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x="4"/>
        <item m="1" x="96"/>
        <item m="1" x="97"/>
        <item x="1"/>
        <item x="10"/>
        <item x="2"/>
        <item x="5"/>
        <item x="8"/>
        <item x="9"/>
        <item x="11"/>
        <item x="12"/>
        <item x="13"/>
        <item x="14"/>
        <item x="15"/>
        <item x="16"/>
        <item x="17"/>
        <item x="18"/>
        <item x="19"/>
        <item x="2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2">
    <i>
      <x v="55"/>
    </i>
    <i>
      <x v="70"/>
    </i>
    <i>
      <x v="269"/>
    </i>
    <i>
      <x v="292"/>
    </i>
    <i>
      <x v="322"/>
    </i>
    <i>
      <x v="325"/>
    </i>
    <i>
      <x v="326"/>
    </i>
    <i>
      <x v="327"/>
    </i>
    <i>
      <x v="328"/>
    </i>
    <i>
      <x v="329"/>
    </i>
    <i>
      <x v="330"/>
    </i>
    <i>
      <x v="331"/>
    </i>
    <i>
      <x v="332"/>
    </i>
    <i>
      <x v="333"/>
    </i>
    <i>
      <x v="334"/>
    </i>
    <i>
      <x v="335"/>
    </i>
    <i>
      <x v="336"/>
    </i>
    <i>
      <x v="337"/>
    </i>
    <i>
      <x v="338"/>
    </i>
    <i>
      <x v="339"/>
    </i>
    <i>
      <x v="34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00">
      <pivotArea type="all" dataOnly="0" outline="0" fieldPosition="0"/>
    </format>
    <format dxfId="99">
      <pivotArea outline="0" collapsedLevelsAreSubtotals="1" fieldPosition="0"/>
    </format>
    <format dxfId="98">
      <pivotArea field="4" type="button" dataOnly="0" labelOnly="1" outline="0" axis="axisRow" fieldPosition="0"/>
    </format>
    <format dxfId="97">
      <pivotArea dataOnly="0" labelOnly="1" fieldPosition="0">
        <references count="1">
          <reference field="4" count="0"/>
        </references>
      </pivotArea>
    </format>
    <format dxfId="96">
      <pivotArea dataOnly="0" labelOnly="1" grandRow="1" outline="0" fieldPosition="0"/>
    </format>
    <format dxfId="95">
      <pivotArea dataOnly="0" labelOnly="1" outline="0" fieldPosition="0">
        <references count="1">
          <reference field="4294967294" count="2">
            <x v="0"/>
            <x v="1"/>
          </reference>
        </references>
      </pivotArea>
    </format>
    <format dxfId="94">
      <pivotArea grandRow="1" outline="0" collapsedLevelsAreSubtotals="1" fieldPosition="0"/>
    </format>
    <format dxfId="93">
      <pivotArea field="4" type="button" dataOnly="0" labelOnly="1" outline="0" axis="axisRow" fieldPosition="0"/>
    </format>
    <format dxfId="9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41">
        <i x="6" s="1"/>
        <i x="5" s="1"/>
        <i x="4" s="1"/>
        <i x="3" s="1"/>
        <i x="16" s="1"/>
        <i x="15" s="1"/>
        <i x="2" s="1"/>
        <i x="14" s="1"/>
        <i x="7" s="1"/>
        <i x="1" s="1"/>
        <i x="10" s="1"/>
        <i x="9" s="1"/>
        <i x="13" s="1"/>
        <i x="11" s="1"/>
        <i x="18" s="1"/>
        <i x="19" s="1"/>
        <i x="17" s="1"/>
        <i x="12" s="1"/>
        <i x="8" s="1"/>
        <i x="20" s="1"/>
        <i x="295" s="1" nd="1"/>
        <i x="324" s="1" nd="1"/>
        <i x="325" s="1" nd="1"/>
        <i x="333" s="1" nd="1"/>
        <i x="323" s="1" nd="1"/>
        <i x="322" s="1" nd="1"/>
        <i x="326" s="1" nd="1"/>
        <i x="337" s="1" nd="1"/>
        <i x="329" s="1" nd="1"/>
        <i x="330" s="1" nd="1"/>
        <i x="327" s="1" nd="1"/>
        <i x="328" s="1" nd="1"/>
        <i x="338" s="1" nd="1"/>
        <i x="331" s="1" nd="1"/>
        <i x="332" s="1" nd="1"/>
        <i x="335" s="1" nd="1"/>
        <i x="336" s="1" nd="1"/>
        <i x="334" s="1" nd="1"/>
        <i x="290" s="1" nd="1"/>
        <i x="340" s="1" nd="1"/>
        <i x="289" s="1" nd="1"/>
        <i x="339" s="1" nd="1"/>
        <i x="292" s="1" nd="1"/>
        <i x="253" s="1" nd="1"/>
        <i x="291" s="1" nd="1"/>
        <i x="293" s="1" nd="1"/>
        <i x="299" s="1" nd="1"/>
        <i x="294" s="1" nd="1"/>
        <i x="296" s="1" nd="1"/>
        <i x="312" s="1" nd="1"/>
        <i x="236" s="1" nd="1"/>
        <i x="300" s="1" nd="1"/>
        <i x="241" s="1" nd="1"/>
        <i x="306" s="1" nd="1"/>
        <i x="301" s="1" nd="1"/>
        <i x="304" s="1" nd="1"/>
        <i x="309" s="1" nd="1"/>
        <i x="320" s="1" nd="1"/>
        <i x="302" s="1" nd="1"/>
        <i x="314" s="1" nd="1"/>
        <i x="317" s="1" nd="1"/>
        <i x="308" s="1" nd="1"/>
        <i x="297" s="1" nd="1"/>
        <i x="305" s="1" nd="1"/>
        <i x="298" s="1" nd="1"/>
        <i x="303" s="1" nd="1"/>
        <i x="237" s="1" nd="1"/>
        <i x="307" s="1" nd="1"/>
        <i x="313" s="1" nd="1"/>
        <i x="310" s="1" nd="1"/>
        <i x="315" s="1" nd="1"/>
        <i x="311" s="1" nd="1"/>
        <i x="277" s="1" nd="1"/>
        <i x="316" s="1" nd="1"/>
        <i x="318" s="1" nd="1"/>
        <i x="239" s="1" nd="1"/>
        <i x="246" s="1" nd="1"/>
        <i x="319" s="1" nd="1"/>
        <i x="243" s="1" nd="1"/>
        <i x="244" s="1" nd="1"/>
        <i x="238" s="1" nd="1"/>
        <i x="242" s="1" nd="1"/>
        <i x="129" s="1" nd="1"/>
        <i x="240" s="1" nd="1"/>
        <i x="249" s="1" nd="1"/>
        <i x="245" s="1" nd="1"/>
        <i x="247" s="1" nd="1"/>
        <i x="250" s="1" nd="1"/>
        <i x="257" s="1" nd="1"/>
        <i x="248" s="1" nd="1"/>
        <i x="256" s="1" nd="1"/>
        <i x="261" s="1" nd="1"/>
        <i x="255" s="1" nd="1"/>
        <i x="258" s="1" nd="1"/>
        <i x="268" s="1" nd="1"/>
        <i x="254" s="1" nd="1"/>
        <i x="251" s="1" nd="1"/>
        <i x="252" s="1" nd="1"/>
        <i x="267" s="1" nd="1"/>
        <i x="125" s="1" nd="1"/>
        <i x="260" s="1" nd="1"/>
        <i x="271" s="1" nd="1"/>
        <i x="266" s="1" nd="1"/>
        <i x="259" s="1" nd="1"/>
        <i x="283" s="1" nd="1"/>
        <i x="264" s="1" nd="1"/>
        <i x="274" s="1" nd="1"/>
        <i x="272" s="1" nd="1"/>
        <i x="262" s="1" nd="1"/>
        <i x="270" s="1" nd="1"/>
        <i x="269" s="1" nd="1"/>
        <i x="265" s="1" nd="1"/>
        <i x="275" s="1" nd="1"/>
        <i x="273" s="1" nd="1"/>
        <i x="276" s="1" nd="1"/>
        <i x="263" s="1" nd="1"/>
        <i x="205" s="1" nd="1"/>
        <i x="278" s="1" nd="1"/>
        <i x="279" s="1" nd="1"/>
        <i x="163" s="1" nd="1"/>
        <i x="165" s="1" nd="1"/>
        <i x="286" s="1" nd="1"/>
        <i x="159" s="1" nd="1"/>
        <i x="206" s="1" nd="1"/>
        <i x="280" s="1" nd="1"/>
        <i x="281" s="1" nd="1"/>
        <i x="162" s="1" nd="1"/>
        <i x="288" s="1" nd="1"/>
        <i x="161" s="1" nd="1"/>
        <i x="176" s="1" nd="1"/>
        <i x="287" s="1" nd="1"/>
        <i x="282" s="1" nd="1"/>
        <i x="180" s="1" nd="1"/>
        <i x="285" s="1" nd="1"/>
        <i x="284" s="1" nd="1"/>
        <i x="201" s="1" nd="1"/>
        <i x="154" s="1" nd="1"/>
        <i x="166" s="1" nd="1"/>
        <i x="202" s="1" nd="1"/>
        <i x="200" s="1" nd="1"/>
        <i x="158" s="1" nd="1"/>
        <i x="160" s="1" nd="1"/>
        <i x="164" s="1" nd="1"/>
        <i x="155" s="1" nd="1"/>
        <i x="190" s="1" nd="1"/>
        <i x="195" s="1" nd="1"/>
        <i x="156" s="1" nd="1"/>
        <i x="157" s="1" nd="1"/>
        <i x="167" s="1" nd="1"/>
        <i x="170" s="1" nd="1"/>
        <i x="177" s="1" nd="1"/>
        <i x="169" s="1" nd="1"/>
        <i x="172" s="1" nd="1"/>
        <i x="171" s="1" nd="1"/>
        <i x="214" s="1" nd="1"/>
        <i x="168" s="1" nd="1"/>
        <i x="193" s="1" nd="1"/>
        <i x="209" s="1" nd="1"/>
        <i x="173" s="1" nd="1"/>
        <i x="198" s="1" nd="1"/>
        <i x="211" s="1" nd="1"/>
        <i x="182" s="1" nd="1"/>
        <i x="223" s="1" nd="1"/>
        <i x="181" s="1" nd="1"/>
        <i x="178" s="1" nd="1"/>
        <i x="174" s="1" nd="1"/>
        <i x="175" s="1" nd="1"/>
        <i x="194" s="1" nd="1"/>
        <i x="183" s="1" nd="1"/>
        <i x="106" s="1" nd="1"/>
        <i x="184" s="1" nd="1"/>
        <i x="179" s="1" nd="1"/>
        <i x="186" s="1" nd="1"/>
        <i x="187" s="1" nd="1"/>
        <i x="216" s="1" nd="1"/>
        <i x="185" s="1" nd="1"/>
        <i x="203" s="1" nd="1"/>
        <i x="191" s="1" nd="1"/>
        <i x="188" s="1" nd="1"/>
        <i x="192" s="1" nd="1"/>
        <i x="189" s="1" nd="1"/>
        <i x="196" s="1" nd="1"/>
        <i x="215" s="1" nd="1"/>
        <i x="210" s="1" nd="1"/>
        <i x="229" s="1" nd="1"/>
        <i x="197" s="1" nd="1"/>
        <i x="99" s="1" nd="1"/>
        <i x="208" s="1" nd="1"/>
        <i x="199" s="1" nd="1"/>
        <i x="224" s="1" nd="1"/>
        <i x="207" s="1" nd="1"/>
        <i x="222" s="1" nd="1"/>
        <i x="107" s="1" nd="1"/>
        <i x="213" s="1" nd="1"/>
        <i x="212" s="1" nd="1"/>
        <i x="228" s="1" nd="1"/>
        <i x="225" s="1" nd="1"/>
        <i x="118" s="1" nd="1"/>
        <i x="233" s="1" nd="1"/>
        <i x="217" s="1" nd="1"/>
        <i x="226" s="1" nd="1"/>
        <i x="231" s="1" nd="1"/>
        <i x="109" s="1" nd="1"/>
        <i x="135" s="1" nd="1"/>
        <i x="235" s="1" nd="1"/>
        <i x="232" s="1" nd="1"/>
        <i x="100" s="1" nd="1"/>
        <i x="120" s="1" nd="1"/>
        <i x="227" s="1" nd="1"/>
        <i x="102" s="1" nd="1"/>
        <i x="218" s="1" nd="1"/>
        <i x="221" s="1" nd="1"/>
        <i x="117" s="1" nd="1"/>
        <i x="230" s="1" nd="1"/>
        <i x="219" s="1" nd="1"/>
        <i x="220" s="1" nd="1"/>
        <i x="104" s="1" nd="1"/>
        <i x="122" s="1" nd="1"/>
        <i x="123" s="1" nd="1"/>
        <i x="136" s="1" nd="1"/>
        <i x="234" s="1" nd="1"/>
        <i x="98" s="1" nd="1"/>
        <i x="121" s="1" nd="1"/>
        <i x="114" s="1" nd="1"/>
        <i x="101" s="1" nd="1"/>
        <i x="105" s="1" nd="1"/>
        <i x="111" s="1" nd="1"/>
        <i x="103" s="1" nd="1"/>
        <i x="127" s="1" nd="1"/>
        <i x="131" s="1" nd="1"/>
        <i x="132" s="1" nd="1"/>
        <i x="124" s="1" nd="1"/>
        <i x="108" s="1" nd="1"/>
        <i x="110" s="1" nd="1"/>
        <i x="112" s="1" nd="1"/>
        <i x="115" s="1" nd="1"/>
        <i x="128" s="1" nd="1"/>
        <i x="113" s="1" nd="1"/>
        <i x="134" s="1" nd="1"/>
        <i x="66" s="1" nd="1"/>
        <i x="45" s="1" nd="1"/>
        <i x="149" s="1" nd="1"/>
        <i x="116" s="1" nd="1"/>
        <i x="137" s="1" nd="1"/>
        <i x="133" s="1" nd="1"/>
        <i x="119" s="1" nd="1"/>
        <i x="141" s="1" nd="1"/>
        <i x="77" s="1" nd="1"/>
        <i x="40" s="1" nd="1"/>
        <i x="126" s="1" nd="1"/>
        <i x="150" s="1" nd="1"/>
        <i x="130" s="1" nd="1"/>
        <i x="153" s="1" nd="1"/>
        <i x="140" s="1" nd="1"/>
        <i x="145" s="1" nd="1"/>
        <i x="22" s="1" nd="1"/>
        <i x="142" s="1" nd="1"/>
        <i x="144" s="1" nd="1"/>
        <i x="62" s="1" nd="1"/>
        <i x="30" s="1" nd="1"/>
        <i x="139" s="1" nd="1"/>
        <i x="27" s="1" nd="1"/>
        <i x="138" s="1" nd="1"/>
        <i x="39" s="1" nd="1"/>
        <i x="23" s="1" nd="1"/>
        <i x="21" s="1" nd="1"/>
        <i x="143" s="1" nd="1"/>
        <i x="37" s="1" nd="1"/>
        <i x="31" s="1" nd="1"/>
        <i x="42" s="1" nd="1"/>
        <i x="59" s="1" nd="1"/>
        <i x="36" s="1" nd="1"/>
        <i x="47" s="1" nd="1"/>
        <i x="41" s="1" nd="1"/>
        <i x="38" s="1" nd="1"/>
        <i x="151" s="1" nd="1"/>
        <i x="95" s="1" nd="1"/>
        <i x="49" s="1" nd="1"/>
        <i x="50" s="1" nd="1"/>
        <i x="147" s="1" nd="1"/>
        <i x="146" s="1" nd="1"/>
        <i x="24" s="1" nd="1"/>
        <i x="26" s="1" nd="1"/>
        <i x="57" s="1" nd="1"/>
        <i x="33" s="1" nd="1"/>
        <i x="152" s="1" nd="1"/>
        <i x="91" s="1" nd="1"/>
        <i x="82" s="1" nd="1"/>
        <i x="70" s="1" nd="1"/>
        <i x="44" s="1" nd="1"/>
        <i x="29" s="1" nd="1"/>
        <i x="60" s="1" nd="1"/>
        <i x="79" s="1" nd="1"/>
        <i x="71" s="1" nd="1"/>
        <i x="67" s="1" nd="1"/>
        <i x="35" s="1" nd="1"/>
        <i x="55" s="1" nd="1"/>
        <i x="54" s="1" nd="1"/>
        <i x="69" s="1" nd="1"/>
        <i x="56" s="1" nd="1"/>
        <i x="148" s="1" nd="1"/>
        <i x="32" s="1" nd="1"/>
        <i x="28" s="1" nd="1"/>
        <i x="58" s="1" nd="1"/>
        <i x="25" s="1" nd="1"/>
        <i x="63" s="1" nd="1"/>
        <i x="64" s="1" nd="1"/>
        <i x="68" s="1" nd="1"/>
        <i x="48" s="1" nd="1"/>
        <i x="43" s="1" nd="1"/>
        <i x="76" s="1" nd="1"/>
        <i x="75" s="1" nd="1"/>
        <i x="80" s="1" nd="1"/>
        <i x="34" s="1" nd="1"/>
        <i x="78" s="1" nd="1"/>
        <i x="65" s="1" nd="1"/>
        <i x="46" s="1" nd="1"/>
        <i x="51" s="1" nd="1"/>
        <i x="52" s="1" nd="1"/>
        <i x="61" s="1" nd="1"/>
        <i x="53" s="1" nd="1"/>
        <i x="72" s="1" nd="1"/>
        <i x="83" s="1" nd="1"/>
        <i x="73" s="1" nd="1"/>
        <i x="89" s="1" nd="1"/>
        <i x="86" s="1" nd="1"/>
        <i x="84" s="1" nd="1"/>
        <i x="96" s="1" nd="1"/>
        <i x="90" s="1" nd="1"/>
        <i x="97" s="1" nd="1"/>
        <i x="92" s="1" nd="1"/>
        <i x="93" s="1" nd="1"/>
        <i x="74" s="1" nd="1"/>
        <i x="87" s="1" nd="1"/>
        <i x="94" s="1" nd="1"/>
        <i x="85" s="1" nd="1"/>
        <i x="88" s="1" nd="1"/>
        <i x="81" s="1" nd="1"/>
        <i x="204" s="1" nd="1"/>
        <i x="32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78">
      <calculatedColumnFormula>B49</calculatedColumnFormula>
    </tableColumn>
    <tableColumn id="2" xr3:uid="{7EDCC2ED-0339-42B3-9633-FFEA7A3DD9F3}" name="Tiyaar" dataDxfId="177">
      <calculatedColumnFormula>SUMIFS(ledger!G:G, ledger!B:B, B2, ledger!E:E, "&lt;&gt;*RD*") / 1.0936</calculatedColumnFormula>
    </tableColumn>
    <tableColumn id="3" xr3:uid="{CC1535DD-3FE7-4F55-8040-E7643388A78E}" name="Rate"/>
    <tableColumn id="4" xr3:uid="{059CB70B-ADAD-4985-84AA-0D530BAC5567}" name="Total" dataDxfId="17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75" dataDxfId="174">
  <autoFilter ref="B7:E20" xr:uid="{449E5D32-DF9C-4018-96AB-CA98E118D910}"/>
  <tableColumns count="4">
    <tableColumn id="1" xr3:uid="{F663704C-91DD-4BB9-B7EB-EEB0C5EDED6C}" name="Description" dataDxfId="173"/>
    <tableColumn id="2" xr3:uid="{6D94D495-CD0B-4FD3-9771-81D731982A97}" name="Rate" dataDxfId="172" dataCellStyle="Comma"/>
    <tableColumn id="3" xr3:uid="{2D14CEAD-3602-40E7-A488-3584EBC9141E}" name="gazana" dataDxfId="171" dataCellStyle="Comma"/>
    <tableColumn id="4" xr3:uid="{06FEE63C-6480-4079-8426-51BC26B38B34}" name="sum" dataDxfId="17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69" totalsRowDxfId="16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67" dataDxfId="166" headerRowCellStyle="Comma" dataCellStyle="Comma">
  <autoFilter ref="B2:C5" xr:uid="{136E8F7F-D03F-4198-8335-91A003EA9E45}"/>
  <tableColumns count="2">
    <tableColumn id="1" xr3:uid="{279FA697-9952-479A-AC05-0D4992B41374}" name="Column1" dataDxfId="165" dataCellStyle="Comma"/>
    <tableColumn id="2" xr3:uid="{8A64998B-65EF-41CD-BCB0-3DDB7B359C54}" name="Column2" dataDxfId="16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63"/>
    <tableColumn id="2" xr3:uid="{51D27FA2-8DDF-4369-BAF7-7D1FE90E16A0}" name="Column2" dataDxfId="16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61" totalsRowDxfId="16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5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98" totalsRowCount="1" headerRowDxfId="158" dataDxfId="157" headerRowCellStyle="Comma" dataCellStyle="Comma">
  <autoFilter ref="A1:K97" xr:uid="{11DACEC6-751B-4B1D-817F-5C5BCD38EF6D}"/>
  <tableColumns count="11">
    <tableColumn id="1" xr3:uid="{2FCE3FA8-A48C-4685-8919-AE44C6C71FD9}" name="Date" dataDxfId="156" dataCellStyle="Comma"/>
    <tableColumn id="2" xr3:uid="{5780FD5F-0890-44E6-B59C-8E37A559FE36}" name="Party Name" dataDxfId="155" dataCellStyle="Comma"/>
    <tableColumn id="3" xr3:uid="{5B3ECD85-9174-40AC-BFBD-49CAC97A83D3}" name="Bill Number" dataDxfId="154" dataCellStyle="Comma"/>
    <tableColumn id="4" xr3:uid="{11B50761-04B6-4262-AD4D-7182450037D1}" name="Quality" dataDxfId="153" dataCellStyle="Comma"/>
    <tableColumn id="5" xr3:uid="{2C556969-B713-4967-BD24-466AACCBE5F5}" name="Shipment Number" dataDxfId="152" totalsRowDxfId="25" dataCellStyle="Comma"/>
    <tableColumn id="6" xr3:uid="{F4E1FD2B-9017-4DEB-B772-BF447ECE56F7}" name="Kora/metre" dataDxfId="151" totalsRowDxfId="24" dataCellStyle="Comma"/>
    <tableColumn id="7" xr3:uid="{52ACC1DA-7A76-4A90-B809-3A1AE728E7EA}" name="Tiyaar/gaz" dataDxfId="150" totalsRowDxfId="23" dataCellStyle="Comma"/>
    <tableColumn id="8" xr3:uid="{31A0FF5E-56F0-44D1-9865-73256B964660}" name="shortage %" dataDxfId="149" totalsRowDxfId="22" dataCellStyle="Comma">
      <calculatedColumnFormula>_xlfn.XLOOKUP(Table1[[#This Row],[Shipment Number]], 'pivot '!A:A,'pivot '!G:G, "NF")</calculatedColumnFormula>
    </tableColumn>
    <tableColumn id="9" xr3:uid="{F99075E0-AC8E-094D-BB85-272AD2C6C568}" name="tiyar/meters" totalsRowFunction="custom" dataDxfId="148" totalsRowDxfId="21"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47" totalsRowDxfId="20"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46" totalsRowDxfId="1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8" totalsRowCount="1" headerRowDxfId="143" headerRowBorderDxfId="142" tableBorderDxfId="141">
  <autoFilter ref="A1:I47" xr:uid="{F8E8C957-ABE7-4E4F-8D4E-7D44E26B334F}"/>
  <tableColumns count="9">
    <tableColumn id="1" xr3:uid="{C2E817D6-AB98-4DDD-8890-736B27F261CD}" name="Date" dataDxfId="18" totalsRowDxfId="11"/>
    <tableColumn id="2" xr3:uid="{CFB51890-CCDC-463C-81C9-3F8BD7469CB9}" name="Party Name"/>
    <tableColumn id="3" xr3:uid="{A113D971-1C9D-4733-99C4-BD0CC4333209}" name="Vehicle Number"/>
    <tableColumn id="4" xr3:uid="{49780304-3DD1-4AE9-98EE-2BC7EB8F3B57}" name="Weight" dataDxfId="17" totalsRowDxfId="10" dataCellStyle="Comma"/>
    <tableColumn id="5" xr3:uid="{FCAF1BC6-1D8C-42AD-8BBC-F924BF2DC7FE}" name="Rate" dataDxfId="16" totalsRowDxfId="9" dataCellStyle="Comma"/>
    <tableColumn id="6" xr3:uid="{8C70A624-4134-410C-9C45-9FDEB51D51BF}" name="Rent" dataDxfId="15" totalsRowDxfId="8" dataCellStyle="Comma"/>
    <tableColumn id="7" xr3:uid="{EBCE10AE-9634-4982-9C95-37ABC8A7078C}" name="Total" totalsRowFunction="sum" dataDxfId="14" totalsRowDxfId="7" dataCellStyle="Comma">
      <calculatedColumnFormula>D2*E2</calculatedColumnFormula>
    </tableColumn>
    <tableColumn id="9" xr3:uid="{D4788559-C94A-44D9-B9AE-E72B214355AC}" name="Paid" totalsRowFunction="sum" dataDxfId="13" totalsRowDxfId="6" dataCellStyle="Comma"/>
    <tableColumn id="8" xr3:uid="{E26F5BF0-1875-4FC6-994D-49F202ED562B}" name="balance" totalsRowFunction="sum" dataDxfId="12" totalsRowDxfId="5"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69" totalsRowCount="1">
  <autoFilter ref="A1:G168" xr:uid="{CB032221-B416-47A8-9A76-693DE76CFD04}"/>
  <tableColumns count="7">
    <tableColumn id="1" xr3:uid="{554B1EED-65B6-4E9A-B646-82727FAC40DE}" name="Date" dataDxfId="83" totalsRowDxfId="79"/>
    <tableColumn id="2" xr3:uid="{32259059-42CF-4947-83DE-115AA430BE2B}" name="Party"/>
    <tableColumn id="3" xr3:uid="{A1320223-D55D-483C-91C3-AB19B95CC9D8}" name="Debit" totalsRowFunction="sum" dataDxfId="82" totalsRowDxfId="78" dataCellStyle="Comma"/>
    <tableColumn id="4" xr3:uid="{E9745767-9FF0-4B1C-9052-FF335D1D7588}" name="Credit" totalsRowFunction="sum" dataDxfId="81" totalsRowDxfId="77" dataCellStyle="Comma"/>
    <tableColumn id="5" xr3:uid="{5C88A48E-2467-4E6D-B626-2442B7FD0BE4}" name="Description"/>
    <tableColumn id="6" xr3:uid="{63CA4666-144E-4BE6-8B7C-7CB992BD3041}" name="Mode" totalsRowFunction="custom" dataDxfId="80" totalsRowDxfId="7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9" tableBorderDxfId="138" totalsRowBorderDxfId="137">
  <autoFilter ref="J3:K6" xr:uid="{DCE01694-23ED-48BF-8B92-4186B9ED10A8}"/>
  <tableColumns count="2">
    <tableColumn id="1" xr3:uid="{C8484DAF-2989-4C2F-9AEC-A6917E1C57F6}" name="Type" dataDxfId="136"/>
    <tableColumn id="2" xr3:uid="{B07B7A2A-4D4E-4654-BED6-FE2F0A7BEC34}" name="Amount" dataDxfId="13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4" headerRowBorderDxfId="133" tableBorderDxfId="132" totalsRowBorderDxfId="131">
  <autoFilter ref="M3:O6" xr:uid="{D166BDD1-ACD7-45D7-8AE9-7350373F8CEB}"/>
  <tableColumns count="3">
    <tableColumn id="1" xr3:uid="{64F0205E-DEA7-4571-BA86-E4374A5FEE28}" name="Type" totalsRowLabel="Total" dataDxfId="130" totalsRowDxfId="129"/>
    <tableColumn id="2" xr3:uid="{15FA05F9-789C-4459-9BE0-5C1EC84D3365}" name="amount" totalsRowFunction="custom" dataDxfId="128" totalsRowDxfId="127">
      <totalsRowFormula>SUM(N5:N6)</totalsRowFormula>
    </tableColumn>
    <tableColumn id="3" xr3:uid="{3681D409-90C6-44D0-BDE2-4B5943A516F0}" name="Actual" totalsRowFunction="custom" totalsRowDxfId="126">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25" totalsRowDxfId="124"/>
    <tableColumn id="2" xr3:uid="{5B9D0FEE-4304-4C5C-A05C-5B27CF7841D3}" name="Type"/>
    <tableColumn id="3" xr3:uid="{6A91CA0D-C802-4C6F-9F39-CA53687E8EDE}" name="Description"/>
    <tableColumn id="4" xr3:uid="{A251D40C-AB87-4BB4-85F8-444B20E32FDF}" name="Total" totalsRowFunction="custom" dataDxfId="123" totalsRowDxfId="122"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1" totalsRowCount="1" headerRowDxfId="121" headerRowBorderDxfId="120">
  <autoFilter ref="A1:I1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19"/>
    <tableColumn id="4" xr3:uid="{1889A312-9B41-4EC4-BD8F-05252F27084A}" name="Price" totalsRowFunction="sum"/>
    <tableColumn id="6" xr3:uid="{8B974B20-F003-4E67-8660-024FA4F324A9}" name="Party"/>
    <tableColumn id="7" xr3:uid="{0A5A5C21-FD61-47DA-9F54-66A6479FA557}" name="Paid" dataDxfId="118">
      <calculatedColumnFormula>SUMIFS(Table14[Debit], Table14[Date], Table8[[#This Row],[Date]], Table14[Party], Table8[[#This Row],[Party]])</calculatedColumnFormula>
    </tableColumn>
    <tableColumn id="8" xr3:uid="{8DCB3B43-2161-4081-82EC-CDB0F4DE4E6F}" name="Balance" totalsRowFunction="sum" dataDxfId="11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116" headerRowBorderDxfId="115">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114" totalsRowDxfId="113"/>
    <tableColumn id="8" xr3:uid="{477ACFD5-62AF-4F69-974B-E9B974C11D7D}" name="Party Name" dataDxfId="11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11">
      <calculatedColumnFormula>Table2[[#This Row],[Quantity]]*200*Table2[[#This Row],[Boxes]]</calculatedColumnFormula>
    </tableColumn>
    <tableColumn id="6" xr3:uid="{30432929-CBD4-4BA8-B63F-CD0F6CF6405F}" name="Paid" totalsRowFunction="sum" dataDxfId="110">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109">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108" totalsRowDxfId="107"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106" totalsRowDxfId="105"/>
    <tableColumn id="2" xr3:uid="{053BFC14-4828-417C-9F9F-95B6E232A945}" name="Amount" totalsRowFunction="custom" dataDxfId="104" totalsRowDxfId="10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102" totalsRowDxfId="10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91" totalsRowDxfId="9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89" totalsRowDxfId="8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87">
      <calculatedColumnFormula>Billing!Q5</calculatedColumnFormula>
    </tableColumn>
    <tableColumn id="2" xr3:uid="{7093A59E-B58F-487D-888A-9AA8156B5F9A}" name="Amount Paid" dataDxfId="86">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85"/>
    <tableColumn id="2" xr3:uid="{F72CFEEB-BA11-4A49-BD19-88592EB6A27C}" name="Credit" dataDxfId="84"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121631.30943672276</v>
      </c>
      <c r="D2">
        <v>10</v>
      </c>
      <c r="E2" s="14">
        <f>(SUMIFS(ledger!G:G, ledger!B:B, B2, ledger!E:E, "&lt;&gt;*RD*",ledger!D:D, "Silky") / 1.0936)*12 + (SUMIFS(ledger!G:G, ledger!B:B, B2, ledger!E:E, "&lt;&gt;*RD*",ledger!D:D, "Chamki") / 1.0936)*10</f>
        <v>1102121.4337966351</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1">_xlfn.UNIQUE(Table1[Party Name])</f>
        <v>BSC</v>
      </c>
      <c r="R5" s="22" cm="1">
        <f t="array" ref="R5">_xlfn.BYROW(B49,_xlfn.LAMBDA(_xlpm.party,SUMIFS(ledger!G:G,ledger!B:B,_xlpm.party,ledger!E:E,"&lt;&gt;*RD*")))+_xlfn.IFNA(C84,0)</f>
        <v>2667955</v>
      </c>
      <c r="S5" s="22" cm="1">
        <f t="array" ref="S5">_xlfn.BYROW(B49, _xlfn.LAMBDA(_xlpm.party, SUMIFS(ledger!G:G, ledger!B:B, _xlpm.party, ledger!E:E, "&lt;&gt;*RD*") / 1.0936 ))+_xlfn.IFNA(D84,0)</f>
        <v>2439607.7176298467</v>
      </c>
      <c r="T5" s="22" cm="1">
        <f t="array" ref="T5">(_xlfn.BYROW(B49,_xlfn.LAMBDA(_xlpm.party,SUMIFS(ledger!G:G,ledger!B:B,_xlpm.party,ledger!E:E,"&lt;&gt;*RD*",ledger!D:D,"Chamki")+SUMIFS(ledger!G:G, ledger!B:B, _xlpm.party, ledger!E:E, "&lt;&gt;*RD*", ledger!D:D, "Crinkle")))/1.0936)+_xlfn.IFNA(E84,0)</f>
        <v>2157138.8076079008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21571388.076079011</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25155128.017556701</v>
      </c>
      <c r="AD5" s="22">
        <f>(SUMIF(Table14[Party],Q5,Table14[Credit]))+_xlfn.IFNA(O84,0)</f>
        <v>19750734</v>
      </c>
      <c r="AE5" s="33">
        <f>AC5-AD5</f>
        <v>5404394.0175567009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4111992</v>
      </c>
      <c r="AE6" s="33">
        <f t="shared" ref="AE6:AE31" si="2">AC6-AD6</f>
        <v>503937.95610826649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6352935</v>
      </c>
      <c r="AE7" s="33">
        <f t="shared" si="2"/>
        <v>575482.15435259789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26688.917337234823</v>
      </c>
      <c r="E12" s="14">
        <f>(SUMIFS(ledger!G:G, ledger!B:B, B12, ledger!E:E, "&lt;&gt;*RD*",ledger!D:D, "Silky") / 1.0936)*12 + (SUMIFS(ledger!G:G, ledger!B:B, B12, ledger!E:E, "&lt;&gt;*RD*",ledger!D:D, "Chamki") / 1.0936)*10</f>
        <v>266889.17337234825</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232002</v>
      </c>
      <c r="S15" s="22" cm="1">
        <f t="array" ref="S15">_xlfn.BYROW(B59, _xlfn.LAMBDA(_xlpm.party, SUMIFS(ledger!G:G, ledger!B:B, _xlpm.party, ledger!E:E, "&lt;&gt;*RD*") / 1.0936 ))+_xlfn.IFNA(D94,0)</f>
        <v>212145.2084857352</v>
      </c>
      <c r="T15" s="22" cm="1">
        <f t="array" ref="T15">(_xlfn.BYROW(B59,_xlfn.LAMBDA(_xlpm.party,SUMIFS(ledger!G:G,ledger!B:B,_xlpm.party,ledger!E:E,"&lt;&gt;*RD*",ledger!D:D,"Chamki")+SUMIFS(ledger!G:G, ledger!B:B, _xlpm.party, ledger!E:E, "&lt;&gt;*RD*", ledger!D:D, "Crinkle")))/1.0936)+_xlfn.IFNA(E94,0)</f>
        <v>212145.2084857352</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2121452.0848573521</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2121452.0848573521</v>
      </c>
      <c r="AD15" s="22">
        <f>(SUMIF(Table14[Party],Q15,Table14[Credit]))+_xlfn.IFNA(O94,0)</f>
        <v>2042480</v>
      </c>
      <c r="AE15" s="33">
        <f t="shared" si="2"/>
        <v>78972.084857352078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5715761</v>
      </c>
      <c r="AE16" s="33">
        <f t="shared" si="2"/>
        <v>386606.4103877116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5457061.9970738851</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5457061.9970738851</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813525</v>
      </c>
      <c r="AE24" s="33">
        <f t="shared" si="2"/>
        <v>-99999.94513533276</v>
      </c>
      <c r="AF24" s="21">
        <v>10</v>
      </c>
      <c r="AG24" s="21">
        <v>13</v>
      </c>
    </row>
    <row r="25" spans="2:33" x14ac:dyDescent="0.3">
      <c r="I25" t="s">
        <v>201</v>
      </c>
      <c r="Q25" t="str">
        <v>Shahid Qasayi</v>
      </c>
      <c r="R25" s="22" cm="1">
        <f t="array" ref="R25">_xlfn.BYROW(B69,_xlfn.LAMBDA(_xlpm.party,SUMIFS(ledger!G:G,ledger!B:B,_xlpm.party,ledger!E:E,"&lt;&gt;*RD*")))+_xlfn.IFNA(C104,0)</f>
        <v>252959</v>
      </c>
      <c r="S25" s="22" cm="1">
        <f t="array" ref="S25">_xlfn.BYROW(B69, _xlfn.LAMBDA(_xlpm.party, SUMIFS(ledger!G:G, ledger!B:B, _xlpm.party, ledger!E:E, "&lt;&gt;*RD*") / 1.0936 ))+_xlfn.IFNA(D104,0)</f>
        <v>231308.52231163136</v>
      </c>
      <c r="T25" s="22" cm="1">
        <f t="array" ref="T25">(_xlfn.BYROW(B69,_xlfn.LAMBDA(_xlpm.party,SUMIFS(ledger!G:G,ledger!B:B,_xlpm.party,ledger!E:E,"&lt;&gt;*RD*",ledger!D:D,"Chamki")+SUMIFS(ledger!G:G, ledger!B:B, _xlpm.party, ledger!E:E, "&lt;&gt;*RD*", ledger!D:D, "Crinkle")))/1.0936)+_xlfn.IFNA(E104,0)</f>
        <v>183750</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1837500</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2360643.7454279442</v>
      </c>
      <c r="AD25" s="22">
        <f>(SUMIF(Table14[Party],Q25,Table14[Credit]))+_xlfn.IFNA(O104,0)</f>
        <v>1808095</v>
      </c>
      <c r="AE25" s="33">
        <f t="shared" si="2"/>
        <v>552548.74542794423</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v>0</v>
      </c>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5">_xlfn.UNIQUE(Table1[Party Name])</f>
        <v>BSC</v>
      </c>
      <c r="C49" s="22" cm="1">
        <f t="array" ref="C49:C75">_xlfn.BYROW(_xlfn.ANCHORARRAY(B49),_xlfn.LAMBDA(_xlpm.party,SUMIFS(ledger!G:G,ledger!B:B,_xlpm.party,ledger!E:E,"&lt;&gt;*RD*")))</f>
        <v>133016</v>
      </c>
      <c r="D49" s="22" cm="1">
        <f t="array" ref="D49:D75">_xlfn.BYROW(_xlfn.ANCHORARRAY(B49), _xlfn.LAMBDA(_xlpm.party, SUMIFS(ledger!G:G, ledger!B:B, _xlpm.party, ledger!E:E, "&lt;&gt;*RD*") / 1.0936 ))</f>
        <v>121631.30943672276</v>
      </c>
      <c r="E49" s="63" cm="1">
        <f t="array" ref="E49:E75">(_xlfn.BYROW(_xlfn.ANCHORARRAY(B49),_xlfn.LAMBDA(_xlpm.party,SUMIFS(ledger!G:G,ledger!B:B,_xlpm.party,ledger!E:E,"&lt;&gt;*RD*",ledger!D:D,"Chamki")+SUMIFS(ledger!G:G, ledger!B:B, _xlpm.party, ledger!E:E, "&lt;&gt;*RD*", ledger!D:D, "Crinkle")))/1.0936)</f>
        <v>121631.30943672276</v>
      </c>
      <c r="F49" s="63" cm="1">
        <f t="array" ref="F49:F75">(_xlfn.BYROW(_xlfn.ANCHORARRAY(B49),_xlfn.LAMBDA(_xlpm.party,SUMIFS(ledger!G:G,ledger!B:B,_xlpm.party,ledger!E:E,"&lt;&gt;*RD*",ledger!D:D,"Silky")))/1.0936)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1216313.0943672277</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1216313.0943672277</v>
      </c>
      <c r="O49" s="22">
        <f>(SUMIF(Table14[Party],B49,Table14[Credit]))</f>
        <v>0</v>
      </c>
      <c r="P49" s="37">
        <f>N49-O49</f>
        <v>1216313.0943672277</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148088</v>
      </c>
      <c r="P50" s="37">
        <f>N50-O50</f>
        <v>295012.76810534019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350000</v>
      </c>
      <c r="P51" s="37">
        <f>N51-O51</f>
        <v>349839.06364301394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121631.30943672276</v>
      </c>
      <c r="W58" s="18">
        <v>1102121.4337966351</v>
      </c>
    </row>
    <row r="59" spans="1:23" x14ac:dyDescent="0.3">
      <c r="B59" s="24" t="str">
        <v>Hafiz Qureshi</v>
      </c>
      <c r="C59" s="22">
        <v>29187</v>
      </c>
      <c r="D59" s="22">
        <v>26688.917337234823</v>
      </c>
      <c r="E59" s="63">
        <v>26688.917337234823</v>
      </c>
      <c r="F59" s="63">
        <v>0</v>
      </c>
      <c r="G59" s="22" cm="1">
        <f t="array" ref="G59">(_xlfn.BYROW(B59,_xlfn.LAMBDA(_xlpm.party,
(SUMIFS(ledger!J:J,ledger!B:B,_xlpm.party,ledger!E:E,"&lt;&gt;*RD*",ledger!D:D,"Chamki",ledger!C:C,"&lt;&gt;November Closing CF")+
SUMIFS(ledger!J:J,ledger!B:B,_xlpm.party,ledger!E:E,"&lt;&gt;*RD*",ledger!D:D,"Crinkle",ledger!C:C,"&lt;&gt;November Closing CF")
))))</f>
        <v>266889.17337234825</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266889.17337234825</v>
      </c>
      <c r="O59" s="22">
        <f>SUMIF(Table14[Party], B59, Table14[Credit])</f>
        <v>236500</v>
      </c>
      <c r="P59" s="37">
        <f t="shared" si="6"/>
        <v>30389.173372348247</v>
      </c>
      <c r="Q59" s="21">
        <v>10</v>
      </c>
      <c r="R59" s="21">
        <v>12</v>
      </c>
      <c r="U59" s="4" t="s">
        <v>22</v>
      </c>
      <c r="V59" s="5">
        <v>34084.674469641555</v>
      </c>
      <c r="W59" s="18">
        <v>409016.09363569866</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790000</v>
      </c>
      <c r="P60" s="37">
        <f t="shared" si="6"/>
        <v>292644.47695683991</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813525</v>
      </c>
      <c r="P68" s="37">
        <f t="shared" si="6"/>
        <v>-813525</v>
      </c>
      <c r="Q68" s="21">
        <v>10</v>
      </c>
      <c r="R68" s="21">
        <v>12</v>
      </c>
      <c r="U68" s="4" t="s">
        <v>27</v>
      </c>
      <c r="V68" s="5">
        <v>26688.917337234823</v>
      </c>
      <c r="W68" s="18">
        <v>266889.17337234825</v>
      </c>
    </row>
    <row r="69" spans="2:23" x14ac:dyDescent="0.3">
      <c r="B69" s="81" t="str">
        <v>Shahid Qasayi</v>
      </c>
      <c r="C69" s="22">
        <v>76830</v>
      </c>
      <c r="D69" s="22">
        <v>70254.206291148512</v>
      </c>
      <c r="E69" s="63">
        <v>70254.206291148512</v>
      </c>
      <c r="F69" s="21">
        <v>0</v>
      </c>
      <c r="G69" s="22" cm="1">
        <f t="array" ref="G69">(_xlfn.BYROW(B69,_xlfn.LAMBDA(_xlpm.party,
(SUMIFS(ledger!J:J,ledger!B:B,_xlpm.party,ledger!E:E,"&lt;&gt;*RD*",ledger!D:D,"Chamki",ledger!C:C,"&lt;&gt;November Closing CF")+
SUMIFS(ledger!J:J,ledger!B:B,_xlpm.party,ledger!E:E,"&lt;&gt;*RD*",ledger!D:D,"Crinkle",ledger!C:C,"&lt;&gt;November Closing CF")
))))</f>
        <v>702542.06291148497</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702542.06291148497</v>
      </c>
      <c r="O69" s="22">
        <f>SUMIF(Table14[Party], B69, Table14[Credit])</f>
        <v>339770</v>
      </c>
      <c r="P69" s="37">
        <f t="shared" si="6"/>
        <v>362772.06291148497</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v>0</v>
      </c>
      <c r="C75">
        <v>0</v>
      </c>
      <c r="D75">
        <v>0</v>
      </c>
      <c r="E75">
        <v>0</v>
      </c>
      <c r="F75">
        <v>0</v>
      </c>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451645.02560351137</v>
      </c>
      <c r="W75" s="14">
        <v>4031900.1463057795</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0">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v>0</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0"/>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0">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252959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231308.52231163136</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183750</v>
      </c>
      <c r="E12" s="92">
        <f ca="1">Table21[[#This Row],[gazana]]*Table21[[#This Row],[Rate]]</f>
        <v>1837500</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1837500</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1808095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552548.74542794423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v>0</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2675330</v>
      </c>
      <c r="D4" t="s">
        <v>190</v>
      </c>
    </row>
    <row r="5" spans="1:4" x14ac:dyDescent="0.3">
      <c r="B5" t="s">
        <v>48</v>
      </c>
      <c r="C5" s="11">
        <f>SUM(Table8[Price])+Dyes!P56</f>
        <v>897410</v>
      </c>
    </row>
    <row r="6" spans="1:4" x14ac:dyDescent="0.3">
      <c r="B6" t="s">
        <v>49</v>
      </c>
      <c r="C6" s="11">
        <f>SUM(Table2[Price])+Finish!K30</f>
        <v>457600</v>
      </c>
      <c r="D6" t="s">
        <v>189</v>
      </c>
    </row>
    <row r="7" spans="1:4" x14ac:dyDescent="0.3">
      <c r="B7" t="s">
        <v>50</v>
      </c>
      <c r="C7" s="11">
        <f>SUMIFS(Table14[Debit], Table14[Party],Table12[[#This Row],[Type]])</f>
        <v>10275</v>
      </c>
    </row>
    <row r="8" spans="1:4" x14ac:dyDescent="0.3">
      <c r="B8" t="s">
        <v>51</v>
      </c>
      <c r="C8" s="11">
        <f>Electricity!E3</f>
        <v>0</v>
      </c>
    </row>
    <row r="9" spans="1:4" x14ac:dyDescent="0.3">
      <c r="B9" t="s">
        <v>52</v>
      </c>
      <c r="C9" s="11">
        <f>SUMIFS(Table14[Debit], Table14[Party],Table12[[#This Row],[Type]])+SUMIFS(Table14[Debit], Table14[Party],"Advance Salary")</f>
        <v>44000</v>
      </c>
    </row>
    <row r="10" spans="1:4" x14ac:dyDescent="0.3">
      <c r="B10" t="s">
        <v>53</v>
      </c>
      <c r="C10" s="11">
        <f>Table5[[#Totals],[Amount]]</f>
        <v>36865</v>
      </c>
    </row>
    <row r="11" spans="1:4" x14ac:dyDescent="0.3">
      <c r="B11" t="s">
        <v>54</v>
      </c>
      <c r="C11" s="11">
        <f>Table13[[#Totals],[Debit]]</f>
        <v>55855</v>
      </c>
    </row>
    <row r="12" spans="1:4" x14ac:dyDescent="0.3">
      <c r="B12" t="s">
        <v>55</v>
      </c>
      <c r="C12" s="11">
        <f>Table15[[#Totals],[Amount]]</f>
        <v>31545</v>
      </c>
    </row>
    <row r="13" spans="1:4" x14ac:dyDescent="0.3">
      <c r="C13" s="11"/>
    </row>
    <row r="14" spans="1:4" x14ac:dyDescent="0.3">
      <c r="C14" s="14">
        <f>SUM(Table12[Amount])</f>
        <v>4208880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5457061.9970738851</v>
      </c>
    </row>
    <row r="4" spans="1:3" x14ac:dyDescent="0.3">
      <c r="B4" s="11" t="s">
        <v>44</v>
      </c>
      <c r="C4" s="11">
        <f>Table12[[#Totals],[Amount]]</f>
        <v>4208880</v>
      </c>
    </row>
    <row r="5" spans="1:3" x14ac:dyDescent="0.3">
      <c r="A5" s="6"/>
      <c r="B5" s="15" t="s">
        <v>68</v>
      </c>
      <c r="C5" s="15">
        <f>C3-C4</f>
        <v>1248181.9970738851</v>
      </c>
    </row>
    <row r="10" spans="1:3" ht="15" thickBot="1" x14ac:dyDescent="0.35">
      <c r="B10" t="s">
        <v>66</v>
      </c>
      <c r="C10" s="14" t="s">
        <v>67</v>
      </c>
    </row>
    <row r="11" spans="1:3" x14ac:dyDescent="0.3">
      <c r="B11" s="56" t="s">
        <v>0</v>
      </c>
      <c r="C11" s="57">
        <f>C3</f>
        <v>5457061.9970738851</v>
      </c>
    </row>
    <row r="12" spans="1:3" x14ac:dyDescent="0.3">
      <c r="B12" s="58" t="s">
        <v>69</v>
      </c>
      <c r="C12" s="59">
        <f>SUM(Table14[Credit])</f>
        <v>17182221</v>
      </c>
    </row>
    <row r="13" spans="1:3" ht="15" thickBot="1" x14ac:dyDescent="0.35">
      <c r="B13" s="74" t="s">
        <v>93</v>
      </c>
      <c r="C13" s="73">
        <f>(C11-C12)</f>
        <v>-11725159.002926115</v>
      </c>
    </row>
    <row r="14" spans="1:3" ht="15" thickBot="1" x14ac:dyDescent="0.35">
      <c r="B14" s="58"/>
      <c r="C14" s="59"/>
    </row>
    <row r="15" spans="1:3" x14ac:dyDescent="0.3">
      <c r="B15" s="56" t="s">
        <v>44</v>
      </c>
      <c r="C15" s="57">
        <f>C4</f>
        <v>4208880</v>
      </c>
    </row>
    <row r="16" spans="1:3" x14ac:dyDescent="0.3">
      <c r="B16" s="58" t="s">
        <v>70</v>
      </c>
      <c r="C16" s="59">
        <f>SUM(Table14[Debit])</f>
        <v>17002623</v>
      </c>
    </row>
    <row r="17" spans="2:6" ht="15" thickBot="1" x14ac:dyDescent="0.35">
      <c r="B17" s="74" t="s">
        <v>71</v>
      </c>
      <c r="C17" s="73">
        <f>C15-C16</f>
        <v>-12793743</v>
      </c>
    </row>
    <row r="18" spans="2:6" ht="15" thickBot="1" x14ac:dyDescent="0.35">
      <c r="B18" s="58"/>
      <c r="C18" s="59"/>
    </row>
    <row r="19" spans="2:6" ht="15" thickBot="1" x14ac:dyDescent="0.35">
      <c r="B19" s="75" t="s">
        <v>72</v>
      </c>
      <c r="C19" s="76">
        <f>Table18[[#Totals],[amount]]</f>
        <v>179598</v>
      </c>
    </row>
    <row r="20" spans="2:6" ht="15" thickBot="1" x14ac:dyDescent="0.35">
      <c r="B20" s="71"/>
      <c r="C20" s="72"/>
    </row>
    <row r="21" spans="2:6" ht="15" thickBot="1" x14ac:dyDescent="0.35">
      <c r="B21" s="60" t="s">
        <v>73</v>
      </c>
      <c r="C21" s="61">
        <f>(C13-C17)+C19</f>
        <v>1248181.9970738851</v>
      </c>
      <c r="E21" s="79" t="s">
        <v>74</v>
      </c>
      <c r="F21" s="80">
        <f>C5*0.05</f>
        <v>62409.099853694257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0</v>
      </c>
      <c r="E16">
        <f>SUMIFS(Table14[Credit], Table14[Date], Table13[[#This Row],[Date]], Table14[Party], "Transport")</f>
        <v>0</v>
      </c>
    </row>
    <row r="17" spans="2:5" x14ac:dyDescent="0.3">
      <c r="B17" s="1">
        <v>46020</v>
      </c>
      <c r="D17">
        <f>SUMIFS(Table14[Debit], Table14[Date], Table13[[#This Row],[Date]], Table14[Party], "Transport")</f>
        <v>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55855</v>
      </c>
      <c r="E38">
        <f>SUBTOTAL(109,Table13[Credit])</f>
        <v>0</v>
      </c>
      <c r="F38">
        <f>Table13[[#Totals],[Debit]]-Table13[[#Totals],[Credit]]</f>
        <v>55855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74" zoomScale="91" zoomScaleNormal="82" workbookViewId="0">
      <selection activeCell="B93" sqref="B9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76.307801035189726</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76.307801035189726</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8.2854878680684152</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8.2854878680684152</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28.980162147149343</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8.2854878680684152</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c r="C93" s="119">
        <v>1289</v>
      </c>
      <c r="D93" s="119"/>
      <c r="E93" s="11"/>
      <c r="F93" s="11"/>
      <c r="G93" s="11"/>
      <c r="H93" s="120" t="e">
        <f>_xlfn.XLOOKUP(Table1[[#This Row],[Shipment Number]], 'pivot '!A:A,'pivot '!G:G, "NF")</f>
        <v>#DIV/0!</v>
      </c>
      <c r="I93" s="121">
        <f>Table1[[#This Row],[Tiyaar/gaz]]/1.0936</f>
        <v>0</v>
      </c>
      <c r="J93" s="121"/>
      <c r="K93" s="119"/>
    </row>
    <row r="94" spans="1:17" x14ac:dyDescent="0.3">
      <c r="A94" s="122">
        <v>46018</v>
      </c>
      <c r="B94" s="124"/>
      <c r="C94" s="119">
        <v>1290</v>
      </c>
      <c r="D94" s="119"/>
      <c r="E94" s="11"/>
      <c r="F94" s="11"/>
      <c r="G94" s="11"/>
      <c r="H94" s="120" t="e">
        <f>_xlfn.XLOOKUP(Table1[[#This Row],[Shipment Number]], 'pivot '!A:A,'pivot '!G:G, "NF")</f>
        <v>#DIV/0!</v>
      </c>
      <c r="I94" s="121">
        <f>Table1[[#This Row],[Tiyaar/gaz]]/1.0936</f>
        <v>0</v>
      </c>
      <c r="J94" s="121"/>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46018</v>
      </c>
      <c r="B96" s="124"/>
      <c r="C96" s="119"/>
      <c r="D96" s="119"/>
      <c r="E96" s="11"/>
      <c r="F96" s="11"/>
      <c r="G96" s="11"/>
      <c r="H96" s="120" t="e">
        <f>_xlfn.XLOOKUP(Table1[[#This Row],[Shipment Number]], 'pivot '!A:A,'pivot '!G:G, "NF")</f>
        <v>#DIV/0!</v>
      </c>
      <c r="I96" s="128"/>
      <c r="J96" s="121"/>
      <c r="K96" s="119"/>
      <c r="O96"/>
      <c r="P96"/>
      <c r="Q96"/>
    </row>
    <row r="97" spans="1:18" x14ac:dyDescent="0.3">
      <c r="A97" s="122">
        <v>46018</v>
      </c>
      <c r="B97" s="124"/>
      <c r="C97" s="119"/>
      <c r="D97" s="119"/>
      <c r="E97" s="11"/>
      <c r="F97" s="11"/>
      <c r="G97" s="11"/>
      <c r="H97" s="120" t="e">
        <f>_xlfn.XLOOKUP(Table1[[#This Row],[Shipment Number]], 'pivot '!A:A,'pivot '!G:G, "NF")</f>
        <v>#DIV/0!</v>
      </c>
      <c r="I97" s="128"/>
      <c r="J97" s="121"/>
      <c r="K97" s="119"/>
      <c r="O97"/>
      <c r="P97"/>
      <c r="Q97"/>
    </row>
    <row r="98" spans="1:18" x14ac:dyDescent="0.3">
      <c r="A98"/>
      <c r="B98"/>
      <c r="C98"/>
      <c r="D98"/>
      <c r="E98" s="14"/>
      <c r="F98" s="14"/>
      <c r="G98" s="14"/>
      <c r="H98" s="43"/>
      <c r="I98" s="94" cm="1">
        <f t="array" aca="1" ref="I98" ca="1">SUMPRODUCT( SUBTOTAL(109, OFFSET(Table1[tiyar/meters], ROW(Table1[tiyar/meters])-MIN(ROW(Table1[tiyar/meters])), 0, 1)), --(Table1[Bill Number]&lt;&gt;"November Closing CF") )</f>
        <v>529386.43013899052</v>
      </c>
      <c r="J98" s="43" cm="1">
        <f t="array" aca="1" ref="J98" ca="1">SUMPRODUCT( SUBTOTAL(109, OFFSET(Table1[billing], ROW(Table1[billing])-MIN(ROW(Table1[billing])), 0, 1)), --(Table1[Bill Number]&lt;&gt;"November Closing CF") )</f>
        <v>5457061.9970738841</v>
      </c>
      <c r="K98" s="14">
        <f>SUMIFS(Table1[billing], Table1[Bill Number], "&lt;&gt;November Closing CF")</f>
        <v>5457061.9970738841</v>
      </c>
      <c r="L98"/>
      <c r="M98"/>
      <c r="O98"/>
      <c r="P98"/>
      <c r="Q98"/>
    </row>
    <row r="99" spans="1:18" x14ac:dyDescent="0.3">
      <c r="M99"/>
      <c r="P99"/>
      <c r="Q99"/>
      <c r="R99"/>
    </row>
    <row r="100" spans="1:18" x14ac:dyDescent="0.3">
      <c r="M100"/>
      <c r="P100"/>
      <c r="Q100"/>
      <c r="R100"/>
    </row>
    <row r="101" spans="1:18" x14ac:dyDescent="0.3">
      <c r="M101"/>
      <c r="P101"/>
      <c r="Q101"/>
      <c r="R101"/>
    </row>
    <row r="102" spans="1:18" x14ac:dyDescent="0.3">
      <c r="M102"/>
      <c r="P102"/>
      <c r="Q102"/>
      <c r="R102"/>
    </row>
    <row r="103" spans="1:18" x14ac:dyDescent="0.3">
      <c r="M103"/>
      <c r="P103"/>
      <c r="Q103"/>
      <c r="R103"/>
    </row>
    <row r="104" spans="1:18" x14ac:dyDescent="0.3">
      <c r="M104"/>
      <c r="P104"/>
      <c r="Q104"/>
      <c r="R104"/>
    </row>
    <row r="105" spans="1:18" x14ac:dyDescent="0.3">
      <c r="M105"/>
      <c r="P105"/>
      <c r="Q105"/>
      <c r="R105"/>
    </row>
    <row r="106" spans="1:18" x14ac:dyDescent="0.3">
      <c r="P106"/>
      <c r="Q106"/>
      <c r="R106"/>
    </row>
    <row r="107" spans="1:18" x14ac:dyDescent="0.3">
      <c r="L107"/>
      <c r="P107"/>
      <c r="Q107"/>
      <c r="R107"/>
    </row>
    <row r="108" spans="1:18" x14ac:dyDescent="0.3">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97">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8"/>
  <sheetViews>
    <sheetView topLeftCell="A37" zoomScale="145" zoomScaleNormal="90" workbookViewId="0">
      <selection activeCell="J46" sqref="J4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2103230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255</v>
      </c>
      <c r="N27" s="14">
        <v>192750</v>
      </c>
      <c r="O27" s="14">
        <v>150000</v>
      </c>
      <c r="P27" s="14">
        <v>42750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255</v>
      </c>
      <c r="N29" s="14">
        <v>192750</v>
      </c>
      <c r="O29" s="14"/>
      <c r="P29" s="14">
        <v>192750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145</v>
      </c>
      <c r="N35" s="14">
        <v>106915</v>
      </c>
      <c r="O35" s="14">
        <v>50000</v>
      </c>
      <c r="P35" s="14">
        <v>56915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t="s">
        <v>103</v>
      </c>
      <c r="M36" s="14"/>
      <c r="N36" s="14">
        <v>0</v>
      </c>
      <c r="O36" s="14">
        <v>50000</v>
      </c>
      <c r="P36" s="14">
        <v>-50000</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v>9662</v>
      </c>
      <c r="M37" s="14">
        <v>145</v>
      </c>
      <c r="N37" s="14">
        <v>106915</v>
      </c>
      <c r="O37" s="14">
        <v>0</v>
      </c>
      <c r="P37" s="14">
        <v>106915</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t="s">
        <v>28</v>
      </c>
      <c r="M40" s="14">
        <v>2107</v>
      </c>
      <c r="N40" s="14">
        <v>1596010</v>
      </c>
      <c r="O40" s="14">
        <v>1916650</v>
      </c>
      <c r="P40" s="14">
        <v>3000788</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row>
    <row r="42" spans="1:16" x14ac:dyDescent="0.3">
      <c r="A42" s="1">
        <v>46018</v>
      </c>
      <c r="B42" t="s">
        <v>200</v>
      </c>
      <c r="D42" s="11">
        <v>252</v>
      </c>
      <c r="E42" s="11">
        <v>810</v>
      </c>
      <c r="F42" s="11"/>
      <c r="G42" s="11">
        <f t="shared" si="5"/>
        <v>204120</v>
      </c>
      <c r="H42" s="11">
        <f>SUMIFS(Table14[Debit], Table14[Date], Table3[[#This Row],[Date]], Table14[Party], Table3[[#This Row],[Party Name]])</f>
        <v>100000</v>
      </c>
      <c r="I42" s="11">
        <f>(D42*E42)-Table3[[#This Row],[Paid]]</f>
        <v>104120</v>
      </c>
    </row>
    <row r="43" spans="1:16" x14ac:dyDescent="0.3">
      <c r="A43" s="1">
        <v>46018</v>
      </c>
      <c r="B43" t="s">
        <v>200</v>
      </c>
      <c r="D43" s="11">
        <v>244</v>
      </c>
      <c r="E43" s="11">
        <v>810</v>
      </c>
      <c r="F43" s="11"/>
      <c r="G43" s="11">
        <f t="shared" si="5"/>
        <v>197640</v>
      </c>
      <c r="H43" s="11"/>
      <c r="I43" s="11">
        <f>(D43*E43)-Table3[[#This Row],[Paid]]</f>
        <v>197640</v>
      </c>
    </row>
    <row r="44" spans="1:16" x14ac:dyDescent="0.3">
      <c r="A44" s="1">
        <v>46018</v>
      </c>
      <c r="B44" t="s">
        <v>169</v>
      </c>
      <c r="D44" s="11"/>
      <c r="E44" s="11"/>
      <c r="F44" s="11"/>
      <c r="G44" s="11">
        <f t="shared" si="5"/>
        <v>0</v>
      </c>
      <c r="H44" s="11"/>
      <c r="I44" s="11">
        <f>(D44*E44)-Table3[[#This Row],[Paid]]</f>
        <v>0</v>
      </c>
    </row>
    <row r="45" spans="1:16" x14ac:dyDescent="0.3">
      <c r="A45" s="1">
        <v>46018</v>
      </c>
      <c r="B45" t="s">
        <v>169</v>
      </c>
      <c r="D45" s="11"/>
      <c r="E45" s="11"/>
      <c r="F45" s="11"/>
      <c r="G45" s="11">
        <f>D45*E45</f>
        <v>0</v>
      </c>
      <c r="H45" s="11"/>
      <c r="I45" s="11">
        <f>(D45*E45)-Table3[[#This Row],[Paid]]</f>
        <v>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row>
    <row r="48" spans="1:16" x14ac:dyDescent="0.3">
      <c r="A48" s="1"/>
      <c r="D48" s="14"/>
      <c r="E48" s="14"/>
      <c r="F48" s="14"/>
      <c r="G48" s="14">
        <f>SUBTOTAL(109,Table3[Total])</f>
        <v>2103230</v>
      </c>
      <c r="H48" s="14">
        <f>SUBTOTAL(109,Table3[Paid])</f>
        <v>2101650</v>
      </c>
      <c r="I48" s="14">
        <f>SUBTOTAL(109,Table3[balance])</f>
        <v>3323008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158" zoomScale="158" workbookViewId="0">
      <selection activeCell="A168" sqref="A16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8768032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17002623</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17182221</v>
      </c>
      <c r="M5" s="45" t="s">
        <v>108</v>
      </c>
      <c r="N5" s="46">
        <f>(SUMIFS(Table14[Credit],Table14[Mode],"Bank")-SUMIFS(Table14[Debit],Table14[Mode],"Bank")-SUMIFS(Table14[Withdrawal],Table14[Mode],"Transfer"))</f>
        <v>790514</v>
      </c>
      <c r="O5">
        <v>360000</v>
      </c>
    </row>
    <row r="6" spans="1:16" x14ac:dyDescent="0.3">
      <c r="A6" s="38">
        <v>46009</v>
      </c>
      <c r="B6" t="s">
        <v>177</v>
      </c>
      <c r="C6" s="96">
        <v>3600</v>
      </c>
      <c r="D6" s="96"/>
      <c r="E6" t="s">
        <v>218</v>
      </c>
      <c r="F6" s="111" t="s">
        <v>108</v>
      </c>
      <c r="J6" s="52" t="s">
        <v>43</v>
      </c>
      <c r="K6" s="53">
        <f>(K5-K4)</f>
        <v>179598</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179598</v>
      </c>
      <c r="O7" s="90">
        <f>SUM(O5,O6)</f>
        <v>410000</v>
      </c>
      <c r="P7" s="14">
        <f>Table18[[#Totals],[amount]]-Table18[[#Totals],[Actual]]</f>
        <v>-230402</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7" x14ac:dyDescent="0.3">
      <c r="A145" s="38">
        <v>46018</v>
      </c>
      <c r="B145" t="s">
        <v>50</v>
      </c>
      <c r="C145" s="11">
        <v>3440</v>
      </c>
      <c r="D145" s="11"/>
      <c r="E145" t="s">
        <v>313</v>
      </c>
      <c r="F145" s="111" t="s">
        <v>108</v>
      </c>
    </row>
    <row r="146" spans="1:7" x14ac:dyDescent="0.3">
      <c r="A146" s="38">
        <v>46018</v>
      </c>
      <c r="B146" t="s">
        <v>52</v>
      </c>
      <c r="C146" s="11"/>
      <c r="D146" s="11"/>
      <c r="E146" t="s">
        <v>314</v>
      </c>
      <c r="F146" s="111" t="s">
        <v>108</v>
      </c>
    </row>
    <row r="147" spans="1:7" x14ac:dyDescent="0.3">
      <c r="A147" s="38">
        <v>46018</v>
      </c>
      <c r="B147" t="s">
        <v>192</v>
      </c>
      <c r="C147" s="11"/>
      <c r="D147" s="11">
        <v>34000</v>
      </c>
      <c r="E147" t="s">
        <v>198</v>
      </c>
      <c r="F147" s="111" t="s">
        <v>108</v>
      </c>
    </row>
    <row r="148" spans="1:7" x14ac:dyDescent="0.3">
      <c r="A148" s="38">
        <v>46018</v>
      </c>
      <c r="B148" t="s">
        <v>198</v>
      </c>
      <c r="C148" s="11">
        <v>34000</v>
      </c>
      <c r="D148" s="11"/>
      <c r="E148" t="s">
        <v>18</v>
      </c>
      <c r="F148" s="111" t="s">
        <v>108</v>
      </c>
    </row>
    <row r="149" spans="1:7" x14ac:dyDescent="0.3">
      <c r="A149" s="38">
        <v>46018</v>
      </c>
      <c r="B149" t="s">
        <v>224</v>
      </c>
      <c r="C149" s="11"/>
      <c r="D149" s="11">
        <v>200000</v>
      </c>
      <c r="E149" t="s">
        <v>315</v>
      </c>
      <c r="F149" s="111" t="s">
        <v>108</v>
      </c>
    </row>
    <row r="150" spans="1:7" x14ac:dyDescent="0.3">
      <c r="A150" s="125">
        <v>46018</v>
      </c>
      <c r="B150" s="126" t="s">
        <v>192</v>
      </c>
      <c r="C150" s="96">
        <v>200000</v>
      </c>
      <c r="D150" s="96"/>
      <c r="E150" s="126" t="s">
        <v>316</v>
      </c>
      <c r="F150" s="127" t="s">
        <v>108</v>
      </c>
      <c r="G150" s="126"/>
    </row>
    <row r="151" spans="1:7" x14ac:dyDescent="0.3">
      <c r="A151" s="38">
        <v>46018</v>
      </c>
      <c r="B151" t="s">
        <v>192</v>
      </c>
      <c r="C151" s="11"/>
      <c r="D151" s="11">
        <v>111000</v>
      </c>
      <c r="F151" s="111" t="s">
        <v>108</v>
      </c>
    </row>
    <row r="152" spans="1:7" x14ac:dyDescent="0.3">
      <c r="A152" s="125">
        <v>46018</v>
      </c>
      <c r="B152" t="s">
        <v>229</v>
      </c>
      <c r="C152" s="11">
        <v>100000</v>
      </c>
      <c r="D152" s="11"/>
      <c r="E152" t="s">
        <v>317</v>
      </c>
      <c r="F152" s="111" t="s">
        <v>108</v>
      </c>
    </row>
    <row r="153" spans="1:7" x14ac:dyDescent="0.3">
      <c r="A153" s="38">
        <v>46018</v>
      </c>
      <c r="B153" t="s">
        <v>199</v>
      </c>
      <c r="C153" s="11"/>
      <c r="D153" s="11">
        <v>150000</v>
      </c>
      <c r="E153" t="s">
        <v>318</v>
      </c>
      <c r="F153" s="111" t="s">
        <v>108</v>
      </c>
    </row>
    <row r="154" spans="1:7" x14ac:dyDescent="0.3">
      <c r="A154" s="125">
        <v>46018</v>
      </c>
      <c r="B154" t="s">
        <v>192</v>
      </c>
      <c r="C154" s="11">
        <v>150000</v>
      </c>
      <c r="D154" s="11"/>
      <c r="E154" t="s">
        <v>319</v>
      </c>
      <c r="F154" s="111" t="s">
        <v>108</v>
      </c>
    </row>
    <row r="155" spans="1:7" x14ac:dyDescent="0.3">
      <c r="A155" s="38">
        <v>46018</v>
      </c>
      <c r="B155" t="s">
        <v>192</v>
      </c>
      <c r="C155" s="11"/>
      <c r="D155" s="11">
        <v>50000</v>
      </c>
      <c r="F155" s="111" t="s">
        <v>108</v>
      </c>
    </row>
    <row r="156" spans="1:7" x14ac:dyDescent="0.3">
      <c r="A156" s="125">
        <v>46018</v>
      </c>
      <c r="B156" t="s">
        <v>55</v>
      </c>
      <c r="C156" s="11">
        <v>4150</v>
      </c>
      <c r="D156" s="11"/>
      <c r="E156" t="s">
        <v>320</v>
      </c>
      <c r="F156" s="111" t="s">
        <v>108</v>
      </c>
    </row>
    <row r="157" spans="1:7" x14ac:dyDescent="0.3">
      <c r="A157" s="38">
        <v>46018</v>
      </c>
      <c r="B157" t="s">
        <v>198</v>
      </c>
      <c r="C157" s="11">
        <v>50000</v>
      </c>
      <c r="D157" s="11"/>
      <c r="E157" t="s">
        <v>321</v>
      </c>
      <c r="F157" s="111" t="s">
        <v>108</v>
      </c>
    </row>
    <row r="158" spans="1:7" x14ac:dyDescent="0.3">
      <c r="A158" s="125">
        <v>46018</v>
      </c>
      <c r="B158" t="s">
        <v>192</v>
      </c>
      <c r="C158" s="11"/>
      <c r="D158" s="11">
        <v>50000</v>
      </c>
      <c r="E158" t="s">
        <v>198</v>
      </c>
      <c r="F158" s="111" t="s">
        <v>108</v>
      </c>
    </row>
    <row r="159" spans="1:7" x14ac:dyDescent="0.3">
      <c r="A159" s="38">
        <v>46018</v>
      </c>
      <c r="B159" t="s">
        <v>166</v>
      </c>
      <c r="C159" s="11"/>
      <c r="D159" s="11">
        <v>100000</v>
      </c>
      <c r="E159" t="s">
        <v>322</v>
      </c>
      <c r="F159" s="111" t="s">
        <v>108</v>
      </c>
    </row>
    <row r="160" spans="1:7" x14ac:dyDescent="0.3">
      <c r="A160" s="125">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125">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125">
        <v>46018</v>
      </c>
      <c r="B164" t="s">
        <v>55</v>
      </c>
      <c r="C164" s="11">
        <v>590</v>
      </c>
      <c r="D164" s="11"/>
      <c r="F164" s="111" t="s">
        <v>108</v>
      </c>
      <c r="J164" s="4" t="s">
        <v>233</v>
      </c>
      <c r="K164" s="14"/>
      <c r="L164" s="14">
        <v>44000</v>
      </c>
    </row>
    <row r="165" spans="1:12" x14ac:dyDescent="0.3">
      <c r="A165" s="38">
        <v>46018</v>
      </c>
      <c r="B165" t="s">
        <v>54</v>
      </c>
      <c r="C165" s="11">
        <v>2500</v>
      </c>
      <c r="D165" s="11"/>
      <c r="E165" t="s">
        <v>236</v>
      </c>
      <c r="F165" s="111" t="s">
        <v>108</v>
      </c>
      <c r="J165" s="4" t="s">
        <v>9</v>
      </c>
      <c r="K165" s="14">
        <v>350000</v>
      </c>
      <c r="L165" s="14"/>
    </row>
    <row r="166" spans="1:12" x14ac:dyDescent="0.3">
      <c r="A166" s="125">
        <v>46018</v>
      </c>
      <c r="B166" t="s">
        <v>55</v>
      </c>
      <c r="C166" s="11">
        <v>1000</v>
      </c>
      <c r="D166" s="11"/>
      <c r="F166" s="111" t="s">
        <v>108</v>
      </c>
      <c r="J166" s="4" t="s">
        <v>94</v>
      </c>
      <c r="K166" s="14"/>
      <c r="L166" s="14">
        <v>453825</v>
      </c>
    </row>
    <row r="167" spans="1:12" x14ac:dyDescent="0.3">
      <c r="A167" s="38">
        <v>46018</v>
      </c>
      <c r="B167" t="s">
        <v>50</v>
      </c>
      <c r="C167" s="11">
        <v>1000</v>
      </c>
      <c r="D167" s="11"/>
      <c r="E167" t="s">
        <v>217</v>
      </c>
      <c r="F167" s="111" t="s">
        <v>108</v>
      </c>
      <c r="J167" s="4" t="s">
        <v>50</v>
      </c>
      <c r="K167" s="14"/>
      <c r="L167" s="14">
        <v>10275</v>
      </c>
    </row>
    <row r="168" spans="1:12" x14ac:dyDescent="0.3">
      <c r="A168" s="125"/>
      <c r="B168" s="126"/>
      <c r="C168" s="96"/>
      <c r="D168" s="96"/>
      <c r="E168" s="126"/>
      <c r="F168" s="127"/>
      <c r="G168" s="126"/>
      <c r="J168" s="4" t="s">
        <v>55</v>
      </c>
      <c r="K168" s="14"/>
      <c r="L168" s="14">
        <v>31545</v>
      </c>
    </row>
    <row r="169" spans="1:12" x14ac:dyDescent="0.3">
      <c r="A169" s="38"/>
      <c r="C169" s="14">
        <f>SUBTOTAL(109,Table14[Debit])</f>
        <v>17002623</v>
      </c>
      <c r="D169" s="14">
        <f>SUBTOTAL(109,Table14[Credit])</f>
        <v>17182221</v>
      </c>
      <c r="F169" s="54">
        <f>(Table14[[#Totals],[Credit]]-Table14[[#Totals],[Debit]])</f>
        <v>179598</v>
      </c>
      <c r="J169" s="4" t="s">
        <v>113</v>
      </c>
      <c r="K169" s="14"/>
      <c r="L169" s="14">
        <v>36865</v>
      </c>
    </row>
    <row r="170" spans="1:12" x14ac:dyDescent="0.3">
      <c r="J170" s="4" t="s">
        <v>52</v>
      </c>
      <c r="K170" s="14"/>
      <c r="L170" s="14"/>
    </row>
    <row r="171" spans="1:12" x14ac:dyDescent="0.3">
      <c r="J171" s="4" t="s">
        <v>54</v>
      </c>
      <c r="K171" s="14"/>
      <c r="L171" s="14">
        <v>55855</v>
      </c>
    </row>
    <row r="172" spans="1:12" x14ac:dyDescent="0.3">
      <c r="J172" s="4" t="s">
        <v>116</v>
      </c>
      <c r="K172" s="14"/>
      <c r="L172" s="14">
        <v>150000</v>
      </c>
    </row>
    <row r="173" spans="1:12" x14ac:dyDescent="0.3">
      <c r="J173" s="4" t="s">
        <v>177</v>
      </c>
      <c r="K173" s="14"/>
      <c r="L173" s="14">
        <v>667240</v>
      </c>
    </row>
    <row r="174" spans="1:12" x14ac:dyDescent="0.3">
      <c r="J174" s="4" t="s">
        <v>222</v>
      </c>
      <c r="K174" s="14">
        <v>323372</v>
      </c>
      <c r="L174" s="14">
        <v>11860</v>
      </c>
    </row>
    <row r="175" spans="1:12" x14ac:dyDescent="0.3">
      <c r="J175" s="4" t="s">
        <v>326</v>
      </c>
      <c r="K175" s="14">
        <v>148088</v>
      </c>
      <c r="L175" s="14"/>
    </row>
    <row r="176" spans="1:12" x14ac:dyDescent="0.3">
      <c r="J176" s="4" t="s">
        <v>103</v>
      </c>
      <c r="K176" s="14"/>
      <c r="L176" s="14"/>
    </row>
    <row r="177" spans="10:12" x14ac:dyDescent="0.3">
      <c r="J177" s="4" t="s">
        <v>277</v>
      </c>
      <c r="K177" s="14">
        <v>600000</v>
      </c>
      <c r="L177" s="14"/>
    </row>
    <row r="178" spans="10:12" x14ac:dyDescent="0.3">
      <c r="J178" s="4" t="s">
        <v>224</v>
      </c>
      <c r="K178" s="14">
        <v>236500</v>
      </c>
      <c r="L178" s="14"/>
    </row>
    <row r="179" spans="10:12" x14ac:dyDescent="0.3">
      <c r="J179" s="4" t="s">
        <v>149</v>
      </c>
      <c r="K179" s="14"/>
      <c r="L179" s="14">
        <v>50000</v>
      </c>
    </row>
    <row r="180" spans="10:12" x14ac:dyDescent="0.3">
      <c r="J180" s="4" t="s">
        <v>152</v>
      </c>
      <c r="K180" s="14">
        <v>1007920</v>
      </c>
      <c r="L180" s="14"/>
    </row>
    <row r="181" spans="10:12" x14ac:dyDescent="0.3">
      <c r="J181" s="4" t="s">
        <v>166</v>
      </c>
      <c r="K181" s="14">
        <v>790000</v>
      </c>
      <c r="L181" s="14"/>
    </row>
    <row r="182" spans="10:12" x14ac:dyDescent="0.3">
      <c r="J182" s="4" t="s">
        <v>169</v>
      </c>
      <c r="K182" s="14"/>
      <c r="L182" s="14">
        <v>565800</v>
      </c>
    </row>
    <row r="183" spans="10:12" x14ac:dyDescent="0.3">
      <c r="J183" s="4" t="s">
        <v>192</v>
      </c>
      <c r="K183" s="14">
        <v>4415930</v>
      </c>
      <c r="L183" s="14">
        <v>11248968</v>
      </c>
    </row>
    <row r="184" spans="10:12" x14ac:dyDescent="0.3">
      <c r="J184" s="4" t="s">
        <v>198</v>
      </c>
      <c r="K184" s="14"/>
      <c r="L184" s="14">
        <v>429000</v>
      </c>
    </row>
    <row r="185" spans="10:12" x14ac:dyDescent="0.3">
      <c r="J185" s="4" t="s">
        <v>51</v>
      </c>
      <c r="K185" s="14"/>
      <c r="L185" s="14">
        <v>2047865</v>
      </c>
    </row>
    <row r="186" spans="10:12" x14ac:dyDescent="0.3">
      <c r="J186" s="4" t="s">
        <v>219</v>
      </c>
      <c r="K186" s="14"/>
      <c r="L186" s="14">
        <v>5000</v>
      </c>
    </row>
    <row r="187" spans="10:12" x14ac:dyDescent="0.3">
      <c r="J187" s="4" t="s">
        <v>199</v>
      </c>
      <c r="K187" s="14">
        <v>339770</v>
      </c>
      <c r="L187" s="14"/>
    </row>
    <row r="188" spans="10:12" x14ac:dyDescent="0.3">
      <c r="J188" s="4" t="s">
        <v>229</v>
      </c>
      <c r="K188" s="14"/>
      <c r="L188" s="14">
        <v>897025</v>
      </c>
    </row>
    <row r="189" spans="10:12" x14ac:dyDescent="0.3">
      <c r="J189" s="4" t="s">
        <v>202</v>
      </c>
      <c r="K189" s="14"/>
      <c r="L189" s="14">
        <v>80000</v>
      </c>
    </row>
    <row r="190" spans="10:12" x14ac:dyDescent="0.3">
      <c r="J190" s="4" t="s">
        <v>216</v>
      </c>
      <c r="K190" s="14">
        <v>8157116</v>
      </c>
      <c r="L190" s="14"/>
    </row>
    <row r="191" spans="10:12" x14ac:dyDescent="0.3">
      <c r="J191" s="4" t="s">
        <v>256</v>
      </c>
      <c r="K191" s="14"/>
      <c r="L191" s="14">
        <v>55000</v>
      </c>
    </row>
    <row r="192" spans="10:12" x14ac:dyDescent="0.3">
      <c r="J192" s="4" t="s">
        <v>286</v>
      </c>
      <c r="K192" s="14">
        <v>813525</v>
      </c>
      <c r="L192" s="14"/>
    </row>
    <row r="193" spans="10:12" x14ac:dyDescent="0.3">
      <c r="J193" s="4" t="s">
        <v>302</v>
      </c>
      <c r="K193" s="14"/>
      <c r="L193" s="14">
        <v>162500</v>
      </c>
    </row>
    <row r="194" spans="10:12" x14ac:dyDescent="0.3">
      <c r="J194" s="4" t="s">
        <v>28</v>
      </c>
      <c r="K194" s="14">
        <v>17182221</v>
      </c>
      <c r="L194" s="14">
        <v>17002623</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abSelected="1" zoomScale="107" zoomScaleNormal="210" workbookViewId="0">
      <selection activeCell="A11" sqref="A1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D10" s="129"/>
      <c r="E10">
        <v>111000</v>
      </c>
      <c r="F10" t="s">
        <v>176</v>
      </c>
      <c r="G10" s="129">
        <f>SUMIFS(Table14[Debit], Table14[Date], Table8[[#This Row],[Date]], Table14[Party], Table8[[#This Row],[Party]])</f>
        <v>84000</v>
      </c>
      <c r="H10" s="129">
        <f>Table8[[#This Row],[Price]]-Table8[[#This Row],[Paid]]</f>
        <v>27000</v>
      </c>
      <c r="K10" s="26">
        <v>46008</v>
      </c>
      <c r="L10" s="129"/>
      <c r="M10" s="129">
        <v>0</v>
      </c>
    </row>
    <row r="11" spans="1:14" x14ac:dyDescent="0.3">
      <c r="E11">
        <f>SUBTOTAL(109,Table8[Price])</f>
        <v>652500</v>
      </c>
      <c r="H11">
        <f>SUBTOTAL(109,Table8[Balance])</f>
        <v>61000</v>
      </c>
      <c r="K11" s="26">
        <v>46009</v>
      </c>
      <c r="L11" s="129">
        <v>183750</v>
      </c>
      <c r="M11" s="129">
        <v>0</v>
      </c>
    </row>
    <row r="12" spans="1:14" x14ac:dyDescent="0.3">
      <c r="K12" s="26">
        <v>46013</v>
      </c>
      <c r="L12" s="129">
        <v>111250</v>
      </c>
      <c r="M12" s="129">
        <v>0</v>
      </c>
    </row>
    <row r="13" spans="1:14" x14ac:dyDescent="0.3">
      <c r="K13" s="26">
        <v>46017</v>
      </c>
      <c r="L13" s="129">
        <v>84000</v>
      </c>
      <c r="M13" s="129">
        <v>34000</v>
      </c>
    </row>
    <row r="14" spans="1:14" x14ac:dyDescent="0.3">
      <c r="A14" t="s">
        <v>57</v>
      </c>
      <c r="B14" t="s">
        <v>156</v>
      </c>
      <c r="C14" t="s">
        <v>157</v>
      </c>
      <c r="D14" t="s">
        <v>4</v>
      </c>
      <c r="E14" t="s">
        <v>158</v>
      </c>
      <c r="K14" s="26">
        <v>46016</v>
      </c>
      <c r="L14" s="129">
        <v>162500</v>
      </c>
      <c r="M14" s="129">
        <v>0</v>
      </c>
    </row>
    <row r="15" spans="1:14" x14ac:dyDescent="0.3">
      <c r="A15" t="s">
        <v>131</v>
      </c>
      <c r="B15">
        <v>1</v>
      </c>
      <c r="C15">
        <v>25</v>
      </c>
      <c r="D15">
        <v>1400</v>
      </c>
      <c r="E15">
        <f>Table2325[[#This Row],[boxes]]*Table2325[[#This Row],[kgs]]*Table2325[[#This Row],[Rate]]</f>
        <v>35000</v>
      </c>
      <c r="K15" s="4" t="s">
        <v>28</v>
      </c>
      <c r="L15" s="129">
        <v>541500</v>
      </c>
      <c r="M15" s="129">
        <v>34000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29">
        <v>0</v>
      </c>
      <c r="L5" s="129">
        <v>0</v>
      </c>
      <c r="M5" s="129">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29">
        <v>0</v>
      </c>
      <c r="L6" s="129">
        <v>150000</v>
      </c>
      <c r="M6" s="129">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29">
        <v>351000</v>
      </c>
      <c r="L7" s="129">
        <v>0</v>
      </c>
      <c r="M7" s="129">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29">
        <v>0</v>
      </c>
      <c r="L8" s="129">
        <v>0</v>
      </c>
      <c r="M8" s="129">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29">
        <v>0</v>
      </c>
      <c r="L9" s="129">
        <v>0</v>
      </c>
      <c r="M9" s="12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29">
        <v>0</v>
      </c>
      <c r="L10" s="129">
        <v>0</v>
      </c>
      <c r="M10" s="129">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29">
        <v>351000</v>
      </c>
      <c r="L11" s="129">
        <v>150000</v>
      </c>
      <c r="M11" s="129">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621746</v>
      </c>
      <c r="C2" s="32">
        <f>GETPIVOTDATA("Sum of Tiyaar/gaz",$A$3)</f>
        <v>578937</v>
      </c>
      <c r="D2" s="31">
        <f>((B2*48)+((C2/1.0936)*10))/C2</f>
        <v>60.693430030193099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12488</v>
      </c>
      <c r="D5" s="28">
        <f t="shared" ref="D5:D38" si="1">I5</f>
        <v>194.40227903351959</v>
      </c>
      <c r="E5" s="11">
        <f t="shared" ref="E5:E38" si="2">B5 * 1.0936</f>
        <v>52709.332799999996</v>
      </c>
      <c r="F5" s="11">
        <f t="shared" si="0"/>
        <v>12488</v>
      </c>
      <c r="G5" s="78">
        <f>100- (F5/E5 *100)</f>
        <v>76.307801035189726</v>
      </c>
      <c r="H5" s="28">
        <f t="shared" ref="H5:H38" si="3">F5/1.0936</f>
        <v>11419.166057059254</v>
      </c>
      <c r="I5" s="28">
        <f>((B5*48)+(H5*10))/C5</f>
        <v>194.40227903351959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1958</v>
      </c>
      <c r="B7" s="14">
        <v>80202</v>
      </c>
      <c r="C7" s="14">
        <v>86828</v>
      </c>
      <c r="D7" s="28">
        <f t="shared" si="1"/>
        <v>53.481145328845784</v>
      </c>
      <c r="E7" s="11">
        <f t="shared" si="2"/>
        <v>87708.907199999987</v>
      </c>
      <c r="F7" s="11">
        <f t="shared" si="0"/>
        <v>86828</v>
      </c>
      <c r="G7" s="78">
        <f t="shared" si="4"/>
        <v>1.0043531815888258</v>
      </c>
      <c r="H7" s="28">
        <f t="shared" si="3"/>
        <v>79396.488661302123</v>
      </c>
      <c r="I7" s="28">
        <f>((B7*48)+(H7*10))/C7</f>
        <v>53.481145328845784</v>
      </c>
      <c r="J7" s="28"/>
      <c r="K7" s="28"/>
      <c r="L7" s="28"/>
    </row>
    <row r="8" spans="1:12" x14ac:dyDescent="0.3">
      <c r="A8" s="16">
        <v>1924</v>
      </c>
      <c r="B8" s="14">
        <v>24876</v>
      </c>
      <c r="C8" s="14">
        <v>26409</v>
      </c>
      <c r="D8" s="28">
        <f t="shared" si="1"/>
        <v>54.357788347907267</v>
      </c>
      <c r="E8" s="11">
        <f t="shared" si="2"/>
        <v>27204.393599999999</v>
      </c>
      <c r="F8" s="11">
        <f t="shared" si="0"/>
        <v>26409</v>
      </c>
      <c r="G8" s="78">
        <f t="shared" si="4"/>
        <v>2.9237689017997326</v>
      </c>
      <c r="H8" s="28">
        <f t="shared" si="3"/>
        <v>24148.683247988298</v>
      </c>
      <c r="I8" s="28">
        <f t="shared" ref="I8:I38" si="5">((B8*48)+(H8*10))/C8</f>
        <v>54.357788347907267</v>
      </c>
      <c r="J8" s="28"/>
      <c r="K8" s="28"/>
      <c r="L8" s="28"/>
    </row>
    <row r="9" spans="1:12" x14ac:dyDescent="0.3">
      <c r="A9" s="16">
        <v>1971</v>
      </c>
      <c r="B9" s="14">
        <v>50697</v>
      </c>
      <c r="C9" s="14">
        <v>49746</v>
      </c>
      <c r="D9" s="28">
        <f t="shared" si="1"/>
        <v>58.061732709700024</v>
      </c>
      <c r="E9" s="11">
        <f t="shared" si="2"/>
        <v>55442.239199999996</v>
      </c>
      <c r="F9" s="11">
        <f t="shared" si="0"/>
        <v>49746</v>
      </c>
      <c r="G9" s="78">
        <f t="shared" si="4"/>
        <v>10.274186761201378</v>
      </c>
      <c r="H9" s="28">
        <f t="shared" si="3"/>
        <v>45488.295537673745</v>
      </c>
      <c r="I9" s="28">
        <f t="shared" si="5"/>
        <v>58.061732709700024</v>
      </c>
      <c r="J9" s="28"/>
      <c r="K9" s="28"/>
      <c r="L9" s="28"/>
    </row>
    <row r="10" spans="1:12" x14ac:dyDescent="0.3">
      <c r="A10" s="16">
        <v>1972</v>
      </c>
      <c r="B10" s="14">
        <v>25068</v>
      </c>
      <c r="C10" s="14">
        <v>27057</v>
      </c>
      <c r="D10" s="28">
        <f t="shared" si="1"/>
        <v>53.615560355270468</v>
      </c>
      <c r="E10" s="11">
        <f t="shared" si="2"/>
        <v>27414.364799999999</v>
      </c>
      <c r="F10" s="11">
        <f t="shared" si="0"/>
        <v>27057</v>
      </c>
      <c r="G10" s="78">
        <f t="shared" si="4"/>
        <v>1.3035676828813507</v>
      </c>
      <c r="H10" s="28">
        <f t="shared" si="3"/>
        <v>24741.221653255307</v>
      </c>
      <c r="I10" s="28">
        <f t="shared" si="5"/>
        <v>53.615560355270468</v>
      </c>
      <c r="J10" s="28"/>
      <c r="K10" s="28"/>
      <c r="L10" s="28"/>
    </row>
    <row r="11" spans="1:12" x14ac:dyDescent="0.3">
      <c r="A11" s="16">
        <v>1951</v>
      </c>
      <c r="B11" s="14">
        <v>54197</v>
      </c>
      <c r="C11" s="14">
        <v>58298</v>
      </c>
      <c r="D11" s="28"/>
      <c r="E11" s="11">
        <f t="shared" si="2"/>
        <v>59269.839199999995</v>
      </c>
      <c r="F11" s="11">
        <f t="shared" si="0"/>
        <v>58298</v>
      </c>
      <c r="G11" s="78">
        <f t="shared" si="4"/>
        <v>1.6396859062171956</v>
      </c>
      <c r="H11" s="28">
        <f t="shared" si="3"/>
        <v>53308.339429407468</v>
      </c>
      <c r="I11" s="28">
        <f t="shared" si="5"/>
        <v>53.767528805346231</v>
      </c>
      <c r="J11" s="28"/>
      <c r="K11" s="28"/>
      <c r="L11" s="28"/>
    </row>
    <row r="12" spans="1:12" x14ac:dyDescent="0.3">
      <c r="A12" s="16">
        <v>1835</v>
      </c>
      <c r="B12" s="14">
        <v>50010</v>
      </c>
      <c r="C12" s="14">
        <v>50763</v>
      </c>
      <c r="D12" s="28">
        <f t="shared" si="1"/>
        <v>56.432096536047915</v>
      </c>
      <c r="E12" s="11">
        <f t="shared" si="2"/>
        <v>54690.935999999994</v>
      </c>
      <c r="F12" s="11">
        <f t="shared" si="0"/>
        <v>50763</v>
      </c>
      <c r="G12" s="78">
        <f t="shared" si="4"/>
        <v>7.1820602960607403</v>
      </c>
      <c r="H12" s="28">
        <f t="shared" si="3"/>
        <v>46418.251645940021</v>
      </c>
      <c r="I12" s="28">
        <f t="shared" si="5"/>
        <v>56.432096536047915</v>
      </c>
    </row>
    <row r="13" spans="1:12" x14ac:dyDescent="0.3">
      <c r="A13" s="16">
        <v>1987</v>
      </c>
      <c r="B13" s="14">
        <v>5613</v>
      </c>
      <c r="C13" s="14">
        <v>5795</v>
      </c>
      <c r="D13" s="28">
        <f t="shared" si="1"/>
        <v>55.63660472129633</v>
      </c>
      <c r="E13" s="11">
        <f t="shared" si="2"/>
        <v>6138.3767999999991</v>
      </c>
      <c r="F13" s="11">
        <f t="shared" si="0"/>
        <v>5795</v>
      </c>
      <c r="G13" s="78">
        <f t="shared" si="4"/>
        <v>5.5939348656471992</v>
      </c>
      <c r="H13" s="28">
        <f t="shared" si="3"/>
        <v>5299.0124359912224</v>
      </c>
      <c r="I13" s="28">
        <f t="shared" si="5"/>
        <v>55.63660472129633</v>
      </c>
    </row>
    <row r="14" spans="1:12" x14ac:dyDescent="0.3">
      <c r="A14" s="16">
        <v>1974</v>
      </c>
      <c r="B14" s="14">
        <v>50497</v>
      </c>
      <c r="C14" s="14">
        <v>53971</v>
      </c>
      <c r="D14" s="28">
        <f t="shared" si="1"/>
        <v>54.054451930936878</v>
      </c>
      <c r="E14" s="11">
        <f t="shared" si="2"/>
        <v>55223.519199999995</v>
      </c>
      <c r="F14" s="11">
        <f t="shared" si="0"/>
        <v>53971</v>
      </c>
      <c r="G14" s="78">
        <f t="shared" si="4"/>
        <v>2.2680901509804556</v>
      </c>
      <c r="H14" s="28">
        <f t="shared" si="3"/>
        <v>49351.682516459405</v>
      </c>
      <c r="I14" s="28">
        <f t="shared" si="5"/>
        <v>54.054451930936878</v>
      </c>
    </row>
    <row r="15" spans="1:12" x14ac:dyDescent="0.3">
      <c r="A15" s="16">
        <v>1982</v>
      </c>
      <c r="B15" s="14">
        <v>9556</v>
      </c>
      <c r="C15" s="14">
        <v>10218</v>
      </c>
      <c r="D15" s="28">
        <f t="shared" si="1"/>
        <v>54.034304968082061</v>
      </c>
      <c r="E15" s="11">
        <f>B15 * 1.0936</f>
        <v>10450.441599999998</v>
      </c>
      <c r="F15" s="11">
        <f t="shared" si="0"/>
        <v>10218</v>
      </c>
      <c r="G15" s="78">
        <f t="shared" si="4"/>
        <v>2.2242275388630333</v>
      </c>
      <c r="H15" s="28">
        <f t="shared" si="3"/>
        <v>9343.4528163862487</v>
      </c>
      <c r="I15" s="28">
        <f>((B15*48)+(H15*10))/C15</f>
        <v>54.034304968082061</v>
      </c>
    </row>
    <row r="16" spans="1:12" x14ac:dyDescent="0.3">
      <c r="A16" s="16">
        <v>1986</v>
      </c>
      <c r="B16" s="14">
        <v>25579</v>
      </c>
      <c r="C16" s="14">
        <v>27905</v>
      </c>
      <c r="D16" s="28">
        <f t="shared" si="1"/>
        <v>53.143107787984285</v>
      </c>
      <c r="E16" s="11">
        <f t="shared" si="2"/>
        <v>27973.194399999997</v>
      </c>
      <c r="F16" s="11">
        <f t="shared" si="0"/>
        <v>27905</v>
      </c>
      <c r="G16" s="78">
        <f t="shared" si="4"/>
        <v>0.24378481422199627</v>
      </c>
      <c r="H16" s="28">
        <f t="shared" si="3"/>
        <v>25516.642282370154</v>
      </c>
      <c r="I16" s="28">
        <f>((B16*48)+(H16*10))/C16</f>
        <v>53.143107787984285</v>
      </c>
    </row>
    <row r="17" spans="1:9" x14ac:dyDescent="0.3">
      <c r="A17" s="16">
        <v>1981</v>
      </c>
      <c r="B17" s="14">
        <v>27113</v>
      </c>
      <c r="C17" s="14">
        <v>29187</v>
      </c>
      <c r="D17" s="28">
        <f t="shared" si="1"/>
        <v>53.73327760209505</v>
      </c>
      <c r="E17" s="11">
        <f t="shared" si="2"/>
        <v>29650.776799999996</v>
      </c>
      <c r="F17" s="11">
        <f t="shared" si="0"/>
        <v>29187</v>
      </c>
      <c r="G17" s="78">
        <f t="shared" si="4"/>
        <v>1.5641303535764166</v>
      </c>
      <c r="H17" s="28">
        <f t="shared" si="3"/>
        <v>26688.917337234823</v>
      </c>
      <c r="I17" s="28">
        <f>((B17*48)+(H17*10))/C17</f>
        <v>53.73327760209505</v>
      </c>
    </row>
    <row r="18" spans="1:9" x14ac:dyDescent="0.3">
      <c r="A18" s="16">
        <v>1954</v>
      </c>
      <c r="B18" s="14">
        <v>10254</v>
      </c>
      <c r="C18" s="14">
        <v>4842</v>
      </c>
      <c r="D18" s="28">
        <f t="shared" si="1"/>
        <v>110.79466881320995</v>
      </c>
      <c r="E18" s="11">
        <f t="shared" si="2"/>
        <v>11213.774399999998</v>
      </c>
      <c r="F18" s="11">
        <f t="shared" si="0"/>
        <v>4842</v>
      </c>
      <c r="G18" s="78">
        <f t="shared" si="4"/>
        <v>56.820961192156666</v>
      </c>
      <c r="H18" s="28">
        <f t="shared" si="3"/>
        <v>4427.5786393562548</v>
      </c>
      <c r="I18" s="28">
        <f>((B18*48)+(H18*10))/C18</f>
        <v>110.79466881320995</v>
      </c>
    </row>
    <row r="19" spans="1:9" x14ac:dyDescent="0.3">
      <c r="A19" s="16">
        <v>1948</v>
      </c>
      <c r="B19" s="14">
        <v>20882</v>
      </c>
      <c r="C19" s="14">
        <v>3112</v>
      </c>
      <c r="D19" s="28">
        <f t="shared" si="1"/>
        <v>331.23151479136385</v>
      </c>
      <c r="E19" s="11">
        <f t="shared" si="2"/>
        <v>22836.555199999999</v>
      </c>
      <c r="F19" s="11">
        <f t="shared" si="0"/>
        <v>3112</v>
      </c>
      <c r="G19" s="78">
        <f t="shared" ref="G19:G38" si="6">100- (F19/E19 *100)</f>
        <v>86.372725777835356</v>
      </c>
      <c r="H19" s="28">
        <f t="shared" si="3"/>
        <v>2845.6474030724216</v>
      </c>
      <c r="I19" s="28">
        <f t="shared" si="5"/>
        <v>331.23151479136385</v>
      </c>
    </row>
    <row r="20" spans="1:9" x14ac:dyDescent="0.3">
      <c r="A20" s="16">
        <v>1947</v>
      </c>
      <c r="B20" s="14">
        <v>11427</v>
      </c>
      <c r="C20" s="14">
        <v>6074</v>
      </c>
      <c r="D20" s="28">
        <f t="shared" si="1"/>
        <v>99.446383171318672</v>
      </c>
      <c r="E20" s="11">
        <f>B20 * 1.0936</f>
        <v>12496.5672</v>
      </c>
      <c r="F20" s="11">
        <f t="shared" si="0"/>
        <v>6074</v>
      </c>
      <c r="G20" s="78">
        <f t="shared" si="6"/>
        <v>51.394651804857254</v>
      </c>
      <c r="H20" s="28">
        <f t="shared" si="3"/>
        <v>5554.1331382589615</v>
      </c>
      <c r="I20" s="28">
        <f t="shared" si="5"/>
        <v>99.446383171318672</v>
      </c>
    </row>
    <row r="21" spans="1:9" x14ac:dyDescent="0.3">
      <c r="A21" s="16">
        <v>1985</v>
      </c>
      <c r="B21" s="14">
        <v>28429</v>
      </c>
      <c r="C21" s="14">
        <v>28514</v>
      </c>
      <c r="D21" s="28">
        <f t="shared" si="1"/>
        <v>57.001023586303866</v>
      </c>
      <c r="E21" s="11">
        <f t="shared" si="2"/>
        <v>31089.954399999999</v>
      </c>
      <c r="F21" s="11">
        <f t="shared" si="0"/>
        <v>28514</v>
      </c>
      <c r="G21" s="78">
        <f t="shared" si="6"/>
        <v>8.2854878680684152</v>
      </c>
      <c r="H21" s="28">
        <f t="shared" si="3"/>
        <v>26073.518653986834</v>
      </c>
      <c r="I21" s="28">
        <f t="shared" si="5"/>
        <v>57.001023586303866</v>
      </c>
    </row>
    <row r="22" spans="1:9" x14ac:dyDescent="0.3">
      <c r="A22" s="16">
        <v>1983</v>
      </c>
      <c r="B22" s="14">
        <v>24158</v>
      </c>
      <c r="C22" s="14">
        <v>26055</v>
      </c>
      <c r="D22" s="28">
        <f t="shared" si="1"/>
        <v>53.649350110066251</v>
      </c>
      <c r="E22" s="11">
        <f t="shared" si="2"/>
        <v>26419.188799999996</v>
      </c>
      <c r="F22" s="11">
        <f t="shared" si="0"/>
        <v>26055</v>
      </c>
      <c r="G22" s="78">
        <f t="shared" si="6"/>
        <v>1.378501068889733</v>
      </c>
      <c r="H22" s="28">
        <f t="shared" si="3"/>
        <v>23824.981711777618</v>
      </c>
      <c r="I22" s="28">
        <f t="shared" si="5"/>
        <v>53.649350110066251</v>
      </c>
    </row>
    <row r="23" spans="1:9" x14ac:dyDescent="0.3">
      <c r="A23" s="16">
        <v>1984</v>
      </c>
      <c r="B23" s="14">
        <v>28662</v>
      </c>
      <c r="C23" s="14">
        <v>22261</v>
      </c>
      <c r="D23" s="28">
        <f t="shared" si="1"/>
        <v>70.946186570856682</v>
      </c>
      <c r="E23" s="11">
        <f t="shared" si="2"/>
        <v>31344.763199999998</v>
      </c>
      <c r="F23" s="11">
        <f t="shared" si="0"/>
        <v>22261</v>
      </c>
      <c r="G23" s="78">
        <f t="shared" si="6"/>
        <v>28.980162147149343</v>
      </c>
      <c r="H23" s="28">
        <f t="shared" si="3"/>
        <v>20355.705925384056</v>
      </c>
      <c r="I23" s="28">
        <f t="shared" si="5"/>
        <v>70.946186570856682</v>
      </c>
    </row>
    <row r="24" spans="1:9" x14ac:dyDescent="0.3">
      <c r="A24" s="16">
        <v>1993</v>
      </c>
      <c r="B24" s="14">
        <v>7587</v>
      </c>
      <c r="C24" s="14">
        <v>8188</v>
      </c>
      <c r="D24" s="28">
        <f t="shared" si="1"/>
        <v>53.620906502602161</v>
      </c>
      <c r="E24" s="11">
        <f t="shared" si="2"/>
        <v>8297.1431999999986</v>
      </c>
      <c r="F24" s="11">
        <f t="shared" si="0"/>
        <v>8188</v>
      </c>
      <c r="G24" s="78">
        <f t="shared" si="6"/>
        <v>1.3154310751199034</v>
      </c>
      <c r="H24" s="28">
        <f t="shared" si="3"/>
        <v>7487.1982443306515</v>
      </c>
      <c r="I24" s="28">
        <f t="shared" si="5"/>
        <v>53.620906502602161</v>
      </c>
    </row>
    <row r="25" spans="1:9" x14ac:dyDescent="0.3">
      <c r="A25" s="16" t="s">
        <v>28</v>
      </c>
      <c r="B25" s="30">
        <v>80202</v>
      </c>
      <c r="C25" s="30">
        <v>578937</v>
      </c>
      <c r="D25" s="28">
        <f t="shared" si="1"/>
        <v>15.793705189666413</v>
      </c>
      <c r="E25" s="11">
        <f t="shared" si="2"/>
        <v>87708.907199999987</v>
      </c>
      <c r="F25" s="11">
        <f t="shared" si="0"/>
        <v>578937</v>
      </c>
      <c r="G25" s="78">
        <f t="shared" si="6"/>
        <v>-560.06637008926282</v>
      </c>
      <c r="H25" s="28">
        <f t="shared" si="3"/>
        <v>529386.43013899052</v>
      </c>
      <c r="I25" s="28">
        <f t="shared" si="5"/>
        <v>15.793705189666413</v>
      </c>
    </row>
    <row r="26" spans="1:9" x14ac:dyDescent="0.3">
      <c r="D26" s="28" t="e">
        <f t="shared" si="1"/>
        <v>#DIV/0!</v>
      </c>
      <c r="E26" s="11">
        <f t="shared" si="2"/>
        <v>0</v>
      </c>
      <c r="F26" s="11">
        <f t="shared" si="0"/>
        <v>0</v>
      </c>
      <c r="G26" s="78" t="e">
        <f t="shared" si="6"/>
        <v>#DIV/0!</v>
      </c>
      <c r="H26" s="28">
        <f t="shared" si="3"/>
        <v>0</v>
      </c>
      <c r="I26" s="28" t="e">
        <f t="shared" si="5"/>
        <v>#DIV/0!</v>
      </c>
    </row>
    <row r="27" spans="1:9" x14ac:dyDescent="0.3">
      <c r="D27" s="28" t="e">
        <f t="shared" si="1"/>
        <v>#DIV/0!</v>
      </c>
      <c r="E27" s="11">
        <f t="shared" si="2"/>
        <v>0</v>
      </c>
      <c r="F27" s="11">
        <f t="shared" si="0"/>
        <v>0</v>
      </c>
      <c r="G27" s="78" t="e">
        <f t="shared" si="6"/>
        <v>#DIV/0!</v>
      </c>
      <c r="H27" s="28">
        <f t="shared" si="3"/>
        <v>0</v>
      </c>
      <c r="I27" s="28" t="e">
        <f t="shared" si="5"/>
        <v>#DIV/0!</v>
      </c>
    </row>
    <row r="28" spans="1:9" x14ac:dyDescent="0.3">
      <c r="D28" s="28" t="e">
        <f t="shared" si="1"/>
        <v>#DIV/0!</v>
      </c>
      <c r="E28" s="11">
        <f t="shared" si="2"/>
        <v>0</v>
      </c>
      <c r="F28" s="11">
        <f t="shared" si="0"/>
        <v>0</v>
      </c>
      <c r="G28" s="78" t="e">
        <f t="shared" si="6"/>
        <v>#DIV/0!</v>
      </c>
      <c r="H28" s="28">
        <f t="shared" si="3"/>
        <v>0</v>
      </c>
      <c r="I28" s="28" t="e">
        <f t="shared" si="5"/>
        <v>#DIV/0!</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31545</v>
      </c>
    </row>
    <row r="38" spans="2:10" x14ac:dyDescent="0.3">
      <c r="B38" s="1"/>
      <c r="D38">
        <f>SUM(Table5[Amount])</f>
        <v>36865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J25" sqref="J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5404394.0175567009</v>
      </c>
    </row>
    <row r="3" spans="1:3" ht="21" x14ac:dyDescent="0.4">
      <c r="A3" s="102" t="str">
        <f>Billing!Q6</f>
        <v>Ejaz Sahab</v>
      </c>
      <c r="B3" s="105">
        <f>Billing!AD6</f>
        <v>4111992</v>
      </c>
      <c r="C3" s="103">
        <f>Billing!AE6</f>
        <v>503937.95610826649</v>
      </c>
    </row>
    <row r="4" spans="1:3" ht="21" x14ac:dyDescent="0.4">
      <c r="A4" s="102" t="str">
        <f>Billing!Q7</f>
        <v>Arshad</v>
      </c>
      <c r="B4" s="105">
        <f>Billing!AD7</f>
        <v>6352935</v>
      </c>
      <c r="C4" s="104">
        <f>Billing!AE7</f>
        <v>575482.15435259789</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2042480</v>
      </c>
      <c r="C12" s="103">
        <f>Billing!AE15</f>
        <v>78972.084857352078</v>
      </c>
    </row>
    <row r="13" spans="1:3" ht="21" x14ac:dyDescent="0.4">
      <c r="A13" s="102" t="str">
        <f>Billing!Q16</f>
        <v>Badshah Fabrics</v>
      </c>
      <c r="B13" s="105">
        <f>Billing!AD16</f>
        <v>5715761</v>
      </c>
      <c r="C13" s="103">
        <f>Billing!AE16</f>
        <v>386606.4103877116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813525</v>
      </c>
      <c r="C21" s="103">
        <f>Billing!AE24</f>
        <v>-99999.94513533276</v>
      </c>
    </row>
    <row r="22" spans="1:3" ht="21" x14ac:dyDescent="0.4">
      <c r="A22" s="102" t="str">
        <f>Billing!Q25</f>
        <v>Shahid Qasayi</v>
      </c>
      <c r="B22" s="105">
        <f>Billing!AD25</f>
        <v>1808095</v>
      </c>
      <c r="C22" s="103">
        <f>Billing!AE25</f>
        <v>552548.74542794423</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2025-12-27T20:28:22Z</dcterms:modified>
  <cp:category/>
  <cp:contentStatus/>
</cp:coreProperties>
</file>