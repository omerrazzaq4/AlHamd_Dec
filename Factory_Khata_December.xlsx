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16" documentId="8_{882B14A6-A67C-4C60-A7D4-43427E6D1DAC}" xr6:coauthVersionLast="47" xr6:coauthVersionMax="47" xr10:uidLastSave="{DAE5C1CE-DD2F-4B41-AC97-D5D5425318E4}"/>
  <bookViews>
    <workbookView xWindow="-108" yWindow="-108" windowWidth="23256" windowHeight="12456" tabRatio="59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0"/>
    <pivotCache cacheId="19" r:id="rId21"/>
    <pivotCache cacheId="24" r:id="rId22"/>
    <pivotCache cacheId="30" r:id="rId23"/>
    <pivotCache cacheId="34" r:id="rId24"/>
    <pivotCache cacheId="39"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1" i="1" l="1"/>
  <c r="J61" i="1" a="1"/>
  <c r="J61" i="1" s="1"/>
  <c r="I62" i="1"/>
  <c r="J62" i="1" a="1"/>
  <c r="J62" i="1" s="1"/>
  <c r="I60" i="1"/>
  <c r="J60" i="1" s="1" a="1"/>
  <c r="J60" i="1" s="1"/>
  <c r="H10" i="6"/>
  <c r="B23" i="21" l="1"/>
  <c r="B24" i="21"/>
  <c r="B25" i="21"/>
  <c r="B26" i="21"/>
  <c r="B27" i="21"/>
  <c r="B6" i="21"/>
  <c r="B7" i="21"/>
  <c r="B8" i="21"/>
  <c r="B9" i="21"/>
  <c r="B10" i="21"/>
  <c r="B11" i="21"/>
  <c r="B12" i="21"/>
  <c r="B13" i="21"/>
  <c r="B18" i="21"/>
  <c r="B19" i="21"/>
  <c r="B20" i="21"/>
  <c r="B21" i="21"/>
  <c r="B22" i="21"/>
  <c r="B3" i="21"/>
  <c r="B4" i="21"/>
  <c r="B5" i="21"/>
  <c r="B14" i="21"/>
  <c r="B15" i="21"/>
  <c r="B16" i="21"/>
  <c r="B17" i="21"/>
  <c r="C111" i="9"/>
  <c r="D111" i="9"/>
  <c r="E111" i="9"/>
  <c r="F111" i="9"/>
  <c r="G111" i="9"/>
  <c r="H111" i="9"/>
  <c r="W32" i="9" s="1" a="1"/>
  <c r="W32" i="9" s="1"/>
  <c r="I111" i="9"/>
  <c r="X32" i="9" s="1" a="1"/>
  <c r="X32" i="9" s="1"/>
  <c r="J111" i="9"/>
  <c r="Y32" i="9" s="1" a="1"/>
  <c r="Y32" i="9" s="1"/>
  <c r="K111" i="9"/>
  <c r="Z32" i="9" s="1" a="1"/>
  <c r="Z32" i="9" s="1"/>
  <c r="L111" i="9"/>
  <c r="AA32" i="9" s="1" a="1"/>
  <c r="AA32" i="9" s="1"/>
  <c r="M111" i="9"/>
  <c r="O111" i="9"/>
  <c r="AD32" i="9" s="1"/>
  <c r="C112" i="9"/>
  <c r="D112" i="9"/>
  <c r="E112" i="9"/>
  <c r="F112" i="9"/>
  <c r="G112" i="9"/>
  <c r="H112" i="9"/>
  <c r="W33" i="9" s="1" a="1"/>
  <c r="W33" i="9" s="1"/>
  <c r="I112" i="9"/>
  <c r="X33" i="9" s="1" a="1"/>
  <c r="X33" i="9" s="1"/>
  <c r="J112" i="9"/>
  <c r="Y33" i="9" s="1" a="1"/>
  <c r="Y33" i="9" s="1"/>
  <c r="K112" i="9"/>
  <c r="Z33" i="9" s="1" a="1"/>
  <c r="Z33" i="9" s="1"/>
  <c r="L112" i="9"/>
  <c r="AA33" i="9" s="1" a="1"/>
  <c r="AA33" i="9" s="1"/>
  <c r="M112" i="9"/>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AA36" i="9" s="1" a="1"/>
  <c r="AA36" i="9" s="1"/>
  <c r="M115" i="9"/>
  <c r="O115" i="9"/>
  <c r="AD36" i="9" s="1"/>
  <c r="K63"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G5" i="7"/>
  <c r="G3" i="7"/>
  <c r="G4" i="7"/>
  <c r="G6" i="7"/>
  <c r="H6" i="7" s="1"/>
  <c r="G7" i="7"/>
  <c r="H7" i="7" s="1"/>
  <c r="G8" i="7"/>
  <c r="H8" i="7" s="1"/>
  <c r="G9" i="7"/>
  <c r="H9" i="7" s="1"/>
  <c r="G8" i="6"/>
  <c r="G9" i="6"/>
  <c r="G10" i="6"/>
  <c r="G11" i="6"/>
  <c r="G12" i="6"/>
  <c r="I10" i="6"/>
  <c r="I11" i="6"/>
  <c r="I12" i="6"/>
  <c r="D3" i="17"/>
  <c r="D2" i="17"/>
  <c r="V32" i="9" a="1"/>
  <c r="V32" i="9" s="1"/>
  <c r="V33" i="9" a="1"/>
  <c r="V33" i="9" s="1"/>
  <c r="AB32" i="9" a="1"/>
  <c r="AB32" i="9" s="1"/>
  <c r="AB33" i="9" a="1"/>
  <c r="AB33" i="9" s="1"/>
  <c r="AB34" i="9" a="1"/>
  <c r="AB34" i="9" s="1"/>
  <c r="AB36" i="9" a="1"/>
  <c r="AB36" i="9" s="1"/>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4" i="9" l="1"/>
  <c r="P114" i="9" s="1"/>
  <c r="V35" i="9" a="1"/>
  <c r="V35" i="9" s="1"/>
  <c r="N115" i="9"/>
  <c r="P115" i="9" s="1"/>
  <c r="J63" i="1" a="1"/>
  <c r="J63" i="1" s="1"/>
  <c r="N112" i="9"/>
  <c r="P112" i="9" s="1"/>
  <c r="N111" i="9"/>
  <c r="P111" i="9" s="1"/>
  <c r="N113" i="9"/>
  <c r="P113" i="9" s="1"/>
  <c r="I63" i="1" a="1"/>
  <c r="I63" i="1" s="1"/>
  <c r="P35" i="7" l="1"/>
  <c r="P36" i="7"/>
  <c r="P37" i="7"/>
  <c r="P38" i="7"/>
  <c r="P39" i="7"/>
  <c r="P40" i="7"/>
  <c r="P41" i="7"/>
  <c r="P42" i="7"/>
  <c r="P43" i="7"/>
  <c r="P44" i="7"/>
  <c r="P45" i="7"/>
  <c r="P46" i="7"/>
  <c r="P47" i="7"/>
  <c r="P48" i="7"/>
  <c r="P49" i="7"/>
  <c r="P50" i="7"/>
  <c r="P51" i="7"/>
  <c r="P52" i="7"/>
  <c r="P53" i="7"/>
  <c r="P54" i="7"/>
  <c r="P55" i="7"/>
  <c r="P34" i="7"/>
  <c r="K27" i="15"/>
  <c r="K26" i="15"/>
  <c r="P56" i="7" l="1"/>
  <c r="C5" i="8" s="1"/>
  <c r="K25" i="15" l="1"/>
  <c r="K30" i="15" s="1"/>
  <c r="B49" i="9" a="1"/>
  <c r="AC36" i="9"/>
  <c r="C19" i="17"/>
  <c r="K4" i="17" s="1"/>
  <c r="E10" i="7"/>
  <c r="F10" i="15"/>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14" i="15" s="1"/>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F84" i="2"/>
  <c r="H84" i="2" s="1"/>
  <c r="I84" i="2" s="1"/>
  <c r="D84" i="2" s="1"/>
  <c r="E85" i="2"/>
  <c r="F85" i="2"/>
  <c r="H85" i="2" s="1"/>
  <c r="I85" i="2" s="1"/>
  <c r="D85" i="2" s="1"/>
  <c r="E86" i="2"/>
  <c r="F86" i="2"/>
  <c r="E87" i="2"/>
  <c r="F87" i="2"/>
  <c r="G87" i="2" s="1"/>
  <c r="H87" i="2"/>
  <c r="I87" i="2" s="1"/>
  <c r="D87" i="2" s="1"/>
  <c r="E88" i="2"/>
  <c r="F88" i="2"/>
  <c r="E89" i="2"/>
  <c r="F89" i="2"/>
  <c r="G89" i="2" s="1"/>
  <c r="E90" i="2"/>
  <c r="F90" i="2"/>
  <c r="G90" i="2" s="1"/>
  <c r="E91" i="2"/>
  <c r="F91" i="2"/>
  <c r="H91" i="2"/>
  <c r="I91" i="2" s="1"/>
  <c r="D91" i="2" s="1"/>
  <c r="E92" i="2"/>
  <c r="F92" i="2"/>
  <c r="H92" i="2" s="1"/>
  <c r="I92" i="2" s="1"/>
  <c r="D92" i="2" s="1"/>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F77" i="2"/>
  <c r="E78" i="2"/>
  <c r="F78" i="2"/>
  <c r="G78" i="2" s="1"/>
  <c r="E79" i="2"/>
  <c r="F79" i="2"/>
  <c r="H79" i="2" s="1"/>
  <c r="I79" i="2" s="1"/>
  <c r="D79" i="2" s="1"/>
  <c r="E80" i="2"/>
  <c r="F80" i="2"/>
  <c r="H80" i="2"/>
  <c r="I80" i="2" s="1"/>
  <c r="D80" i="2" s="1"/>
  <c r="E81" i="2"/>
  <c r="F81" i="2"/>
  <c r="G81" i="2" s="1"/>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F27" i="2"/>
  <c r="H27" i="2" s="1"/>
  <c r="I27" i="2" s="1"/>
  <c r="D27" i="2" s="1"/>
  <c r="E27" i="2"/>
  <c r="E59" i="2"/>
  <c r="F59" i="2"/>
  <c r="H59" i="2" s="1"/>
  <c r="I59" i="2" s="1"/>
  <c r="D59" i="2" s="1"/>
  <c r="F28" i="2"/>
  <c r="H28" i="2" s="1"/>
  <c r="I28" i="2" s="1"/>
  <c r="D28" i="2" s="1"/>
  <c r="E28" i="2"/>
  <c r="E60" i="2"/>
  <c r="G60" i="2" s="1"/>
  <c r="F60" i="2"/>
  <c r="H60" i="2" s="1"/>
  <c r="I60" i="2" s="1"/>
  <c r="D60" i="2" s="1"/>
  <c r="E61" i="2"/>
  <c r="F61" i="2"/>
  <c r="E62" i="2"/>
  <c r="F62" i="2"/>
  <c r="H62" i="2" s="1"/>
  <c r="I62" i="2" s="1"/>
  <c r="D62" i="2" s="1"/>
  <c r="E63" i="2"/>
  <c r="G63" i="2" s="1"/>
  <c r="F63" i="2"/>
  <c r="H63" i="2"/>
  <c r="I63" i="2" s="1"/>
  <c r="D63" i="2" s="1"/>
  <c r="E64" i="2"/>
  <c r="F64" i="2"/>
  <c r="G64" i="2" s="1"/>
  <c r="E65" i="2"/>
  <c r="F65" i="2"/>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c r="I20" i="2" s="1"/>
  <c r="D20" i="2" s="1"/>
  <c r="E20" i="2"/>
  <c r="E49" i="2"/>
  <c r="F49" i="2"/>
  <c r="F21" i="2"/>
  <c r="H21" i="2"/>
  <c r="I21" i="2" s="1"/>
  <c r="D21" i="2" s="1"/>
  <c r="E21" i="2"/>
  <c r="G21" i="2" s="1"/>
  <c r="E50" i="2"/>
  <c r="G50" i="2" s="1"/>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H60" i="1"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G37" i="2"/>
  <c r="E39" i="2"/>
  <c r="G39" i="2" s="1"/>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s="1"/>
  <c r="D82" i="2" s="1"/>
  <c r="B2" i="2"/>
  <c r="J30" i="15"/>
  <c r="N5" i="17"/>
  <c r="H49" i="2"/>
  <c r="I49" i="2" s="1"/>
  <c r="D49" i="2" s="1"/>
  <c r="C16" i="10"/>
  <c r="G55" i="2"/>
  <c r="G49" i="2"/>
  <c r="G69" i="2"/>
  <c r="G33" i="2"/>
  <c r="G51" i="2"/>
  <c r="G57" i="2"/>
  <c r="G66" i="2"/>
  <c r="G72" i="2"/>
  <c r="G45" i="2"/>
  <c r="G38" i="2"/>
  <c r="G31" i="2"/>
  <c r="G71" i="2"/>
  <c r="H45" i="2"/>
  <c r="I45" i="2" s="1"/>
  <c r="D45" i="2" s="1"/>
  <c r="G35" i="2"/>
  <c r="H68" i="2"/>
  <c r="I68" i="2" s="1"/>
  <c r="D68" i="2" s="1"/>
  <c r="H77" i="2"/>
  <c r="I77" i="2" s="1"/>
  <c r="D77" i="2" s="1"/>
  <c r="G76" i="2"/>
  <c r="C2" i="2"/>
  <c r="G28" i="2" l="1"/>
  <c r="G56" i="2"/>
  <c r="G24" i="2"/>
  <c r="H64" i="2"/>
  <c r="I64" i="2" s="1"/>
  <c r="D64" i="2" s="1"/>
  <c r="G82" i="2"/>
  <c r="G77" i="2"/>
  <c r="G53" i="2"/>
  <c r="H89" i="2"/>
  <c r="I89" i="2" s="1"/>
  <c r="D89" i="2" s="1"/>
  <c r="G30" i="2"/>
  <c r="G7" i="2"/>
  <c r="H61" i="1" s="1"/>
  <c r="H81" i="2"/>
  <c r="I81" i="2" s="1"/>
  <c r="D81" i="2" s="1"/>
  <c r="G15" i="2"/>
  <c r="G10" i="2"/>
  <c r="G20" i="2"/>
  <c r="G84" i="2"/>
  <c r="H58" i="2"/>
  <c r="I58" i="2" s="1"/>
  <c r="D58" i="2" s="1"/>
  <c r="G65" i="2"/>
  <c r="H56" i="2"/>
  <c r="I56" i="2" s="1"/>
  <c r="D56" i="2" s="1"/>
  <c r="M110" i="9"/>
  <c r="E110" i="9"/>
  <c r="O110" i="9"/>
  <c r="AD31" i="9" s="1"/>
  <c r="B28" i="20" s="1"/>
  <c r="F110" i="9"/>
  <c r="U31" i="9" s="1" a="1"/>
  <c r="U31" i="9" s="1"/>
  <c r="K110" i="9"/>
  <c r="L110" i="9"/>
  <c r="AA31" i="9" s="1" a="1"/>
  <c r="AA31" i="9" s="1"/>
  <c r="C110" i="9"/>
  <c r="R31" i="9" s="1" a="1"/>
  <c r="R31" i="9" s="1"/>
  <c r="D110" i="9"/>
  <c r="S31" i="9" s="1" a="1"/>
  <c r="S31" i="9" s="1"/>
  <c r="I110" i="9"/>
  <c r="X31" i="9" s="1" a="1"/>
  <c r="X31" i="9" s="1"/>
  <c r="J110" i="9"/>
  <c r="Y31" i="9" s="1" a="1"/>
  <c r="Y31" i="9" s="1"/>
  <c r="G110" i="9"/>
  <c r="V31" i="9" s="1" a="1"/>
  <c r="V31" i="9" s="1"/>
  <c r="H110" i="9"/>
  <c r="W31" i="9" s="1" a="1"/>
  <c r="W31"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O98" i="9"/>
  <c r="AD19" i="9" s="1"/>
  <c r="C86" i="9"/>
  <c r="R7" i="9" s="1" a="1"/>
  <c r="R7" i="9" s="1"/>
  <c r="D87" i="9"/>
  <c r="S8" i="9" s="1" a="1"/>
  <c r="S8" i="9" s="1"/>
  <c r="E88" i="9"/>
  <c r="T9" i="9" s="1" a="1"/>
  <c r="T9" i="9" s="1"/>
  <c r="F89" i="9"/>
  <c r="U10" i="9" s="1" a="1"/>
  <c r="U10" i="9" s="1"/>
  <c r="G90" i="9"/>
  <c r="V11" i="9" s="1" a="1"/>
  <c r="V11" i="9" s="1"/>
  <c r="H91" i="9"/>
  <c r="W12" i="9" s="1" a="1"/>
  <c r="W12" i="9" s="1"/>
  <c r="I92" i="9"/>
  <c r="X13" i="9" s="1" a="1"/>
  <c r="X13" i="9" s="1"/>
  <c r="J93" i="9"/>
  <c r="Y14" i="9" s="1" a="1"/>
  <c r="Y14" i="9" s="1"/>
  <c r="K94" i="9"/>
  <c r="Z15" i="9" s="1" a="1"/>
  <c r="Z15" i="9" s="1"/>
  <c r="L95" i="9"/>
  <c r="AA16" i="9" s="1" a="1"/>
  <c r="AA16" i="9" s="1"/>
  <c r="M96" i="9"/>
  <c r="AB17" i="9" s="1" a="1"/>
  <c r="AB17" i="9" s="1"/>
  <c r="C98" i="9"/>
  <c r="R19" i="9" s="1" a="1"/>
  <c r="R19" i="9" s="1"/>
  <c r="D99" i="9"/>
  <c r="S20" i="9" s="1" a="1"/>
  <c r="S20" i="9" s="1"/>
  <c r="E100" i="9"/>
  <c r="T21" i="9" s="1" a="1"/>
  <c r="T21" i="9" s="1"/>
  <c r="F101" i="9"/>
  <c r="U22" i="9" s="1" a="1"/>
  <c r="U22" i="9" s="1"/>
  <c r="G102" i="9"/>
  <c r="V23" i="9" s="1" a="1"/>
  <c r="V23" i="9" s="1"/>
  <c r="H103" i="9"/>
  <c r="W24" i="9" s="1" a="1"/>
  <c r="W24" i="9" s="1"/>
  <c r="I104" i="9"/>
  <c r="X25" i="9" s="1" a="1"/>
  <c r="X25" i="9" s="1"/>
  <c r="J105" i="9"/>
  <c r="Y26" i="9" s="1" a="1"/>
  <c r="Y26" i="9" s="1"/>
  <c r="K106" i="9"/>
  <c r="Z27" i="9" s="1" a="1"/>
  <c r="Z27" i="9" s="1"/>
  <c r="L107" i="9"/>
  <c r="AA28" i="9" s="1" a="1"/>
  <c r="AA28" i="9" s="1"/>
  <c r="M108" i="9"/>
  <c r="AB29" i="9" s="1" a="1"/>
  <c r="AB29" i="9" s="1"/>
  <c r="O87" i="9"/>
  <c r="AD8" i="9" s="1"/>
  <c r="O99" i="9"/>
  <c r="AD20" i="9" s="1"/>
  <c r="B17" i="20" s="1"/>
  <c r="C85" i="9"/>
  <c r="R6" i="9" s="1" a="1"/>
  <c r="R6" i="9" s="1"/>
  <c r="D86" i="9"/>
  <c r="S7" i="9" s="1" a="1"/>
  <c r="S7" i="9" s="1"/>
  <c r="E87" i="9"/>
  <c r="T8" i="9" s="1" a="1"/>
  <c r="T8" i="9" s="1"/>
  <c r="F88" i="9"/>
  <c r="U9" i="9" s="1" a="1"/>
  <c r="U9" i="9" s="1"/>
  <c r="G89" i="9"/>
  <c r="V10" i="9" s="1" a="1"/>
  <c r="V10" i="9" s="1"/>
  <c r="H90" i="9"/>
  <c r="W11" i="9" s="1" a="1"/>
  <c r="W11" i="9" s="1"/>
  <c r="I91" i="9"/>
  <c r="X12" i="9" s="1" a="1"/>
  <c r="X12" i="9" s="1"/>
  <c r="J92" i="9"/>
  <c r="Y13" i="9" s="1" a="1"/>
  <c r="Y13" i="9" s="1"/>
  <c r="K93" i="9"/>
  <c r="Z14" i="9" s="1" a="1"/>
  <c r="Z14" i="9" s="1"/>
  <c r="M95" i="9"/>
  <c r="AB16" i="9" s="1" a="1"/>
  <c r="AB16" i="9" s="1"/>
  <c r="C97" i="9"/>
  <c r="R18" i="9" s="1" a="1"/>
  <c r="R18" i="9" s="1"/>
  <c r="D98" i="9"/>
  <c r="S19" i="9" s="1" a="1"/>
  <c r="S19" i="9" s="1"/>
  <c r="E99" i="9"/>
  <c r="T20" i="9" s="1" a="1"/>
  <c r="T20" i="9" s="1"/>
  <c r="F100" i="9"/>
  <c r="U21" i="9" s="1" a="1"/>
  <c r="U21" i="9" s="1"/>
  <c r="G101" i="9"/>
  <c r="V22" i="9" s="1" a="1"/>
  <c r="V22" i="9" s="1"/>
  <c r="H102" i="9"/>
  <c r="W23" i="9" s="1" a="1"/>
  <c r="W23" i="9" s="1"/>
  <c r="I103" i="9"/>
  <c r="X24" i="9" s="1" a="1"/>
  <c r="X24" i="9" s="1"/>
  <c r="K105" i="9"/>
  <c r="Z26" i="9" s="1" a="1"/>
  <c r="Z26" i="9" s="1"/>
  <c r="L106" i="9"/>
  <c r="AA27" i="9" s="1" a="1"/>
  <c r="AA27"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AA15" i="9" s="1" a="1"/>
  <c r="AA15" i="9" s="1"/>
  <c r="J104" i="9"/>
  <c r="Y25" i="9" s="1" a="1"/>
  <c r="Y25" i="9" s="1"/>
  <c r="M107" i="9"/>
  <c r="AB28" i="9" s="1" a="1"/>
  <c r="AB28"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I51" i="9" a="1"/>
  <c r="I51" i="9" s="1"/>
  <c r="I56" i="9" a="1"/>
  <c r="I56" i="9" s="1"/>
  <c r="I61" i="9" a="1"/>
  <c r="I61" i="9" s="1"/>
  <c r="J66" i="9" a="1"/>
  <c r="J66" i="9" s="1"/>
  <c r="G71" i="9" a="1"/>
  <c r="G71" i="9" s="1"/>
  <c r="G75" i="9" a="1"/>
  <c r="G75" i="9" s="1"/>
  <c r="O95" i="9"/>
  <c r="AD16" i="9" s="1"/>
  <c r="B13" i="20" s="1"/>
  <c r="O109" i="9"/>
  <c r="AD30" i="9" s="1"/>
  <c r="B27" i="20" s="1"/>
  <c r="F86" i="9"/>
  <c r="U7" i="9" s="1" a="1"/>
  <c r="U7" i="9" s="1"/>
  <c r="I87" i="9"/>
  <c r="X8" i="9" s="1" a="1"/>
  <c r="X8" i="9" s="1"/>
  <c r="L88" i="9"/>
  <c r="AA9" i="9" s="1" a="1"/>
  <c r="AA9" i="9" s="1"/>
  <c r="D90" i="9"/>
  <c r="S11" i="9" s="1" a="1"/>
  <c r="S11" i="9" s="1"/>
  <c r="G91" i="9"/>
  <c r="V12" i="9" s="1" a="1"/>
  <c r="V12" i="9" s="1"/>
  <c r="L92" i="9"/>
  <c r="AA13" i="9" s="1" a="1"/>
  <c r="AA13" i="9" s="1"/>
  <c r="D94" i="9"/>
  <c r="S15" i="9" s="1" a="1"/>
  <c r="S15" i="9" s="1"/>
  <c r="G95" i="9"/>
  <c r="J96" i="9"/>
  <c r="Y17" i="9" s="1" a="1"/>
  <c r="Y17" i="9" s="1"/>
  <c r="M97" i="9"/>
  <c r="AB18" i="9" s="1" a="1"/>
  <c r="AB18" i="9" s="1"/>
  <c r="G99" i="9"/>
  <c r="J100" i="9"/>
  <c r="Y21" i="9" s="1" a="1"/>
  <c r="Y21" i="9" s="1"/>
  <c r="M101" i="9"/>
  <c r="AB22" i="9" s="1" a="1"/>
  <c r="AB22" i="9" s="1"/>
  <c r="E103" i="9"/>
  <c r="T24" i="9" s="1" a="1"/>
  <c r="T24" i="9" s="1"/>
  <c r="H104" i="9"/>
  <c r="W25" i="9" s="1" a="1"/>
  <c r="W25" i="9" s="1"/>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T18" i="9" s="1" a="1"/>
  <c r="T18" i="9" s="1"/>
  <c r="K99" i="9"/>
  <c r="Z20" i="9" s="1" a="1"/>
  <c r="Z20" i="9" s="1"/>
  <c r="F102" i="9"/>
  <c r="U23" i="9" s="1" a="1"/>
  <c r="U23" i="9" s="1"/>
  <c r="C105" i="9"/>
  <c r="R26" i="9" s="1" a="1"/>
  <c r="R26" i="9" s="1"/>
  <c r="I107" i="9"/>
  <c r="X28" i="9" s="1" a="1"/>
  <c r="X28" i="9" s="1"/>
  <c r="J60" i="9" a="1"/>
  <c r="J60" i="9" s="1"/>
  <c r="H52" i="9" a="1"/>
  <c r="H52" i="9" s="1"/>
  <c r="H57" i="9" a="1"/>
  <c r="H57" i="9" s="1"/>
  <c r="H62" i="9" a="1"/>
  <c r="H62" i="9" s="1"/>
  <c r="I67" i="9" a="1"/>
  <c r="I67" i="9" s="1"/>
  <c r="J71" i="9" a="1"/>
  <c r="J71" i="9" s="1"/>
  <c r="M75" i="9" a="1"/>
  <c r="M75" i="9" s="1"/>
  <c r="O96" i="9"/>
  <c r="AD17" i="9" s="1"/>
  <c r="D85" i="9"/>
  <c r="S6" i="9" s="1" a="1"/>
  <c r="S6" i="9" s="1"/>
  <c r="G86" i="9"/>
  <c r="J87" i="9"/>
  <c r="Y8" i="9" s="1" a="1"/>
  <c r="Y8" i="9" s="1"/>
  <c r="M88" i="9"/>
  <c r="AB9" i="9" s="1" a="1"/>
  <c r="AB9" i="9" s="1"/>
  <c r="E90" i="9"/>
  <c r="T11" i="9" s="1" a="1"/>
  <c r="T11" i="9" s="1"/>
  <c r="J91" i="9"/>
  <c r="Y12" i="9" s="1" a="1"/>
  <c r="Y12" i="9" s="1"/>
  <c r="M92" i="9"/>
  <c r="AB13" i="9" s="1" a="1"/>
  <c r="AB13" i="9" s="1"/>
  <c r="E94" i="9"/>
  <c r="T15" i="9" s="1" a="1"/>
  <c r="T15" i="9" s="1"/>
  <c r="H95" i="9"/>
  <c r="W16" i="9" s="1" a="1"/>
  <c r="W16" i="9" s="1"/>
  <c r="K96" i="9"/>
  <c r="Z17" i="9" s="1" a="1"/>
  <c r="Z17" i="9" s="1"/>
  <c r="E98" i="9"/>
  <c r="T19" i="9" s="1" a="1"/>
  <c r="T19" i="9" s="1"/>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W7" i="9" s="1" a="1"/>
  <c r="W7" i="9" s="1"/>
  <c r="C89" i="9"/>
  <c r="R10" i="9" s="1" a="1"/>
  <c r="R10" i="9" s="1"/>
  <c r="K91" i="9"/>
  <c r="Z12" i="9" s="1" a="1"/>
  <c r="Z12" i="9" s="1"/>
  <c r="C93" i="9"/>
  <c r="R14" i="9" s="1" a="1"/>
  <c r="R14" i="9" s="1"/>
  <c r="I95" i="9"/>
  <c r="X16" i="9" s="1" a="1"/>
  <c r="X16" i="9" s="1"/>
  <c r="F98" i="9"/>
  <c r="U19" i="9" s="1" a="1"/>
  <c r="U19" i="9" s="1"/>
  <c r="L100" i="9"/>
  <c r="AA21" i="9" s="1" a="1"/>
  <c r="AA21" i="9" s="1"/>
  <c r="G103" i="9"/>
  <c r="D106" i="9"/>
  <c r="S27" i="9" s="1" a="1"/>
  <c r="S27" i="9" s="1"/>
  <c r="J108" i="9"/>
  <c r="Y29" i="9" s="1" a="1"/>
  <c r="Y29" i="9" s="1"/>
  <c r="L57" i="9" a="1"/>
  <c r="L57" i="9" s="1"/>
  <c r="J72" i="9" a="1"/>
  <c r="J72" i="9" s="1"/>
  <c r="G53" i="9" a="1"/>
  <c r="G53" i="9" s="1"/>
  <c r="K72" i="9" a="1"/>
  <c r="K72" i="9" s="1"/>
  <c r="O85" i="9"/>
  <c r="AD6" i="9" s="1"/>
  <c r="G85" i="9"/>
  <c r="V6" i="9" s="1" a="1"/>
  <c r="V6" i="9" s="1"/>
  <c r="M87" i="9"/>
  <c r="AB8" i="9" s="1" a="1"/>
  <c r="AB8" i="9" s="1"/>
  <c r="E89" i="9"/>
  <c r="T10" i="9" s="1" a="1"/>
  <c r="T10" i="9" s="1"/>
  <c r="M91" i="9"/>
  <c r="AB12" i="9" s="1" a="1"/>
  <c r="AB12" i="9" s="1"/>
  <c r="E93" i="9"/>
  <c r="T14" i="9" s="1" a="1"/>
  <c r="T14" i="9" s="1"/>
  <c r="K95" i="9"/>
  <c r="Z16" i="9" s="1" a="1"/>
  <c r="Z16" i="9" s="1"/>
  <c r="H98" i="9"/>
  <c r="W19" i="9" s="1" a="1"/>
  <c r="W19" i="9" s="1"/>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T16" i="9" s="1" a="1"/>
  <c r="T16" i="9" s="1"/>
  <c r="K97" i="9"/>
  <c r="Z18" i="9" s="1" a="1"/>
  <c r="Z18" i="9" s="1"/>
  <c r="C103" i="9"/>
  <c r="R24" i="9" s="1" a="1"/>
  <c r="R24" i="9" s="1"/>
  <c r="H109" i="9"/>
  <c r="W30" i="9" s="1" a="1"/>
  <c r="W30"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M52" i="9" a="1"/>
  <c r="M52" i="9" s="1"/>
  <c r="M62" i="9" a="1"/>
  <c r="M62" i="9" s="1"/>
  <c r="G68" i="9" a="1"/>
  <c r="G68" i="9" s="1"/>
  <c r="O100" i="9"/>
  <c r="F85" i="9"/>
  <c r="U6" i="9" s="1" a="1"/>
  <c r="U6" i="9" s="1"/>
  <c r="I86" i="9"/>
  <c r="X7" i="9" s="1" a="1"/>
  <c r="X7" i="9" s="1"/>
  <c r="L87" i="9"/>
  <c r="AA8" i="9" s="1" a="1"/>
  <c r="AA8" i="9" s="1"/>
  <c r="D89" i="9"/>
  <c r="S10" i="9" s="1" a="1"/>
  <c r="S10" i="9" s="1"/>
  <c r="I90" i="9"/>
  <c r="X11" i="9" s="1" a="1"/>
  <c r="X11" i="9" s="1"/>
  <c r="L91" i="9"/>
  <c r="AA12" i="9" s="1" a="1"/>
  <c r="AA12" i="9" s="1"/>
  <c r="D93" i="9"/>
  <c r="S14" i="9" s="1" a="1"/>
  <c r="S14" i="9" s="1"/>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S9" i="9" s="1" a="1"/>
  <c r="S9" i="9" s="1"/>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T26" i="9" s="1" a="1"/>
  <c r="T26" i="9" s="1"/>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U17" i="9" s="1" a="1"/>
  <c r="U17" i="9" s="1"/>
  <c r="I97" i="9"/>
  <c r="X18" i="9" s="1" a="1"/>
  <c r="X18" i="9" s="1"/>
  <c r="D100" i="9"/>
  <c r="S21" i="9" s="1" a="1"/>
  <c r="S21" i="9" s="1"/>
  <c r="I101" i="9"/>
  <c r="X22" i="9" s="1" a="1"/>
  <c r="X22" i="9" s="1"/>
  <c r="D104" i="9"/>
  <c r="S25" i="9" s="1" a="1"/>
  <c r="S25" i="9" s="1"/>
  <c r="G105" i="9"/>
  <c r="D108" i="9"/>
  <c r="S29" i="9" s="1" a="1"/>
  <c r="S29" i="9" s="1"/>
  <c r="J50" i="9" a="1"/>
  <c r="J50" i="9" s="1"/>
  <c r="K65" i="9" a="1"/>
  <c r="K65" i="9" s="1"/>
  <c r="M69" i="9" a="1"/>
  <c r="M69" i="9" s="1"/>
  <c r="O92" i="9"/>
  <c r="AD13" i="9" s="1"/>
  <c r="O106" i="9"/>
  <c r="AD27" i="9" s="1"/>
  <c r="B24" i="20" s="1"/>
  <c r="L85" i="9"/>
  <c r="AA6" i="9" s="1" a="1"/>
  <c r="AA6" i="9" s="1"/>
  <c r="F87" i="9"/>
  <c r="U8" i="9" s="1" a="1"/>
  <c r="U8" i="9" s="1"/>
  <c r="I88" i="9"/>
  <c r="X9" i="9" s="1" a="1"/>
  <c r="X9" i="9" s="1"/>
  <c r="L89" i="9"/>
  <c r="AA10" i="9" s="1" a="1"/>
  <c r="AA10" i="9" s="1"/>
  <c r="D91" i="9"/>
  <c r="S12" i="9" s="1" a="1"/>
  <c r="S12" i="9" s="1"/>
  <c r="G92" i="9"/>
  <c r="V13" i="9" s="1" a="1"/>
  <c r="V13" i="9" s="1"/>
  <c r="L93" i="9"/>
  <c r="AA14" i="9" s="1" a="1"/>
  <c r="AA14" i="9" s="1"/>
  <c r="D95" i="9"/>
  <c r="S16" i="9" s="1" a="1"/>
  <c r="S16" i="9" s="1"/>
  <c r="G96" i="9"/>
  <c r="G100" i="9"/>
  <c r="V21" i="9" s="1" a="1"/>
  <c r="V21" i="9" s="1"/>
  <c r="J101" i="9"/>
  <c r="Y22" i="9" s="1" a="1"/>
  <c r="Y22" i="9" s="1"/>
  <c r="M102" i="9"/>
  <c r="AB23" i="9" s="1" a="1"/>
  <c r="AB23" i="9" s="1"/>
  <c r="E104" i="9"/>
  <c r="T25" i="9" s="1" a="1"/>
  <c r="T25" i="9" s="1"/>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U29" i="9" s="1" a="1"/>
  <c r="U29" i="9" s="1"/>
  <c r="L53" i="9" a="1"/>
  <c r="L53" i="9" s="1"/>
  <c r="L58" i="9" a="1"/>
  <c r="L58" i="9" s="1"/>
  <c r="M63" i="9" a="1"/>
  <c r="M63" i="9" s="1"/>
  <c r="G69" i="9" a="1"/>
  <c r="G69" i="9" s="1"/>
  <c r="L72" i="9" a="1"/>
  <c r="L72" i="9" s="1"/>
  <c r="O88" i="9"/>
  <c r="AD9" i="9" s="1"/>
  <c r="O102" i="9"/>
  <c r="AD23" i="9" s="1"/>
  <c r="B20" i="20" s="1"/>
  <c r="H85" i="9"/>
  <c r="W6" i="9" s="1" a="1"/>
  <c r="W6" i="9" s="1"/>
  <c r="K86" i="9"/>
  <c r="Z7" i="9" s="1" a="1"/>
  <c r="Z7" i="9" s="1"/>
  <c r="C88" i="9"/>
  <c r="R9" i="9" s="1" a="1"/>
  <c r="R9" i="9" s="1"/>
  <c r="H89" i="9"/>
  <c r="W10" i="9" s="1" a="1"/>
  <c r="W10" i="9" s="1"/>
  <c r="K90" i="9"/>
  <c r="Z11" i="9" s="1" a="1"/>
  <c r="Z11" i="9" s="1"/>
  <c r="C92" i="9"/>
  <c r="R13" i="9" s="1" a="1"/>
  <c r="R13" i="9" s="1"/>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S26" i="9" s="1" a="1"/>
  <c r="S26" i="9" s="1"/>
  <c r="G106" i="9"/>
  <c r="J107" i="9"/>
  <c r="Y28" i="9" s="1" a="1"/>
  <c r="Y28" i="9" s="1"/>
  <c r="C109" i="9"/>
  <c r="R30" i="9" s="1" a="1"/>
  <c r="R30"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J54" i="9" a="1"/>
  <c r="J54" i="9" s="1"/>
  <c r="J59" i="9" a="1"/>
  <c r="J59" i="9" s="1"/>
  <c r="K64" i="9" a="1"/>
  <c r="K64" i="9" s="1"/>
  <c r="I69" i="9" a="1"/>
  <c r="I69" i="9" s="1"/>
  <c r="I73" i="9" a="1"/>
  <c r="I73" i="9" s="1"/>
  <c r="O90" i="9"/>
  <c r="O104" i="9"/>
  <c r="AD25" i="9" s="1"/>
  <c r="B22" i="20" s="1"/>
  <c r="J85" i="9"/>
  <c r="Y6" i="9" s="1" a="1"/>
  <c r="Y6" i="9" s="1"/>
  <c r="M86" i="9"/>
  <c r="AB7" i="9" s="1" a="1"/>
  <c r="AB7" i="9" s="1"/>
  <c r="G88" i="9"/>
  <c r="V9" i="9" s="1" a="1"/>
  <c r="V9" i="9" s="1"/>
  <c r="J89" i="9"/>
  <c r="Y10" i="9" s="1" a="1"/>
  <c r="Y10" i="9" s="1"/>
  <c r="M90" i="9"/>
  <c r="AB11" i="9" s="1" a="1"/>
  <c r="AB11" i="9" s="1"/>
  <c r="E92" i="9"/>
  <c r="T13" i="9" s="1" a="1"/>
  <c r="T13" i="9" s="1"/>
  <c r="H93" i="9"/>
  <c r="W14" i="9" s="1" a="1"/>
  <c r="W14" i="9" s="1"/>
  <c r="M94" i="9"/>
  <c r="AB15" i="9" s="1" a="1"/>
  <c r="AB15" i="9" s="1"/>
  <c r="E96" i="9"/>
  <c r="T17" i="9" s="1" a="1"/>
  <c r="T17" i="9" s="1"/>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J55" i="9" a="1"/>
  <c r="J55" i="9" s="1"/>
  <c r="I74" i="9" a="1"/>
  <c r="I74" i="9" s="1"/>
  <c r="J97" i="9"/>
  <c r="Y18" i="9" s="1" a="1"/>
  <c r="Y18" i="9" s="1"/>
  <c r="E108" i="9"/>
  <c r="T29" i="9" s="1" a="1"/>
  <c r="T29" i="9" s="1"/>
  <c r="M65" i="9" a="1"/>
  <c r="M65" i="9" s="1"/>
  <c r="M89" i="9"/>
  <c r="AB10" i="9" s="1" a="1"/>
  <c r="AB10" i="9" s="1"/>
  <c r="H100" i="9"/>
  <c r="W21" i="9" s="1" a="1"/>
  <c r="W21" i="9" s="1"/>
  <c r="C107" i="9"/>
  <c r="R28" i="9" s="1" a="1"/>
  <c r="R28" i="9" s="1"/>
  <c r="AB31" i="9" a="1"/>
  <c r="AB31" i="9" s="1"/>
  <c r="H51" i="9" a="1"/>
  <c r="H51" i="9" s="1"/>
  <c r="H87" i="9"/>
  <c r="W8" i="9" s="1" a="1"/>
  <c r="W8" i="9" s="1"/>
  <c r="D103" i="9"/>
  <c r="S24" i="9" s="1" a="1"/>
  <c r="S24" i="9" s="1"/>
  <c r="F91" i="9"/>
  <c r="U12" i="9" s="1" a="1"/>
  <c r="U12" i="9" s="1"/>
  <c r="D107" i="9"/>
  <c r="S28" i="9" s="1" a="1"/>
  <c r="S28" i="9" s="1"/>
  <c r="I66" i="9" a="1"/>
  <c r="I66" i="9" s="1"/>
  <c r="O94" i="9"/>
  <c r="K88" i="9"/>
  <c r="Z9" i="9" s="1" a="1"/>
  <c r="Z9" i="9" s="1"/>
  <c r="G104" i="9"/>
  <c r="V25" i="9" s="1" a="1"/>
  <c r="V25" i="9" s="1"/>
  <c r="C90" i="9"/>
  <c r="R11" i="9" s="1" a="1"/>
  <c r="R11" i="9" s="1"/>
  <c r="L105" i="9"/>
  <c r="H61" i="9" a="1"/>
  <c r="H61" i="9" s="1"/>
  <c r="C94" i="9"/>
  <c r="R15" i="9" s="1" a="1"/>
  <c r="R15" i="9" s="1"/>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U20" i="9" s="1" a="1"/>
  <c r="U20" i="9" s="1"/>
  <c r="O108" i="9"/>
  <c r="AD29" i="9" s="1"/>
  <c r="B26" i="20" s="1"/>
  <c r="E86" i="9"/>
  <c r="T7" i="9" s="1" a="1"/>
  <c r="T7" i="9" s="1"/>
  <c r="H13" i="15"/>
  <c r="H12" i="15"/>
  <c r="H11" i="15"/>
  <c r="C6" i="8"/>
  <c r="H10" i="15"/>
  <c r="E41" i="7"/>
  <c r="O75" i="9"/>
  <c r="A28" i="20"/>
  <c r="T31" i="9" a="1"/>
  <c r="T31" i="9" s="1"/>
  <c r="B14" i="9"/>
  <c r="C14" i="9" s="1"/>
  <c r="O52" i="9"/>
  <c r="O55" i="9"/>
  <c r="O54" i="9"/>
  <c r="B16" i="9"/>
  <c r="E16" i="9" s="1"/>
  <c r="O51" i="9"/>
  <c r="B17" i="9"/>
  <c r="E17" i="9" s="1"/>
  <c r="O65" i="9"/>
  <c r="O67" i="9"/>
  <c r="O50" i="9"/>
  <c r="B8" i="9"/>
  <c r="C8" i="9" s="1"/>
  <c r="B7" i="9"/>
  <c r="C7" i="9" s="1"/>
  <c r="O53" i="9"/>
  <c r="B13" i="9"/>
  <c r="C13" i="9" s="1"/>
  <c r="B4" i="9"/>
  <c r="E4" i="9" s="1"/>
  <c r="B5" i="20"/>
  <c r="B11" i="9"/>
  <c r="E11" i="9" s="1"/>
  <c r="B18" i="9"/>
  <c r="E18" i="9" s="1"/>
  <c r="O63" i="9"/>
  <c r="O60" i="9"/>
  <c r="O58" i="9"/>
  <c r="O56" i="9"/>
  <c r="B9" i="9"/>
  <c r="C9" i="9" s="1"/>
  <c r="O57" i="9"/>
  <c r="B15" i="9"/>
  <c r="E15" i="9" s="1"/>
  <c r="O62" i="9"/>
  <c r="B5" i="9"/>
  <c r="C5" i="9" s="1"/>
  <c r="O68" i="9"/>
  <c r="O66" i="9"/>
  <c r="B4" i="20"/>
  <c r="B12" i="9"/>
  <c r="E12" i="9" s="1"/>
  <c r="B10" i="9"/>
  <c r="E10" i="9" s="1"/>
  <c r="O61" i="9"/>
  <c r="B6" i="9"/>
  <c r="E6" i="9" s="1"/>
  <c r="O59" i="9"/>
  <c r="B3" i="9"/>
  <c r="C3" i="9" s="1"/>
  <c r="O69" i="9"/>
  <c r="O70" i="9"/>
  <c r="O72" i="9"/>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G59" i="2"/>
  <c r="G9" i="2"/>
  <c r="G74" i="2"/>
  <c r="G5" i="2"/>
  <c r="H62" i="1" s="1"/>
  <c r="G92" i="2"/>
  <c r="G88" i="2"/>
  <c r="G83" i="2"/>
  <c r="G8" i="2"/>
  <c r="G36" i="2"/>
  <c r="G47" i="2"/>
  <c r="H65" i="2"/>
  <c r="I65" i="2" s="1"/>
  <c r="D65" i="2" s="1"/>
  <c r="G26" i="2"/>
  <c r="H12" i="2"/>
  <c r="I12" i="2" s="1"/>
  <c r="D12" i="2" s="1"/>
  <c r="H88" i="2"/>
  <c r="I88" i="2" s="1"/>
  <c r="D88" i="2" s="1"/>
  <c r="G13" i="2"/>
  <c r="G18" i="2"/>
  <c r="G17" i="2"/>
  <c r="G34" i="2"/>
  <c r="G48" i="2"/>
  <c r="G62" i="2"/>
  <c r="G52" i="2"/>
  <c r="G14" i="2"/>
  <c r="G19" i="2"/>
  <c r="G27" i="2"/>
  <c r="H78" i="2"/>
  <c r="I78" i="2" s="1"/>
  <c r="D78" i="2" s="1"/>
  <c r="H86" i="2"/>
  <c r="I86" i="2" s="1"/>
  <c r="D86" i="2" s="1"/>
  <c r="O74" i="9"/>
  <c r="K6" i="6"/>
  <c r="C4" i="8" s="1"/>
  <c r="H48" i="2"/>
  <c r="I48" i="2" s="1"/>
  <c r="D48" i="2" s="1"/>
  <c r="G54" i="2"/>
  <c r="H42" i="2"/>
  <c r="I42" i="2" s="1"/>
  <c r="D42" i="2" s="1"/>
  <c r="G43" i="2"/>
  <c r="G4" i="2"/>
  <c r="G41" i="2"/>
  <c r="G46" i="2"/>
  <c r="H61" i="2"/>
  <c r="I61" i="2" s="1"/>
  <c r="D61" i="2" s="1"/>
  <c r="G25" i="2"/>
  <c r="H13" i="2"/>
  <c r="I13" i="2" s="1"/>
  <c r="D13" i="2" s="1"/>
  <c r="G70" i="2"/>
  <c r="A16" i="20"/>
  <c r="A9" i="20"/>
  <c r="A24" i="20"/>
  <c r="A27" i="20"/>
  <c r="A22" i="20"/>
  <c r="A4" i="20"/>
  <c r="A19" i="20"/>
  <c r="A14" i="20"/>
  <c r="A5" i="20"/>
  <c r="A13" i="20"/>
  <c r="A17" i="20"/>
  <c r="A18" i="20"/>
  <c r="A15" i="20"/>
  <c r="A7" i="20"/>
  <c r="A12" i="20"/>
  <c r="A25" i="20"/>
  <c r="A23" i="20"/>
  <c r="A26" i="20"/>
  <c r="A3" i="20"/>
  <c r="A10" i="20"/>
  <c r="A21" i="20"/>
  <c r="A8" i="20"/>
  <c r="A20" i="20"/>
  <c r="A6" i="20"/>
  <c r="Q5" i="9"/>
  <c r="B49" i="9"/>
  <c r="N76" i="9"/>
  <c r="P76" i="9" s="1"/>
  <c r="AC33" i="9"/>
  <c r="AE33" i="9" s="1"/>
  <c r="AC35" i="9"/>
  <c r="AE35" i="9" s="1"/>
  <c r="AC34" i="9"/>
  <c r="AE34" i="9" s="1"/>
  <c r="N78" i="9"/>
  <c r="P78" i="9" s="1"/>
  <c r="AC32" i="9"/>
  <c r="AE32" i="9" s="1"/>
  <c r="N79" i="9"/>
  <c r="N77" i="9"/>
  <c r="P77" i="9" s="1"/>
  <c r="G13" i="6"/>
  <c r="C12" i="10"/>
  <c r="N6" i="17"/>
  <c r="N7" i="17" s="1"/>
  <c r="I37" i="12"/>
  <c r="D38" i="14"/>
  <c r="C10" i="8" s="1"/>
  <c r="G14" i="15"/>
  <c r="D38" i="18"/>
  <c r="C11" i="8" s="1"/>
  <c r="H13" i="6"/>
  <c r="E38" i="18"/>
  <c r="J37" i="14"/>
  <c r="C12" i="8" s="1"/>
  <c r="C43" i="12"/>
  <c r="H10" i="7"/>
  <c r="I13" i="6"/>
  <c r="D19" i="17"/>
  <c r="D2" i="2"/>
  <c r="H47" i="1" l="1"/>
  <c r="H37" i="1"/>
  <c r="H39" i="1"/>
  <c r="H46" i="1"/>
  <c r="H38" i="1"/>
  <c r="H40" i="1"/>
  <c r="H41" i="1"/>
  <c r="H43" i="1"/>
  <c r="H44" i="1"/>
  <c r="H45" i="1"/>
  <c r="H42" i="1"/>
  <c r="H13" i="1"/>
  <c r="H2" i="1"/>
  <c r="H50" i="1"/>
  <c r="H25" i="1"/>
  <c r="H33" i="1"/>
  <c r="H16" i="1"/>
  <c r="H18" i="1"/>
  <c r="H48" i="1"/>
  <c r="H21" i="1"/>
  <c r="H5" i="1"/>
  <c r="H10" i="1"/>
  <c r="H15" i="1"/>
  <c r="H20" i="1"/>
  <c r="H31" i="1"/>
  <c r="H51" i="1"/>
  <c r="H55" i="1"/>
  <c r="H29" i="1"/>
  <c r="H57" i="1"/>
  <c r="H6" i="1"/>
  <c r="H8" i="1"/>
  <c r="H27" i="1"/>
  <c r="H3" i="1"/>
  <c r="H14" i="1"/>
  <c r="H59" i="1"/>
  <c r="H52" i="1"/>
  <c r="H12" i="1"/>
  <c r="H53" i="1"/>
  <c r="H54" i="1"/>
  <c r="H9" i="1"/>
  <c r="H36" i="1"/>
  <c r="H34" i="1"/>
  <c r="H28" i="1"/>
  <c r="H11" i="1"/>
  <c r="H4" i="1"/>
  <c r="H32" i="1"/>
  <c r="H22" i="1"/>
  <c r="H7" i="1"/>
  <c r="H49" i="1"/>
  <c r="H30" i="1"/>
  <c r="H19" i="1"/>
  <c r="H56" i="1"/>
  <c r="H35" i="1"/>
  <c r="H26" i="1"/>
  <c r="H24" i="1"/>
  <c r="H17" i="1"/>
  <c r="H23" i="1"/>
  <c r="H58" i="1"/>
  <c r="N110" i="9"/>
  <c r="P110" i="9" s="1"/>
  <c r="C10" i="9"/>
  <c r="AC25" i="9"/>
  <c r="AE25" i="9" s="1"/>
  <c r="C22" i="20" s="1"/>
  <c r="H14" i="15"/>
  <c r="B23" i="20"/>
  <c r="N96" i="9"/>
  <c r="P96" i="9" s="1"/>
  <c r="AD15" i="9"/>
  <c r="AD21" i="9"/>
  <c r="B18" i="20" s="1"/>
  <c r="N108" i="9"/>
  <c r="P108" i="9" s="1"/>
  <c r="AD11" i="9"/>
  <c r="B8" i="20" s="1"/>
  <c r="N106" i="9"/>
  <c r="P106" i="9" s="1"/>
  <c r="AD10" i="9"/>
  <c r="B10" i="20"/>
  <c r="N86" i="9"/>
  <c r="P86" i="9" s="1"/>
  <c r="B14" i="20"/>
  <c r="N103" i="9"/>
  <c r="P103" i="9" s="1"/>
  <c r="AD14" i="9"/>
  <c r="N97" i="9"/>
  <c r="P97" i="9" s="1"/>
  <c r="N104" i="9"/>
  <c r="P104" i="9" s="1"/>
  <c r="N109" i="9"/>
  <c r="P109" i="9" s="1"/>
  <c r="N98" i="9"/>
  <c r="P98" i="9" s="1"/>
  <c r="N99" i="9"/>
  <c r="P99" i="9" s="1"/>
  <c r="AA26" i="9" a="1"/>
  <c r="AA26" i="9" s="1"/>
  <c r="N85" i="9"/>
  <c r="P85" i="9" s="1"/>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U5" i="9" s="1" a="1"/>
  <c r="U5" i="9" s="1"/>
  <c r="D14" i="19" s="1" a="1"/>
  <c r="D14" i="19" s="1"/>
  <c r="E84" i="9"/>
  <c r="T5" i="9" s="1" a="1"/>
  <c r="T5" i="9" s="1"/>
  <c r="D12" i="19" s="1" a="1"/>
  <c r="D12" i="19" s="1"/>
  <c r="K49" i="9" a="1"/>
  <c r="K49" i="9" s="1"/>
  <c r="N94" i="9"/>
  <c r="P94" i="9" s="1"/>
  <c r="N95" i="9"/>
  <c r="P95" i="9" s="1"/>
  <c r="N89" i="9"/>
  <c r="P89" i="9" s="1"/>
  <c r="N90" i="9"/>
  <c r="P90" i="9" s="1"/>
  <c r="V16" i="9" a="1"/>
  <c r="V16" i="9" s="1"/>
  <c r="AC16" i="9" s="1"/>
  <c r="N102" i="9"/>
  <c r="P102" i="9" s="1"/>
  <c r="N101" i="9"/>
  <c r="P101" i="9" s="1"/>
  <c r="N88" i="9"/>
  <c r="P88" i="9" s="1"/>
  <c r="N91" i="9"/>
  <c r="P91" i="9" s="1"/>
  <c r="V30" i="9" a="1"/>
  <c r="V30" i="9" s="1"/>
  <c r="AC30" i="9" s="1"/>
  <c r="V27" i="9" a="1"/>
  <c r="V27" i="9" s="1"/>
  <c r="AC27" i="9" s="1"/>
  <c r="AE27" i="9" s="1"/>
  <c r="V26" i="9" a="1"/>
  <c r="V26" i="9" s="1"/>
  <c r="N93" i="9"/>
  <c r="P93" i="9" s="1"/>
  <c r="V17" i="9" a="1"/>
  <c r="V17" i="9" s="1"/>
  <c r="AC17" i="9" s="1"/>
  <c r="V7" i="9" a="1"/>
  <c r="V7" i="9" s="1"/>
  <c r="AC7" i="9" s="1"/>
  <c r="C11" i="9"/>
  <c r="V18" i="9" a="1"/>
  <c r="V18" i="9" s="1"/>
  <c r="AC18" i="9" s="1"/>
  <c r="N107" i="9"/>
  <c r="P107" i="9" s="1"/>
  <c r="V24" i="9" a="1"/>
  <c r="V24" i="9" s="1"/>
  <c r="AC24" i="9" s="1"/>
  <c r="V20" i="9" a="1"/>
  <c r="V20" i="9" s="1"/>
  <c r="AC20" i="9" s="1"/>
  <c r="N87" i="9"/>
  <c r="P87" i="9" s="1"/>
  <c r="N100" i="9"/>
  <c r="P100" i="9" s="1"/>
  <c r="V29" i="9" a="1"/>
  <c r="V29" i="9" s="1"/>
  <c r="AC29" i="9" s="1"/>
  <c r="AE29" i="9" s="1"/>
  <c r="V28" i="9" a="1"/>
  <c r="V28" i="9" s="1"/>
  <c r="AC28" i="9" s="1"/>
  <c r="AE28" i="9" s="1"/>
  <c r="E5" i="9"/>
  <c r="C12" i="9"/>
  <c r="E14" i="9"/>
  <c r="E7" i="9" a="1"/>
  <c r="E7" i="9" s="1"/>
  <c r="C16" i="9"/>
  <c r="E8" i="9"/>
  <c r="C6" i="9"/>
  <c r="AC12" i="9"/>
  <c r="N75" i="9"/>
  <c r="P75" i="9" s="1"/>
  <c r="AC31" i="9"/>
  <c r="N53" i="9"/>
  <c r="P53" i="9" s="1"/>
  <c r="C4" i="9"/>
  <c r="C17" i="9"/>
  <c r="E13" i="9"/>
  <c r="C15" i="9"/>
  <c r="N57" i="9"/>
  <c r="P57" i="9" s="1"/>
  <c r="AC9" i="9"/>
  <c r="AC21" i="9"/>
  <c r="AC22" i="9"/>
  <c r="AE22" i="9" s="1"/>
  <c r="N52" i="9"/>
  <c r="P52" i="9" s="1"/>
  <c r="AC10" i="9"/>
  <c r="C18" i="9"/>
  <c r="E3" i="9"/>
  <c r="E9" i="9"/>
  <c r="AC8"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N62" i="9"/>
  <c r="P62" i="9" s="1"/>
  <c r="B2" i="21"/>
  <c r="A2" i="20"/>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19" i="17"/>
  <c r="AC26" i="9" l="1"/>
  <c r="AE26" i="9" s="1"/>
  <c r="AE14" i="9"/>
  <c r="C11" i="20" s="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9" i="20"/>
  <c r="AE8" i="9"/>
  <c r="C5" i="20" s="1"/>
  <c r="C23" i="20"/>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<sst xmlns="http://schemas.openxmlformats.org/spreadsheetml/2006/main" count="701" uniqueCount="226">
  <si>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</si>
  <si>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</si>
  <si>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</si>
  <si>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</si>
  <si>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</si>
  <si>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</si>
  <si>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</si>
  <si>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</si>
  <si>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</si>
  <si>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</si>
  <si>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</si>
  <si>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</si>
  <si>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</si>
  <si>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</si>
  <si>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</si>
  <si>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</si>
  <si>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</si>
  <si>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</si>
  <si>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</si>
  <si>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</si>
  <si>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</si>
  <si>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</si>
  <si>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</si>
  <si>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</si>
  <si>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</si>
  <si>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</si>
  <si>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</si>
  <si>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</si>
  <si>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</si>
  <si>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</si>
  <si>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</si>
  <si>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</si>
  <si>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</si>
  <si>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</si>
  <si>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</si>
  <si>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</si>
  <si>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</si>
  <si>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</si>
  <si>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</si>
  <si>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</si>
  <si>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</si>
  <si>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</si>
  <si>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</si>
  <si>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</si>
  <si>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</si>
  <si>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</si>
  <si>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</si>
  <si>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</si>
  <si>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</si>
  <si>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</si>
  <si>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</si>
  <si>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</si>
  <si>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</si>
  <si>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</si>
  <si>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</si>
  <si>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</si>
  <si>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</si>
  <si>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</si>
  <si>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</si>
  <si>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</si>
  <si>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</si>
  <si>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</si>
  <si>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</si>
  <si>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</si>
  <si>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</si>
  <si>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</si>
  <si>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</si>
  <si>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</si>
  <si>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</si>
  <si>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</si>
  <si>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</si>
  <si>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</si>
  <si>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</si>
  <si>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</si>
  <si>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</si>
  <si>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</si>
  <si>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</si>
  <si>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</si>
  <si>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</si>
  <si>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</si>
  <si>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</si>
  <si>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</si>
  <si>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</si>
  <si>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</si>
  <si>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</si>
  <si>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</si>
  <si>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</si>
  <si>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</si>
  <si>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</si>
  <si>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</si>
  <si>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</si>
  <si>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</si>
  <si>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</si>
  <si>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</si>
  <si>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</si>
  <si>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</si>
  <si>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</si>
  <si>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</si>
  <si>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</si>
  <si>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</si>
  <si>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</si>
  <si>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</si>
  <si>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</si>
  <si>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</si>
  <si>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</si>
  <si>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</si>
  <si>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</si>
  <si>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</si>
  <si>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</si>
  <si>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</si>
  <si>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</si>
  <si>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</si>
  <si>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</si>
  <si>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</si>
  <si>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</si>
  <si>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</si>
  <si>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</si>
  <si>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</si>
  <si>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</si>
  <si>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</si>
  <si>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</si>
  <si>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</si>
  <si>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</si>
  <si>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</si>
  <si>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</si>
  <si>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</si>
  <si>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</si>
  <si>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</si>
  <si>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</si>
  <si>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</si>
  <si>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</si>
  <si>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</si>
  <si>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</si>
  <si>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</si>
  <si>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</si>
  <si>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</si>
  <si>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</si>
  <si>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</si>
  <si>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</si>
  <si>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</si>
  <si>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</si>
  <si>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</si>
  <si>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</si>
  <si>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</si>
  <si>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</si>
  <si>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</si>
  <si>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</si>
  <si>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</si>
  <si>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</si>
  <si>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</si>
  <si>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</si>
  <si>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</si>
  <si>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</si>
  <si>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</si>
  <si>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</si>
  <si>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</si>
  <si>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</si>
  <si>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</si>
  <si>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</si>
  <si>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</si>
  <si>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</si>
  <si>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</si>
  <si>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</si>
  <si>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</si>
  <si>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</si>
  <si>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</si>
  <si>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</si>
  <si>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</si>
  <si>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</si>
  <si>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</si>
  <si>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</si>
  <si>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</si>
  <si>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</si>
  <si>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</si>
  <si>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</si>
  <si>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oct-Nov</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</si>
  <si>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</si>
  <si>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</si>
  <si>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</si>
  <si>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</si>
  <si>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</si>
  <si>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</si>
  <si>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</si>
  <si>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</si>
  <si>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</si>
  <si>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</si>
  <si>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</si>
  <si>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</si>
  <si>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</si>
  <si>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</si>
  <si>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</si>
  <si>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</si>
  <si>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</si>
  <si>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</si>
  <si>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</si>
  <si>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</si>
  <si>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</si>
  <si>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</si>
  <si>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</si>
  <si>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</si>
  <si>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</si>
  <si>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</si>
  <si>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</si>
  <si>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</si>
  <si>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</si>
  <si>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</si>
  <si>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</si>
  <si>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</si>
  <si>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</si>
  <si>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</si>
  <si>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</si>
  <si>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</si>
  <si>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</si>
  <si>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</si>
  <si>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</si>
  <si>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</si>
  <si>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</si>
  <si>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</si>
  <si>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</si>
  <si>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</si>
  <si>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</si>
  <si>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</si>
  <si>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</si>
  <si>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</si>
  <si>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</si>
  <si>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last month 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</si>
</sst>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64" fontId="10" fillId="0" borderId="0" xfId="0" applyNumberFormat="1" applyFont="1"/>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0" fillId="0" borderId="0" xfId="0" applyNumberFormat="1"/>
  </cellXfs>
  <cellStyles count="2">
    <cellStyle name="Comma" xfId="1" builtinId="3"/>
    <cellStyle name="Normal" xfId="0" builtinId="0"/>
  </cellStyles>
  <dxfs count="151">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FF000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11</xdr:col>
      <xdr:colOff>23823</xdr:colOff>
      <xdr:row>7</xdr:row>
      <xdr:rowOff>43181</xdr:rowOff>
    </xdr:from>
    <xdr:to>
      <xdr:col>14</xdr:col>
      <xdr:colOff>9397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560312</xdr:colOff>
      <xdr:row>12</xdr:row>
      <xdr:rowOff>138748</xdr:rowOff>
    </xdr:from>
    <xdr:to>
      <xdr:col>15</xdr:col>
      <xdr:colOff>30840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1892206</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0.040704976855" createdVersion="8" refreshedVersion="8" minRefreshableVersion="3" recordCount="17" xr:uid="{B5BDFB73-D93A-4A7A-8149-666BC190B09B}">
  <cacheSource type="worksheet">
    <worksheetSource name="Table14"/>
  </cacheSource>
  <cacheFields count="7">
    <cacheField name="Date" numFmtId="14">
      <sharedItems containsSemiMixedTypes="0" containsNonDate="0" containsDate="1" containsString="0" minDate="2025-12-17T00:00:00" maxDate="2025-12-19T00:00:00"/>
    </cacheField>
    <cacheField name="Party" numFmtId="0">
      <sharedItems containsBlank="1" count="75">
        <s v="Closing CF"/>
        <s v="Dasti"/>
        <s v="Loom Ac"/>
        <s v="Salary"/>
        <s v="omer"/>
        <s v="Malik Zaheer"/>
        <s v="Arb Dasti"/>
        <s v="Madina Dyes"/>
        <m/>
        <s v="Closing October CF" u="1"/>
        <s v="kaleem ullah" u="1"/>
        <s v="Aurangzeb" u="1"/>
        <s v="Parts" u="1"/>
        <s v="BSC" u="1"/>
        <s v="Arshad" u="1"/>
        <s v="Rashan" u="1"/>
        <s v="Transport" u="1"/>
        <s v="Finish" u="1"/>
        <s v="advance salary" u="1"/>
        <s v="ejaz sahab" u="1"/>
        <s v="Electricity" u="1"/>
        <s v="Azam" u="1"/>
        <s v="Badshah Fabrics" u="1"/>
        <s v="Amjad Sohail" u="1"/>
        <s v="Haseeb Shamsi" u="1"/>
        <s v="Ashraf Zia" u="1"/>
        <s v="General Dyes" u="1"/>
        <s v="Faizan" u="1"/>
        <s v="misc" u="1"/>
        <s v="Rafaqat" u="1"/>
        <s v="Sajad Khan" u="1"/>
        <s v="abid ghafoor" u="1"/>
        <s v="Hafiz Qureshi" u="1"/>
        <s v="Zia-ullah karachi" u="1"/>
        <s v="Ishaq" u="1"/>
        <s v="Unicolour" u="1"/>
        <s v="ibraheem behraam" u="1"/>
        <s v="Shafi Dyes" u="1"/>
        <s v="Ubaidullah" u="1"/>
        <s v="shahid Qasayi" u="1"/>
        <s v="irfan punjabi" u="1"/>
        <s v="Hameed corporation" u="1"/>
        <s v="Amjad wood" u="1"/>
        <s v="Raaz fabrics" u="1"/>
        <s v="Temp" u="1"/>
        <s v="ZA" u="1"/>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500" maxValue="1264709"/>
    </cacheField>
    <cacheField name="Credit" numFmtId="164">
      <sharedItems containsString="0" containsBlank="1" containsNumber="1" containsInteger="1" minValue="-610916" maxValue="1892206"/>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0.04070543981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5488.295537673745"/>
    </cacheField>
    <cacheField name="Rate" numFmtId="0">
      <sharedItems containsString="0" containsBlank="1" containsNumber="1" minValue="10" maxValue="12"/>
    </cacheField>
    <cacheField name="Total" numFmtId="164">
      <sharedItems containsSemiMixedTypes="0" containsString="0" containsNumber="1" minValue="0" maxValue="454882.9553767374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0.040705671294" createdVersion="8" refreshedVersion="8" minRefreshableVersion="3" recordCount="8" xr:uid="{AC867DCC-CE64-4D1A-827D-F1F3EE10EE4E}">
  <cacheSource type="worksheet">
    <worksheetSource name="Table8"/>
  </cacheSource>
  <cacheFields count="9">
    <cacheField name="Date" numFmtId="0">
      <sharedItems containsNonDate="0" containsDate="1" containsString="0" containsBlank="1" minDate="2025-05-16T00:00:00" maxDate="2025-12-19T00:00:00" count="53">
        <d v="2025-12-17T00:00:00"/>
        <d v="2025-12-18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83750" maxValue="1837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0.040705902778" createdVersion="8" refreshedVersion="8" minRefreshableVersion="3" recordCount="11" xr:uid="{3E5C2981-ACF5-44A9-8567-B1D65DB3A8D2}">
  <cacheSource type="worksheet">
    <worksheetSource name="Table3"/>
  </cacheSource>
  <cacheFields count="9">
    <cacheField name="Date" numFmtId="14">
      <sharedItems containsNonDate="0" containsDate="1" containsString="0" containsBlank="1" minDate="2025-05-02T00:00:00" maxDate="2025-12-19T00:00:00" count="137">
        <d v="2025-12-17T00:00:00"/>
        <d v="2025-12-18T00:00:00"/>
        <m/>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s v="Shamil" u="1"/>
        <s v="Aqib Freight" u="1"/>
      </sharedItems>
    </cacheField>
    <cacheField name="Vehicle Number" numFmtId="0">
      <sharedItems containsBlank="1" containsMixedTypes="1" containsNumber="1" containsInteger="1" minValue="31" maxValue="9940" count="58">
        <s v="Closing Balance CF"/>
        <s v="TKL 364"/>
        <m/>
        <n v="9662"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0" maxValue="250"/>
    </cacheField>
    <cacheField name="Rate" numFmtId="164">
      <sharedItems containsString="0" containsBlank="1" containsNumber="1" containsInteger="1" minValue="81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2500"/>
    </cacheField>
    <cacheField name="Paid" numFmtId="164">
      <sharedItems containsString="0" containsBlank="1" containsNumber="1" containsInteger="1" minValue="0" maxValue="53250"/>
    </cacheField>
    <cacheField name="balance" numFmtId="164">
      <sharedItems containsSemiMixedTypes="0" containsString="0" containsNumber="1" containsInteger="1" minValue="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0.0407060185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18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0"/>
    </cacheField>
    <cacheField name="Paid" numFmtId="0">
      <sharedItems containsSemiMixedTypes="0" containsString="0" containsNumber="1" containsInteger="1" minValue="0" maxValue="0"/>
    </cacheField>
    <cacheField name="Balance" numFmtId="0">
      <sharedItems containsSemiMixedTypes="0" containsString="0" containsNumber="1" containsInteger="1" minValue="0" maxValue="268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0.04070636574" createdVersion="8" refreshedVersion="8" minRefreshableVersion="3" recordCount="68" xr:uid="{46CBB50D-3613-4E5B-8212-DD0313DCD05A}">
  <cacheSource type="worksheet">
    <worksheetSource name="Table1"/>
  </cacheSource>
  <cacheFields count="14">
    <cacheField name="Date" numFmtId="0">
      <sharedItems containsNonDate="0" containsDate="1" containsString="0" containsBlank="1" minDate="2025-11-18T00:00:00" maxDate="2025-12-19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Blank="1" containsMixedTypes="1" containsNumber="1" containsInteger="1" minValue="1256" maxValue="1258"/>
    </cacheField>
    <cacheField name="Quality" numFmtId="0">
      <sharedItems containsBlank="1"/>
    </cacheField>
    <cacheField name="Shipment Number" numFmtId="164">
      <sharedItems containsString="0" containsBlank="1" containsNumber="1" containsInteger="1" minValue="1558" maxValue="17000" count="328">
        <m/>
        <n v="1971"/>
        <n v="1951"/>
        <n v="1934"/>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58"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24" u="1"/>
        <n v="1949" u="1"/>
        <n v="1956" u="1"/>
        <n v="1972"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8741" maxValue="54197"/>
    </cacheField>
    <cacheField name="Tiyaar/gaz" numFmtId="164">
      <sharedItems containsString="0" containsBlank="1" containsNumber="1" containsInteger="1" minValue="12375" maxValue="49746"/>
    </cacheField>
    <cacheField name="shortage %" numFmtId="165">
      <sharedItems containsMixedTypes="1" containsNumber="1" minValue="0.96556674097216444" maxValue="92.15399655070209"/>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d v="2025-12-17T00:00:00"/>
    <x v="0"/>
    <m/>
    <n v="1892206"/>
    <m/>
    <s v="Bank"/>
    <m/>
  </r>
  <r>
    <d v="2025-12-17T00:00:00"/>
    <x v="0"/>
    <m/>
    <n v="-610916"/>
    <m/>
    <s v="Cash"/>
    <m/>
  </r>
  <r>
    <d v="2025-12-18T00:00:00"/>
    <x v="1"/>
    <n v="500"/>
    <m/>
    <s v="chai"/>
    <s v="Bank"/>
    <m/>
  </r>
  <r>
    <d v="2025-12-18T00:00:00"/>
    <x v="1"/>
    <n v="3600"/>
    <m/>
    <s v="mazdoor"/>
    <s v="Bank"/>
    <m/>
  </r>
  <r>
    <d v="2025-12-18T00:00:00"/>
    <x v="2"/>
    <n v="5000"/>
    <m/>
    <s v="Baba Hamid Sarning"/>
    <s v="Bank"/>
    <m/>
  </r>
  <r>
    <d v="2025-12-18T00:00:00"/>
    <x v="3"/>
    <m/>
    <m/>
    <s v="Ashfaq Sahab theka"/>
    <s v="Bank"/>
    <m/>
  </r>
  <r>
    <d v="2025-12-18T00:00:00"/>
    <x v="4"/>
    <n v="580"/>
    <m/>
    <s v="package"/>
    <s v="Bank"/>
    <m/>
  </r>
  <r>
    <d v="2025-12-18T00:00:00"/>
    <x v="5"/>
    <n v="53250"/>
    <m/>
    <s v="TKL 364"/>
    <s v="Bank"/>
    <m/>
  </r>
  <r>
    <d v="2025-12-18T00:00:00"/>
    <x v="6"/>
    <n v="1264709"/>
    <m/>
    <s v="last month balance"/>
    <s v="Bank"/>
    <m/>
  </r>
  <r>
    <d v="2025-12-18T00:00:00"/>
    <x v="6"/>
    <m/>
    <n v="66250"/>
    <m/>
    <s v="Bank"/>
    <m/>
  </r>
  <r>
    <d v="2025-12-18T00:00:00"/>
    <x v="7"/>
    <n v="183750"/>
    <m/>
    <s v="Dyes"/>
    <s v="Bank"/>
    <m/>
  </r>
  <r>
    <d v="2025-12-18T00:00:00"/>
    <x v="6"/>
    <m/>
    <n v="183750"/>
    <s v="Madina Dyes"/>
    <s v="Bank"/>
    <m/>
  </r>
  <r>
    <d v="2025-12-18T00:00:00"/>
    <x v="8"/>
    <m/>
    <m/>
    <m/>
    <m/>
    <m/>
  </r>
  <r>
    <d v="2025-12-18T00:00:00"/>
    <x v="8"/>
    <m/>
    <m/>
    <m/>
    <m/>
    <m/>
  </r>
  <r>
    <d v="2025-12-18T00:00:00"/>
    <x v="8"/>
    <m/>
    <m/>
    <m/>
    <m/>
    <m/>
  </r>
  <r>
    <d v="2025-12-18T00:00:00"/>
    <x v="8"/>
    <m/>
    <m/>
    <m/>
    <m/>
    <m/>
  </r>
  <r>
    <d v="2025-12-18T00:00:00"/>
    <x v="8"/>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0"/>
    <n v="10"/>
    <n v="0"/>
  </r>
  <r>
    <x v="1"/>
    <n v="0"/>
    <n v="10"/>
    <n v="0"/>
  </r>
  <r>
    <x v="2"/>
    <n v="26441.111923920998"/>
    <n v="10"/>
    <n v="264411.11923920998"/>
  </r>
  <r>
    <x v="3"/>
    <n v="0"/>
    <n v="10.5"/>
    <n v="0"/>
  </r>
  <r>
    <x v="4"/>
    <n v="0"/>
    <n v="10"/>
    <n v="0"/>
  </r>
  <r>
    <x v="5"/>
    <n v="0"/>
    <n v="10"/>
    <n v="0"/>
  </r>
  <r>
    <x v="6"/>
    <n v="0"/>
    <n v="10"/>
    <n v="0"/>
  </r>
  <r>
    <x v="7"/>
    <n v="45488.295537673745"/>
    <n v="10"/>
    <n v="454882.95537673746"/>
  </r>
  <r>
    <x v="8"/>
    <n v="0"/>
    <n v="10"/>
    <n v="0"/>
  </r>
  <r>
    <x v="9"/>
    <n v="0"/>
    <n v="12"/>
    <n v="0"/>
  </r>
  <r>
    <x v="10"/>
    <n v="0"/>
    <m/>
    <n v="0"/>
  </r>
  <r>
    <x v="11"/>
    <n v="11315.837600585224"/>
    <m/>
    <n v="113158.37600585225"/>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0"/>
    <s v="closing CF"/>
  </r>
  <r>
    <x v="0"/>
    <s v="Dyes"/>
    <m/>
    <m/>
    <m/>
    <x v="1"/>
    <n v="0"/>
    <n v="0"/>
    <s v="closing CF"/>
  </r>
  <r>
    <x v="0"/>
    <s v="Dyes"/>
    <m/>
    <m/>
    <m/>
    <x v="2"/>
    <n v="0"/>
    <n v="0"/>
    <s v="closing CF"/>
  </r>
  <r>
    <x v="0"/>
    <s v="Dyes"/>
    <m/>
    <m/>
    <m/>
    <x v="3"/>
    <n v="0"/>
    <n v="0"/>
    <s v="closing CF"/>
  </r>
  <r>
    <x v="1"/>
    <s v="Dyes"/>
    <m/>
    <m/>
    <n v="183750"/>
    <x v="1"/>
    <n v="183750"/>
    <n v="0"/>
    <m/>
  </r>
  <r>
    <x v="2"/>
    <m/>
    <m/>
    <m/>
    <m/>
    <x v="4"/>
    <n v="0"/>
    <n v="0"/>
    <m/>
  </r>
  <r>
    <x v="2"/>
    <m/>
    <m/>
    <m/>
    <m/>
    <x v="4"/>
    <n v="0"/>
    <n v="0"/>
    <m/>
  </r>
  <r>
    <x v="2"/>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2"/>
    <x v="8"/>
    <x v="2"/>
    <m/>
    <m/>
    <m/>
    <n v="0"/>
    <m/>
    <n v="0"/>
  </r>
  <r>
    <x v="2"/>
    <x v="8"/>
    <x v="2"/>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224000"/>
  </r>
  <r>
    <d v="2025-12-17T00:00:00"/>
    <x v="4"/>
    <s v="Closing CF"/>
    <m/>
    <m/>
    <n v="0"/>
    <n v="0"/>
    <n v="0"/>
  </r>
  <r>
    <m/>
    <x v="5"/>
    <m/>
    <m/>
    <m/>
    <n v="0"/>
    <n v="0"/>
    <n v="0"/>
  </r>
  <r>
    <m/>
    <x v="5"/>
    <m/>
    <m/>
    <m/>
    <n v="0"/>
    <n v="0"/>
    <n v="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92.15399655070209"/>
    <m/>
    <m/>
    <m/>
  </r>
  <r>
    <d v="2025-12-18T00:00:00"/>
    <x v="2"/>
    <n v="1257"/>
    <s v="Chamki"/>
    <x v="2"/>
    <n v="54197"/>
    <n v="28916"/>
    <s v="NF"/>
    <m/>
    <m/>
    <m/>
  </r>
  <r>
    <d v="2025-12-18T00:00:00"/>
    <x v="11"/>
    <n v="1258"/>
    <s v="Chamki"/>
    <x v="3"/>
    <n v="38741"/>
    <n v="12375"/>
    <n v="0.96556674097216444"/>
    <m/>
    <m/>
    <m/>
  </r>
  <r>
    <d v="2025-12-18T00:00:00"/>
    <x v="26"/>
    <m/>
    <m/>
    <x v="0"/>
    <m/>
    <m/>
    <e v="#DIV/0!"/>
    <m/>
    <m/>
    <m/>
  </r>
  <r>
    <d v="2025-12-18T00:00:00"/>
    <x v="26"/>
    <m/>
    <m/>
    <x v="0"/>
    <m/>
    <m/>
    <e v="#DIV/0!"/>
    <m/>
    <m/>
    <m/>
  </r>
  <r>
    <d v="2025-12-18T00:00:00"/>
    <x v="26"/>
    <m/>
    <m/>
    <x v="0"/>
    <m/>
    <m/>
    <e v="#DIV/0!"/>
    <m/>
    <m/>
    <m/>
  </r>
  <r>
    <d v="2025-12-18T00:00:00"/>
    <x v="26"/>
    <m/>
    <m/>
    <x v="0"/>
    <m/>
    <m/>
    <e v="#DIV/0!"/>
    <m/>
    <m/>
    <m/>
  </r>
  <r>
    <m/>
    <x v="26"/>
    <m/>
    <m/>
    <x v="0"/>
    <m/>
    <m/>
    <e v="#DIV/0!"/>
    <m/>
    <m/>
    <m/>
  </r>
  <r>
    <m/>
    <x v="26"/>
    <m/>
    <m/>
    <x v="0"/>
    <m/>
    <m/>
    <e v="#DIV/0!"/>
    <m/>
    <m/>
    <m/>
  </r>
  <r>
    <m/>
    <x v="2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0">
      <pivotArea field="0" grandRow="1" outline="0" collapsedLevelsAreSubtotals="1" axis="axisRow" fieldPosition="0">
        <references count="1">
          <reference field="4294967294" count="1" selected="0">
            <x v="1"/>
          </reference>
        </references>
      </pivotArea>
    </format>
    <format dxfId="149">
      <pivotArea field="0" grandRow="1" outline="0" collapsedLevelsAreSubtotals="1" axis="axisRow" fieldPosition="0">
        <references count="1">
          <reference field="4294967294" count="1" selected="0">
            <x v="0"/>
          </reference>
        </references>
      </pivotArea>
    </format>
    <format dxfId="148">
      <pivotArea collapsedLevelsAreSubtotals="1" fieldPosition="0">
        <references count="2">
          <reference field="4294967294" count="1" selected="0">
            <x v="1"/>
          </reference>
          <reference field="0" count="0"/>
        </references>
      </pivotArea>
    </format>
    <format dxfId="14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5" firstHeaderRow="0" firstDataRow="1" firstDataCol="1" rowPageCount="1" colPageCount="1"/>
  <pivotFields count="9">
    <pivotField axis="axisRow" numFmtId="14" showAll="0">
      <items count="138">
        <item m="1" x="121"/>
        <item m="1" x="122"/>
        <item m="1" x="123"/>
        <item m="1" x="124"/>
        <item m="1" x="125"/>
        <item m="1" x="126"/>
        <item m="1" x="127"/>
        <item m="1" x="136"/>
        <item m="1" x="117"/>
        <item m="1" x="128"/>
        <item m="1" x="129"/>
        <item m="1" x="130"/>
        <item m="1" x="131"/>
        <item m="1" x="132"/>
        <item m="1" x="133"/>
        <item m="1" x="134"/>
        <item m="1" x="88"/>
        <item m="1" x="89"/>
        <item m="1" x="135"/>
        <item m="1" x="90"/>
        <item m="1" x="87"/>
        <item m="1" x="91"/>
        <item m="1" x="93"/>
        <item m="1" x="94"/>
        <item m="1" x="95"/>
        <item m="1" x="97"/>
        <item m="1" x="98"/>
        <item m="1" x="99"/>
        <item m="1" x="92"/>
        <item m="1" x="96"/>
        <item m="1" x="100"/>
        <item m="1" x="101"/>
        <item m="1" x="102"/>
        <item m="1" x="103"/>
        <item m="1" x="86"/>
        <item m="1" x="104"/>
        <item m="1" x="118"/>
        <item m="1" x="119"/>
        <item m="1" x="120"/>
        <item m="1" x="105"/>
        <item m="1" x="106"/>
        <item m="1" x="107"/>
        <item m="1" x="108"/>
        <item m="1" x="109"/>
        <item m="1" x="110"/>
        <item m="1" x="111"/>
        <item m="1" x="112"/>
        <item m="1" x="113"/>
        <item m="1" x="114"/>
        <item m="1" x="115"/>
        <item m="1" x="116"/>
        <item m="1" x="57"/>
        <item m="1" x="58"/>
        <item m="1" x="59"/>
        <item m="1" x="60"/>
        <item m="1" x="61"/>
        <item m="1" x="62"/>
        <item m="1" x="63"/>
        <item m="1" x="64"/>
        <item m="1" x="66"/>
        <item m="1" x="67"/>
        <item m="1" x="68"/>
        <item m="1" x="65"/>
        <item m="1" x="69"/>
        <item m="1" x="70"/>
        <item m="1" x="71"/>
        <item m="1" x="72"/>
        <item m="1" x="73"/>
        <item m="1" x="74"/>
        <item m="1" x="75"/>
        <item m="1" x="76"/>
        <item m="1" x="77"/>
        <item m="1" x="78"/>
        <item m="1" x="79"/>
        <item m="1" x="80"/>
        <item m="1" x="81"/>
        <item m="1" x="82"/>
        <item m="1" x="83"/>
        <item m="1" x="84"/>
        <item m="1" x="85"/>
        <item m="1" x="3"/>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4"/>
        <item m="1" x="7"/>
        <item m="1" x="5"/>
        <item m="1" x="6"/>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x="0"/>
        <item x="1"/>
        <item x="2"/>
        <item t="default"/>
      </items>
    </pivotField>
    <pivotField axis="axisPage" showAll="0">
      <items count="12">
        <item x="1"/>
        <item x="0"/>
        <item x="8"/>
        <item m="1" x="10"/>
        <item x="2"/>
        <item x="3"/>
        <item x="4"/>
        <item m="1" x="9"/>
        <item x="5"/>
        <item x="6"/>
        <item x="7"/>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2"/>
        <item x="1"/>
        <item m="1" x="3"/>
        <item m="1" x="4"/>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
    <i>
      <x v="134"/>
    </i>
    <i r="1">
      <x v="20"/>
    </i>
    <i>
      <x v="135"/>
    </i>
    <i r="1">
      <x v="55"/>
    </i>
    <i>
      <x v="13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4">
      <pivotArea dataOnly="0" labelOnly="1" outline="0" fieldPosition="0">
        <references count="1">
          <reference field="1" count="1">
            <x v="1"/>
          </reference>
        </references>
      </pivotArea>
    </format>
    <format dxfId="12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73" firstHeaderRow="0" firstDataRow="1" firstDataCol="1"/>
  <pivotFields count="7">
    <pivotField numFmtId="14" showAll="0"/>
    <pivotField axis="axisRow" showAll="0">
      <items count="76">
        <item m="1" x="18"/>
        <item m="1" x="14"/>
        <item m="1" x="13"/>
        <item m="1" x="61"/>
        <item m="1" x="65"/>
        <item m="1" x="17"/>
        <item x="5"/>
        <item m="1" x="28"/>
        <item m="1" x="12"/>
        <item m="1" x="15"/>
        <item x="3"/>
        <item m="1" x="73"/>
        <item m="1" x="60"/>
        <item m="1" x="16"/>
        <item m="1" x="57"/>
        <item m="1" x="71"/>
        <item x="1"/>
        <item m="1" x="44"/>
        <item x="4"/>
        <item m="1" x="19"/>
        <item x="8"/>
        <item m="1" x="30"/>
        <item m="1" x="74"/>
        <item m="1" x="56"/>
        <item m="1" x="32"/>
        <item m="1" x="72"/>
        <item m="1" x="64"/>
        <item m="1" x="35"/>
        <item m="1" x="66"/>
        <item m="1" x="67"/>
        <item m="1" x="68"/>
        <item m="1" x="69"/>
        <item m="1" x="38"/>
        <item m="1" x="70"/>
        <item m="1" x="43"/>
        <item m="1" x="29"/>
        <item m="1" x="50"/>
        <item m="1" x="21"/>
        <item m="1" x="59"/>
        <item m="1" x="53"/>
        <item m="1" x="22"/>
        <item m="1" x="10"/>
        <item m="1" x="34"/>
        <item m="1" x="62"/>
        <item x="6"/>
        <item m="1" x="63"/>
        <item m="1" x="47"/>
        <item m="1" x="27"/>
        <item x="7"/>
        <item m="1" x="48"/>
        <item m="1" x="49"/>
        <item m="1" x="51"/>
        <item m="1" x="52"/>
        <item m="1" x="54"/>
        <item m="1" x="23"/>
        <item m="1" x="24"/>
        <item m="1" x="55"/>
        <item m="1" x="58"/>
        <item m="1" x="11"/>
        <item m="1" x="26"/>
        <item m="1" x="9"/>
        <item m="1" x="20"/>
        <item m="1" x="25"/>
        <item m="1" x="31"/>
        <item m="1" x="46"/>
        <item x="2"/>
        <item m="1" x="36"/>
        <item m="1" x="37"/>
        <item m="1" x="39"/>
        <item m="1" x="33"/>
        <item m="1" x="40"/>
        <item m="1" x="41"/>
        <item m="1" x="42"/>
        <item m="1" x="45"/>
        <item x="0"/>
        <item t="default"/>
      </items>
    </pivotField>
    <pivotField dataField="1" showAll="0"/>
    <pivotField dataField="1" showAll="0"/>
    <pivotField showAll="0"/>
    <pivotField showAll="0"/>
    <pivotField showAll="0"/>
  </pivotFields>
  <rowFields count="1">
    <field x="1"/>
  </rowFields>
  <rowItems count="10">
    <i>
      <x v="6"/>
    </i>
    <i>
      <x v="10"/>
    </i>
    <i>
      <x v="16"/>
    </i>
    <i>
      <x v="18"/>
    </i>
    <i>
      <x v="20"/>
    </i>
    <i>
      <x v="44"/>
    </i>
    <i>
      <x v="48"/>
    </i>
    <i>
      <x v="65"/>
    </i>
    <i>
      <x v="74"/>
    </i>
    <i t="grand">
      <x/>
    </i>
  </rowItems>
  <colFields count="1">
    <field x="-2"/>
  </colFields>
  <colItems count="2">
    <i>
      <x/>
    </i>
    <i i="1">
      <x v="1"/>
    </i>
  </colItems>
  <dataFields count="2">
    <dataField name="Sum of Credit" fld="3" baseField="0" baseItem="0"/>
    <dataField name="Sum of Debit" fld="2" baseField="0" baseItem="0"/>
  </dataFields>
  <formats count="1">
    <format dxfId="1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54">
        <item m="1" x="48"/>
        <item m="1" x="49"/>
        <item m="1" x="50"/>
        <item m="1" x="51"/>
        <item m="1" x="52"/>
        <item m="1" x="47"/>
        <item m="1" x="35"/>
        <item m="1" x="36"/>
        <item m="1" x="40"/>
        <item m="1" x="41"/>
        <item m="1" x="37"/>
        <item m="1" x="42"/>
        <item m="1" x="43"/>
        <item m="1" x="44"/>
        <item m="1" x="45"/>
        <item m="1" x="46"/>
        <item m="1" x="34"/>
        <item m="1" x="38"/>
        <item m="1" x="39"/>
        <item m="1" x="27"/>
        <item m="1" x="28"/>
        <item m="1" x="29"/>
        <item m="1" x="30"/>
        <item m="1" x="31"/>
        <item m="1" x="32"/>
        <item m="1" x="33"/>
        <item m="1" x="3"/>
        <item m="1" x="19"/>
        <item m="1" x="20"/>
        <item m="1" x="21"/>
        <item m="1" x="22"/>
        <item m="1" x="23"/>
        <item m="1" x="24"/>
        <item m="1" x="25"/>
        <item m="1" x="26"/>
        <item m="1" x="4"/>
        <item m="1" x="5"/>
        <item m="1" x="6"/>
        <item m="1" x="7"/>
        <item m="1" x="8"/>
        <item m="1" x="9"/>
        <item m="1" x="10"/>
        <item m="1" x="12"/>
        <item m="1" x="13"/>
        <item m="1" x="11"/>
        <item m="1" x="14"/>
        <item m="1" x="15"/>
        <item m="1" x="16"/>
        <item m="1" x="17"/>
        <item m="1" x="18"/>
        <item x="0"/>
        <item x="1"/>
        <item x="2"/>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4">
    <i>
      <x v="50"/>
    </i>
    <i>
      <x v="51"/>
    </i>
    <i>
      <x v="5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29">
        <item m="1" x="311"/>
        <item m="1" x="312"/>
        <item m="1" x="310"/>
        <item m="1" x="309"/>
        <item m="1" x="313"/>
        <item m="1" x="315"/>
        <item m="1" x="314"/>
        <item m="1" x="316"/>
        <item m="1" x="317"/>
        <item m="1" x="318"/>
        <item m="1" x="319"/>
        <item m="1" x="320"/>
        <item m="1" x="321"/>
        <item m="1" x="322"/>
        <item m="1" x="247"/>
        <item m="1" x="269"/>
        <item m="1" x="323"/>
        <item m="1" x="324"/>
        <item m="1" x="325"/>
        <item m="1" x="277"/>
        <item m="1" x="276"/>
        <item m="1" x="326"/>
        <item m="1" x="327"/>
        <item m="1" x="286"/>
        <item m="1" x="278"/>
        <item m="1" x="279"/>
        <item m="1" x="280"/>
        <item m="1" x="281"/>
        <item m="1" x="282"/>
        <item m="1" x="283"/>
        <item m="1" x="284"/>
        <item m="1" x="285"/>
        <item m="1" x="287"/>
        <item m="1" x="307"/>
        <item m="1" x="288"/>
        <item m="1" x="308"/>
        <item m="1" x="289"/>
        <item m="1" x="290"/>
        <item m="1" x="291"/>
        <item m="1" x="292"/>
        <item m="1" x="293"/>
        <item m="1" x="223"/>
        <item m="1" x="294"/>
        <item m="1" x="295"/>
        <item m="1" x="296"/>
        <item m="1" x="297"/>
        <item m="1" x="298"/>
        <item m="1" x="299"/>
        <item m="1" x="300"/>
        <item m="1" x="301"/>
        <item m="1" x="302"/>
        <item m="1" x="303"/>
        <item m="1" x="304"/>
        <item m="1" x="305"/>
        <item m="1" x="306"/>
        <item x="0"/>
        <item m="1" x="222"/>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70"/>
        <item m="1" x="271"/>
        <item m="1" x="272"/>
        <item m="1" x="273"/>
        <item m="1" x="274"/>
        <item m="1" x="275"/>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21"/>
        <item m="1" x="202"/>
        <item m="1" x="203"/>
        <item m="1" x="204"/>
        <item m="1" x="205"/>
        <item m="1" x="206"/>
        <item m="1" x="207"/>
        <item m="1" x="208"/>
        <item m="1" x="209"/>
        <item m="1" x="210"/>
        <item m="1" x="211"/>
        <item m="1" x="212"/>
        <item m="1" x="213"/>
        <item m="1" x="214"/>
        <item m="1" x="215"/>
        <item m="1" x="216"/>
        <item m="1" x="217"/>
        <item m="1" x="218"/>
        <item m="1" x="219"/>
        <item m="1" x="220"/>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
        <item m="1" x="139"/>
        <item m="1" x="4"/>
        <item m="1" x="5"/>
        <item m="1" x="6"/>
        <item m="1" x="7"/>
        <item m="1" x="8"/>
        <item m="1" x="9"/>
        <item m="1" x="10"/>
        <item m="1" x="11"/>
        <item m="1" x="12"/>
        <item m="1" x="14"/>
        <item m="1" x="15"/>
        <item m="1" x="16"/>
        <item m="1" x="17"/>
        <item m="1" x="18"/>
        <item m="1" x="19"/>
        <item m="1" x="20"/>
        <item m="1" x="21"/>
        <item m="1" x="22"/>
        <item m="1" x="23"/>
        <item m="1" x="24"/>
        <item m="1" x="25"/>
        <item m="1" x="26"/>
        <item m="1" x="27"/>
        <item x="3"/>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x="1"/>
        <item m="1" x="83"/>
        <item x="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
    <i>
      <x v="55"/>
    </i>
    <i>
      <x v="269"/>
    </i>
    <i>
      <x v="325"/>
    </i>
    <i>
      <x v="32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8">
      <pivotArea type="all" dataOnly="0" outline="0" fieldPosition="0"/>
    </format>
    <format dxfId="67">
      <pivotArea outline="0" collapsedLevelsAreSubtotals="1" fieldPosition="0"/>
    </format>
    <format dxfId="66">
      <pivotArea field="4" type="button" dataOnly="0" labelOnly="1" outline="0" axis="axisRow" fieldPosition="0"/>
    </format>
    <format dxfId="65">
      <pivotArea dataOnly="0" labelOnly="1" fieldPosition="0">
        <references count="1">
          <reference field="4" count="0"/>
        </references>
      </pivotArea>
    </format>
    <format dxfId="64">
      <pivotArea dataOnly="0" labelOnly="1" grandRow="1" outline="0" fieldPosition="0"/>
    </format>
    <format dxfId="63">
      <pivotArea dataOnly="0" labelOnly="1" outline="0" fieldPosition="0">
        <references count="1">
          <reference field="4294967294" count="2">
            <x v="0"/>
            <x v="1"/>
          </reference>
        </references>
      </pivotArea>
    </format>
    <format dxfId="62">
      <pivotArea grandRow="1" outline="0" collapsedLevelsAreSubtotals="1" fieldPosition="0"/>
    </format>
    <format dxfId="61">
      <pivotArea field="4" type="button" dataOnly="0" labelOnly="1" outline="0" axis="axisRow" fieldPosition="0"/>
    </format>
    <format dxfId="6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28">
        <i x="3" s="1"/>
        <i x="2" s="1"/>
        <i x="1" s="1"/>
        <i x="282" s="1" nd="1"/>
        <i x="311" s="1" nd="1"/>
        <i x="312" s="1" nd="1"/>
        <i x="320" s="1" nd="1"/>
        <i x="310" s="1" nd="1"/>
        <i x="309" s="1" nd="1"/>
        <i x="313" s="1" nd="1"/>
        <i x="324" s="1" nd="1"/>
        <i x="316" s="1" nd="1"/>
        <i x="317" s="1" nd="1"/>
        <i x="314" s="1" nd="1"/>
        <i x="315" s="1" nd="1"/>
        <i x="325" s="1" nd="1"/>
        <i x="318" s="1" nd="1"/>
        <i x="319" s="1" nd="1"/>
        <i x="322" s="1" nd="1"/>
        <i x="323" s="1" nd="1"/>
        <i x="321" s="1" nd="1"/>
        <i x="277" s="1" nd="1"/>
        <i x="327" s="1" nd="1"/>
        <i x="276" s="1" nd="1"/>
        <i x="326" s="1" nd="1"/>
        <i x="279" s="1" nd="1"/>
        <i x="240" s="1" nd="1"/>
        <i x="278" s="1" nd="1"/>
        <i x="280" s="1" nd="1"/>
        <i x="286" s="1" nd="1"/>
        <i x="281" s="1" nd="1"/>
        <i x="283" s="1" nd="1"/>
        <i x="299" s="1" nd="1"/>
        <i x="222" s="1" nd="1"/>
        <i x="287" s="1" nd="1"/>
        <i x="227" s="1" nd="1"/>
        <i x="293" s="1" nd="1"/>
        <i x="288" s="1" nd="1"/>
        <i x="291" s="1" nd="1"/>
        <i x="296" s="1" nd="1"/>
        <i x="307" s="1" nd="1"/>
        <i x="289" s="1" nd="1"/>
        <i x="301" s="1" nd="1"/>
        <i x="304" s="1" nd="1"/>
        <i x="295" s="1" nd="1"/>
        <i x="284" s="1" nd="1"/>
        <i x="292" s="1" nd="1"/>
        <i x="285" s="1" nd="1"/>
        <i x="290" s="1" nd="1"/>
        <i x="223" s="1" nd="1"/>
        <i x="294" s="1" nd="1"/>
        <i x="300" s="1" nd="1"/>
        <i x="237" s="1" nd="1"/>
        <i x="297" s="1" nd="1"/>
        <i x="302" s="1" nd="1"/>
        <i x="298" s="1" nd="1"/>
        <i x="264" s="1" nd="1"/>
        <i x="303" s="1" nd="1"/>
        <i x="305" s="1" nd="1"/>
        <i x="225" s="1" nd="1"/>
        <i x="232" s="1" nd="1"/>
        <i x="306" s="1" nd="1"/>
        <i x="229" s="1" nd="1"/>
        <i x="230" s="1" nd="1"/>
        <i x="224" s="1" nd="1"/>
        <i x="228" s="1" nd="1"/>
        <i x="115" s="1" nd="1"/>
        <i x="226" s="1" nd="1"/>
        <i x="235" s="1" nd="1"/>
        <i x="231" s="1" nd="1"/>
        <i x="233" s="1" nd="1"/>
        <i x="236" s="1" nd="1"/>
        <i x="244" s="1" nd="1"/>
        <i x="234" s="1" nd="1"/>
        <i x="243" s="1" nd="1"/>
        <i x="248" s="1" nd="1"/>
        <i x="242" s="1" nd="1"/>
        <i x="245" s="1" nd="1"/>
        <i x="255" s="1" nd="1"/>
        <i x="241" s="1" nd="1"/>
        <i x="238" s="1" nd="1"/>
        <i x="239" s="1" nd="1"/>
        <i x="254" s="1" nd="1"/>
        <i x="111" s="1" nd="1"/>
        <i x="247" s="1" nd="1"/>
        <i x="258" s="1" nd="1"/>
        <i x="253" s="1" nd="1"/>
        <i x="246" s="1" nd="1"/>
        <i x="270" s="1" nd="1"/>
        <i x="251" s="1" nd="1"/>
        <i x="261" s="1" nd="1"/>
        <i x="259" s="1" nd="1"/>
        <i x="249" s="1" nd="1"/>
        <i x="257" s="1" nd="1"/>
        <i x="256" s="1" nd="1"/>
        <i x="252" s="1" nd="1"/>
        <i x="262" s="1" nd="1"/>
        <i x="260" s="1" nd="1"/>
        <i x="263" s="1" nd="1"/>
        <i x="250" s="1" nd="1"/>
        <i x="191" s="1" nd="1"/>
        <i x="265" s="1" nd="1"/>
        <i x="266" s="1" nd="1"/>
        <i x="149" s="1" nd="1"/>
        <i x="151" s="1" nd="1"/>
        <i x="273" s="1" nd="1"/>
        <i x="145" s="1" nd="1"/>
        <i x="192" s="1" nd="1"/>
        <i x="267" s="1" nd="1"/>
        <i x="268" s="1" nd="1"/>
        <i x="148" s="1" nd="1"/>
        <i x="275" s="1" nd="1"/>
        <i x="147" s="1" nd="1"/>
        <i x="162" s="1" nd="1"/>
        <i x="274" s="1" nd="1"/>
        <i x="269" s="1" nd="1"/>
        <i x="166" s="1" nd="1"/>
        <i x="272" s="1" nd="1"/>
        <i x="271" s="1" nd="1"/>
        <i x="187" s="1" nd="1"/>
        <i x="140" s="1" nd="1"/>
        <i x="152" s="1" nd="1"/>
        <i x="188" s="1" nd="1"/>
        <i x="186" s="1" nd="1"/>
        <i x="144" s="1" nd="1"/>
        <i x="146" s="1" nd="1"/>
        <i x="150" s="1" nd="1"/>
        <i x="141" s="1" nd="1"/>
        <i x="176" s="1" nd="1"/>
        <i x="181" s="1" nd="1"/>
        <i x="142" s="1" nd="1"/>
        <i x="143" s="1" nd="1"/>
        <i x="153" s="1" nd="1"/>
        <i x="156" s="1" nd="1"/>
        <i x="163" s="1" nd="1"/>
        <i x="155" s="1" nd="1"/>
        <i x="158" s="1" nd="1"/>
        <i x="157" s="1" nd="1"/>
        <i x="200" s="1" nd="1"/>
        <i x="154" s="1" nd="1"/>
        <i x="179" s="1" nd="1"/>
        <i x="195" s="1" nd="1"/>
        <i x="159" s="1" nd="1"/>
        <i x="184" s="1" nd="1"/>
        <i x="197" s="1" nd="1"/>
        <i x="168" s="1" nd="1"/>
        <i x="209" s="1" nd="1"/>
        <i x="167" s="1" nd="1"/>
        <i x="164" s="1" nd="1"/>
        <i x="160" s="1" nd="1"/>
        <i x="161" s="1" nd="1"/>
        <i x="180" s="1" nd="1"/>
        <i x="169" s="1" nd="1"/>
        <i x="92" s="1" nd="1"/>
        <i x="170" s="1" nd="1"/>
        <i x="165" s="1" nd="1"/>
        <i x="172" s="1" nd="1"/>
        <i x="173" s="1" nd="1"/>
        <i x="202" s="1" nd="1"/>
        <i x="171" s="1" nd="1"/>
        <i x="189" s="1" nd="1"/>
        <i x="177" s="1" nd="1"/>
        <i x="174" s="1" nd="1"/>
        <i x="178" s="1" nd="1"/>
        <i x="175" s="1" nd="1"/>
        <i x="182" s="1" nd="1"/>
        <i x="201" s="1" nd="1"/>
        <i x="196" s="1" nd="1"/>
        <i x="215" s="1" nd="1"/>
        <i x="183" s="1" nd="1"/>
        <i x="85" s="1" nd="1"/>
        <i x="194" s="1" nd="1"/>
        <i x="185" s="1" nd="1"/>
        <i x="210" s="1" nd="1"/>
        <i x="193" s="1" nd="1"/>
        <i x="208" s="1" nd="1"/>
        <i x="93" s="1" nd="1"/>
        <i x="199" s="1" nd="1"/>
        <i x="198" s="1" nd="1"/>
        <i x="214" s="1" nd="1"/>
        <i x="211" s="1" nd="1"/>
        <i x="104" s="1" nd="1"/>
        <i x="219" s="1" nd="1"/>
        <i x="203" s="1" nd="1"/>
        <i x="212" s="1" nd="1"/>
        <i x="217" s="1" nd="1"/>
        <i x="95" s="1" nd="1"/>
        <i x="121" s="1" nd="1"/>
        <i x="221" s="1" nd="1"/>
        <i x="218" s="1" nd="1"/>
        <i x="86" s="1" nd="1"/>
        <i x="106" s="1" nd="1"/>
        <i x="213" s="1" nd="1"/>
        <i x="88" s="1" nd="1"/>
        <i x="204" s="1" nd="1"/>
        <i x="207" s="1" nd="1"/>
        <i x="103" s="1" nd="1"/>
        <i x="216" s="1" nd="1"/>
        <i x="205" s="1" nd="1"/>
        <i x="206" s="1" nd="1"/>
        <i x="90" s="1" nd="1"/>
        <i x="108" s="1" nd="1"/>
        <i x="109" s="1" nd="1"/>
        <i x="122" s="1" nd="1"/>
        <i x="220" s="1" nd="1"/>
        <i x="84" s="1" nd="1"/>
        <i x="107" s="1" nd="1"/>
        <i x="100" s="1" nd="1"/>
        <i x="87" s="1" nd="1"/>
        <i x="91" s="1" nd="1"/>
        <i x="97" s="1" nd="1"/>
        <i x="89" s="1" nd="1"/>
        <i x="113" s="1" nd="1"/>
        <i x="117" s="1" nd="1"/>
        <i x="118" s="1" nd="1"/>
        <i x="110" s="1" nd="1"/>
        <i x="94" s="1" nd="1"/>
        <i x="96" s="1" nd="1"/>
        <i x="98" s="1" nd="1"/>
        <i x="101" s="1" nd="1"/>
        <i x="114" s="1" nd="1"/>
        <i x="99" s="1" nd="1"/>
        <i x="120" s="1" nd="1"/>
        <i x="49" s="1" nd="1"/>
        <i x="28" s="1" nd="1"/>
        <i x="135" s="1" nd="1"/>
        <i x="102" s="1" nd="1"/>
        <i x="123" s="1" nd="1"/>
        <i x="119" s="1" nd="1"/>
        <i x="105" s="1" nd="1"/>
        <i x="127" s="1" nd="1"/>
        <i x="61" s="1" nd="1"/>
        <i x="23" s="1" nd="1"/>
        <i x="112" s="1" nd="1"/>
        <i x="136" s="1" nd="1"/>
        <i x="116" s="1" nd="1"/>
        <i x="139" s="1" nd="1"/>
        <i x="126" s="1" nd="1"/>
        <i x="131" s="1" nd="1"/>
        <i x="5" s="1" nd="1"/>
        <i x="128" s="1" nd="1"/>
        <i x="130" s="1" nd="1"/>
        <i x="45" s="1" nd="1"/>
        <i x="13" s="1" nd="1"/>
        <i x="125" s="1" nd="1"/>
        <i x="10" s="1" nd="1"/>
        <i x="124" s="1" nd="1"/>
        <i x="22" s="1" nd="1"/>
        <i x="6" s="1" nd="1"/>
        <i x="4" s="1" nd="1"/>
        <i x="129" s="1" nd="1"/>
        <i x="20" s="1" nd="1"/>
        <i x="14" s="1" nd="1"/>
        <i x="25" s="1" nd="1"/>
        <i x="42" s="1" nd="1"/>
        <i x="19" s="1" nd="1"/>
        <i x="30" s="1" nd="1"/>
        <i x="24" s="1" nd="1"/>
        <i x="21" s="1" nd="1"/>
        <i x="137" s="1" nd="1"/>
        <i x="79" s="1" nd="1"/>
        <i x="32" s="1" nd="1"/>
        <i x="33" s="1" nd="1"/>
        <i x="133" s="1" nd="1"/>
        <i x="132" s="1" nd="1"/>
        <i x="7" s="1" nd="1"/>
        <i x="9" s="1" nd="1"/>
        <i x="40" s="1" nd="1"/>
        <i x="16" s="1" nd="1"/>
        <i x="138" s="1" nd="1"/>
        <i x="75" s="1" nd="1"/>
        <i x="66" s="1" nd="1"/>
        <i x="54" s="1" nd="1"/>
        <i x="27" s="1" nd="1"/>
        <i x="12" s="1" nd="1"/>
        <i x="43" s="1" nd="1"/>
        <i x="63" s="1" nd="1"/>
        <i x="55" s="1" nd="1"/>
        <i x="51" s="1" nd="1"/>
        <i x="18" s="1" nd="1"/>
        <i x="38" s="1" nd="1"/>
        <i x="37" s="1" nd="1"/>
        <i x="53" s="1" nd="1"/>
        <i x="39" s="1" nd="1"/>
        <i x="134" s="1" nd="1"/>
        <i x="15" s="1" nd="1"/>
        <i x="11" s="1" nd="1"/>
        <i x="41" s="1" nd="1"/>
        <i x="8" s="1" nd="1"/>
        <i x="46" s="1" nd="1"/>
        <i x="47" s="1" nd="1"/>
        <i x="52" s="1" nd="1"/>
        <i x="80" s="1" nd="1"/>
        <i x="31" s="1" nd="1"/>
        <i x="26" s="1" nd="1"/>
        <i x="60" s="1" nd="1"/>
        <i x="59" s="1" nd="1"/>
        <i x="64" s="1" nd="1"/>
        <i x="17" s="1" nd="1"/>
        <i x="62" s="1" nd="1"/>
        <i x="48" s="1" nd="1"/>
        <i x="29" s="1" nd="1"/>
        <i x="34" s="1" nd="1"/>
        <i x="35" s="1" nd="1"/>
        <i x="44" s="1" nd="1"/>
        <i x="36" s="1" nd="1"/>
        <i x="56" s="1" nd="1"/>
        <i x="67" s="1" nd="1"/>
        <i x="57" s="1" nd="1"/>
        <i x="73" s="1" nd="1"/>
        <i x="70" s="1" nd="1"/>
        <i x="68" s="1" nd="1"/>
        <i x="81" s="1" nd="1"/>
        <i x="74" s="1" nd="1"/>
        <i x="82" s="1" nd="1"/>
        <i x="50" s="1" nd="1"/>
        <i x="76" s="1" nd="1"/>
        <i x="77" s="1" nd="1"/>
        <i x="58" s="1" nd="1"/>
        <i x="71" s="1" nd="1"/>
        <i x="78" s="1" nd="1"/>
        <i x="69" s="1" nd="1"/>
        <i x="72" s="1" nd="1"/>
        <i x="83" s="1" nd="1"/>
        <i x="65" s="1" nd="1"/>
        <i x="190" s="1" nd="1"/>
        <i x="30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6">
      <calculatedColumnFormula>B49</calculatedColumnFormula>
    </tableColumn>
    <tableColumn id="2" xr3:uid="{7EDCC2ED-0339-42B3-9633-FFEA7A3DD9F3}" name="Tiyaar" dataDxfId="145">
      <calculatedColumnFormula>SUMIFS(ledger!G:G, ledger!B:B, B2, ledger!E:E, "&lt;&gt;*RD*") / 1.0936</calculatedColumnFormula>
    </tableColumn>
    <tableColumn id="3" xr3:uid="{CC1535DD-3FE7-4F55-8040-E7643388A78E}" name="Rate"/>
    <tableColumn id="4" xr3:uid="{059CB70B-ADAD-4985-84AA-0D530BAC5567}" name="Total" dataDxfId="14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3" dataDxfId="142">
  <autoFilter ref="B7:E20" xr:uid="{449E5D32-DF9C-4018-96AB-CA98E118D910}"/>
  <tableColumns count="4">
    <tableColumn id="1" xr3:uid="{F663704C-91DD-4BB9-B7EB-EEB0C5EDED6C}" name="Description" dataDxfId="141"/>
    <tableColumn id="2" xr3:uid="{6D94D495-CD0B-4FD3-9771-81D731982A97}" name="Rate" dataDxfId="140" dataCellStyle="Comma"/>
    <tableColumn id="3" xr3:uid="{2D14CEAD-3602-40E7-A488-3584EBC9141E}" name="gazana" dataDxfId="139" dataCellStyle="Comma"/>
    <tableColumn id="4" xr3:uid="{06FEE63C-6480-4079-8426-51BC26B38B34}" name="sum" dataDxfId="13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7" totalsRowDxfId="136"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5" dataDxfId="134" headerRowCellStyle="Comma" dataCellStyle="Comma">
  <autoFilter ref="B2:C5" xr:uid="{136E8F7F-D03F-4198-8335-91A003EA9E45}"/>
  <tableColumns count="2">
    <tableColumn id="1" xr3:uid="{279FA697-9952-479A-AC05-0D4992B41374}" name="Column1" dataDxfId="133" dataCellStyle="Comma"/>
    <tableColumn id="2" xr3:uid="{8A64998B-65EF-41CD-BCB0-3DDB7B359C54}" name="Column2" dataDxfId="13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1"/>
    <tableColumn id="2" xr3:uid="{51D27FA2-8DDF-4369-BAF7-7D1FE90E16A0}" name="Column2" dataDxfId="13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9" totalsRowDxfId="12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63" totalsRowCount="1" headerRowDxfId="126" dataDxfId="125" headerRowCellStyle="Comma" dataCellStyle="Comma">
  <autoFilter ref="A1:K62" xr:uid="{11DACEC6-751B-4B1D-817F-5C5BCD38EF6D}"/>
  <tableColumns count="11">
    <tableColumn id="1" xr3:uid="{2FCE3FA8-A48C-4685-8919-AE44C6C71FD9}" name="Date" dataDxfId="22" dataCellStyle="Comma"/>
    <tableColumn id="2" xr3:uid="{5780FD5F-0890-44E6-B59C-8E37A559FE36}" name="Party Name" dataDxfId="21" dataCellStyle="Comma"/>
    <tableColumn id="3" xr3:uid="{5B3ECD85-9174-40AC-BFBD-49CAC97A83D3}" name="Bill Number" dataDxfId="20" dataCellStyle="Comma"/>
    <tableColumn id="4" xr3:uid="{11B50761-04B6-4262-AD4D-7182450037D1}" name="Quality" dataDxfId="19" dataCellStyle="Comma"/>
    <tableColumn id="5" xr3:uid="{2C556969-B713-4967-BD24-466AACCBE5F5}" name="Shipment Number" dataDxfId="18" totalsRowDxfId="11" dataCellStyle="Comma"/>
    <tableColumn id="6" xr3:uid="{F4E1FD2B-9017-4DEB-B772-BF447ECE56F7}" name="Kora/metre" dataDxfId="17" totalsRowDxfId="10" dataCellStyle="Comma"/>
    <tableColumn id="7" xr3:uid="{52ACC1DA-7A76-4A90-B809-3A1AE728E7EA}" name="Tiyaar/gaz" dataDxfId="16" totalsRowDxfId="9" dataCellStyle="Comma"/>
    <tableColumn id="8" xr3:uid="{31A0FF5E-56F0-44D1-9865-73256B964660}" name="shortage %" dataDxfId="15" totalsRowDxfId="8" dataCellStyle="Comma">
      <calculatedColumnFormula>_xlfn.XLOOKUP(Table1[[#This Row],[Shipment Number]], 'pivot '!A:A,'pivot '!G:G, "NF")</calculatedColumnFormula>
    </tableColumn>
    <tableColumn id="9" xr3:uid="{F99075E0-AC8E-094D-BB85-272AD2C6C568}" name="tiyar/meters" totalsRowFunction="custom" dataDxfId="14" totalsRowDxfId="7"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3" totalsRowDxfId="6"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2" totalsRowDxfId="5"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3" totalsRowCount="1" headerRowDxfId="122" headerRowBorderDxfId="121" tableBorderDxfId="120">
  <autoFilter ref="A1:I12" xr:uid="{F8E8C957-ABE7-4E4F-8D4E-7D44E26B334F}"/>
  <tableColumns count="9">
    <tableColumn id="1" xr3:uid="{C2E817D6-AB98-4DDD-8890-736B27F261CD}" name="Date" dataDxfId="119" totalsRowDxfId="47"/>
    <tableColumn id="2" xr3:uid="{CFB51890-CCDC-463C-81C9-3F8BD7469CB9}" name="Party Name"/>
    <tableColumn id="3" xr3:uid="{A113D971-1C9D-4733-99C4-BD0CC4333209}" name="Vehicle Number"/>
    <tableColumn id="4" xr3:uid="{49780304-3DD1-4AE9-98EE-2BC7EB8F3B57}" name="Weight" dataDxfId="118" totalsRowDxfId="46" dataCellStyle="Comma"/>
    <tableColumn id="5" xr3:uid="{FCAF1BC6-1D8C-42AD-8BBC-F924BF2DC7FE}" name="Rate" dataDxfId="117" totalsRowDxfId="45" dataCellStyle="Comma"/>
    <tableColumn id="6" xr3:uid="{8C70A624-4134-410C-9C45-9FDEB51D51BF}" name="Rent" dataDxfId="116" totalsRowDxfId="44" dataCellStyle="Comma"/>
    <tableColumn id="7" xr3:uid="{EBCE10AE-9634-4982-9C95-37ABC8A7078C}" name="Total" totalsRowFunction="sum" dataDxfId="115" totalsRowDxfId="43" dataCellStyle="Comma">
      <calculatedColumnFormula>D2*E2</calculatedColumnFormula>
    </tableColumn>
    <tableColumn id="9" xr3:uid="{D4788559-C94A-44D9-B9AE-E72B214355AC}" name="Paid" totalsRowFunction="sum" dataDxfId="114" totalsRowDxfId="42" dataCellStyle="Comma"/>
    <tableColumn id="8" xr3:uid="{E26F5BF0-1875-4FC6-994D-49F202ED562B}" name="balance" totalsRowFunction="sum" dataDxfId="113" totalsRowDxfId="41"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9" totalsRowCount="1">
  <autoFilter ref="A1:G18" xr:uid="{CB032221-B416-47A8-9A76-693DE76CFD04}"/>
  <tableColumns count="7">
    <tableColumn id="1" xr3:uid="{554B1EED-65B6-4E9A-B646-82727FAC40DE}" name="Date" dataDxfId="111" totalsRowDxfId="51"/>
    <tableColumn id="2" xr3:uid="{32259059-42CF-4947-83DE-115AA430BE2B}" name="Party"/>
    <tableColumn id="3" xr3:uid="{A1320223-D55D-483C-91C3-AB19B95CC9D8}" name="Debit" totalsRowFunction="sum" dataDxfId="110" totalsRowDxfId="50" dataCellStyle="Comma"/>
    <tableColumn id="4" xr3:uid="{E9745767-9FF0-4B1C-9052-FF335D1D7588}" name="Credit" totalsRowFunction="sum" dataDxfId="109" totalsRowDxfId="49" dataCellStyle="Comma"/>
    <tableColumn id="5" xr3:uid="{5C88A48E-2467-4E6D-B626-2442B7FD0BE4}" name="Description"/>
    <tableColumn id="6" xr3:uid="{63CA4666-144E-4BE6-8B7C-7CB992BD3041}" name="Mode" totalsRowFunction="custom" dataDxfId="108" totalsRowDxfId="4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7" tableBorderDxfId="106" totalsRowBorderDxfId="105">
  <autoFilter ref="J3:K6" xr:uid="{DCE01694-23ED-48BF-8B92-4186B9ED10A8}"/>
  <tableColumns count="2">
    <tableColumn id="1" xr3:uid="{C8484DAF-2989-4C2F-9AEC-A6917E1C57F6}" name="Type" dataDxfId="104"/>
    <tableColumn id="2" xr3:uid="{B07B7A2A-4D4E-4654-BED6-FE2F0A7BEC34}" name="Amount" dataDxfId="10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2" headerRowBorderDxfId="101" tableBorderDxfId="100" totalsRowBorderDxfId="99">
  <autoFilter ref="M3:O6" xr:uid="{D166BDD1-ACD7-45D7-8AE9-7350373F8CEB}"/>
  <tableColumns count="3">
    <tableColumn id="1" xr3:uid="{64F0205E-DEA7-4571-BA86-E4374A5FEE28}" name="Type" totalsRowLabel="Total" dataDxfId="98" totalsRowDxfId="97"/>
    <tableColumn id="2" xr3:uid="{15FA05F9-789C-4459-9BE0-5C1EC84D3365}" name="amount" totalsRowFunction="custom" dataDxfId="96" totalsRowDxfId="95">
      <totalsRowFormula>SUM(N5:N6)</totalsRowFormula>
    </tableColumn>
    <tableColumn id="3" xr3:uid="{3681D409-90C6-44D0-BDE2-4B5943A516F0}" name="Actual" totalsRowFunction="custom" totalsRowDxfId="9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3" totalsRowDxfId="92"/>
    <tableColumn id="2" xr3:uid="{5B9D0FEE-4304-4C5C-A05C-5B27CF7841D3}" name="Type"/>
    <tableColumn id="3" xr3:uid="{6A91CA0D-C802-4C6F-9F39-CA53687E8EDE}" name="Description"/>
    <tableColumn id="4" xr3:uid="{A251D40C-AB87-4BB4-85F8-444B20E32FDF}" name="Total" totalsRowFunction="custom" dataDxfId="91" totalsRowDxfId="9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89" headerRowBorderDxfId="88">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7"/>
    <tableColumn id="4" xr3:uid="{1889A312-9B41-4EC4-BD8F-05252F27084A}" name="Price" totalsRowFunction="sum"/>
    <tableColumn id="6" xr3:uid="{8B974B20-F003-4E67-8660-024FA4F324A9}" name="Party"/>
    <tableColumn id="7" xr3:uid="{0A5A5C21-FD61-47DA-9F54-66A6479FA557}" name="Paid" dataDxfId="86">
      <calculatedColumnFormula>SUMIFS(Table14[Debit], Table14[Date], Table8[[#This Row],[Date]], Table14[Party], Table8[[#This Row],[Party]])</calculatedColumnFormula>
    </tableColumn>
    <tableColumn id="8" xr3:uid="{8DCB3B43-2161-4081-82EC-CDB0F4DE4E6F}" name="Balance" totalsRowFunction="sum" dataDxfId="8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84" headerRowBorderDxfId="83">
  <autoFilter ref="A4:H13" xr:uid="{A4C80688-A8BA-4BA7-90B4-791CD99446B4}"/>
  <sortState xmlns:xlrd2="http://schemas.microsoft.com/office/spreadsheetml/2017/richdata2" ref="A5:H6">
    <sortCondition ref="A4:A6"/>
  </sortState>
  <tableColumns count="8">
    <tableColumn id="1" xr3:uid="{4A818912-918E-4111-ACFC-BC93FEF7C1AD}" name="Date" dataDxfId="82" totalsRowDxfId="81"/>
    <tableColumn id="8" xr3:uid="{477ACFD5-62AF-4F69-974B-E9B974C11D7D}" name="Party Name" dataDxfId="8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9">
      <calculatedColumnFormula>Table2[[#This Row],[Quantity]]*200*Table2[[#This Row],[Boxes]]</calculatedColumnFormula>
    </tableColumn>
    <tableColumn id="6" xr3:uid="{30432929-CBD4-4BA8-B63F-CD0F6CF6405F}" name="Paid" totalsRowFunction="sum" dataDxfId="78">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7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6" totalsRowDxfId="7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4" totalsRowDxfId="73"/>
    <tableColumn id="2" xr3:uid="{053BFC14-4828-417C-9F9F-95B6E232A945}" name="Amount" totalsRowFunction="custom" dataDxfId="72" totalsRowDxfId="7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0" totalsRowDxfId="6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59" totalsRowDxfId="5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57" totalsRowDxfId="5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5">
      <calculatedColumnFormula>Billing!Q5</calculatedColumnFormula>
    </tableColumn>
    <tableColumn id="2" xr3:uid="{7093A59E-B58F-487D-888A-9AA8156B5F9A}" name="Amount Paid" dataDxfId="5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53"/>
    <tableColumn id="2" xr3:uid="{F72CFEEB-BA11-4A49-BD19-88592EB6A27C}" name="Credit" dataDxfId="5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abSelected="1"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7773437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0</v>
      </c>
      <c r="D2">
        <v>10</v>
      </c>
      <c r="E2" s="14">
        <f>(SUMIFS(ledger!G:G, ledger!B:B, B2, ledger!E:E, "&lt;&gt;*RD*",ledger!D:D, "Silky") / 1.0936)*12 + (SUMIFS(ledger!G:G, ledger!B:B, B2, ledger!E:E, "&lt;&gt;*RD*",ledger!D:D, "Chamki") / 1.0936)*10</f>
        <v>0</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26441.111923920998</v>
      </c>
      <c r="D4">
        <v>10</v>
      </c>
      <c r="E4" s="14">
        <f>(SUMIFS(ledger!G:G, ledger!B:B, B4, ledger!E:E, "&lt;&gt;*RD*",ledger!D:D, "Silky") / 1.0936)*12 + (SUMIFS(ledger!G:G, ledger!B:B, B4, ledger!E:E, "&lt;&gt;*RD*",ledger!D:D, "Chamki") / 1.0936)*10</f>
        <v>264411.11923920998</v>
      </c>
      <c r="I4" t="s">
        <v>9</v>
      </c>
      <c r="Q4" s="21"/>
      <c r="R4" s="23" t="s">
        <v>10</v>
      </c>
      <c r="S4" s="23" t="s">
        <v>11</v>
      </c>
      <c r="T4" s="23" t="s">
        <v>12</v>
      </c>
      <c r="U4" s="23" t="s">
        <v>13</v>
      </c>
      <c r="V4" s="23" t="s">
        <v>14</v>
      </c>
      <c r="W4" s="23" t="s">
        <v>15</v>
      </c>
      <c r="X4" s="23" t="s">
        <v>181</v>
      </c>
      <c r="Y4" s="23" t="s">
        <v>182</v>
      </c>
      <c r="Z4" s="23" t="s">
        <v>205</v>
      </c>
      <c r="AA4" s="23" t="s">
        <v>206</v>
      </c>
      <c r="AB4" s="23" t="s">
        <v>211</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20355074.981711783</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23938814.923189472</v>
      </c>
      <c r="AD5" s="22">
        <f>(SUMIF(Table14[Party],Q5,Table14[Credit]))+_xlfn.IFNA(O84,0)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686064</v>
      </c>
      <c r="S7" s="22" cm="1">
        <f t="array" ref="S7">_xlfn.BYROW(B51, _xlfn.LAMBDA(_xlpm.party, SUMIFS(ledger!G:G, ledger!B:B, _xlpm.party, ledger!E:E, "&lt;&gt;*RD*") / 1.0936 ))+_xlfn.IFNA(D86,0)</f>
        <v>627344.5501097294</v>
      </c>
      <c r="T7" s="22" cm="1">
        <f t="array" ref="T7">(_xlfn.BYROW(B51,_xlfn.LAMBDA(_xlpm.party,SUMIFS(ledger!G:G,ledger!B:B,_xlpm.party,ledger!E:E,"&lt;&gt;*RD*",ledger!D:D,"Chamki")+SUMIFS(ledger!G:G, ledger!B:B, _xlpm.party, ledger!E:E, "&lt;&gt;*RD*", ledger!D:D, "Crinkle")))/1.0936)+_xlfn.IFNA(E86,0)</f>
        <v>549231.8946598391</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5492318.946598391</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6492989.2099487931</v>
      </c>
      <c r="AD7" s="22">
        <f>(SUMIF(Table14[Party],Q7,Table14[Credit]))+_xlfn.IFNA(O86,0)</f>
        <v>6002935</v>
      </c>
      <c r="AE7" s="33">
        <f t="shared" si="2"/>
        <v>490054.20994879305</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45488.295537673745</v>
      </c>
      <c r="D9">
        <v>10</v>
      </c>
      <c r="E9" s="14">
        <f>(SUMIFS(ledger!G:G, ledger!B:B, B9, ledger!E:E, "&lt;&gt;*RD*",ledger!D:D, "Silky") / 1.0936)*12 + (SUMIFS(ledger!G:G, ledger!B:B, B9, ledger!E:E, "&lt;&gt;*RD*",ledger!D:D, "Chamki") / 1.0936)*10</f>
        <v>454882.95537673746</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411353</v>
      </c>
      <c r="S12" s="22" cm="1">
        <f t="array" ref="S12">_xlfn.BYROW(B56, _xlfn.LAMBDA(_xlpm.party, SUMIFS(ledger!G:G, ledger!B:B, _xlpm.party, ledger!E:E, "&lt;&gt;*RD*") / 1.0936 ))+_xlfn.IFNA(D91,0)</f>
        <v>376145.75713240681</v>
      </c>
      <c r="T12" s="22" cm="1">
        <f t="array" ref="T12">(_xlfn.BYROW(B56,_xlfn.LAMBDA(_xlpm.party,SUMIFS(ledger!G:G,ledger!B:B,_xlpm.party,ledger!E:E,"&lt;&gt;*RD*",ledger!D:D,"Chamki")+SUMIFS(ledger!G:G, ledger!B:B, _xlpm.party, ledger!E:E, "&lt;&gt;*RD*", ledger!D:D, "Crinkle")))/1.0936)+_xlfn.IFNA(E91,0)</f>
        <v>350957.3884418435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3509573.8844184349</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3837022.6773957573</v>
      </c>
      <c r="AD12" s="22">
        <f>(SUMIF(Table14[Party],Q12,Table14[Credit]))+_xlfn.IFNA(O91,0)</f>
        <v>3322620</v>
      </c>
      <c r="AE12" s="33">
        <f t="shared" si="2"/>
        <v>514402.67739575729</v>
      </c>
      <c r="AF12" s="21">
        <v>10</v>
      </c>
      <c r="AG12" s="21">
        <v>13</v>
      </c>
    </row>
    <row r="13" spans="2:33" x14ac:dyDescent="0.3">
      <c r="B13" t="str">
        <f t="shared" si="0"/>
        <v>Badshah Fabrics</v>
      </c>
      <c r="C13" s="18">
        <f>SUMIFS(ledger!G:G, ledger!B:B, B13, ledger!E:E, "&lt;&gt;*RD*") / 1.0936</f>
        <v>11315.837600585224</v>
      </c>
      <c r="E13" s="14">
        <f>(SUMIFS(ledger!G:G, ledger!B:B, B13, ledger!E:E, "&lt;&gt;*RD*",ledger!D:D, "Silky") / 1.0936)*12 + (SUMIFS(ledger!G:G, ledger!B:B, B13, ledger!E:E, "&lt;&gt;*RD*",ledger!D:D, "Chamki") / 1.0936)*10</f>
        <v>113158.37600585225</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529783</v>
      </c>
      <c r="S16" s="22" cm="1">
        <f t="array" ref="S16">_xlfn.BYROW(B60, _xlfn.LAMBDA(_xlpm.party, SUMIFS(ledger!G:G, ledger!B:B, _xlpm.party, ledger!E:E, "&lt;&gt;*RD*") / 1.0936 ))+_xlfn.IFNA(D95,0)</f>
        <v>484439.46598390641</v>
      </c>
      <c r="T16" s="22" cm="1">
        <f t="array" ref="T16">(_xlfn.BYROW(B60,_xlfn.LAMBDA(_xlpm.party,SUMIFS(ledger!G:G,ledger!B:B,_xlpm.party,ledger!E:E,"&lt;&gt;*RD*",ledger!D:D,"Chamki")+SUMIFS(ledger!G:G, ledger!B:B, _xlpm.party, ledger!E:E, "&lt;&gt;*RD*", ledger!D:D, "Crinkle")))/1.0936)+_xlfn.IFNA(E95,0)</f>
        <v>367225.67666422832</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3672256.7666422827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5132881.3094367236</v>
      </c>
      <c r="AD16" s="22">
        <f>(SUMIF(Table14[Party],Q16,Table14[Credit]))+_xlfn.IFNA(O95,0)</f>
        <v>4925761</v>
      </c>
      <c r="AE16" s="33">
        <f t="shared" si="2"/>
        <v>207120.30943672359</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176</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179</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180</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832452.45062179968</v>
      </c>
      <c r="D21" t="s">
        <v>30</v>
      </c>
      <c r="I21" t="s">
        <v>185</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194</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832452.45062179968</v>
      </c>
      <c r="D23" t="s">
        <v>32</v>
      </c>
      <c r="I23" t="s">
        <v>197</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196</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0</v>
      </c>
      <c r="AE24" s="33">
        <f t="shared" si="2"/>
        <v>713525.05486466724</v>
      </c>
      <c r="AF24" s="21">
        <v>10</v>
      </c>
      <c r="AG24" s="21">
        <v>13</v>
      </c>
    </row>
    <row r="25" spans="2:33" x14ac:dyDescent="0.3">
      <c r="I25" t="s">
        <v>202</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1468325</v>
      </c>
      <c r="AE25" s="33">
        <f t="shared" si="2"/>
        <v>189776.68251645938</v>
      </c>
      <c r="AF25" s="21">
        <v>10</v>
      </c>
      <c r="AG25" s="21">
        <v>13</v>
      </c>
    </row>
    <row r="26" spans="2:33" x14ac:dyDescent="0.3">
      <c r="I26" t="s">
        <v>207</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209</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181</v>
      </c>
      <c r="J48" s="23" t="s">
        <v>182</v>
      </c>
      <c r="K48" s="23" t="s">
        <v>205</v>
      </c>
      <c r="L48" s="23" t="s">
        <v>206</v>
      </c>
      <c r="M48" s="23" t="s">
        <v>211</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0</v>
      </c>
      <c r="D49" s="22" cm="1">
        <f t="array" ref="D49:D74">_xlfn.BYROW(_xlfn.ANCHORARRAY(B49), _xlfn.LAMBDA(_xlpm.party, SUMIFS(ledger!G:G, ledger!B:B, _xlpm.party, ledger!E:E, "&lt;&gt;*RD*") / 1.0936 ))</f>
        <v>0</v>
      </c>
      <c r="E49" s="63" cm="1">
        <f t="array" ref="E49:E74">(_xlfn.BYROW(_xlfn.ANCHORARRAY(B49),_xlfn.LAMBDA(_xlpm.party,SUMIFS(ledger!G:G,ledger!B:B,_xlpm.party,ledger!E:E,"&lt;&gt;*RD*",ledger!D:D,"Chamki")+SUMIFS(ledger!G:G, ledger!B:B, _xlpm.party, ledger!E:E, "&lt;&gt;*RD*", ledger!D:D, "Crinkle")))/1.0936)</f>
        <v>0</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0</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0</v>
      </c>
      <c r="O49" s="22">
        <f>(SUMIF(Table14[Party],B49,Table14[Credit]))</f>
        <v>0</v>
      </c>
      <c r="P49" s="37">
        <f>N49-O49</f>
        <v>0</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28916</v>
      </c>
      <c r="D51" s="22">
        <v>26441.111923920998</v>
      </c>
      <c r="E51" s="63">
        <v>26441.111923920998</v>
      </c>
      <c r="F51" s="63">
        <v>0</v>
      </c>
      <c r="G51" s="22" cm="1">
        <f t="array" ref="G51">(_xlfn.BYROW(B51,_xlfn.LAMBDA(_xlpm.party,
(SUMIFS(ledger!J:J,ledger!B:B,_xlpm.party,ledger!E:E,"&lt;&gt;*RD*",ledger!D:D,"Chamki",ledger!C:C,"&lt;&gt;November Closing CF")+
SUMIFS(ledger!J:J,ledger!B:B,_xlpm.party,ledger!E:E,"&lt;&gt;*RD*",ledger!D:D,"Crinkle",ledger!C:C,"&lt;&gt;November Closing CF")
))))</f>
        <v>264411.11923920998</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264411.11923920998</v>
      </c>
      <c r="O51" s="22">
        <f>(SUMIF(Table14[Party],B51,Table14[Credit]))</f>
        <v>0</v>
      </c>
      <c r="P51" s="37">
        <f>N51-O51</f>
        <v>264411.11923920998</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0</v>
      </c>
      <c r="P54" s="37">
        <f t="shared" si="5"/>
        <v>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49746</v>
      </c>
      <c r="D56" s="22">
        <v>45488.295537673745</v>
      </c>
      <c r="E56" s="63">
        <v>45488.295537673745</v>
      </c>
      <c r="F56" s="63">
        <v>0</v>
      </c>
      <c r="G56" s="22" cm="1">
        <f t="array" ref="G56">(_xlfn.BYROW(B56,_xlfn.LAMBDA(_xlpm.party,
(SUMIFS(ledger!J:J,ledger!B:B,_xlpm.party,ledger!E:E,"&lt;&gt;*RD*",ledger!D:D,"Chamki",ledger!C:C,"&lt;&gt;November Closing CF")+
SUMIFS(ledger!J:J,ledger!B:B,_xlpm.party,ledger!E:E,"&lt;&gt;*RD*",ledger!D:D,"Crinkle",ledger!C:C,"&lt;&gt;November Closing CF")
))))</f>
        <v>454882.95537673746</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454882.95537673746</v>
      </c>
      <c r="O56" s="22">
        <f>(SUMIF(Table14[Party],B56,Table14[Credit]))</f>
        <v>0</v>
      </c>
      <c r="P56" s="37">
        <f t="shared" ref="P56:P78" si="6">N56-O56</f>
        <v>454882.95537673746</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0</v>
      </c>
      <c r="W58" s="18">
        <v>0</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0</v>
      </c>
      <c r="P59" s="37">
        <f t="shared" si="6"/>
        <v>0</v>
      </c>
      <c r="Q59" s="21">
        <v>10</v>
      </c>
      <c r="R59" s="21">
        <v>12</v>
      </c>
      <c r="U59" s="4" t="s">
        <v>22</v>
      </c>
      <c r="V59" s="5">
        <v>0</v>
      </c>
      <c r="W59" s="18">
        <v>0</v>
      </c>
    </row>
    <row r="60" spans="1:23" x14ac:dyDescent="0.3">
      <c r="B60" s="24" t="str">
        <v>Badshah Fabrics</v>
      </c>
      <c r="C60" s="22">
        <v>12375</v>
      </c>
      <c r="D60" s="22">
        <v>11315.837600585224</v>
      </c>
      <c r="E60" s="63">
        <v>11315.837600585224</v>
      </c>
      <c r="F60" s="63">
        <v>0</v>
      </c>
      <c r="G60" s="22" cm="1">
        <f t="array" ref="G60">(_xlfn.BYROW(B60,_xlfn.LAMBDA(_xlpm.party,
(SUMIFS(ledger!J:J,ledger!B:B,_xlpm.party,ledger!E:E,"&lt;&gt;*RD*",ledger!D:D,"Chamki",ledger!C:C,"&lt;&gt;November Closing CF")+
SUMIFS(ledger!J:J,ledger!B:B,_xlpm.party,ledger!E:E,"&lt;&gt;*RD*",ledger!D:D,"Crinkle",ledger!C:C,"&lt;&gt;November Closing CF")
))))</f>
        <v>113158.37600585225</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113158.37600585225</v>
      </c>
      <c r="O60" s="22">
        <f>SUMIF(Table14[Party], B60, Table14[Credit])</f>
        <v>0</v>
      </c>
      <c r="P60" s="37">
        <f t="shared" si="6"/>
        <v>113158.37600585225</v>
      </c>
      <c r="Q60" s="21">
        <v>10</v>
      </c>
      <c r="R60" s="21">
        <v>12</v>
      </c>
      <c r="U60" s="4" t="s">
        <v>9</v>
      </c>
      <c r="V60" s="5">
        <v>26441.111923920998</v>
      </c>
      <c r="W60" s="18">
        <v>264411.11923920998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45488.295537673745</v>
      </c>
      <c r="W65" s="18">
        <v>454882.95537673746</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0</v>
      </c>
      <c r="P68" s="37">
        <f t="shared" si="6"/>
        <v>0</v>
      </c>
      <c r="Q68" s="21">
        <v>10</v>
      </c>
      <c r="R68" s="21">
        <v>12</v>
      </c>
      <c r="U68" s="4" t="s">
        <v>27</v>
      </c>
      <c r="V68" s="5">
        <v>0</v>
      </c>
      <c r="W68" s="18">
        <v>0</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0</v>
      </c>
      <c r="P69" s="37">
        <f t="shared" si="6"/>
        <v>0</v>
      </c>
      <c r="Q69" s="21">
        <v>10</v>
      </c>
      <c r="R69" s="21">
        <v>12</v>
      </c>
      <c r="U69" s="4" t="s">
        <v>166</v>
      </c>
      <c r="V69" s="5">
        <v>11315.837600585224</v>
      </c>
      <c r="W69" s="18">
        <v>113158.37600585225</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176</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83245.245062179965</v>
      </c>
      <c r="W75" s="14">
        <v>832452.45062179968</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214</v>
      </c>
      <c r="J83" s="23" t="s">
        <v>182</v>
      </c>
      <c r="K83" s="116" t="s">
        <v>215</v>
      </c>
      <c r="L83" s="116" t="s">
        <v>216</v>
      </c>
      <c r="M83" s="116" t="s">
        <v>211</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200</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774600</v>
      </c>
      <c r="D4" t="s">
        <v>191</v>
      </c>
    </row>
    <row r="5" spans="1:4" x14ac:dyDescent="0.3">
      <c r="B5" t="s">
        <v>48</v>
      </c>
      <c r="C5" s="11">
        <f>SUM(Table8[Price])+Dyes!P56</f>
        <v>428660</v>
      </c>
    </row>
    <row r="6" spans="1:4" x14ac:dyDescent="0.3">
      <c r="B6" t="s">
        <v>49</v>
      </c>
      <c r="C6" s="11">
        <f>SUM(Table2[Price])+Finish!K30</f>
        <v>106600</v>
      </c>
      <c r="D6" t="s">
        <v>190</v>
      </c>
    </row>
    <row r="7" spans="1:4" x14ac:dyDescent="0.3">
      <c r="B7" t="s">
        <v>50</v>
      </c>
      <c r="C7" s="11">
        <f>SUMIFS(Table14[Debit], Table14[Party],Table12[[#This Row],[Type]])</f>
        <v>0</v>
      </c>
    </row>
    <row r="8" spans="1:4" x14ac:dyDescent="0.3">
      <c r="B8" t="s">
        <v>51</v>
      </c>
      <c r="C8" s="11">
        <f>Electricity!E3</f>
        <v>0</v>
      </c>
    </row>
    <row r="9" spans="1:4" x14ac:dyDescent="0.3">
      <c r="B9" t="s">
        <v>52</v>
      </c>
      <c r="C9" s="11">
        <f>SUMIFS(Table14[Debit], Table14[Party],Table12[[#This Row],[Type]])+SUMIFS(Table14[Debit], Table14[Party],"Advance Salary")</f>
        <v>0</v>
      </c>
    </row>
    <row r="10" spans="1:4" x14ac:dyDescent="0.3">
      <c r="B10" t="s">
        <v>53</v>
      </c>
      <c r="C10" s="11">
        <f>Table5[[#Totals],[Amount]]</f>
        <v>0</v>
      </c>
    </row>
    <row r="11" spans="1:4" x14ac:dyDescent="0.3">
      <c r="B11" t="s">
        <v>54</v>
      </c>
      <c r="C11" s="11">
        <f>Table13[[#Totals],[Debit]]</f>
        <v>0</v>
      </c>
    </row>
    <row r="12" spans="1:4" x14ac:dyDescent="0.3">
      <c r="B12" t="s">
        <v>55</v>
      </c>
      <c r="C12" s="11">
        <f>Table15[[#Totals],[Amount]]</f>
        <v>0</v>
      </c>
    </row>
    <row r="13" spans="1:4" x14ac:dyDescent="0.3">
      <c r="C13" s="11"/>
    </row>
    <row r="14" spans="1:4" x14ac:dyDescent="0.3">
      <c r="C14" s="14">
        <f>SUM(Table12[Amount])</f>
        <v>1309860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832452.45062179968</v>
      </c>
    </row>
    <row r="4" spans="1:3" x14ac:dyDescent="0.3">
      <c r="B4" s="11" t="s">
        <v>44</v>
      </c>
      <c r="C4" s="11">
        <f>Table12[[#Totals],[Amount]]</f>
        <v>1309860</v>
      </c>
    </row>
    <row r="5" spans="1:3" x14ac:dyDescent="0.3">
      <c r="A5" s="6"/>
      <c r="B5" s="15" t="s">
        <v>68</v>
      </c>
      <c r="C5" s="15">
        <f>C3-C4</f>
        <v>-477407.54937820032</v>
      </c>
    </row>
    <row r="10" spans="1:3" ht="15" thickBot="1" x14ac:dyDescent="0.35">
      <c r="B10" t="s">
        <v>66</v>
      </c>
      <c r="C10" s="14" t="s">
        <v>67</v>
      </c>
    </row>
    <row r="11" spans="1:3" x14ac:dyDescent="0.3">
      <c r="B11" s="56" t="s">
        <v>0</v>
      </c>
      <c r="C11" s="57">
        <f>C3</f>
        <v>832452.45062179968</v>
      </c>
    </row>
    <row r="12" spans="1:3" x14ac:dyDescent="0.3">
      <c r="B12" s="58" t="s">
        <v>69</v>
      </c>
      <c r="C12" s="59">
        <f>SUM(Table14[Credit])</f>
        <v>1531290</v>
      </c>
    </row>
    <row r="13" spans="1:3" ht="15" thickBot="1" x14ac:dyDescent="0.35">
      <c r="B13" s="74" t="s">
        <v>93</v>
      </c>
      <c r="C13" s="73">
        <f>(C11-C12)</f>
        <v>-698837.54937820032</v>
      </c>
    </row>
    <row r="14" spans="1:3" ht="15" thickBot="1" x14ac:dyDescent="0.35">
      <c r="B14" s="58"/>
      <c r="C14" s="59"/>
    </row>
    <row r="15" spans="1:3" x14ac:dyDescent="0.3">
      <c r="B15" s="56" t="s">
        <v>44</v>
      </c>
      <c r="C15" s="57">
        <f>C4</f>
        <v>1309860</v>
      </c>
    </row>
    <row r="16" spans="1:3" x14ac:dyDescent="0.3">
      <c r="B16" s="58" t="s">
        <v>70</v>
      </c>
      <c r="C16" s="59">
        <f>SUM(Table14[Debit])</f>
        <v>1511389</v>
      </c>
    </row>
    <row r="17" spans="2:6" ht="15" thickBot="1" x14ac:dyDescent="0.35">
      <c r="B17" s="74" t="s">
        <v>71</v>
      </c>
      <c r="C17" s="73">
        <f>C15-C16</f>
        <v>-201529</v>
      </c>
    </row>
    <row r="18" spans="2:6" ht="15" thickBot="1" x14ac:dyDescent="0.35">
      <c r="B18" s="58"/>
      <c r="C18" s="59"/>
    </row>
    <row r="19" spans="2:6" ht="15" thickBot="1" x14ac:dyDescent="0.35">
      <c r="B19" s="75" t="s">
        <v>72</v>
      </c>
      <c r="C19" s="76">
        <f>Table18[[#Totals],[amount]]</f>
        <v>19901</v>
      </c>
    </row>
    <row r="20" spans="2:6" ht="15" thickBot="1" x14ac:dyDescent="0.35">
      <c r="B20" s="71"/>
      <c r="C20" s="72"/>
    </row>
    <row r="21" spans="2:6" ht="15" thickBot="1" x14ac:dyDescent="0.35">
      <c r="B21" s="60" t="s">
        <v>73</v>
      </c>
      <c r="C21" s="61">
        <f>(C13-C17)+C19</f>
        <v>-477407.54937820032</v>
      </c>
      <c r="E21" s="79" t="s">
        <v>74</v>
      </c>
      <c r="F21" s="80">
        <f>C5*0.05</f>
        <v>-23870.377468910017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0</v>
      </c>
      <c r="E7">
        <f>SUMIFS(Table14[Credit], Table14[Date], Table13[[#This Row],[Date]], Table14[Party], "Transport")</f>
        <v>0</v>
      </c>
    </row>
    <row r="8" spans="2:6" x14ac:dyDescent="0.3">
      <c r="B8" s="1">
        <v>45981</v>
      </c>
      <c r="D8">
        <f>SUMIFS(Table14[Debit], Table14[Date], Table13[[#This Row],[Date]], Table14[Party], "Transport")</f>
        <v>0</v>
      </c>
      <c r="E8">
        <f>SUMIFS(Table14[Credit], Table14[Date], Table13[[#This Row],[Date]], Table14[Party], "Transport")</f>
        <v>0</v>
      </c>
    </row>
    <row r="9" spans="2:6" x14ac:dyDescent="0.3">
      <c r="B9" s="1">
        <v>45982</v>
      </c>
      <c r="D9">
        <f>SUMIFS(Table14[Debit], Table14[Date], Table13[[#This Row],[Date]], Table14[Party], "Transport")</f>
        <v>0</v>
      </c>
      <c r="E9">
        <f>SUMIFS(Table14[Credit], Table14[Date], Table13[[#This Row],[Date]], Table14[Party], "Transport")</f>
        <v>0</v>
      </c>
    </row>
    <row r="10" spans="2:6" x14ac:dyDescent="0.3">
      <c r="B10" s="1">
        <v>45983</v>
      </c>
      <c r="D10">
        <f>SUMIFS(Table14[Debit], Table14[Date], Table13[[#This Row],[Date]], Table14[Party], "Transport")</f>
        <v>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0</v>
      </c>
      <c r="E38">
        <f>SUBTOTAL(109,Table13[Credit])</f>
        <v>0</v>
      </c>
      <c r="F38">
        <f>Table13[[#Totals],[Debit]]-Table13[[#Totals],[Credit]]</f>
        <v>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53" zoomScale="91" zoomScaleNormal="82" workbookViewId="0">
      <selection activeCell="M68" sqref="M6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212</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212</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212</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212</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212</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212</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212</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212</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212</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212</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212</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212</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212</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212</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212</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212</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176</v>
      </c>
      <c r="C18" s="108" t="s">
        <v>212</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179</v>
      </c>
      <c r="C19" s="108" t="s">
        <v>212</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180</v>
      </c>
      <c r="C20" s="108" t="s">
        <v>212</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185</v>
      </c>
      <c r="C21" s="108" t="s">
        <v>212</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194</v>
      </c>
      <c r="C22" s="108" t="s">
        <v>212</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197</v>
      </c>
      <c r="C23" s="108" t="s">
        <v>212</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196</v>
      </c>
      <c r="C24" s="108" t="s">
        <v>212</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202</v>
      </c>
      <c r="C25" s="108" t="s">
        <v>212</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207</v>
      </c>
      <c r="C26" s="108" t="s">
        <v>212</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9" t="s">
        <v>209</v>
      </c>
      <c r="C27" s="108" t="s">
        <v>212</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3">
        <v>45979</v>
      </c>
      <c r="B28" s="81" t="s">
        <v>21</v>
      </c>
      <c r="C28" s="114" t="s">
        <v>212</v>
      </c>
      <c r="D28" s="114" t="s">
        <v>86</v>
      </c>
      <c r="E28" s="13"/>
      <c r="F28" s="13"/>
      <c r="G28" s="13"/>
      <c r="H28" s="115" t="e">
        <f>_xlfn.XLOOKUP(Table1[[#This Row],[Shipment Number]], 'pivot '!A:A,'pivot '!G:G, "NF")</f>
        <v>#DIV/0!</v>
      </c>
      <c r="I28" s="115">
        <f>_xlfn.XLOOKUP(Table1[[#This Row],[Party Name]],
[1]Billing!$Q$5:$Q$40,
[1]Billing!$U$5:$U$40)</f>
        <v>282468.91002194589</v>
      </c>
      <c r="J28" s="115">
        <f>_xlfn.XLOOKUP(Table1[[#This Row],[Party Name]],
[1]Billing!$Q$5:$Q$40,
[1]Billing!$W$5:$W$40)</f>
        <v>3583739.941477689</v>
      </c>
      <c r="K28" s="114"/>
      <c r="P28"/>
      <c r="Q28"/>
      <c r="R28"/>
      <c r="S28"/>
      <c r="T28"/>
      <c r="U28"/>
      <c r="V28"/>
      <c r="W28"/>
      <c r="X28"/>
      <c r="Y28"/>
    </row>
    <row r="29" spans="1:25" x14ac:dyDescent="0.3">
      <c r="A29" s="107">
        <v>45979</v>
      </c>
      <c r="B29" s="81" t="s">
        <v>22</v>
      </c>
      <c r="C29" s="108" t="s">
        <v>212</v>
      </c>
      <c r="D29" s="108" t="s">
        <v>86</v>
      </c>
      <c r="E29" s="37"/>
      <c r="F29" s="37"/>
      <c r="G29" s="37"/>
      <c r="H29" s="110" t="e">
        <f>_xlfn.XLOOKUP(Table1[[#This Row],[Shipment Number]], 'pivot '!A:A,'pivot '!G:G, "NF")</f>
        <v>#DIV/0!</v>
      </c>
      <c r="I29" s="115">
        <f>_xlfn.XLOOKUP(Table1[[#This Row],[Party Name]],
[1]Billing!$Q$5:$Q$40,
[1]Billing!$U$5:$U$40)</f>
        <v>211578.27359180688</v>
      </c>
      <c r="J29" s="115">
        <f>_xlfn.XLOOKUP(Table1[[#This Row],[Party Name]],
[1]Billing!$Q$5:$Q$40,
[1]Billing!$W$5:$W$40)</f>
        <v>2691373.4455010975</v>
      </c>
      <c r="K29" s="108"/>
      <c r="P29"/>
      <c r="Q29"/>
      <c r="R29"/>
      <c r="S29"/>
      <c r="T29"/>
      <c r="U29"/>
      <c r="V29"/>
      <c r="W29"/>
      <c r="X29"/>
      <c r="Y29"/>
    </row>
    <row r="30" spans="1:25" x14ac:dyDescent="0.3">
      <c r="A30" s="107">
        <v>45979</v>
      </c>
      <c r="B30" s="81" t="s">
        <v>9</v>
      </c>
      <c r="C30" s="108" t="s">
        <v>212</v>
      </c>
      <c r="D30" s="114" t="s">
        <v>86</v>
      </c>
      <c r="E30" s="37"/>
      <c r="F30" s="37"/>
      <c r="G30" s="37"/>
      <c r="H30" s="110" t="e">
        <f>_xlfn.XLOOKUP(Table1[[#This Row],[Shipment Number]], 'pivot '!A:A,'pivot '!G:G, "NF")</f>
        <v>#DIV/0!</v>
      </c>
      <c r="I30" s="115">
        <f>_xlfn.XLOOKUP(Table1[[#This Row],[Party Name]],
[1]Billing!$Q$5:$Q$40,
[1]Billing!$U$5:$U$40)</f>
        <v>78112.65544989027</v>
      </c>
      <c r="J30" s="115">
        <f>_xlfn.XLOOKUP(Table1[[#This Row],[Party Name]],
[1]Billing!$Q$5:$Q$40,
[1]Billing!$W$5:$W$40)</f>
        <v>1000670.2633504025</v>
      </c>
      <c r="K30" s="108"/>
      <c r="P30"/>
      <c r="Q30"/>
      <c r="R30"/>
      <c r="S30"/>
      <c r="T30"/>
      <c r="U30"/>
      <c r="V30"/>
      <c r="W30"/>
      <c r="X30"/>
      <c r="Y30"/>
    </row>
    <row r="31" spans="1:25" x14ac:dyDescent="0.3">
      <c r="A31" s="107">
        <v>45979</v>
      </c>
      <c r="B31" s="81" t="s">
        <v>23</v>
      </c>
      <c r="C31" s="108" t="s">
        <v>212</v>
      </c>
      <c r="D31" s="108" t="s">
        <v>86</v>
      </c>
      <c r="E31" s="37"/>
      <c r="F31" s="37"/>
      <c r="G31" s="37"/>
      <c r="H31" s="110" t="e">
        <f>_xlfn.XLOOKUP(Table1[[#This Row],[Shipment Number]], 'pivot '!A:A,'pivot '!G:G, "NF")</f>
        <v>#DIV/0!</v>
      </c>
      <c r="I31" s="115">
        <f>_xlfn.XLOOKUP(Table1[[#This Row],[Party Name]],
[1]Billing!$Q$5:$Q$40,
[1]Billing!$U$5:$U$40)</f>
        <v>0</v>
      </c>
      <c r="J31" s="115">
        <f>_xlfn.XLOOKUP(Table1[[#This Row],[Party Name]],
[1]Billing!$Q$5:$Q$40,
[1]Billing!$W$5:$W$40)</f>
        <v>0</v>
      </c>
      <c r="K31" s="108"/>
      <c r="P31"/>
      <c r="Q31"/>
      <c r="R31"/>
      <c r="S31"/>
      <c r="T31"/>
      <c r="U31"/>
      <c r="V31"/>
      <c r="W31"/>
      <c r="X31"/>
      <c r="Y31"/>
    </row>
    <row r="32" spans="1:25" x14ac:dyDescent="0.3">
      <c r="A32" s="107">
        <v>45979</v>
      </c>
      <c r="B32" s="81" t="s">
        <v>24</v>
      </c>
      <c r="C32" s="108" t="s">
        <v>212</v>
      </c>
      <c r="D32" s="114" t="s">
        <v>86</v>
      </c>
      <c r="E32" s="37"/>
      <c r="F32" s="37"/>
      <c r="G32" s="37"/>
      <c r="H32" s="110" t="e">
        <f>_xlfn.XLOOKUP(Table1[[#This Row],[Shipment Number]], 'pivot '!A:A,'pivot '!G:G, "NF")</f>
        <v>#DIV/0!</v>
      </c>
      <c r="I32" s="115">
        <f>_xlfn.XLOOKUP(Table1[[#This Row],[Party Name]],
[1]Billing!$Q$5:$Q$40,
[1]Billing!$U$5:$U$40)</f>
        <v>485823.88441843458</v>
      </c>
      <c r="J32" s="115">
        <f>_xlfn.XLOOKUP(Table1[[#This Row],[Party Name]],
[1]Billing!$Q$5:$Q$40,
[1]Billing!$W$5:$W$40)</f>
        <v>5829886.6130212145</v>
      </c>
      <c r="K32" s="108"/>
      <c r="P32"/>
      <c r="Q32"/>
      <c r="R32"/>
      <c r="S32"/>
      <c r="T32"/>
      <c r="U32"/>
      <c r="V32"/>
      <c r="W32"/>
      <c r="X32"/>
      <c r="Y32"/>
    </row>
    <row r="33" spans="1:25" x14ac:dyDescent="0.3">
      <c r="A33" s="107">
        <v>45979</v>
      </c>
      <c r="B33" s="81" t="s">
        <v>25</v>
      </c>
      <c r="C33" s="108" t="s">
        <v>212</v>
      </c>
      <c r="D33" s="108" t="s">
        <v>86</v>
      </c>
      <c r="E33" s="37"/>
      <c r="F33" s="37"/>
      <c r="G33" s="37"/>
      <c r="H33" s="110" t="e">
        <f>_xlfn.XLOOKUP(Table1[[#This Row],[Shipment Number]], 'pivot '!A:A,'pivot '!G:G, "NF")</f>
        <v>#DIV/0!</v>
      </c>
      <c r="I33" s="115">
        <f>_xlfn.XLOOKUP(Table1[[#This Row],[Party Name]],
[1]Billing!$Q$5:$Q$40,
[1]Billing!$U$5:$U$40)</f>
        <v>0</v>
      </c>
      <c r="J33" s="115">
        <f>_xlfn.XLOOKUP(Table1[[#This Row],[Party Name]],
[1]Billing!$Q$5:$Q$40,
[1]Billing!$W$5:$W$40)</f>
        <v>0</v>
      </c>
      <c r="K33" s="108"/>
      <c r="P33"/>
      <c r="Q33"/>
      <c r="R33"/>
      <c r="S33"/>
      <c r="T33"/>
      <c r="U33"/>
      <c r="V33"/>
      <c r="W33"/>
      <c r="X33"/>
      <c r="Y33"/>
    </row>
    <row r="34" spans="1:25" x14ac:dyDescent="0.3">
      <c r="A34" s="107">
        <v>45979</v>
      </c>
      <c r="B34" s="81" t="s">
        <v>26</v>
      </c>
      <c r="C34" s="108" t="s">
        <v>212</v>
      </c>
      <c r="D34" s="114" t="s">
        <v>86</v>
      </c>
      <c r="E34" s="37"/>
      <c r="F34" s="37"/>
      <c r="G34" s="37"/>
      <c r="H34" s="110" t="e">
        <f>_xlfn.XLOOKUP(Table1[[#This Row],[Shipment Number]], 'pivot '!A:A,'pivot '!G:G, "NF")</f>
        <v>#DIV/0!</v>
      </c>
      <c r="I34" s="115">
        <f>_xlfn.XLOOKUP(Table1[[#This Row],[Party Name]],
[1]Billing!$Q$5:$Q$40,
[1]Billing!$U$5:$U$40)</f>
        <v>0</v>
      </c>
      <c r="J34" s="115">
        <f>_xlfn.XLOOKUP(Table1[[#This Row],[Party Name]],
[1]Billing!$Q$5:$Q$40,
[1]Billing!$W$5:$W$40)</f>
        <v>0</v>
      </c>
      <c r="K34" s="108"/>
      <c r="P34"/>
      <c r="Q34"/>
      <c r="R34"/>
      <c r="S34"/>
      <c r="T34"/>
      <c r="U34"/>
      <c r="V34"/>
      <c r="W34"/>
      <c r="X34"/>
      <c r="Y34"/>
    </row>
    <row r="35" spans="1:25" x14ac:dyDescent="0.3">
      <c r="A35" s="107">
        <v>45979</v>
      </c>
      <c r="B35" s="81" t="s">
        <v>152</v>
      </c>
      <c r="C35" s="108" t="s">
        <v>212</v>
      </c>
      <c r="D35" s="108" t="s">
        <v>86</v>
      </c>
      <c r="E35" s="37"/>
      <c r="F35" s="37"/>
      <c r="G35" s="37"/>
      <c r="H35" s="110" t="e">
        <f>_xlfn.XLOOKUP(Table1[[#This Row],[Shipment Number]], 'pivot '!A:A,'pivot '!G:G, "NF")</f>
        <v>#DIV/0!</v>
      </c>
      <c r="I35" s="115">
        <f>_xlfn.XLOOKUP(Table1[[#This Row],[Party Name]],
[1]Billing!$Q$5:$Q$40,
[1]Billing!$U$5:$U$40)</f>
        <v>25188.368690563279</v>
      </c>
      <c r="J35" s="115">
        <f>_xlfn.XLOOKUP(Table1[[#This Row],[Party Name]],
[1]Billing!$Q$5:$Q$40,
[1]Billing!$W$5:$W$40)</f>
        <v>327448.79297732259</v>
      </c>
      <c r="K35" s="108"/>
      <c r="P35"/>
      <c r="Q35"/>
      <c r="R35"/>
      <c r="S35"/>
      <c r="T35"/>
      <c r="U35"/>
      <c r="V35"/>
      <c r="W35"/>
      <c r="X35"/>
      <c r="Y35"/>
    </row>
    <row r="36" spans="1:25" x14ac:dyDescent="0.3">
      <c r="A36" s="107">
        <v>45979</v>
      </c>
      <c r="B36" s="81" t="s">
        <v>35</v>
      </c>
      <c r="C36" s="108" t="s">
        <v>212</v>
      </c>
      <c r="D36" s="114" t="s">
        <v>86</v>
      </c>
      <c r="E36" s="37"/>
      <c r="F36" s="37"/>
      <c r="G36" s="37"/>
      <c r="H36" s="110" t="e">
        <f>_xlfn.XLOOKUP(Table1[[#This Row],[Shipment Number]], 'pivot '!A:A,'pivot '!G:G, "NF")</f>
        <v>#DIV/0!</v>
      </c>
      <c r="I36" s="115">
        <f>_xlfn.XLOOKUP(Table1[[#This Row],[Party Name]],
[1]Billing!$Q$5:$Q$40,
[1]Billing!$U$5:$U$40)</f>
        <v>14995.427944403806</v>
      </c>
      <c r="J36" s="115">
        <f>_xlfn.XLOOKUP(Table1[[#This Row],[Party Name]],
[1]Billing!$Q$5:$Q$40,
[1]Billing!$W$5:$W$40)</f>
        <v>179945.13533284568</v>
      </c>
      <c r="K36" s="108"/>
      <c r="P36"/>
      <c r="Q36"/>
      <c r="R36"/>
      <c r="S36"/>
      <c r="T36"/>
      <c r="U36"/>
      <c r="V36"/>
      <c r="W36"/>
      <c r="X36"/>
      <c r="Y36"/>
    </row>
    <row r="37" spans="1:25" x14ac:dyDescent="0.3">
      <c r="A37" s="107">
        <v>45979</v>
      </c>
      <c r="B37" s="81" t="s">
        <v>148</v>
      </c>
      <c r="C37" s="108" t="s">
        <v>212</v>
      </c>
      <c r="D37" s="108" t="s">
        <v>86</v>
      </c>
      <c r="E37" s="37"/>
      <c r="F37" s="37"/>
      <c r="G37" s="37"/>
      <c r="H37" s="110" t="e">
        <f>_xlfn.XLOOKUP(Table1[[#This Row],[Shipment Number]], 'pivot '!A:A,'pivot '!G:G, "NF")</f>
        <v>#DIV/0!</v>
      </c>
      <c r="I37" s="115">
        <f>_xlfn.XLOOKUP(Table1[[#This Row],[Party Name]],
[1]Billing!$Q$5:$Q$40,
[1]Billing!$U$5:$U$40)</f>
        <v>0</v>
      </c>
      <c r="J37" s="115">
        <f>_xlfn.XLOOKUP(Table1[[#This Row],[Party Name]],
[1]Billing!$Q$5:$Q$40,
[1]Billing!$W$5:$W$40)</f>
        <v>0</v>
      </c>
      <c r="K37" s="108"/>
      <c r="P37"/>
      <c r="Q37"/>
      <c r="R37"/>
      <c r="S37"/>
      <c r="T37"/>
      <c r="U37"/>
      <c r="V37"/>
      <c r="W37"/>
      <c r="X37"/>
      <c r="Y37"/>
    </row>
    <row r="38" spans="1:25" x14ac:dyDescent="0.3">
      <c r="A38" s="107">
        <v>45979</v>
      </c>
      <c r="B38" s="81" t="s">
        <v>27</v>
      </c>
      <c r="C38" s="108" t="s">
        <v>212</v>
      </c>
      <c r="D38" s="114" t="s">
        <v>86</v>
      </c>
      <c r="E38" s="37"/>
      <c r="F38" s="37"/>
      <c r="G38" s="37"/>
      <c r="H38" s="110" t="e">
        <f>_xlfn.XLOOKUP(Table1[[#This Row],[Shipment Number]], 'pivot '!A:A,'pivot '!G:G, "NF")</f>
        <v>#DIV/0!</v>
      </c>
      <c r="I38" s="115">
        <f>_xlfn.XLOOKUP(Table1[[#This Row],[Party Name]],
[1]Billing!$Q$5:$Q$40,
[1]Billing!$U$5:$U$40)</f>
        <v>0</v>
      </c>
      <c r="J38" s="115">
        <f>_xlfn.XLOOKUP(Table1[[#This Row],[Party Name]],
[1]Billing!$Q$5:$Q$40,
[1]Billing!$W$5:$W$40)</f>
        <v>0</v>
      </c>
      <c r="K38" s="108"/>
      <c r="P38"/>
      <c r="Q38"/>
      <c r="R38"/>
      <c r="S38"/>
      <c r="T38"/>
      <c r="U38"/>
      <c r="V38"/>
      <c r="W38"/>
      <c r="X38"/>
      <c r="Y38"/>
    </row>
    <row r="39" spans="1:25" x14ac:dyDescent="0.3">
      <c r="A39" s="107">
        <v>45979</v>
      </c>
      <c r="B39" s="81" t="s">
        <v>166</v>
      </c>
      <c r="C39" s="108" t="s">
        <v>212</v>
      </c>
      <c r="D39" s="108" t="s">
        <v>86</v>
      </c>
      <c r="E39" s="37"/>
      <c r="F39" s="37"/>
      <c r="G39" s="37"/>
      <c r="H39" s="110" t="e">
        <f>_xlfn.XLOOKUP(Table1[[#This Row],[Shipment Number]], 'pivot '!A:A,'pivot '!G:G, "NF")</f>
        <v>#DIV/0!</v>
      </c>
      <c r="I39" s="115">
        <f>_xlfn.XLOOKUP(Table1[[#This Row],[Party Name]],
[1]Billing!$Q$5:$Q$40,
[1]Billing!$U$5:$U$40)</f>
        <v>117213.78931967814</v>
      </c>
      <c r="J39" s="115">
        <f>_xlfn.XLOOKUP(Table1[[#This Row],[Party Name]],
[1]Billing!$Q$5:$Q$40,
[1]Billing!$W$5:$W$40)</f>
        <v>1460624.5427944404</v>
      </c>
      <c r="K39" s="108"/>
      <c r="P39"/>
      <c r="Q39"/>
      <c r="R39"/>
      <c r="S39"/>
      <c r="T39"/>
      <c r="U39"/>
      <c r="V39"/>
      <c r="W39"/>
      <c r="X39"/>
      <c r="Y39"/>
    </row>
    <row r="40" spans="1:25" x14ac:dyDescent="0.3">
      <c r="A40" s="107">
        <v>45979</v>
      </c>
      <c r="B40" s="81" t="s">
        <v>168</v>
      </c>
      <c r="C40" s="108" t="s">
        <v>212</v>
      </c>
      <c r="D40" s="114" t="s">
        <v>86</v>
      </c>
      <c r="E40" s="37"/>
      <c r="F40" s="37"/>
      <c r="G40" s="37"/>
      <c r="H40" s="110" t="e">
        <f>_xlfn.XLOOKUP(Table1[[#This Row],[Shipment Number]], 'pivot '!A:A,'pivot '!G:G, "NF")</f>
        <v>#DIV/0!</v>
      </c>
      <c r="I40" s="115">
        <f>_xlfn.XLOOKUP(Table1[[#This Row],[Party Name]],
[1]Billing!$Q$5:$Q$40,
[1]Billing!$U$5:$U$40)</f>
        <v>0</v>
      </c>
      <c r="J40" s="115">
        <f>_xlfn.XLOOKUP(Table1[[#This Row],[Party Name]],
[1]Billing!$Q$5:$Q$40,
[1]Billing!$W$5:$W$40)</f>
        <v>0</v>
      </c>
      <c r="K40" s="108"/>
      <c r="P40"/>
      <c r="Q40"/>
      <c r="R40"/>
      <c r="S40"/>
      <c r="T40"/>
      <c r="U40"/>
      <c r="V40"/>
      <c r="W40"/>
      <c r="X40"/>
      <c r="Y40"/>
    </row>
    <row r="41" spans="1:25" x14ac:dyDescent="0.3">
      <c r="A41" s="107">
        <v>45979</v>
      </c>
      <c r="B41" s="81" t="s">
        <v>170</v>
      </c>
      <c r="C41" s="108" t="s">
        <v>212</v>
      </c>
      <c r="D41" s="108" t="s">
        <v>86</v>
      </c>
      <c r="E41" s="37"/>
      <c r="F41" s="37"/>
      <c r="G41" s="37"/>
      <c r="H41" s="110" t="e">
        <f>_xlfn.XLOOKUP(Table1[[#This Row],[Shipment Number]], 'pivot '!A:A,'pivot '!G:G, "NF")</f>
        <v>#DIV/0!</v>
      </c>
      <c r="I41" s="115">
        <f>_xlfn.XLOOKUP(Table1[[#This Row],[Party Name]],
[1]Billing!$Q$5:$Q$40,
[1]Billing!$U$5:$U$40)</f>
        <v>0</v>
      </c>
      <c r="J41" s="115">
        <f>_xlfn.XLOOKUP(Table1[[#This Row],[Party Name]],
[1]Billing!$Q$5:$Q$40,
[1]Billing!$W$5:$W$40)</f>
        <v>0</v>
      </c>
      <c r="K41" s="108"/>
      <c r="P41"/>
      <c r="Q41"/>
      <c r="R41"/>
      <c r="S41"/>
      <c r="T41"/>
      <c r="U41"/>
      <c r="V41"/>
      <c r="W41"/>
      <c r="X41"/>
      <c r="Y41"/>
    </row>
    <row r="42" spans="1:25" x14ac:dyDescent="0.3">
      <c r="A42" s="107">
        <v>45979</v>
      </c>
      <c r="B42" s="81" t="s">
        <v>171</v>
      </c>
      <c r="C42" s="108" t="s">
        <v>212</v>
      </c>
      <c r="D42" s="114" t="s">
        <v>86</v>
      </c>
      <c r="E42" s="37"/>
      <c r="F42" s="37"/>
      <c r="G42" s="37"/>
      <c r="H42" s="110" t="e">
        <f>_xlfn.XLOOKUP(Table1[[#This Row],[Shipment Number]], 'pivot '!A:A,'pivot '!G:G, "NF")</f>
        <v>#DIV/0!</v>
      </c>
      <c r="I42" s="115">
        <f>_xlfn.XLOOKUP(Table1[[#This Row],[Party Name]],
[1]Billing!$Q$5:$Q$40,
[1]Billing!$U$5:$U$40)</f>
        <v>0</v>
      </c>
      <c r="J42" s="115">
        <f>_xlfn.XLOOKUP(Table1[[#This Row],[Party Name]],
[1]Billing!$Q$5:$Q$40,
[1]Billing!$W$5:$W$40)</f>
        <v>0</v>
      </c>
      <c r="K42" s="108"/>
      <c r="P42"/>
      <c r="Q42"/>
      <c r="R42"/>
      <c r="S42"/>
      <c r="T42"/>
      <c r="U42"/>
      <c r="V42"/>
      <c r="W42"/>
      <c r="X42"/>
      <c r="Y42"/>
    </row>
    <row r="43" spans="1:25" x14ac:dyDescent="0.3">
      <c r="A43" s="107">
        <v>45979</v>
      </c>
      <c r="B43" s="81" t="s">
        <v>173</v>
      </c>
      <c r="C43" s="108" t="s">
        <v>212</v>
      </c>
      <c r="D43" s="108" t="s">
        <v>86</v>
      </c>
      <c r="E43" s="37"/>
      <c r="F43" s="37"/>
      <c r="G43" s="37"/>
      <c r="H43" s="110" t="e">
        <f>_xlfn.XLOOKUP(Table1[[#This Row],[Shipment Number]], 'pivot '!A:A,'pivot '!G:G, "NF")</f>
        <v>#DIV/0!</v>
      </c>
      <c r="I43" s="115">
        <f>_xlfn.XLOOKUP(Table1[[#This Row],[Party Name]],
[1]Billing!$Q$5:$Q$40,
[1]Billing!$U$5:$U$40)</f>
        <v>9232.809070958303</v>
      </c>
      <c r="J43" s="115">
        <f>_xlfn.XLOOKUP(Table1[[#This Row],[Party Name]],
[1]Billing!$Q$5:$Q$40,
[1]Billing!$W$5:$W$40)</f>
        <v>120026.51792245793</v>
      </c>
      <c r="K43" s="108"/>
      <c r="P43"/>
      <c r="Q43"/>
      <c r="R43"/>
      <c r="S43"/>
      <c r="T43"/>
      <c r="U43"/>
      <c r="V43"/>
      <c r="W43"/>
      <c r="X43"/>
      <c r="Y43"/>
    </row>
    <row r="44" spans="1:25" x14ac:dyDescent="0.3">
      <c r="A44" s="107">
        <v>45979</v>
      </c>
      <c r="B44" s="81" t="s">
        <v>176</v>
      </c>
      <c r="C44" s="108" t="s">
        <v>212</v>
      </c>
      <c r="D44" s="114" t="s">
        <v>86</v>
      </c>
      <c r="E44" s="37"/>
      <c r="F44" s="37"/>
      <c r="G44" s="37"/>
      <c r="H44" s="110" t="e">
        <f>_xlfn.XLOOKUP(Table1[[#This Row],[Shipment Number]], 'pivot '!A:A,'pivot '!G:G, "NF")</f>
        <v>#DIV/0!</v>
      </c>
      <c r="I44" s="115">
        <f>_xlfn.XLOOKUP(Table1[[#This Row],[Party Name]],
[1]Billing!$Q$5:$Q$40,
[1]Billing!$U$5:$U$40)</f>
        <v>398433.61375274323</v>
      </c>
      <c r="J44" s="115">
        <f>_xlfn.XLOOKUP(Table1[[#This Row],[Party Name]],
[1]Billing!$Q$5:$Q$40,
[1]Billing!$W$5:$W$40)</f>
        <v>5179636.9787856629</v>
      </c>
      <c r="K44" s="108"/>
      <c r="P44"/>
      <c r="Q44"/>
      <c r="R44"/>
      <c r="S44"/>
      <c r="T44"/>
      <c r="U44"/>
      <c r="V44"/>
      <c r="W44"/>
      <c r="X44"/>
      <c r="Y44"/>
    </row>
    <row r="45" spans="1:25" x14ac:dyDescent="0.3">
      <c r="A45" s="107">
        <v>45979</v>
      </c>
      <c r="B45" s="81" t="s">
        <v>179</v>
      </c>
      <c r="C45" s="108" t="s">
        <v>212</v>
      </c>
      <c r="D45" s="108" t="s">
        <v>86</v>
      </c>
      <c r="E45" s="37"/>
      <c r="F45" s="37"/>
      <c r="G45" s="37"/>
      <c r="H45" s="110" t="e">
        <f>_xlfn.XLOOKUP(Table1[[#This Row],[Shipment Number]], 'pivot '!A:A,'pivot '!G:G, "NF")</f>
        <v>#DIV/0!</v>
      </c>
      <c r="I45" s="115">
        <f>_xlfn.XLOOKUP(Table1[[#This Row],[Party Name]],
[1]Billing!$Q$5:$Q$40,
[1]Billing!$U$5:$U$40)</f>
        <v>7565.8376005852242</v>
      </c>
      <c r="J45" s="115">
        <f>_xlfn.XLOOKUP(Table1[[#This Row],[Party Name]],
[1]Billing!$Q$5:$Q$40,
[1]Billing!$W$5:$W$40)</f>
        <v>98355.888807607917</v>
      </c>
      <c r="K45" s="108"/>
      <c r="P45"/>
      <c r="Q45"/>
      <c r="R45"/>
      <c r="S45"/>
      <c r="T45"/>
      <c r="U45"/>
      <c r="V45"/>
      <c r="W45"/>
      <c r="X45"/>
      <c r="Y45"/>
    </row>
    <row r="46" spans="1:25" x14ac:dyDescent="0.3">
      <c r="A46" s="107">
        <v>45979</v>
      </c>
      <c r="B46" s="81" t="s">
        <v>180</v>
      </c>
      <c r="C46" s="108" t="s">
        <v>212</v>
      </c>
      <c r="D46" s="114" t="s">
        <v>86</v>
      </c>
      <c r="E46" s="37"/>
      <c r="F46" s="37"/>
      <c r="G46" s="37"/>
      <c r="H46" s="110" t="e">
        <f>_xlfn.XLOOKUP(Table1[[#This Row],[Shipment Number]], 'pivot '!A:A,'pivot '!G:G, "NF")</f>
        <v>#DIV/0!</v>
      </c>
      <c r="I46" s="115">
        <f>_xlfn.XLOOKUP(Table1[[#This Row],[Party Name]],
[1]Billing!$Q$5:$Q$40,
[1]Billing!$U$5:$U$40)</f>
        <v>43834.125822970011</v>
      </c>
      <c r="J46" s="115">
        <f>_xlfn.XLOOKUP(Table1[[#This Row],[Party Name]],
[1]Billing!$Q$5:$Q$40,
[1]Billing!$W$5:$W$40)</f>
        <v>569843.63569861022</v>
      </c>
      <c r="K46" s="108"/>
      <c r="P46"/>
      <c r="Q46"/>
      <c r="R46"/>
      <c r="S46"/>
      <c r="T46"/>
      <c r="U46"/>
      <c r="V46"/>
      <c r="W46"/>
      <c r="X46"/>
      <c r="Y46"/>
    </row>
    <row r="47" spans="1:25" x14ac:dyDescent="0.3">
      <c r="A47" s="107">
        <v>45979</v>
      </c>
      <c r="B47" s="81" t="s">
        <v>185</v>
      </c>
      <c r="C47" s="108" t="s">
        <v>212</v>
      </c>
      <c r="D47" s="108" t="s">
        <v>86</v>
      </c>
      <c r="E47" s="37"/>
      <c r="F47" s="37"/>
      <c r="G47" s="37"/>
      <c r="H47" s="110" t="e">
        <f>_xlfn.XLOOKUP(Table1[[#This Row],[Shipment Number]], 'pivot '!A:A,'pivot '!G:G, "NF")</f>
        <v>#DIV/0!</v>
      </c>
      <c r="I47" s="115">
        <f>_xlfn.XLOOKUP(Table1[[#This Row],[Party Name]],
[1]Billing!$Q$5:$Q$40,
[1]Billing!$U$5:$U$40)</f>
        <v>31409.107534747625</v>
      </c>
      <c r="J47" s="115">
        <f>_xlfn.XLOOKUP(Table1[[#This Row],[Party Name]],
[1]Billing!$Q$5:$Q$40,
[1]Billing!$W$5:$W$40)</f>
        <v>408318.39795171918</v>
      </c>
      <c r="K47" s="108"/>
      <c r="P47"/>
      <c r="Q47"/>
      <c r="R47"/>
      <c r="S47"/>
      <c r="T47"/>
      <c r="U47"/>
      <c r="V47"/>
      <c r="W47"/>
      <c r="X47"/>
      <c r="Y47"/>
    </row>
    <row r="48" spans="1:25" x14ac:dyDescent="0.3">
      <c r="A48" s="107">
        <v>45979</v>
      </c>
      <c r="B48" s="81" t="s">
        <v>194</v>
      </c>
      <c r="C48" s="108" t="s">
        <v>212</v>
      </c>
      <c r="D48" s="114" t="s">
        <v>86</v>
      </c>
      <c r="E48" s="37"/>
      <c r="F48" s="37"/>
      <c r="G48" s="37"/>
      <c r="H48" s="110" t="e">
        <f>_xlfn.XLOOKUP(Table1[[#This Row],[Shipment Number]], 'pivot '!A:A,'pivot '!G:G, "NF")</f>
        <v>#DIV/0!</v>
      </c>
      <c r="I48" s="115">
        <f>_xlfn.XLOOKUP(Table1[[#This Row],[Party Name]],
[1]Billing!$Q$5:$Q$40,
[1]Billing!$U$5:$U$40)</f>
        <v>0</v>
      </c>
      <c r="J48" s="115">
        <f>_xlfn.XLOOKUP(Table1[[#This Row],[Party Name]],
[1]Billing!$Q$5:$Q$40,
[1]Billing!$W$5:$W$40)</f>
        <v>0</v>
      </c>
      <c r="K48" s="108"/>
      <c r="P48"/>
      <c r="Q48"/>
      <c r="R48"/>
      <c r="S48"/>
      <c r="T48"/>
      <c r="U48"/>
      <c r="V48"/>
      <c r="W48"/>
      <c r="X48"/>
      <c r="Y48"/>
    </row>
    <row r="49" spans="1:25" x14ac:dyDescent="0.3">
      <c r="A49" s="107">
        <v>45979</v>
      </c>
      <c r="B49" s="81" t="s">
        <v>197</v>
      </c>
      <c r="C49" s="108" t="s">
        <v>212</v>
      </c>
      <c r="D49" s="108" t="s">
        <v>86</v>
      </c>
      <c r="E49" s="37"/>
      <c r="F49" s="37"/>
      <c r="G49" s="37"/>
      <c r="H49" s="110" t="e">
        <f>_xlfn.XLOOKUP(Table1[[#This Row],[Shipment Number]], 'pivot '!A:A,'pivot '!G:G, "NF")</f>
        <v>#DIV/0!</v>
      </c>
      <c r="I49" s="115">
        <f>_xlfn.XLOOKUP(Table1[[#This Row],[Party Name]],
[1]Billing!$Q$5:$Q$40,
[1]Billing!$U$5:$U$40)</f>
        <v>0</v>
      </c>
      <c r="J49" s="115">
        <f>_xlfn.XLOOKUP(Table1[[#This Row],[Party Name]],
[1]Billing!$Q$5:$Q$40,
[1]Billing!$W$5:$W$40)</f>
        <v>0</v>
      </c>
      <c r="K49" s="108"/>
      <c r="P49"/>
      <c r="Q49"/>
      <c r="R49"/>
      <c r="S49"/>
      <c r="T49"/>
      <c r="U49"/>
      <c r="V49"/>
      <c r="W49"/>
      <c r="X49"/>
      <c r="Y49"/>
    </row>
    <row r="50" spans="1:25" x14ac:dyDescent="0.3">
      <c r="A50" s="107">
        <v>45979</v>
      </c>
      <c r="B50" s="81" t="s">
        <v>196</v>
      </c>
      <c r="C50" s="108" t="s">
        <v>212</v>
      </c>
      <c r="D50" s="114" t="s">
        <v>86</v>
      </c>
      <c r="E50" s="37"/>
      <c r="F50" s="37"/>
      <c r="G50" s="37"/>
      <c r="H50" s="110" t="e">
        <f>_xlfn.XLOOKUP(Table1[[#This Row],[Shipment Number]], 'pivot '!A:A,'pivot '!G:G, "NF")</f>
        <v>#DIV/0!</v>
      </c>
      <c r="I50" s="115">
        <f>_xlfn.XLOOKUP(Table1[[#This Row],[Party Name]],
[1]Billing!$Q$5:$Q$40,
[1]Billing!$U$5:$U$40)</f>
        <v>60995.793708851503</v>
      </c>
      <c r="J50" s="115">
        <f>_xlfn.XLOOKUP(Table1[[#This Row],[Party Name]],
[1]Billing!$Q$5:$Q$40,
[1]Billing!$W$5:$W$40)</f>
        <v>792945.31821506959</v>
      </c>
      <c r="K50" s="108"/>
      <c r="P50"/>
      <c r="Q50"/>
      <c r="R50"/>
      <c r="S50"/>
      <c r="T50"/>
      <c r="U50"/>
      <c r="V50"/>
      <c r="W50"/>
      <c r="X50"/>
      <c r="Y50"/>
    </row>
    <row r="51" spans="1:25" x14ac:dyDescent="0.3">
      <c r="A51" s="107">
        <v>45979</v>
      </c>
      <c r="B51" s="81" t="s">
        <v>202</v>
      </c>
      <c r="C51" s="108" t="s">
        <v>212</v>
      </c>
      <c r="D51" s="108" t="s">
        <v>86</v>
      </c>
      <c r="E51" s="37"/>
      <c r="F51" s="37"/>
      <c r="G51" s="37"/>
      <c r="H51" s="110" t="e">
        <f>_xlfn.XLOOKUP(Table1[[#This Row],[Shipment Number]], 'pivot '!A:A,'pivot '!G:G, "NF")</f>
        <v>#DIV/0!</v>
      </c>
      <c r="I51" s="115">
        <f>_xlfn.XLOOKUP(Table1[[#This Row],[Party Name]],
[1]Billing!$Q$5:$Q$40,
[1]Billing!$U$5:$U$40)</f>
        <v>0</v>
      </c>
      <c r="J51" s="115">
        <f>_xlfn.XLOOKUP(Table1[[#This Row],[Party Name]],
[1]Billing!$Q$5:$Q$40,
[1]Billing!$W$5:$W$40)</f>
        <v>0</v>
      </c>
      <c r="K51" s="108"/>
      <c r="P51"/>
      <c r="Q51"/>
      <c r="R51"/>
      <c r="S51"/>
      <c r="T51"/>
      <c r="U51"/>
      <c r="V51"/>
      <c r="W51"/>
      <c r="X51"/>
      <c r="Y51"/>
    </row>
    <row r="52" spans="1:25" x14ac:dyDescent="0.3">
      <c r="A52" s="107">
        <v>45979</v>
      </c>
      <c r="B52" s="81" t="s">
        <v>207</v>
      </c>
      <c r="C52" s="108" t="s">
        <v>212</v>
      </c>
      <c r="D52" s="114" t="s">
        <v>86</v>
      </c>
      <c r="E52" s="37"/>
      <c r="F52" s="37"/>
      <c r="G52" s="37"/>
      <c r="H52" s="110" t="e">
        <f>_xlfn.XLOOKUP(Table1[[#This Row],[Shipment Number]], 'pivot '!A:A,'pivot '!G:G, "NF")</f>
        <v>#DIV/0!</v>
      </c>
      <c r="I52" s="115">
        <f>_xlfn.XLOOKUP(Table1[[#This Row],[Party Name]],
[1]Billing!$Q$5:$Q$40,
[1]Billing!$U$5:$U$40)</f>
        <v>29626.005852231167</v>
      </c>
      <c r="J52" s="115">
        <f>_xlfn.XLOOKUP(Table1[[#This Row],[Party Name]],
[1]Billing!$Q$5:$Q$40,
[1]Billing!$W$5:$W$40)</f>
        <v>385138.07607900514</v>
      </c>
      <c r="K52" s="108"/>
      <c r="P52"/>
      <c r="Q52"/>
      <c r="R52"/>
      <c r="S52"/>
      <c r="T52"/>
      <c r="U52"/>
      <c r="V52"/>
      <c r="W52"/>
      <c r="X52"/>
      <c r="Y52"/>
    </row>
    <row r="53" spans="1:25" x14ac:dyDescent="0.3">
      <c r="A53" s="107">
        <v>45979</v>
      </c>
      <c r="B53" s="81" t="s">
        <v>209</v>
      </c>
      <c r="C53" s="108" t="s">
        <v>212</v>
      </c>
      <c r="D53" s="108" t="s">
        <v>86</v>
      </c>
      <c r="E53" s="37"/>
      <c r="F53" s="37"/>
      <c r="G53" s="37"/>
      <c r="H53" s="110" t="e">
        <f>_xlfn.XLOOKUP(Table1[[#This Row],[Shipment Number]], 'pivot '!A:A,'pivot '!G:G, "NF")</f>
        <v>#DIV/0!</v>
      </c>
      <c r="I53" s="115">
        <f>_xlfn.XLOOKUP(Table1[[#This Row],[Party Name]],
[1]Billing!$Q$5:$Q$40,
[1]Billing!$U$5:$U$40)</f>
        <v>0</v>
      </c>
      <c r="J53" s="115">
        <f>_xlfn.XLOOKUP(Table1[[#This Row],[Party Name]],
[1]Billing!$Q$5:$Q$40,
[1]Billing!$W$5:$W$40)</f>
        <v>0</v>
      </c>
      <c r="K53" s="108"/>
      <c r="P53"/>
      <c r="Q53"/>
      <c r="R53"/>
      <c r="S53"/>
      <c r="T53"/>
      <c r="U53"/>
      <c r="V53"/>
      <c r="W53"/>
      <c r="X53"/>
      <c r="Y53"/>
    </row>
    <row r="54" spans="1:25" x14ac:dyDescent="0.3">
      <c r="A54" s="107">
        <v>45979</v>
      </c>
      <c r="B54" s="24" t="s">
        <v>25</v>
      </c>
      <c r="C54" s="108" t="s">
        <v>212</v>
      </c>
      <c r="D54" s="108" t="s">
        <v>186</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176</v>
      </c>
      <c r="C55" s="108" t="s">
        <v>212</v>
      </c>
      <c r="D55" s="108" t="s">
        <v>186</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179</v>
      </c>
      <c r="C56" s="108" t="s">
        <v>212</v>
      </c>
      <c r="D56" s="108" t="s">
        <v>187</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185</v>
      </c>
      <c r="C57" s="108" t="s">
        <v>212</v>
      </c>
      <c r="D57" s="108" t="s">
        <v>204</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194</v>
      </c>
      <c r="C58" s="108" t="s">
        <v>212</v>
      </c>
      <c r="D58" s="108" t="s">
        <v>213</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209</v>
      </c>
      <c r="C59" s="108" t="s">
        <v>212</v>
      </c>
      <c r="D59" s="108" t="s">
        <v>210</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6">
        <v>46009</v>
      </c>
      <c r="B60" s="127" t="s">
        <v>152</v>
      </c>
      <c r="C60" s="123">
        <v>1256</v>
      </c>
      <c r="D60" s="123" t="s">
        <v>85</v>
      </c>
      <c r="E60" s="11">
        <v>1971</v>
      </c>
      <c r="F60" s="11">
        <v>50697</v>
      </c>
      <c r="G60" s="11">
        <v>49746</v>
      </c>
      <c r="H60" s="124">
        <f>_xlfn.XLOOKUP(Table1[[#This Row],[Shipment Number]], 'pivot '!A:A,'pivot '!G:G, "NF")</f>
        <v>10.274186761201378</v>
      </c>
      <c r="I60" s="125">
        <f>Table1[[#This Row],[Tiyaar/gaz]]/1.0936</f>
        <v>45488.295537673745</v>
      </c>
      <c r="J60" s="125"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23"/>
      <c r="M60"/>
      <c r="P60"/>
      <c r="Q60"/>
      <c r="R60"/>
      <c r="S60"/>
      <c r="T60"/>
      <c r="U60"/>
    </row>
    <row r="61" spans="1:25" x14ac:dyDescent="0.3">
      <c r="A61" s="126">
        <v>46009</v>
      </c>
      <c r="B61" s="123" t="s">
        <v>9</v>
      </c>
      <c r="C61" s="123">
        <v>1257</v>
      </c>
      <c r="D61" s="123" t="s">
        <v>85</v>
      </c>
      <c r="E61" s="11">
        <v>1951</v>
      </c>
      <c r="F61" s="11">
        <v>54197</v>
      </c>
      <c r="G61" s="11">
        <v>28916</v>
      </c>
      <c r="H61" s="124">
        <f>_xlfn.XLOOKUP(Table1[[#This Row],[Shipment Number]], 'pivot '!A:A,'pivot '!G:G, "NF")</f>
        <v>51.212960267319232</v>
      </c>
      <c r="I61" s="125">
        <f>Table1[[#This Row],[Tiyaar/gaz]]/1.0936</f>
        <v>26441.111923920998</v>
      </c>
      <c r="J61" s="125"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23"/>
      <c r="M61"/>
      <c r="P61"/>
      <c r="Q61"/>
      <c r="R61"/>
      <c r="S61"/>
    </row>
    <row r="62" spans="1:25" x14ac:dyDescent="0.3">
      <c r="A62" s="126">
        <v>46009</v>
      </c>
      <c r="B62" s="123" t="s">
        <v>166</v>
      </c>
      <c r="C62" s="123">
        <v>1258</v>
      </c>
      <c r="D62" s="123" t="s">
        <v>85</v>
      </c>
      <c r="E62" s="11">
        <v>1934</v>
      </c>
      <c r="F62" s="11">
        <v>38741</v>
      </c>
      <c r="G62" s="11">
        <v>12375</v>
      </c>
      <c r="H62" s="124">
        <f>_xlfn.XLOOKUP(Table1[[#This Row],[Shipment Number]], 'pivot '!A:A,'pivot '!G:G, "NF")</f>
        <v>70.791054436939618</v>
      </c>
      <c r="I62" s="125">
        <f>Table1[[#This Row],[Tiyaar/gaz]]/1.0936</f>
        <v>11315.837600585224</v>
      </c>
      <c r="J62" s="125"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23"/>
      <c r="M62"/>
      <c r="P62"/>
      <c r="Q62"/>
      <c r="R62"/>
      <c r="S62"/>
    </row>
    <row r="63" spans="1:25" x14ac:dyDescent="0.3">
      <c r="A63"/>
      <c r="B63"/>
      <c r="C63"/>
      <c r="D63"/>
      <c r="E63" s="14"/>
      <c r="F63" s="14"/>
      <c r="G63" s="14"/>
      <c r="H63" s="43"/>
      <c r="I63" s="94" cm="1">
        <f t="array" aca="1" ref="I63" ca="1">SUMPRODUCT( SUBTOTAL(109, OFFSET(Table1[tiyar/meters], ROW(Table1[tiyar/meters])-MIN(ROW(Table1[tiyar/meters])), 0, 1)), --(Table1[Bill Number]&lt;&gt;"November Closing CF") )</f>
        <v>83245.245062179965</v>
      </c>
      <c r="J63" s="43" cm="1">
        <f t="array" aca="1" ref="J63" ca="1">SUMPRODUCT( SUBTOTAL(109, OFFSET(Table1[billing], ROW(Table1[billing])-MIN(ROW(Table1[billing])), 0, 1)), --(Table1[Bill Number]&lt;&gt;"November Closing CF") )</f>
        <v>832452.45062179968</v>
      </c>
      <c r="K63" s="14">
        <f>SUMIFS(Table1[billing], Table1[Bill Number], "&lt;&gt;November Closing CF")</f>
        <v>832452.45062179968</v>
      </c>
      <c r="S63"/>
    </row>
    <row r="64" spans="1:25" x14ac:dyDescent="0.3">
      <c r="S64"/>
    </row>
    <row r="65" spans="19:19" x14ac:dyDescent="0.3">
      <c r="S65"/>
    </row>
    <row r="66" spans="19:19" x14ac:dyDescent="0.3">
      <c r="S66"/>
    </row>
    <row r="67" spans="19:19" x14ac:dyDescent="0.3">
      <c r="S67"/>
    </row>
    <row r="68" spans="19:19" x14ac:dyDescent="0.3">
      <c r="S68"/>
    </row>
    <row r="69" spans="19:19" x14ac:dyDescent="0.3">
      <c r="S69"/>
    </row>
    <row r="70" spans="19:19" x14ac:dyDescent="0.3">
      <c r="S70"/>
    </row>
    <row r="71" spans="19:19" x14ac:dyDescent="0.3">
      <c r="S71"/>
    </row>
    <row r="72" spans="19:19" x14ac:dyDescent="0.3">
      <c r="S72"/>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62">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zoomScale="145" zoomScaleNormal="90" workbookViewId="0">
      <selection activeCell="I6" sqref="I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x14ac:dyDescent="0.3">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202500</v>
      </c>
      <c r="L6" s="3" t="s">
        <v>2</v>
      </c>
      <c r="M6" t="s">
        <v>87</v>
      </c>
    </row>
    <row r="7" spans="1:16" x14ac:dyDescent="0.3">
      <c r="A7" s="85">
        <v>46008</v>
      </c>
      <c r="B7" s="82" t="s">
        <v>183</v>
      </c>
      <c r="C7" s="82" t="s">
        <v>95</v>
      </c>
      <c r="D7" s="11"/>
      <c r="E7" s="11"/>
      <c r="F7" s="11"/>
      <c r="G7" s="11">
        <f>D7*E7</f>
        <v>0</v>
      </c>
      <c r="H7" s="11"/>
      <c r="I7" s="11">
        <v>326400</v>
      </c>
    </row>
    <row r="8" spans="1:16" x14ac:dyDescent="0.3">
      <c r="A8" s="85">
        <v>46008</v>
      </c>
      <c r="B8" s="82" t="s">
        <v>201</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203</v>
      </c>
      <c r="C9" s="82" t="s">
        <v>95</v>
      </c>
      <c r="D9" s="11"/>
      <c r="E9" s="11"/>
      <c r="F9" s="11"/>
      <c r="G9" s="11">
        <f t="shared" si="1"/>
        <v>0</v>
      </c>
      <c r="H9" s="11"/>
      <c r="I9" s="11">
        <v>106960</v>
      </c>
      <c r="K9" s="11"/>
      <c r="L9" s="26">
        <v>46008</v>
      </c>
      <c r="M9" s="14"/>
      <c r="N9" s="14">
        <v>0</v>
      </c>
      <c r="O9" s="14">
        <v>0</v>
      </c>
      <c r="P9" s="14">
        <v>3321428</v>
      </c>
    </row>
    <row r="10" spans="1:16" x14ac:dyDescent="0.3">
      <c r="A10" s="1">
        <v>46009</v>
      </c>
      <c r="B10" t="s">
        <v>94</v>
      </c>
      <c r="C10" t="s">
        <v>192</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c r="D11" s="11"/>
      <c r="E11" s="11"/>
      <c r="F11" s="11"/>
      <c r="G11" s="11">
        <f t="shared" si="1"/>
        <v>0</v>
      </c>
      <c r="H11" s="11"/>
      <c r="I11" s="11">
        <f>(D11*E11)-Table3[[#This Row],[Paid]]</f>
        <v>0</v>
      </c>
      <c r="K11" s="11"/>
      <c r="L11" s="26">
        <v>46009</v>
      </c>
      <c r="M11" s="14">
        <v>250</v>
      </c>
      <c r="N11" s="14">
        <v>202500</v>
      </c>
      <c r="O11" s="14">
        <v>53250</v>
      </c>
      <c r="P11" s="14">
        <v>149250</v>
      </c>
    </row>
    <row r="12" spans="1:16" x14ac:dyDescent="0.3">
      <c r="A12" s="1"/>
      <c r="D12" s="11"/>
      <c r="E12" s="11"/>
      <c r="F12" s="11"/>
      <c r="G12" s="11">
        <f t="shared" si="1"/>
        <v>0</v>
      </c>
      <c r="H12" s="11"/>
      <c r="I12" s="11">
        <f>(D12*E12)-Table3[[#This Row],[Paid]]</f>
        <v>0</v>
      </c>
      <c r="K12" s="11"/>
      <c r="L12" s="42" t="s">
        <v>192</v>
      </c>
      <c r="M12" s="14">
        <v>250</v>
      </c>
      <c r="N12" s="14">
        <v>202500</v>
      </c>
      <c r="O12" s="14">
        <v>53250</v>
      </c>
      <c r="P12" s="14">
        <v>149250</v>
      </c>
    </row>
    <row r="13" spans="1:16" x14ac:dyDescent="0.3">
      <c r="A13" s="1"/>
      <c r="D13" s="14"/>
      <c r="E13" s="14"/>
      <c r="F13" s="14"/>
      <c r="G13" s="14">
        <f>SUBTOTAL(109,Table3[Total])</f>
        <v>202500</v>
      </c>
      <c r="H13" s="14">
        <f>SUBTOTAL(109,Table3[Paid])</f>
        <v>53250</v>
      </c>
      <c r="I13" s="14">
        <f>SUBTOTAL(109,Table3[balance])</f>
        <v>3470678</v>
      </c>
      <c r="K13" s="11"/>
      <c r="L13" s="26" t="s">
        <v>103</v>
      </c>
      <c r="M13" s="14"/>
      <c r="N13" s="14">
        <v>0</v>
      </c>
      <c r="O13" s="14"/>
      <c r="P13" s="14">
        <v>0</v>
      </c>
    </row>
    <row r="14" spans="1:16" x14ac:dyDescent="0.3">
      <c r="K14" s="11"/>
      <c r="L14" s="42" t="s">
        <v>103</v>
      </c>
      <c r="M14" s="14"/>
      <c r="N14" s="14">
        <v>0</v>
      </c>
      <c r="O14" s="14"/>
      <c r="P14" s="14">
        <v>0</v>
      </c>
    </row>
    <row r="15" spans="1:16" x14ac:dyDescent="0.3">
      <c r="K15" s="11"/>
      <c r="L15" s="26" t="s">
        <v>28</v>
      </c>
      <c r="M15" s="14">
        <v>250</v>
      </c>
      <c r="N15" s="14">
        <v>202500</v>
      </c>
      <c r="O15" s="14">
        <v>53250</v>
      </c>
      <c r="P15" s="14">
        <v>3470678</v>
      </c>
    </row>
    <row r="16" spans="1:16" x14ac:dyDescent="0.3">
      <c r="K16" s="11"/>
    </row>
    <row r="17" spans="11:11" x14ac:dyDescent="0.3">
      <c r="K17" s="11"/>
    </row>
    <row r="29" spans="11:11" x14ac:dyDescent="0.3">
      <c r="K29" s="14"/>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4" zoomScale="160" workbookViewId="0">
      <selection activeCell="B14" sqref="B1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217</v>
      </c>
      <c r="C2" s="11"/>
      <c r="D2" s="87">
        <f>[1]Cashbook!$N$5</f>
        <v>1892206</v>
      </c>
      <c r="E2" s="81"/>
      <c r="F2" s="88" t="s">
        <v>108</v>
      </c>
    </row>
    <row r="3" spans="1:16" x14ac:dyDescent="0.3">
      <c r="A3" s="86">
        <v>46008</v>
      </c>
      <c r="B3" s="81" t="s">
        <v>217</v>
      </c>
      <c r="C3" s="11"/>
      <c r="D3" s="87">
        <f>[1]Cashbook!$N$6</f>
        <v>-610916</v>
      </c>
      <c r="E3" s="81"/>
      <c r="F3" s="88" t="s">
        <v>109</v>
      </c>
      <c r="J3" s="47" t="s">
        <v>45</v>
      </c>
      <c r="K3" s="35" t="s">
        <v>46</v>
      </c>
      <c r="M3" s="47" t="s">
        <v>45</v>
      </c>
      <c r="N3" s="50" t="s">
        <v>104</v>
      </c>
      <c r="O3" s="89" t="s">
        <v>105</v>
      </c>
      <c r="P3" t="s">
        <v>106</v>
      </c>
    </row>
    <row r="4" spans="1:16" x14ac:dyDescent="0.3">
      <c r="A4" s="117">
        <v>46009</v>
      </c>
      <c r="B4" t="s">
        <v>178</v>
      </c>
      <c r="C4" s="11">
        <v>500</v>
      </c>
      <c r="D4" s="11"/>
      <c r="E4" t="s">
        <v>218</v>
      </c>
      <c r="F4" s="111" t="s">
        <v>108</v>
      </c>
      <c r="J4" s="45" t="s">
        <v>70</v>
      </c>
      <c r="K4" s="46">
        <f>Table14[[#Totals],[Debit]]</f>
        <v>1511389</v>
      </c>
      <c r="M4" s="45" t="s">
        <v>107</v>
      </c>
      <c r="N4" s="51">
        <f>SUMIFS(Table14[Withdrawal],Table14[Party],"Cash",Table14[Mode],"Transfer")</f>
        <v>0</v>
      </c>
    </row>
    <row r="5" spans="1:16" x14ac:dyDescent="0.3">
      <c r="A5" s="38">
        <v>46009</v>
      </c>
      <c r="B5" t="s">
        <v>178</v>
      </c>
      <c r="C5" s="96">
        <v>3600</v>
      </c>
      <c r="D5" s="96"/>
      <c r="E5" t="s">
        <v>219</v>
      </c>
      <c r="F5" s="111" t="s">
        <v>108</v>
      </c>
      <c r="J5" s="45" t="s">
        <v>69</v>
      </c>
      <c r="K5" s="46">
        <f>Table14[[#Totals],[Credit]]</f>
        <v>1531290</v>
      </c>
      <c r="M5" s="45" t="s">
        <v>108</v>
      </c>
      <c r="N5" s="46">
        <f>(SUMIFS(Table14[Credit],Table14[Mode],"Bank")-SUMIFS(Table14[Debit],Table14[Mode],"Bank")-SUMIFS(Table14[Withdrawal],Table14[Mode],"Transfer"))</f>
        <v>630817</v>
      </c>
      <c r="O5">
        <v>360000</v>
      </c>
    </row>
    <row r="6" spans="1:16" x14ac:dyDescent="0.3">
      <c r="A6" s="120">
        <v>46009</v>
      </c>
      <c r="B6" s="121" t="s">
        <v>220</v>
      </c>
      <c r="C6" s="96">
        <v>5000</v>
      </c>
      <c r="D6" s="96"/>
      <c r="E6" s="121" t="s">
        <v>221</v>
      </c>
      <c r="F6" s="122" t="s">
        <v>108</v>
      </c>
      <c r="G6" s="121"/>
      <c r="J6" s="52" t="s">
        <v>43</v>
      </c>
      <c r="K6" s="53">
        <f>(K5-K4)</f>
        <v>19901</v>
      </c>
      <c r="M6" s="45" t="s">
        <v>109</v>
      </c>
      <c r="N6" s="46">
        <f>((SUMIFS(Table14[Credit],Table14[Mode],"Cash")-SUMIFS(Table14[Debit],Table14[Mode],"Cash"))+SUMIFS(Table14[Withdrawal],Table14[Party],"Cash",Table14[Mode],"Transfer"))</f>
        <v>-610916</v>
      </c>
      <c r="O6">
        <v>50000</v>
      </c>
    </row>
    <row r="7" spans="1:16" x14ac:dyDescent="0.3">
      <c r="A7" s="120">
        <v>46009</v>
      </c>
      <c r="B7" s="121" t="s">
        <v>52</v>
      </c>
      <c r="C7" s="96"/>
      <c r="D7" s="96"/>
      <c r="E7" s="121" t="s">
        <v>222</v>
      </c>
      <c r="F7" s="122" t="s">
        <v>108</v>
      </c>
      <c r="G7" s="121"/>
      <c r="M7" s="48" t="s">
        <v>5</v>
      </c>
      <c r="N7" s="49">
        <f>SUM(N5:N6)</f>
        <v>19901</v>
      </c>
      <c r="O7" s="90">
        <f>SUM(O5,O6)</f>
        <v>410000</v>
      </c>
      <c r="P7" s="14">
        <f>Table18[[#Totals],[amount]]-Table18[[#Totals],[Actual]]</f>
        <v>-390099</v>
      </c>
    </row>
    <row r="8" spans="1:16" x14ac:dyDescent="0.3">
      <c r="A8" s="120">
        <v>46009</v>
      </c>
      <c r="B8" s="121" t="s">
        <v>223</v>
      </c>
      <c r="C8" s="96">
        <v>580</v>
      </c>
      <c r="D8" s="96"/>
      <c r="E8" s="121" t="s">
        <v>224</v>
      </c>
      <c r="F8" s="122" t="s">
        <v>108</v>
      </c>
      <c r="G8" s="121"/>
    </row>
    <row r="9" spans="1:16" x14ac:dyDescent="0.3">
      <c r="A9" s="120">
        <v>46009</v>
      </c>
      <c r="B9" s="121" t="s">
        <v>94</v>
      </c>
      <c r="C9" s="96">
        <v>53250</v>
      </c>
      <c r="D9" s="96"/>
      <c r="E9" s="121" t="s">
        <v>192</v>
      </c>
      <c r="F9" s="122" t="s">
        <v>108</v>
      </c>
      <c r="G9" s="121"/>
    </row>
    <row r="10" spans="1:16" x14ac:dyDescent="0.3">
      <c r="A10" s="120">
        <v>46009</v>
      </c>
      <c r="B10" s="121" t="s">
        <v>193</v>
      </c>
      <c r="C10" s="96">
        <v>1264709</v>
      </c>
      <c r="D10" s="96"/>
      <c r="E10" s="121" t="s">
        <v>225</v>
      </c>
      <c r="F10" s="122" t="s">
        <v>108</v>
      </c>
      <c r="G10" s="121"/>
    </row>
    <row r="11" spans="1:16" x14ac:dyDescent="0.3">
      <c r="A11" s="120">
        <v>46009</v>
      </c>
      <c r="B11" s="121" t="s">
        <v>193</v>
      </c>
      <c r="C11" s="96"/>
      <c r="D11" s="96">
        <v>66250</v>
      </c>
      <c r="E11" s="121"/>
      <c r="F11" s="122" t="s">
        <v>108</v>
      </c>
      <c r="G11" s="121"/>
    </row>
    <row r="12" spans="1:16" x14ac:dyDescent="0.3">
      <c r="A12" s="120">
        <v>46009</v>
      </c>
      <c r="B12" s="121" t="s">
        <v>199</v>
      </c>
      <c r="C12" s="96">
        <v>183750</v>
      </c>
      <c r="D12" s="96"/>
      <c r="E12" s="121" t="s">
        <v>64</v>
      </c>
      <c r="F12" s="122" t="s">
        <v>108</v>
      </c>
      <c r="G12" s="121"/>
    </row>
    <row r="13" spans="1:16" x14ac:dyDescent="0.3">
      <c r="A13" s="120">
        <v>46009</v>
      </c>
      <c r="B13" t="s">
        <v>193</v>
      </c>
      <c r="C13" s="11"/>
      <c r="D13" s="11">
        <v>183750</v>
      </c>
      <c r="E13" t="s">
        <v>199</v>
      </c>
      <c r="F13" s="111" t="s">
        <v>108</v>
      </c>
    </row>
    <row r="14" spans="1:16" x14ac:dyDescent="0.3">
      <c r="A14" s="120">
        <v>46009</v>
      </c>
      <c r="C14" s="11"/>
      <c r="D14" s="11"/>
      <c r="F14" s="111"/>
    </row>
    <row r="15" spans="1:16" x14ac:dyDescent="0.3">
      <c r="A15" s="120">
        <v>46009</v>
      </c>
      <c r="C15" s="11"/>
      <c r="D15" s="11"/>
      <c r="F15" s="111"/>
    </row>
    <row r="16" spans="1:16" x14ac:dyDescent="0.3">
      <c r="A16" s="120">
        <v>46009</v>
      </c>
      <c r="C16" s="11"/>
      <c r="D16" s="11"/>
      <c r="F16" s="111"/>
    </row>
    <row r="17" spans="1:6" x14ac:dyDescent="0.3">
      <c r="A17" s="120">
        <v>46009</v>
      </c>
      <c r="C17" s="11"/>
      <c r="D17" s="11"/>
      <c r="F17" s="111"/>
    </row>
    <row r="18" spans="1:6" x14ac:dyDescent="0.3">
      <c r="A18" s="120">
        <v>46009</v>
      </c>
      <c r="C18" s="11"/>
      <c r="D18" s="11"/>
      <c r="F18" s="111"/>
    </row>
    <row r="19" spans="1:6" x14ac:dyDescent="0.3">
      <c r="A19" s="38"/>
      <c r="C19" s="14">
        <f>SUBTOTAL(109,Table14[Debit])</f>
        <v>1511389</v>
      </c>
      <c r="D19" s="14">
        <f>SUBTOTAL(109,Table14[Credit])</f>
        <v>1531290</v>
      </c>
      <c r="F19" s="54">
        <f>(Table14[[#Totals],[Credit]]-Table14[[#Totals],[Debit]])</f>
        <v>19901</v>
      </c>
    </row>
    <row r="163" spans="10:12" x14ac:dyDescent="0.3">
      <c r="J163" s="3" t="s">
        <v>6</v>
      </c>
      <c r="K163" t="s">
        <v>118</v>
      </c>
      <c r="L163" t="s">
        <v>119</v>
      </c>
    </row>
    <row r="164" spans="10:12" x14ac:dyDescent="0.3">
      <c r="J164" s="4" t="s">
        <v>94</v>
      </c>
      <c r="K164" s="14"/>
      <c r="L164" s="14">
        <v>53250</v>
      </c>
    </row>
    <row r="165" spans="10:12" x14ac:dyDescent="0.3">
      <c r="J165" s="4" t="s">
        <v>52</v>
      </c>
      <c r="K165" s="14"/>
      <c r="L165" s="14"/>
    </row>
    <row r="166" spans="10:12" x14ac:dyDescent="0.3">
      <c r="J166" s="4" t="s">
        <v>178</v>
      </c>
      <c r="K166" s="14"/>
      <c r="L166" s="14">
        <v>4100</v>
      </c>
    </row>
    <row r="167" spans="10:12" x14ac:dyDescent="0.3">
      <c r="J167" s="4" t="s">
        <v>223</v>
      </c>
      <c r="K167" s="14"/>
      <c r="L167" s="14">
        <v>580</v>
      </c>
    </row>
    <row r="168" spans="10:12" x14ac:dyDescent="0.3">
      <c r="J168" s="4" t="s">
        <v>103</v>
      </c>
      <c r="K168" s="14"/>
      <c r="L168" s="14"/>
    </row>
    <row r="169" spans="10:12" x14ac:dyDescent="0.3">
      <c r="J169" s="4" t="s">
        <v>193</v>
      </c>
      <c r="K169" s="14">
        <v>250000</v>
      </c>
      <c r="L169" s="14">
        <v>1264709</v>
      </c>
    </row>
    <row r="170" spans="10:12" x14ac:dyDescent="0.3">
      <c r="J170" s="4" t="s">
        <v>199</v>
      </c>
      <c r="K170" s="14"/>
      <c r="L170" s="14">
        <v>183750</v>
      </c>
    </row>
    <row r="171" spans="10:12" x14ac:dyDescent="0.3">
      <c r="J171" s="4" t="s">
        <v>220</v>
      </c>
      <c r="K171" s="14"/>
      <c r="L171" s="14">
        <v>5000</v>
      </c>
    </row>
    <row r="172" spans="10:12" x14ac:dyDescent="0.3">
      <c r="J172" s="4" t="s">
        <v>217</v>
      </c>
      <c r="K172" s="14">
        <v>1281290</v>
      </c>
      <c r="L172" s="14"/>
    </row>
    <row r="173" spans="10:12" x14ac:dyDescent="0.3">
      <c r="J173" s="4" t="s">
        <v>28</v>
      </c>
      <c r="K173" s="14">
        <v>1531290</v>
      </c>
      <c r="L173" s="14">
        <v>1511389</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28" zoomScale="107" zoomScaleNormal="210" workbookViewId="0">
      <selection activeCell="N41" sqref="N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188</v>
      </c>
      <c r="K2" t="s">
        <v>75</v>
      </c>
      <c r="L2" t="s">
        <v>45</v>
      </c>
      <c r="M2" t="s">
        <v>36</v>
      </c>
      <c r="N2" t="s">
        <v>5</v>
      </c>
    </row>
    <row r="3" spans="1:14" x14ac:dyDescent="0.3">
      <c r="A3" s="95">
        <v>46008</v>
      </c>
      <c r="B3" s="82" t="s">
        <v>64</v>
      </c>
      <c r="C3" s="81"/>
      <c r="D3" s="81"/>
      <c r="E3" s="81"/>
      <c r="F3" s="81" t="s">
        <v>177</v>
      </c>
      <c r="G3" s="82">
        <f>SUMIFS(Table14[Debit], Table14[Date], Table8[[#This Row],[Date]], Table14[Party], Table8[[#This Row],[Party]])</f>
        <v>0</v>
      </c>
      <c r="H3" s="82">
        <v>0</v>
      </c>
      <c r="I3" s="82" t="s">
        <v>188</v>
      </c>
      <c r="K3" s="1"/>
      <c r="L3" t="s">
        <v>124</v>
      </c>
      <c r="N3" s="11">
        <f t="shared" ref="N3" si="0">47000+28750</f>
        <v>75750</v>
      </c>
    </row>
    <row r="4" spans="1:14" x14ac:dyDescent="0.3">
      <c r="A4" s="85">
        <v>46008</v>
      </c>
      <c r="B4" s="82" t="s">
        <v>64</v>
      </c>
      <c r="F4" s="81" t="s">
        <v>184</v>
      </c>
      <c r="G4" s="82">
        <f>SUMIFS(Table14[Debit], Table14[Date], Table8[[#This Row],[Date]], Table14[Party], Table8[[#This Row],[Party]])</f>
        <v>0</v>
      </c>
      <c r="H4" s="82">
        <v>0</v>
      </c>
      <c r="I4" s="82" t="s">
        <v>188</v>
      </c>
      <c r="K4" s="1"/>
      <c r="N4" s="11"/>
    </row>
    <row r="5" spans="1:14" x14ac:dyDescent="0.3">
      <c r="A5" s="95">
        <v>46008</v>
      </c>
      <c r="B5" s="82" t="s">
        <v>64</v>
      </c>
      <c r="F5" t="s">
        <v>198</v>
      </c>
      <c r="G5" s="82">
        <f>SUMIFS(Table14[Debit], Table14[Date], Table8[[#This Row],[Date]], Table14[Party], Table8[[#This Row],[Party]])</f>
        <v>0</v>
      </c>
      <c r="H5" s="82">
        <v>0</v>
      </c>
      <c r="I5" s="82" t="s">
        <v>188</v>
      </c>
      <c r="K5" s="1"/>
      <c r="N5" s="14">
        <f>SUM(Table7[Total])</f>
        <v>75750</v>
      </c>
    </row>
    <row r="6" spans="1:14" x14ac:dyDescent="0.3">
      <c r="A6" s="1">
        <v>46009</v>
      </c>
      <c r="B6" t="s">
        <v>64</v>
      </c>
      <c r="E6">
        <v>183750</v>
      </c>
      <c r="F6" t="s">
        <v>177</v>
      </c>
      <c r="G6">
        <f>SUMIFS(Table14[Debit], Table14[Date], Table8[[#This Row],[Date]], Table14[Party], Table8[[#This Row],[Party]])</f>
        <v>183750</v>
      </c>
      <c r="H6">
        <f>Table8[[#This Row],[Price]]-Table8[[#This Row],[Paid]]</f>
        <v>0</v>
      </c>
    </row>
    <row r="7" spans="1:14" x14ac:dyDescent="0.3">
      <c r="G7">
        <f>SUMIFS(Table14[Debit], Table14[Date], Table8[[#This Row],[Date]], Table14[Party], Table8[[#This Row],[Party]])</f>
        <v>0</v>
      </c>
      <c r="H7">
        <f>Table8[[#This Row],[Price]]-Table8[[#This Row],[Paid]]</f>
        <v>0</v>
      </c>
      <c r="K7" s="3" t="s">
        <v>110</v>
      </c>
      <c r="L7" t="s">
        <v>87</v>
      </c>
    </row>
    <row r="8" spans="1:14" x14ac:dyDescent="0.3">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E10">
        <f>SUBTOTAL(109,Table8[Price])</f>
        <v>183750</v>
      </c>
      <c r="H10">
        <f>SUBTOTAL(109,Table8[Balance])</f>
        <v>0</v>
      </c>
      <c r="K10" s="26">
        <v>46008</v>
      </c>
      <c r="L10" s="128"/>
      <c r="M10" s="128">
        <v>0</v>
      </c>
    </row>
    <row r="11" spans="1:14" x14ac:dyDescent="0.3">
      <c r="K11" s="26">
        <v>46009</v>
      </c>
      <c r="L11" s="128">
        <v>183750</v>
      </c>
      <c r="M11" s="128">
        <v>0</v>
      </c>
    </row>
    <row r="12" spans="1:14" x14ac:dyDescent="0.3">
      <c r="K12" s="4" t="s">
        <v>103</v>
      </c>
      <c r="L12" s="128"/>
      <c r="M12" s="128">
        <v>0</v>
      </c>
    </row>
    <row r="13" spans="1:14" x14ac:dyDescent="0.3">
      <c r="K13" s="4" t="s">
        <v>28</v>
      </c>
      <c r="L13" s="128">
        <v>183750</v>
      </c>
      <c r="M13" s="128">
        <v>0</v>
      </c>
    </row>
    <row r="14" spans="1:14" x14ac:dyDescent="0.3">
      <c r="A14" t="s">
        <v>57</v>
      </c>
      <c r="B14" t="s">
        <v>156</v>
      </c>
      <c r="C14" t="s">
        <v>157</v>
      </c>
      <c r="D14" t="s">
        <v>4</v>
      </c>
      <c r="E14" t="s">
        <v>158</v>
      </c>
    </row>
    <row r="15" spans="1:14" x14ac:dyDescent="0.3">
      <c r="A15" t="s">
        <v>131</v>
      </c>
      <c r="B15">
        <v>1</v>
      </c>
      <c r="C15">
        <v>25</v>
      </c>
      <c r="D15">
        <v>1400</v>
      </c>
      <c r="E15">
        <f>Table2325[[#This Row],[boxes]]*Table2325[[#This Row],[kgs]]*Table2325[[#This Row],[Rate]]</f>
        <v>35000</v>
      </c>
    </row>
    <row r="16" spans="1:14" x14ac:dyDescent="0.3">
      <c r="A16" t="s">
        <v>129</v>
      </c>
      <c r="B16">
        <v>1</v>
      </c>
      <c r="C16">
        <v>3</v>
      </c>
      <c r="D16">
        <v>1340</v>
      </c>
      <c r="E16">
        <f>Table2325[[#This Row],[boxes]]*Table2325[[#This Row],[kgs]]*Table2325[[#This Row],[Rate]]</f>
        <v>4020</v>
      </c>
    </row>
    <row r="17" spans="1:12" x14ac:dyDescent="0.3">
      <c r="A17" t="s">
        <v>147</v>
      </c>
      <c r="B17">
        <v>1</v>
      </c>
      <c r="D17">
        <v>1120</v>
      </c>
      <c r="E17">
        <f>Table2325[[#This Row],[boxes]]*Table2325[[#This Row],[kgs]]*Table2325[[#This Row],[Rate]]</f>
        <v>0</v>
      </c>
    </row>
    <row r="18" spans="1:12" x14ac:dyDescent="0.3">
      <c r="A18" t="s">
        <v>126</v>
      </c>
      <c r="B18">
        <v>1</v>
      </c>
      <c r="C18">
        <v>25</v>
      </c>
      <c r="D18">
        <v>1120</v>
      </c>
      <c r="E18">
        <f>Table2325[[#This Row],[boxes]]*Table2325[[#This Row],[kgs]]*Table2325[[#This Row],[Rate]]</f>
        <v>28000</v>
      </c>
    </row>
    <row r="19" spans="1:12" x14ac:dyDescent="0.3">
      <c r="A19" t="s">
        <v>125</v>
      </c>
      <c r="B19">
        <v>1</v>
      </c>
      <c r="C19">
        <v>25</v>
      </c>
      <c r="D19">
        <v>1120</v>
      </c>
      <c r="E19">
        <f>Table2325[[#This Row],[boxes]]*Table2325[[#This Row],[kgs]]*Table2325[[#This Row],[Rate]]</f>
        <v>28000</v>
      </c>
    </row>
    <row r="20" spans="1:12" x14ac:dyDescent="0.3">
      <c r="A20" t="s">
        <v>146</v>
      </c>
      <c r="B20">
        <v>1</v>
      </c>
      <c r="D20">
        <v>1300</v>
      </c>
      <c r="E20">
        <f>Table2325[[#This Row],[boxes]]*Table2325[[#This Row],[kgs]]*Table2325[[#This Row],[Rate]]</f>
        <v>0</v>
      </c>
    </row>
    <row r="21" spans="1:12" x14ac:dyDescent="0.3">
      <c r="A21" t="s">
        <v>132</v>
      </c>
      <c r="B21">
        <v>1</v>
      </c>
      <c r="C21">
        <v>25</v>
      </c>
      <c r="D21">
        <v>1450</v>
      </c>
      <c r="E21">
        <f>Table2325[[#This Row],[boxes]]*Table2325[[#This Row],[kgs]]*Table2325[[#This Row],[Rate]]</f>
        <v>36250</v>
      </c>
    </row>
    <row r="22" spans="1:12" x14ac:dyDescent="0.3">
      <c r="A22" t="s">
        <v>159</v>
      </c>
      <c r="B22">
        <v>1</v>
      </c>
      <c r="C22">
        <v>25</v>
      </c>
      <c r="D22">
        <v>940</v>
      </c>
      <c r="E22">
        <f>Table2325[[#This Row],[boxes]]*Table2325[[#This Row],[kgs]]*Table2325[[#This Row],[Rate]]</f>
        <v>23500</v>
      </c>
    </row>
    <row r="23" spans="1:12" x14ac:dyDescent="0.3">
      <c r="A23" t="s">
        <v>125</v>
      </c>
      <c r="D23">
        <v>1130</v>
      </c>
      <c r="E23">
        <f>Table2325[[#This Row],[boxes]]*Table2325[[#This Row],[kgs]]*Table2325[[#This Row],[Rate]]</f>
        <v>0</v>
      </c>
    </row>
    <row r="24" spans="1:12" x14ac:dyDescent="0.3">
      <c r="A24" t="s">
        <v>146</v>
      </c>
      <c r="B24">
        <v>1</v>
      </c>
      <c r="C24">
        <v>12</v>
      </c>
      <c r="D24">
        <v>1300</v>
      </c>
      <c r="E24">
        <f>Table2325[[#This Row],[boxes]]*Table2325[[#This Row],[kgs]]*Table2325[[#This Row],[Rate]]</f>
        <v>15600</v>
      </c>
    </row>
    <row r="25" spans="1:12" x14ac:dyDescent="0.3">
      <c r="A25" t="s">
        <v>133</v>
      </c>
      <c r="B25">
        <v>1</v>
      </c>
      <c r="C25">
        <v>8</v>
      </c>
      <c r="D25">
        <v>1650</v>
      </c>
      <c r="E25">
        <f>Table2325[[#This Row],[boxes]]*Table2325[[#This Row],[kgs]]*Table2325[[#This Row],[Rate]]</f>
        <v>13200</v>
      </c>
    </row>
    <row r="26" spans="1:12" x14ac:dyDescent="0.3">
      <c r="A26" t="s">
        <v>129</v>
      </c>
      <c r="D26">
        <v>1340</v>
      </c>
      <c r="E26">
        <f>Table2325[[#This Row],[boxes]]*Table2325[[#This Row],[kgs]]*Table2325[[#This Row],[Rate]]</f>
        <v>0</v>
      </c>
    </row>
    <row r="27" spans="1:12" x14ac:dyDescent="0.3">
      <c r="A27" t="s">
        <v>132</v>
      </c>
      <c r="B27">
        <v>1</v>
      </c>
      <c r="C27">
        <v>12</v>
      </c>
      <c r="D27">
        <v>1450</v>
      </c>
      <c r="E27">
        <f>Table2325[[#This Row],[boxes]]*Table2325[[#This Row],[kgs]]*Table2325[[#This Row],[Rate]]</f>
        <v>17400</v>
      </c>
    </row>
    <row r="28" spans="1:12" x14ac:dyDescent="0.3">
      <c r="A28" t="s">
        <v>131</v>
      </c>
      <c r="B28">
        <v>1</v>
      </c>
      <c r="C28">
        <v>4</v>
      </c>
      <c r="D28">
        <v>1400</v>
      </c>
      <c r="E28">
        <f>Table2325[[#This Row],[boxes]]*Table2325[[#This Row],[kgs]]*Table2325[[#This Row],[Rate]]</f>
        <v>5600</v>
      </c>
    </row>
    <row r="29" spans="1:12" x14ac:dyDescent="0.3">
      <c r="A29" t="s">
        <v>160</v>
      </c>
      <c r="D29">
        <v>1000</v>
      </c>
      <c r="E29">
        <f>Table2325[[#This Row],[boxes]]*Table2325[[#This Row],[kgs]]*Table2325[[#This Row],[Rate]]</f>
        <v>0</v>
      </c>
    </row>
    <row r="30" spans="1:12" x14ac:dyDescent="0.3">
      <c r="A30" t="s">
        <v>130</v>
      </c>
      <c r="B30">
        <v>1</v>
      </c>
      <c r="C30">
        <v>12</v>
      </c>
      <c r="D30">
        <v>1650</v>
      </c>
      <c r="E30">
        <f>Table2325[[#This Row],[boxes]]*Table2325[[#This Row],[kgs]]*Table2325[[#This Row],[Rate]]</f>
        <v>19800</v>
      </c>
    </row>
    <row r="31" spans="1:12" x14ac:dyDescent="0.3">
      <c r="A31" t="s">
        <v>114</v>
      </c>
      <c r="D31">
        <v>1130</v>
      </c>
      <c r="E31">
        <f>Table2325[[#This Row],[boxes]]*Table2325[[#This Row],[kgs]]*Table2325[[#This Row],[Rate]]</f>
        <v>0</v>
      </c>
    </row>
    <row r="32" spans="1:12"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189</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1" sqref="D2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217</v>
      </c>
      <c r="D5" s="82"/>
      <c r="E5" s="82"/>
      <c r="F5" s="82">
        <f>Table2[[#This Row],[Quantity]]*200*Table2[[#This Row],[Boxes]]</f>
        <v>0</v>
      </c>
      <c r="G5" s="82">
        <f>SUMIFS(Table14[Debit], Table14[Date], Table2[[#This Row],[Date]], Table14[Party], Table2[[#This Row],[Party Name]],Table14[Description],Table2[[#This Row],[Item]])</f>
        <v>0</v>
      </c>
      <c r="H5" s="82">
        <v>0</v>
      </c>
      <c r="J5" s="4" t="s">
        <v>103</v>
      </c>
      <c r="K5" s="128">
        <v>0</v>
      </c>
      <c r="L5" s="128">
        <v>0</v>
      </c>
      <c r="M5" s="128">
        <v>0</v>
      </c>
    </row>
    <row r="6" spans="1:13" x14ac:dyDescent="0.3">
      <c r="A6" s="85">
        <v>46008</v>
      </c>
      <c r="B6" s="85" t="s">
        <v>116</v>
      </c>
      <c r="C6" s="82" t="s">
        <v>217</v>
      </c>
      <c r="D6" s="82"/>
      <c r="E6" s="82"/>
      <c r="F6" s="82">
        <f>Table2[[#This Row],[Quantity]]*200*Table2[[#This Row],[Boxes]]</f>
        <v>0</v>
      </c>
      <c r="G6" s="82">
        <f>SUMIFS(Table14[Debit], Table14[Date], Table2[[#This Row],[Date]], Table14[Party], Table2[[#This Row],[Party Name]],Table14[Description],Table2[[#This Row],[Item]])</f>
        <v>0</v>
      </c>
      <c r="H6" s="82">
        <v>268000</v>
      </c>
      <c r="J6" s="4" t="s">
        <v>116</v>
      </c>
      <c r="K6" s="128">
        <v>0</v>
      </c>
      <c r="L6" s="128">
        <v>0</v>
      </c>
      <c r="M6" s="128">
        <v>268000</v>
      </c>
    </row>
    <row r="7" spans="1:13" x14ac:dyDescent="0.3">
      <c r="A7" s="85">
        <v>46008</v>
      </c>
      <c r="B7" s="85" t="s">
        <v>165</v>
      </c>
      <c r="C7" s="82" t="s">
        <v>217</v>
      </c>
      <c r="F7" s="82">
        <f>Table2[[#This Row],[Quantity]]*200*Table2[[#This Row],[Boxes]]</f>
        <v>0</v>
      </c>
      <c r="G7" s="82">
        <f>SUMIFS(Table14[Debit], Table14[Date], Table2[[#This Row],[Date]], Table14[Party], Table2[[#This Row],[Party Name]],Table14[Description],Table2[[#This Row],[Item]])</f>
        <v>0</v>
      </c>
      <c r="H7" s="81">
        <v>0</v>
      </c>
      <c r="J7" s="4" t="s">
        <v>117</v>
      </c>
      <c r="K7" s="128">
        <v>0</v>
      </c>
      <c r="L7" s="128">
        <v>0</v>
      </c>
      <c r="M7" s="128">
        <v>0</v>
      </c>
    </row>
    <row r="8" spans="1:13" x14ac:dyDescent="0.3">
      <c r="A8" s="85">
        <v>46008</v>
      </c>
      <c r="B8" s="95" t="s">
        <v>195</v>
      </c>
      <c r="C8" s="82" t="s">
        <v>217</v>
      </c>
      <c r="F8" s="82">
        <f>Table2[[#This Row],[Quantity]]*200*Table2[[#This Row],[Boxes]]</f>
        <v>0</v>
      </c>
      <c r="G8" s="82">
        <f>SUMIFS(Table14[Debit], Table14[Date], Table2[[#This Row],[Date]], Table14[Party], Table2[[#This Row],[Party Name]],Table14[Description],Table2[[#This Row],[Item]])</f>
        <v>0</v>
      </c>
      <c r="H8" s="81">
        <v>224000</v>
      </c>
      <c r="J8" s="4" t="s">
        <v>165</v>
      </c>
      <c r="K8" s="128">
        <v>0</v>
      </c>
      <c r="L8" s="128">
        <v>0</v>
      </c>
      <c r="M8" s="128">
        <v>0</v>
      </c>
    </row>
    <row r="9" spans="1:13" x14ac:dyDescent="0.3">
      <c r="A9" s="118">
        <v>46008</v>
      </c>
      <c r="B9" s="118" t="s">
        <v>199</v>
      </c>
      <c r="C9" s="88" t="s">
        <v>217</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195</v>
      </c>
      <c r="K9" s="128">
        <v>0</v>
      </c>
      <c r="L9" s="128">
        <v>0</v>
      </c>
      <c r="M9" s="128">
        <v>224000</v>
      </c>
    </row>
    <row r="10" spans="1:13" x14ac:dyDescent="0.3">
      <c r="A10" s="1"/>
      <c r="B10" s="1"/>
      <c r="F10">
        <f>Table2[[#This Row],[Quantity]]*200*Table2[[#This Row],[Boxes]]</f>
        <v>0</v>
      </c>
      <c r="G10">
        <f>SUMIFS(Table14[Debit], Table14[Date], Table2[[#This Row],[Date]], Table14[Party], Table2[[#This Row],[Party Name]],Table14[Description],Table2[[#This Row],[Item]])</f>
        <v>0</v>
      </c>
      <c r="H10">
        <f>Table2[[#This Row],[Price]]-Table2[[#This Row],[Paid]]</f>
        <v>0</v>
      </c>
      <c r="J10" s="4" t="s">
        <v>199</v>
      </c>
      <c r="K10" s="128">
        <v>0</v>
      </c>
      <c r="L10" s="128">
        <v>0</v>
      </c>
      <c r="M10" s="128">
        <v>0</v>
      </c>
    </row>
    <row r="11" spans="1:13" x14ac:dyDescent="0.3">
      <c r="A11" s="1"/>
      <c r="B11" s="1"/>
      <c r="F11">
        <f>Table2[[#This Row],[Quantity]]*200*Table2[[#This Row],[Boxes]]</f>
        <v>0</v>
      </c>
      <c r="G11">
        <f>SUMIFS(Table14[Debit], Table14[Date], Table2[[#This Row],[Date]], Table14[Party], Table2[[#This Row],[Party Name]],Table14[Description],Table2[[#This Row],[Item]])</f>
        <v>0</v>
      </c>
      <c r="H11">
        <f>Table2[[#This Row],[Price]]-Table2[[#This Row],[Paid]]</f>
        <v>0</v>
      </c>
      <c r="J11" s="4" t="s">
        <v>28</v>
      </c>
      <c r="K11" s="128">
        <v>0</v>
      </c>
      <c r="L11" s="128">
        <v>0</v>
      </c>
      <c r="M11" s="128">
        <v>492000</v>
      </c>
    </row>
    <row r="12" spans="1:13"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0</v>
      </c>
      <c r="H14">
        <f>SUBTOTAL(109,Table2[Balance])</f>
        <v>492000</v>
      </c>
    </row>
    <row r="24" spans="9:11" x14ac:dyDescent="0.3">
      <c r="I24" t="s">
        <v>57</v>
      </c>
      <c r="J24" t="s">
        <v>174</v>
      </c>
      <c r="K24" t="s">
        <v>208</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175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143635</v>
      </c>
      <c r="C2" s="32">
        <f>GETPIVOTDATA("Sum of Tiyaar/gaz",$A$3)</f>
        <v>91037</v>
      </c>
      <c r="D2" s="31">
        <f>((B2*48)+((C2/1.0936)*10))/C2</f>
        <v>84.876835249643548</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1934</v>
      </c>
      <c r="B5" s="14">
        <v>38741</v>
      </c>
      <c r="C5" s="14">
        <v>12375</v>
      </c>
      <c r="D5" s="28">
        <f t="shared" ref="D5:D38" si="1">I5</f>
        <v>159.4122324045133</v>
      </c>
      <c r="E5" s="11">
        <f t="shared" ref="E5:E38" si="2">B5 * 1.0936</f>
        <v>42367.157599999999</v>
      </c>
      <c r="F5" s="11">
        <f t="shared" si="0"/>
        <v>12375</v>
      </c>
      <c r="G5" s="78">
        <f>100- (F5/E5 *100)</f>
        <v>70.791054436939618</v>
      </c>
      <c r="H5" s="28">
        <f t="shared" ref="H5:H38" si="3">F5/1.0936</f>
        <v>11315.837600585224</v>
      </c>
      <c r="I5" s="28">
        <f>((B5*48)+(H5*10))/C5</f>
        <v>159.4122324045133</v>
      </c>
      <c r="J5" s="28"/>
      <c r="K5" s="28"/>
      <c r="L5" s="28"/>
    </row>
    <row r="6" spans="1:12" x14ac:dyDescent="0.3">
      <c r="A6" s="16">
        <v>1971</v>
      </c>
      <c r="B6" s="14">
        <v>50697</v>
      </c>
      <c r="C6" s="14">
        <v>49746</v>
      </c>
      <c r="D6" s="28">
        <f t="shared" si="1"/>
        <v>58.061732709700024</v>
      </c>
      <c r="E6" s="11">
        <f t="shared" si="2"/>
        <v>55442.239199999996</v>
      </c>
      <c r="F6" s="11">
        <f t="shared" si="0"/>
        <v>49746</v>
      </c>
      <c r="G6" s="78">
        <f t="shared" ref="G6:G18" si="4">100- (F6/E6 *100)</f>
        <v>10.274186761201378</v>
      </c>
      <c r="H6" s="28">
        <f t="shared" si="3"/>
        <v>45488.295537673745</v>
      </c>
      <c r="I6" s="28">
        <f>((B6*48)+(H6*10))/C6</f>
        <v>58.061732709700024</v>
      </c>
      <c r="J6" s="28"/>
      <c r="K6" s="28"/>
      <c r="L6" s="28"/>
    </row>
    <row r="7" spans="1:12" x14ac:dyDescent="0.3">
      <c r="A7" s="16">
        <v>1951</v>
      </c>
      <c r="B7" s="14">
        <v>54197</v>
      </c>
      <c r="C7" s="14">
        <v>28916</v>
      </c>
      <c r="D7" s="28">
        <f t="shared" si="1"/>
        <v>99.110081589404146</v>
      </c>
      <c r="E7" s="11">
        <f t="shared" si="2"/>
        <v>59269.839199999995</v>
      </c>
      <c r="F7" s="11">
        <f t="shared" si="0"/>
        <v>28916</v>
      </c>
      <c r="G7" s="78">
        <f t="shared" si="4"/>
        <v>51.212960267319232</v>
      </c>
      <c r="H7" s="28">
        <f t="shared" si="3"/>
        <v>26441.111923920998</v>
      </c>
      <c r="I7" s="28">
        <f>((B7*48)+(H7*10))/C7</f>
        <v>99.110081589404146</v>
      </c>
      <c r="J7" s="28"/>
      <c r="K7" s="28"/>
      <c r="L7" s="28"/>
    </row>
    <row r="8" spans="1:12" x14ac:dyDescent="0.3">
      <c r="A8" s="16" t="s">
        <v>28</v>
      </c>
      <c r="B8" s="30">
        <v>54197</v>
      </c>
      <c r="C8" s="30">
        <v>91037</v>
      </c>
      <c r="D8" s="28">
        <f t="shared" si="1"/>
        <v>37.719921027953468</v>
      </c>
      <c r="E8" s="11">
        <f t="shared" si="2"/>
        <v>59269.839199999995</v>
      </c>
      <c r="F8" s="11">
        <f t="shared" si="0"/>
        <v>91037</v>
      </c>
      <c r="G8" s="78">
        <f t="shared" si="4"/>
        <v>-53.597514737310121</v>
      </c>
      <c r="H8" s="28">
        <f t="shared" si="3"/>
        <v>83245.245062179965</v>
      </c>
      <c r="I8" s="28">
        <f t="shared" ref="I8:I38" si="5">((B8*48)+(H8*10))/C8</f>
        <v>37.719921027953468</v>
      </c>
      <c r="J8" s="28"/>
      <c r="K8" s="28"/>
      <c r="L8" s="28"/>
    </row>
    <row r="9" spans="1:12" x14ac:dyDescent="0.3">
      <c r="D9" s="28" t="e">
        <f t="shared" si="1"/>
        <v>#DIV/0!</v>
      </c>
      <c r="E9" s="11">
        <f t="shared" si="2"/>
        <v>0</v>
      </c>
      <c r="F9" s="11">
        <f t="shared" si="0"/>
        <v>0</v>
      </c>
      <c r="G9" s="78" t="e">
        <f t="shared" si="4"/>
        <v>#DIV/0!</v>
      </c>
      <c r="H9" s="28">
        <f t="shared" si="3"/>
        <v>0</v>
      </c>
      <c r="I9" s="28" t="e">
        <f t="shared" si="5"/>
        <v>#DIV/0!</v>
      </c>
      <c r="J9" s="28"/>
      <c r="K9" s="28"/>
      <c r="L9" s="28"/>
    </row>
    <row r="10" spans="1:12" x14ac:dyDescent="0.3">
      <c r="D10" s="28" t="e">
        <f t="shared" si="1"/>
        <v>#DIV/0!</v>
      </c>
      <c r="E10" s="11">
        <f t="shared" si="2"/>
        <v>0</v>
      </c>
      <c r="F10" s="11">
        <f t="shared" si="0"/>
        <v>0</v>
      </c>
      <c r="G10" s="78" t="e">
        <f t="shared" si="4"/>
        <v>#DIV/0!</v>
      </c>
      <c r="H10" s="28">
        <f t="shared" si="3"/>
        <v>0</v>
      </c>
      <c r="I10" s="28" t="e">
        <f t="shared" si="5"/>
        <v>#DIV/0!</v>
      </c>
      <c r="J10" s="28"/>
      <c r="K10" s="28"/>
      <c r="L10" s="28"/>
    </row>
    <row r="11" spans="1:12" x14ac:dyDescent="0.3">
      <c r="D11" s="28"/>
      <c r="E11" s="11">
        <f t="shared" si="2"/>
        <v>0</v>
      </c>
      <c r="F11" s="11">
        <f t="shared" si="0"/>
        <v>0</v>
      </c>
      <c r="G11" s="78" t="e">
        <f t="shared" si="4"/>
        <v>#DIV/0!</v>
      </c>
      <c r="H11" s="28">
        <f t="shared" si="3"/>
        <v>0</v>
      </c>
      <c r="I11" s="28" t="e">
        <f t="shared" si="5"/>
        <v>#DIV/0!</v>
      </c>
      <c r="J11" s="28"/>
      <c r="K11" s="28"/>
      <c r="L11" s="28"/>
    </row>
    <row r="12" spans="1:12" x14ac:dyDescent="0.3">
      <c r="D12" s="28" t="e">
        <f t="shared" si="1"/>
        <v>#DIV/0!</v>
      </c>
      <c r="E12" s="11">
        <f t="shared" si="2"/>
        <v>0</v>
      </c>
      <c r="F12" s="11">
        <f t="shared" si="0"/>
        <v>0</v>
      </c>
      <c r="G12" s="78" t="e">
        <f t="shared" si="4"/>
        <v>#DIV/0!</v>
      </c>
      <c r="H12" s="28">
        <f t="shared" si="3"/>
        <v>0</v>
      </c>
      <c r="I12" s="28" t="e">
        <f t="shared" si="5"/>
        <v>#DIV/0!</v>
      </c>
    </row>
    <row r="13" spans="1:12" x14ac:dyDescent="0.3">
      <c r="D13" s="28" t="e">
        <f t="shared" si="1"/>
        <v>#DIV/0!</v>
      </c>
      <c r="E13" s="11">
        <f t="shared" si="2"/>
        <v>0</v>
      </c>
      <c r="F13" s="11">
        <f t="shared" si="0"/>
        <v>0</v>
      </c>
      <c r="G13" s="78" t="e">
        <f t="shared" si="4"/>
        <v>#DIV/0!</v>
      </c>
      <c r="H13" s="28">
        <f t="shared" si="3"/>
        <v>0</v>
      </c>
      <c r="I13" s="28" t="e">
        <f t="shared" si="5"/>
        <v>#DIV/0!</v>
      </c>
    </row>
    <row r="14" spans="1:12" x14ac:dyDescent="0.3">
      <c r="D14" s="28" t="e">
        <f t="shared" si="1"/>
        <v>#DIV/0!</v>
      </c>
      <c r="E14" s="11">
        <f t="shared" si="2"/>
        <v>0</v>
      </c>
      <c r="F14" s="11">
        <f t="shared" si="0"/>
        <v>0</v>
      </c>
      <c r="G14" s="78" t="e">
        <f t="shared" si="4"/>
        <v>#DIV/0!</v>
      </c>
      <c r="H14" s="28">
        <f t="shared" si="3"/>
        <v>0</v>
      </c>
      <c r="I14" s="28" t="e">
        <f t="shared" si="5"/>
        <v>#DIV/0!</v>
      </c>
    </row>
    <row r="15" spans="1:12" x14ac:dyDescent="0.3">
      <c r="D15" s="28" t="e">
        <f t="shared" si="1"/>
        <v>#DIV/0!</v>
      </c>
      <c r="E15" s="11">
        <f>B15 * 1.0936</f>
        <v>0</v>
      </c>
      <c r="F15" s="11">
        <f t="shared" si="0"/>
        <v>0</v>
      </c>
      <c r="G15" s="78" t="e">
        <f t="shared" si="4"/>
        <v>#DIV/0!</v>
      </c>
      <c r="H15" s="28">
        <f t="shared" si="3"/>
        <v>0</v>
      </c>
      <c r="I15" s="28" t="e">
        <f>((B15*48)+(H15*10))/C15</f>
        <v>#DIV/0!</v>
      </c>
    </row>
    <row r="16" spans="1:12" x14ac:dyDescent="0.3">
      <c r="D16" s="28" t="e">
        <f t="shared" si="1"/>
        <v>#DIV/0!</v>
      </c>
      <c r="E16" s="11">
        <f t="shared" si="2"/>
        <v>0</v>
      </c>
      <c r="F16" s="11">
        <f t="shared" si="0"/>
        <v>0</v>
      </c>
      <c r="G16" s="78" t="e">
        <f t="shared" si="4"/>
        <v>#DIV/0!</v>
      </c>
      <c r="H16" s="28">
        <f t="shared" si="3"/>
        <v>0</v>
      </c>
      <c r="I16" s="28" t="e">
        <f>((B16*48)+(H16*10))/C16</f>
        <v>#DIV/0!</v>
      </c>
    </row>
    <row r="17" spans="4:9" x14ac:dyDescent="0.3">
      <c r="D17" s="28" t="e">
        <f t="shared" si="1"/>
        <v>#DIV/0!</v>
      </c>
      <c r="E17" s="11">
        <f t="shared" si="2"/>
        <v>0</v>
      </c>
      <c r="F17" s="11">
        <f t="shared" si="0"/>
        <v>0</v>
      </c>
      <c r="G17" s="78" t="e">
        <f t="shared" si="4"/>
        <v>#DIV/0!</v>
      </c>
      <c r="H17" s="28">
        <f t="shared" si="3"/>
        <v>0</v>
      </c>
      <c r="I17" s="28" t="e">
        <f>((B17*48)+(H17*10))/C17</f>
        <v>#DIV/0!</v>
      </c>
    </row>
    <row r="18" spans="4:9" x14ac:dyDescent="0.3">
      <c r="D18" s="28" t="e">
        <f t="shared" si="1"/>
        <v>#DIV/0!</v>
      </c>
      <c r="E18" s="11">
        <f t="shared" si="2"/>
        <v>0</v>
      </c>
      <c r="F18" s="11">
        <f t="shared" si="0"/>
        <v>0</v>
      </c>
      <c r="G18" s="78" t="e">
        <f t="shared" si="4"/>
        <v>#DIV/0!</v>
      </c>
      <c r="H18" s="28">
        <f t="shared" si="3"/>
        <v>0</v>
      </c>
      <c r="I18" s="28" t="e">
        <f>((B18*48)+(H18*10))/C18</f>
        <v>#DIV/0!</v>
      </c>
    </row>
    <row r="19" spans="4:9" x14ac:dyDescent="0.3">
      <c r="D19" s="28" t="e">
        <f t="shared" si="1"/>
        <v>#DIV/0!</v>
      </c>
      <c r="E19" s="11">
        <f t="shared" si="2"/>
        <v>0</v>
      </c>
      <c r="F19" s="11">
        <f t="shared" si="0"/>
        <v>0</v>
      </c>
      <c r="G19" s="78" t="e">
        <f t="shared" ref="G19:G38" si="6">100- (F19/E19 *100)</f>
        <v>#DIV/0!</v>
      </c>
      <c r="H19" s="28">
        <f t="shared" si="3"/>
        <v>0</v>
      </c>
      <c r="I19" s="28" t="e">
        <f t="shared" si="5"/>
        <v>#DIV/0!</v>
      </c>
    </row>
    <row r="20" spans="4:9" x14ac:dyDescent="0.3">
      <c r="D20" s="28" t="e">
        <f t="shared" si="1"/>
        <v>#DIV/0!</v>
      </c>
      <c r="E20" s="11">
        <f>B20 * 1.0936</f>
        <v>0</v>
      </c>
      <c r="F20" s="11">
        <f t="shared" si="0"/>
        <v>0</v>
      </c>
      <c r="G20" s="78" t="e">
        <f t="shared" si="6"/>
        <v>#DIV/0!</v>
      </c>
      <c r="H20" s="28">
        <f t="shared" si="3"/>
        <v>0</v>
      </c>
      <c r="I20" s="28" t="e">
        <f t="shared" si="5"/>
        <v>#DIV/0!</v>
      </c>
    </row>
    <row r="21" spans="4:9" x14ac:dyDescent="0.3">
      <c r="D21" s="28" t="e">
        <f t="shared" si="1"/>
        <v>#DIV/0!</v>
      </c>
      <c r="E21" s="11">
        <f t="shared" si="2"/>
        <v>0</v>
      </c>
      <c r="F21" s="11">
        <f t="shared" si="0"/>
        <v>0</v>
      </c>
      <c r="G21" s="78" t="e">
        <f t="shared" si="6"/>
        <v>#DIV/0!</v>
      </c>
      <c r="H21" s="28">
        <f t="shared" si="3"/>
        <v>0</v>
      </c>
      <c r="I21" s="28" t="e">
        <f t="shared" si="5"/>
        <v>#DIV/0!</v>
      </c>
    </row>
    <row r="22" spans="4:9" x14ac:dyDescent="0.3">
      <c r="D22" s="28" t="e">
        <f t="shared" si="1"/>
        <v>#DIV/0!</v>
      </c>
      <c r="E22" s="11">
        <f t="shared" si="2"/>
        <v>0</v>
      </c>
      <c r="F22" s="11">
        <f t="shared" si="0"/>
        <v>0</v>
      </c>
      <c r="G22" s="78" t="e">
        <f t="shared" si="6"/>
        <v>#DIV/0!</v>
      </c>
      <c r="H22" s="28">
        <f t="shared" si="3"/>
        <v>0</v>
      </c>
      <c r="I22" s="28" t="e">
        <f t="shared" si="5"/>
        <v>#DIV/0!</v>
      </c>
    </row>
    <row r="23" spans="4:9" x14ac:dyDescent="0.3">
      <c r="D23" s="28" t="e">
        <f t="shared" si="1"/>
        <v>#DIV/0!</v>
      </c>
      <c r="E23" s="11">
        <f t="shared" si="2"/>
        <v>0</v>
      </c>
      <c r="F23" s="11">
        <f t="shared" si="0"/>
        <v>0</v>
      </c>
      <c r="G23" s="78" t="e">
        <f t="shared" si="6"/>
        <v>#DIV/0!</v>
      </c>
      <c r="H23" s="28">
        <f t="shared" si="3"/>
        <v>0</v>
      </c>
      <c r="I23" s="28" t="e">
        <f t="shared" si="5"/>
        <v>#DIV/0!</v>
      </c>
    </row>
    <row r="24" spans="4:9" x14ac:dyDescent="0.3">
      <c r="D24" s="28" t="e">
        <f t="shared" si="1"/>
        <v>#DIV/0!</v>
      </c>
      <c r="E24" s="11">
        <f t="shared" si="2"/>
        <v>0</v>
      </c>
      <c r="F24" s="11">
        <f t="shared" si="0"/>
        <v>0</v>
      </c>
      <c r="G24" s="78" t="e">
        <f t="shared" si="6"/>
        <v>#DIV/0!</v>
      </c>
      <c r="H24" s="28">
        <f t="shared" si="3"/>
        <v>0</v>
      </c>
      <c r="I24" s="28" t="e">
        <f t="shared" si="5"/>
        <v>#DIV/0!</v>
      </c>
    </row>
    <row r="25" spans="4:9" x14ac:dyDescent="0.3">
      <c r="D25" s="28" t="e">
        <f t="shared" si="1"/>
        <v>#DIV/0!</v>
      </c>
      <c r="E25" s="11">
        <f t="shared" si="2"/>
        <v>0</v>
      </c>
      <c r="F25" s="11">
        <f t="shared" si="0"/>
        <v>0</v>
      </c>
      <c r="G25" s="78" t="e">
        <f t="shared" si="6"/>
        <v>#DIV/0!</v>
      </c>
      <c r="H25" s="28">
        <f t="shared" si="3"/>
        <v>0</v>
      </c>
      <c r="I25" s="28" t="e">
        <f t="shared" si="5"/>
        <v>#DIV/0!</v>
      </c>
    </row>
    <row r="26" spans="4:9" x14ac:dyDescent="0.3">
      <c r="D26" s="28" t="e">
        <f t="shared" si="1"/>
        <v>#DIV/0!</v>
      </c>
      <c r="E26" s="11">
        <f t="shared" si="2"/>
        <v>0</v>
      </c>
      <c r="F26" s="11">
        <f t="shared" si="0"/>
        <v>0</v>
      </c>
      <c r="G26" s="78" t="e">
        <f t="shared" si="6"/>
        <v>#DIV/0!</v>
      </c>
      <c r="H26" s="28">
        <f t="shared" si="3"/>
        <v>0</v>
      </c>
      <c r="I26" s="28" t="e">
        <f t="shared" si="5"/>
        <v>#DIV/0!</v>
      </c>
    </row>
    <row r="27" spans="4:9" x14ac:dyDescent="0.3">
      <c r="D27" s="28" t="e">
        <f t="shared" si="1"/>
        <v>#DIV/0!</v>
      </c>
      <c r="E27" s="11">
        <f t="shared" si="2"/>
        <v>0</v>
      </c>
      <c r="F27" s="11">
        <f t="shared" si="0"/>
        <v>0</v>
      </c>
      <c r="G27" s="78" t="e">
        <f t="shared" si="6"/>
        <v>#DIV/0!</v>
      </c>
      <c r="H27" s="28">
        <f t="shared" si="3"/>
        <v>0</v>
      </c>
      <c r="I27" s="28" t="e">
        <f t="shared" si="5"/>
        <v>#DIV/0!</v>
      </c>
    </row>
    <row r="28" spans="4:9" x14ac:dyDescent="0.3">
      <c r="D28" s="28" t="e">
        <f t="shared" si="1"/>
        <v>#DIV/0!</v>
      </c>
      <c r="E28" s="11">
        <f t="shared" si="2"/>
        <v>0</v>
      </c>
      <c r="F28" s="11">
        <f t="shared" si="0"/>
        <v>0</v>
      </c>
      <c r="G28" s="78" t="e">
        <f t="shared" si="6"/>
        <v>#DIV/0!</v>
      </c>
      <c r="H28" s="28">
        <f t="shared" si="3"/>
        <v>0</v>
      </c>
      <c r="I28" s="28" t="e">
        <f t="shared" si="5"/>
        <v>#DIV/0!</v>
      </c>
    </row>
    <row r="29" spans="4:9" x14ac:dyDescent="0.3">
      <c r="D29" s="28" t="e">
        <f t="shared" si="1"/>
        <v>#DIV/0!</v>
      </c>
      <c r="E29" s="11">
        <f t="shared" si="2"/>
        <v>0</v>
      </c>
      <c r="F29" s="11">
        <f t="shared" si="0"/>
        <v>0</v>
      </c>
      <c r="G29" s="78" t="e">
        <f t="shared" si="6"/>
        <v>#DIV/0!</v>
      </c>
      <c r="H29" s="28">
        <f t="shared" si="3"/>
        <v>0</v>
      </c>
      <c r="I29" s="28" t="e">
        <f t="shared" si="5"/>
        <v>#DIV/0!</v>
      </c>
    </row>
    <row r="30" spans="4:9" x14ac:dyDescent="0.3">
      <c r="D30" s="28" t="e">
        <f t="shared" si="1"/>
        <v>#DIV/0!</v>
      </c>
      <c r="E30" s="11">
        <f t="shared" si="2"/>
        <v>0</v>
      </c>
      <c r="F30" s="11">
        <f t="shared" si="0"/>
        <v>0</v>
      </c>
      <c r="G30" s="78" t="e">
        <f t="shared" si="6"/>
        <v>#DIV/0!</v>
      </c>
      <c r="H30" s="28">
        <f t="shared" si="3"/>
        <v>0</v>
      </c>
      <c r="I30" s="28" t="e">
        <f t="shared" si="5"/>
        <v>#DIV/0!</v>
      </c>
    </row>
    <row r="31" spans="4:9" x14ac:dyDescent="0.3">
      <c r="D31" s="28" t="e">
        <f t="shared" si="1"/>
        <v>#DIV/0!</v>
      </c>
      <c r="E31" s="11">
        <f t="shared" si="2"/>
        <v>0</v>
      </c>
      <c r="F31" s="11">
        <f t="shared" si="0"/>
        <v>0</v>
      </c>
      <c r="G31" s="78" t="e">
        <f t="shared" si="6"/>
        <v>#DIV/0!</v>
      </c>
      <c r="H31" s="28">
        <f t="shared" si="3"/>
        <v>0</v>
      </c>
      <c r="I31" s="28" t="e">
        <f t="shared" si="5"/>
        <v>#DIV/0!</v>
      </c>
    </row>
    <row r="32" spans="4: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topLeftCell="A10" workbookViewId="0">
      <selection activeCell="M30" sqref="M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0</v>
      </c>
    </row>
    <row r="38" spans="2:10" x14ac:dyDescent="0.3">
      <c r="B38" s="1"/>
      <c r="D38">
        <f>SUM(Table5[Amount])</f>
        <v>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27" sqref="C27"/>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4188080.9231894724</v>
      </c>
    </row>
    <row r="3" spans="1:3" ht="21" x14ac:dyDescent="0.4">
      <c r="A3" s="102" t="str">
        <f>Billing!Q6</f>
        <v>Ejaz Sahab</v>
      </c>
      <c r="B3" s="105">
        <f>Billing!AD6</f>
        <v>3963904</v>
      </c>
      <c r="C3" s="103">
        <f>Billing!AE6</f>
        <v>208925.1880029263</v>
      </c>
    </row>
    <row r="4" spans="1:3" ht="21" x14ac:dyDescent="0.4">
      <c r="A4" s="102" t="str">
        <f>Billing!Q7</f>
        <v>Arshad</v>
      </c>
      <c r="B4" s="105">
        <f>Billing!AD7</f>
        <v>6002935</v>
      </c>
      <c r="C4" s="104">
        <f>Billing!AE7</f>
        <v>490054.20994879305</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7397871</v>
      </c>
      <c r="C7" s="103">
        <f>Billing!AE10</f>
        <v>533291.21653255355</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3322620</v>
      </c>
      <c r="C9" s="103">
        <f>Billing!AE12</f>
        <v>514402.67739575729</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1805980</v>
      </c>
      <c r="C12" s="103">
        <f>Billing!AE15</f>
        <v>48582.911485003773</v>
      </c>
    </row>
    <row r="13" spans="1:3" ht="21" x14ac:dyDescent="0.4">
      <c r="A13" s="102" t="str">
        <f>Billing!Q16</f>
        <v>Badshah Fabrics</v>
      </c>
      <c r="B13" s="105">
        <f>Billing!AD16</f>
        <v>4925761</v>
      </c>
      <c r="C13" s="103">
        <f>Billing!AE16</f>
        <v>207120.30943672359</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4">
        <f>Billing!AD24</f>
        <v>0</v>
      </c>
      <c r="C21" s="103">
        <f>Billing!AE24</f>
        <v>713525.05486466724</v>
      </c>
    </row>
    <row r="22" spans="1:3" ht="21" x14ac:dyDescent="0.4">
      <c r="A22" s="102" t="str">
        <f>Billing!Q25</f>
        <v>Shahid Qasayi</v>
      </c>
      <c r="B22" s="112">
        <f>Billing!AD25</f>
        <v>1468325</v>
      </c>
      <c r="C22" s="103">
        <f>Billing!AE25</f>
        <v>189776.68251645938</v>
      </c>
    </row>
    <row r="23" spans="1:3" ht="21" x14ac:dyDescent="0.4">
      <c r="A23" s="102" t="str">
        <f>Billing!Q26</f>
        <v>Hameed corporation</v>
      </c>
      <c r="B23" s="112">
        <f>Billing!AD26</f>
        <v>424323</v>
      </c>
      <c r="C23" s="103">
        <f>Billing!AE26</f>
        <v>0.33577176299877465</v>
      </c>
    </row>
    <row r="24" spans="1:3" ht="21" x14ac:dyDescent="0.4">
      <c r="A24" s="102" t="str">
        <f>Billing!Q27</f>
        <v>ibraheem behraam</v>
      </c>
      <c r="B24" s="112">
        <f>Billing!AD27</f>
        <v>790500</v>
      </c>
      <c r="C24" s="103">
        <f>Billing!AE27</f>
        <v>2445.3182150695939</v>
      </c>
    </row>
    <row r="25" spans="1:3" ht="21" x14ac:dyDescent="0.4">
      <c r="A25" s="102" t="str">
        <f>Billing!Q28</f>
        <v>Zia-ullah karachi</v>
      </c>
      <c r="B25" s="112">
        <f>Billing!AD28</f>
        <v>124560</v>
      </c>
      <c r="C25" s="103">
        <f>Billing!AE28</f>
        <v>1.0826627651840681</v>
      </c>
    </row>
    <row r="26" spans="1:3" ht="21" x14ac:dyDescent="0.4">
      <c r="A26" s="102" t="str">
        <f>Billing!Q29</f>
        <v>ZA</v>
      </c>
      <c r="B26" s="112">
        <f>Billing!AD29</f>
        <v>250000</v>
      </c>
      <c r="C26" s="103">
        <f>Billing!AE29</f>
        <v>135138.07607900514</v>
      </c>
    </row>
    <row r="27" spans="1:3" ht="21" x14ac:dyDescent="0.4">
      <c r="A27" s="102" t="str">
        <f>Billing!Q30</f>
        <v>Ahmad Javaid</v>
      </c>
      <c r="B27" s="112">
        <f>Billing!AD30</f>
        <v>0</v>
      </c>
      <c r="C27" s="103">
        <f>Billing!AE30</f>
        <v>54170.629114850039</v>
      </c>
    </row>
    <row r="28" spans="1:3" ht="21" x14ac:dyDescent="0.4">
      <c r="A28" s="102">
        <f>Billing!Q31</f>
        <v>0</v>
      </c>
      <c r="B28" s="112">
        <f>Billing!AD31</f>
        <v>0</v>
      </c>
      <c r="C28" s="103">
        <f>Billing!AE31</f>
        <v>0</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176</v>
      </c>
      <c r="B18" s="10">
        <f>_xlfn.XLOOKUP($A18,[1]Billing!$Q$5:$Q$40,[1]Billing!$AD$5:$AD$40)</f>
        <v>4915571</v>
      </c>
    </row>
    <row r="19" spans="1:2" x14ac:dyDescent="0.3">
      <c r="A19" s="81" t="s">
        <v>179</v>
      </c>
      <c r="B19" s="10">
        <f>_xlfn.XLOOKUP($A19,[1]Billing!$Q$5:$Q$40,[1]Billing!$AD$5:$AD$40)</f>
        <v>835660</v>
      </c>
    </row>
    <row r="20" spans="1:2" x14ac:dyDescent="0.3">
      <c r="A20" s="81" t="s">
        <v>180</v>
      </c>
      <c r="B20" s="10">
        <f>_xlfn.XLOOKUP($A20,[1]Billing!$Q$5:$Q$40,[1]Billing!$AD$5:$AD$40)</f>
        <v>2300000</v>
      </c>
    </row>
    <row r="21" spans="1:2" x14ac:dyDescent="0.3">
      <c r="A21" s="81" t="s">
        <v>185</v>
      </c>
      <c r="B21" s="10">
        <f>_xlfn.XLOOKUP($A21,[1]Billing!$Q$5:$Q$40,[1]Billing!$AD$5:$AD$40)</f>
        <v>0</v>
      </c>
    </row>
    <row r="22" spans="1:2" x14ac:dyDescent="0.3">
      <c r="A22" s="81" t="s">
        <v>194</v>
      </c>
      <c r="B22" s="10">
        <f>_xlfn.XLOOKUP($A22,[1]Billing!$Q$5:$Q$40,[1]Billing!$AD$5:$AD$40)</f>
        <v>1468325</v>
      </c>
    </row>
    <row r="23" spans="1:2" x14ac:dyDescent="0.3">
      <c r="A23" s="81" t="s">
        <v>197</v>
      </c>
      <c r="B23" s="10">
        <f>_xlfn.XLOOKUP($A23,[1]Billing!$Q$5:$Q$40,[1]Billing!$AD$5:$AD$40)</f>
        <v>424323</v>
      </c>
    </row>
    <row r="24" spans="1:2" x14ac:dyDescent="0.3">
      <c r="A24" s="81" t="s">
        <v>196</v>
      </c>
      <c r="B24" s="10">
        <f>_xlfn.XLOOKUP($A24,[1]Billing!$Q$5:$Q$40,[1]Billing!$AD$5:$AD$40)</f>
        <v>790500</v>
      </c>
    </row>
    <row r="25" spans="1:2" x14ac:dyDescent="0.3">
      <c r="A25" s="81" t="s">
        <v>202</v>
      </c>
      <c r="B25" s="10">
        <f>_xlfn.XLOOKUP($A25,[1]Billing!$Q$5:$Q$40,[1]Billing!$AD$5:$AD$40)</f>
        <v>124560</v>
      </c>
    </row>
    <row r="26" spans="1:2" x14ac:dyDescent="0.3">
      <c r="A26" s="81" t="s">
        <v>207</v>
      </c>
      <c r="B26" s="10">
        <f>_xlfn.XLOOKUP($A26,[1]Billing!$Q$5:$Q$40,[1]Billing!$AD$5:$AD$40)</f>
        <v>250000</v>
      </c>
    </row>
    <row r="27" spans="1:2" x14ac:dyDescent="0.3">
      <c r="A27" s="119" t="s">
        <v>209</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2025-12-18T20:00:48Z</dcterms:modified>
  <cp:category/>
  <cp:contentStatus/>
</cp:coreProperties>
</file>