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275" documentId="8_{882B14A6-A67C-4C60-A7D4-43427E6D1DAC}" xr6:coauthVersionLast="47" xr6:coauthVersionMax="47" xr10:uidLastSave="{EB1FD7E3-4BD2-4CF6-B1A1-8BEDCA43A3FD}"/>
  <bookViews>
    <workbookView xWindow="-108" yWindow="-108" windowWidth="23256" windowHeight="12456" tabRatio="597" firstSheet="7"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2" i="6" l="1"/>
  <c r="I32" i="6" s="1"/>
  <c r="H33" i="6"/>
  <c r="I33" i="6" s="1"/>
  <c r="G32" i="6"/>
  <c r="G33" i="6"/>
  <c r="G34" i="6"/>
  <c r="G35" i="6"/>
  <c r="G36" i="6"/>
  <c r="G37" i="6"/>
  <c r="G38" i="6"/>
  <c r="G39" i="6"/>
  <c r="G40" i="6"/>
  <c r="G41" i="6"/>
  <c r="G42" i="6"/>
  <c r="I34" i="6"/>
  <c r="I35" i="6"/>
  <c r="I36" i="6"/>
  <c r="I37" i="6"/>
  <c r="I38" i="6"/>
  <c r="I39" i="6"/>
  <c r="I40" i="6"/>
  <c r="I41" i="6"/>
  <c r="I42" i="6"/>
  <c r="I70" i="1"/>
  <c r="J70" i="1" a="1"/>
  <c r="J70" i="1" s="1"/>
  <c r="I71" i="1"/>
  <c r="J71" i="1" a="1"/>
  <c r="J71" i="1" s="1"/>
  <c r="I72" i="1"/>
  <c r="J72" i="1" a="1"/>
  <c r="J72" i="1" s="1"/>
  <c r="I73" i="1"/>
  <c r="J73" i="1" a="1"/>
  <c r="J73" i="1" s="1"/>
  <c r="I74" i="1"/>
  <c r="J74" i="1" a="1"/>
  <c r="J74" i="1" s="1"/>
  <c r="I75" i="1"/>
  <c r="J75" i="1" a="1"/>
  <c r="J75" i="1" s="1"/>
  <c r="I76" i="1"/>
  <c r="J76" i="1" a="1"/>
  <c r="J76" i="1" s="1"/>
  <c r="C106" i="17" l="1"/>
  <c r="C103" i="17"/>
  <c r="H31" i="6"/>
  <c r="I31" i="6" s="1"/>
  <c r="G31" i="6"/>
  <c r="G22" i="6"/>
  <c r="I22" i="6"/>
  <c r="G26" i="6"/>
  <c r="I26" i="6"/>
  <c r="G28" i="6"/>
  <c r="G29" i="6"/>
  <c r="G30" i="6"/>
  <c r="I28" i="6"/>
  <c r="I29" i="6"/>
  <c r="I30" i="6"/>
  <c r="C74" i="17" l="1"/>
  <c r="H27" i="6"/>
  <c r="I27" i="6" s="1"/>
  <c r="G27" i="6"/>
  <c r="G25" i="6"/>
  <c r="H23" i="6"/>
  <c r="I23" i="6" s="1"/>
  <c r="H24" i="6"/>
  <c r="I24" i="6" s="1"/>
  <c r="H25" i="6"/>
  <c r="I25" i="6" s="1"/>
  <c r="H21" i="6"/>
  <c r="I21" i="6" s="1"/>
  <c r="G21" i="6"/>
  <c r="G23" i="6"/>
  <c r="G24" i="6"/>
  <c r="I65" i="1"/>
  <c r="J65" i="1" s="1" a="1"/>
  <c r="J65" i="1" s="1"/>
  <c r="I66" i="1"/>
  <c r="J66" i="1" a="1"/>
  <c r="J66" i="1" s="1"/>
  <c r="I67" i="1"/>
  <c r="J67" i="1" s="1" a="1"/>
  <c r="J67" i="1" s="1"/>
  <c r="I68" i="1"/>
  <c r="J68" i="1" s="1" a="1"/>
  <c r="J68" i="1" s="1"/>
  <c r="I69" i="1"/>
  <c r="J69" i="1" a="1"/>
  <c r="J69" i="1" s="1"/>
  <c r="C63"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l="1"/>
  <c r="J61" i="1" s="1" a="1"/>
  <c r="J61" i="1" s="1"/>
  <c r="I62" i="1"/>
  <c r="J62" i="1" s="1" a="1"/>
  <c r="J62" i="1" s="1"/>
  <c r="I60" i="1"/>
  <c r="J60" i="1" s="1" a="1"/>
  <c r="J60" i="1" s="1"/>
  <c r="H10" i="6"/>
  <c r="B23" i="21" l="1"/>
  <c r="B24" i="21"/>
  <c r="B25" i="21"/>
  <c r="B26" i="21"/>
  <c r="B27" i="21"/>
  <c r="B6" i="21"/>
  <c r="B7" i="21"/>
  <c r="B8" i="21"/>
  <c r="B9" i="21"/>
  <c r="B10" i="21"/>
  <c r="B11" i="21"/>
  <c r="B12" i="21"/>
  <c r="B13" i="21"/>
  <c r="B18" i="21"/>
  <c r="B19" i="21"/>
  <c r="B20" i="21"/>
  <c r="B21" i="21"/>
  <c r="B22" i="21"/>
  <c r="B3" i="21"/>
  <c r="B4" i="21"/>
  <c r="B5" i="21"/>
  <c r="B14" i="21"/>
  <c r="B15" i="21"/>
  <c r="B16" i="21"/>
  <c r="B17" i="21"/>
  <c r="C111" i="9"/>
  <c r="D111" i="9"/>
  <c r="E111" i="9"/>
  <c r="F111" i="9"/>
  <c r="G111" i="9"/>
  <c r="V32" i="9" s="1" a="1"/>
  <c r="V32" i="9" s="1"/>
  <c r="H111" i="9"/>
  <c r="W32" i="9" s="1" a="1"/>
  <c r="W32" i="9" s="1"/>
  <c r="I111" i="9"/>
  <c r="X32" i="9" s="1" a="1"/>
  <c r="X32" i="9" s="1"/>
  <c r="J111" i="9"/>
  <c r="Y32" i="9" s="1" a="1"/>
  <c r="Y32" i="9" s="1"/>
  <c r="K111" i="9"/>
  <c r="Z32" i="9" s="1" a="1"/>
  <c r="Z32" i="9" s="1"/>
  <c r="L111" i="9"/>
  <c r="AA32" i="9" s="1" a="1"/>
  <c r="AA32" i="9" s="1"/>
  <c r="M111" i="9"/>
  <c r="AB32" i="9" s="1" a="1"/>
  <c r="AB32" i="9" s="1"/>
  <c r="O111" i="9"/>
  <c r="AD32" i="9" s="1"/>
  <c r="C112" i="9"/>
  <c r="D112" i="9"/>
  <c r="E112" i="9"/>
  <c r="F112" i="9"/>
  <c r="G112" i="9"/>
  <c r="V33" i="9" s="1" a="1"/>
  <c r="V33" i="9" s="1"/>
  <c r="H112" i="9"/>
  <c r="W33" i="9" s="1" a="1"/>
  <c r="W33" i="9" s="1"/>
  <c r="I112" i="9"/>
  <c r="X33" i="9" s="1" a="1"/>
  <c r="X33" i="9" s="1"/>
  <c r="J112" i="9"/>
  <c r="Y33" i="9" s="1" a="1"/>
  <c r="Y33" i="9" s="1"/>
  <c r="K112" i="9"/>
  <c r="Z33" i="9" s="1" a="1"/>
  <c r="Z33" i="9" s="1"/>
  <c r="L112" i="9"/>
  <c r="AA33" i="9" s="1" a="1"/>
  <c r="AA33" i="9" s="1"/>
  <c r="M112" i="9"/>
  <c r="AB33" i="9" s="1" a="1"/>
  <c r="AB33" i="9" s="1"/>
  <c r="O112" i="9"/>
  <c r="AD33" i="9" s="1"/>
  <c r="C113" i="9"/>
  <c r="D113" i="9"/>
  <c r="E113" i="9"/>
  <c r="F113" i="9"/>
  <c r="G113" i="9"/>
  <c r="V34" i="9" s="1" a="1"/>
  <c r="V34" i="9" s="1"/>
  <c r="H113" i="9"/>
  <c r="W34" i="9" s="1" a="1"/>
  <c r="W34" i="9" s="1"/>
  <c r="I113" i="9"/>
  <c r="X34" i="9" s="1" a="1"/>
  <c r="X34" i="9" s="1"/>
  <c r="J113" i="9"/>
  <c r="Y34" i="9" s="1" a="1"/>
  <c r="Y34" i="9" s="1"/>
  <c r="K113" i="9"/>
  <c r="Z34" i="9" s="1" a="1"/>
  <c r="Z34" i="9" s="1"/>
  <c r="L113" i="9"/>
  <c r="AA34" i="9" s="1" a="1"/>
  <c r="AA34" i="9" s="1"/>
  <c r="M113" i="9"/>
  <c r="AB34" i="9" s="1" a="1"/>
  <c r="AB34" i="9" s="1"/>
  <c r="O113" i="9"/>
  <c r="AD34" i="9" s="1"/>
  <c r="C114" i="9"/>
  <c r="D114" i="9"/>
  <c r="E114" i="9"/>
  <c r="F114" i="9"/>
  <c r="G114" i="9"/>
  <c r="H114" i="9"/>
  <c r="W35" i="9" s="1" a="1"/>
  <c r="W35" i="9" s="1"/>
  <c r="I114" i="9"/>
  <c r="X35" i="9" s="1" a="1"/>
  <c r="X35" i="9" s="1"/>
  <c r="J114" i="9"/>
  <c r="Y35" i="9" s="1" a="1"/>
  <c r="Y35" i="9" s="1"/>
  <c r="K114" i="9"/>
  <c r="Z35" i="9" s="1" a="1"/>
  <c r="Z35" i="9" s="1"/>
  <c r="L114" i="9"/>
  <c r="AA35" i="9" s="1" a="1"/>
  <c r="AA35" i="9" s="1"/>
  <c r="M114" i="9"/>
  <c r="AB35" i="9" s="1" a="1"/>
  <c r="AB35" i="9" s="1"/>
  <c r="O114" i="9"/>
  <c r="AD35" i="9" s="1"/>
  <c r="C115" i="9"/>
  <c r="D115" i="9"/>
  <c r="E115" i="9"/>
  <c r="F115" i="9"/>
  <c r="G115" i="9"/>
  <c r="V36" i="9" s="1" a="1"/>
  <c r="V36" i="9" s="1"/>
  <c r="H115" i="9"/>
  <c r="W36" i="9" s="1" a="1"/>
  <c r="W36" i="9" s="1"/>
  <c r="I115" i="9"/>
  <c r="X36" i="9" s="1" a="1"/>
  <c r="X36" i="9" s="1"/>
  <c r="J115" i="9"/>
  <c r="Y36" i="9" s="1" a="1"/>
  <c r="Y36" i="9" s="1"/>
  <c r="K115" i="9"/>
  <c r="Z36" i="9" s="1" a="1"/>
  <c r="Z36" i="9" s="1"/>
  <c r="L115" i="9"/>
  <c r="AA36" i="9" s="1" a="1"/>
  <c r="AA36" i="9" s="1"/>
  <c r="M115" i="9"/>
  <c r="AB36" i="9" s="1" a="1"/>
  <c r="AB36" i="9" s="1"/>
  <c r="O115" i="9"/>
  <c r="AD36" i="9" s="1"/>
  <c r="K77" i="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G7" i="15"/>
  <c r="F8" i="15"/>
  <c r="G8" i="15"/>
  <c r="F9" i="15"/>
  <c r="G9" i="15"/>
  <c r="G5" i="7"/>
  <c r="G3" i="7"/>
  <c r="G4" i="7"/>
  <c r="G6" i="7"/>
  <c r="H6" i="7" s="1"/>
  <c r="G7" i="7"/>
  <c r="H7" i="7" s="1"/>
  <c r="G8" i="7"/>
  <c r="H8" i="7" s="1"/>
  <c r="G9" i="7"/>
  <c r="H9" i="7" s="1"/>
  <c r="G8" i="6"/>
  <c r="G9" i="6"/>
  <c r="G10" i="6"/>
  <c r="G11" i="6"/>
  <c r="G12" i="6"/>
  <c r="I10" i="6"/>
  <c r="I11" i="6"/>
  <c r="I12" i="6"/>
  <c r="D3" i="17"/>
  <c r="D2" i="17"/>
  <c r="G79" i="9" a="1"/>
  <c r="G79" i="9" s="1"/>
  <c r="H79" i="9" a="1"/>
  <c r="H79" i="9" s="1"/>
  <c r="I79" i="9" a="1"/>
  <c r="I79" i="9" s="1"/>
  <c r="J79" i="9" a="1"/>
  <c r="J79" i="9" s="1"/>
  <c r="K79" i="9" a="1"/>
  <c r="K79" i="9" s="1"/>
  <c r="L79" i="9" a="1"/>
  <c r="L79" i="9" s="1"/>
  <c r="M79" i="9" a="1"/>
  <c r="M79" i="9" s="1"/>
  <c r="G76" i="9" a="1"/>
  <c r="G76" i="9" s="1"/>
  <c r="H76" i="9" a="1"/>
  <c r="H76" i="9" s="1"/>
  <c r="I76" i="9" a="1"/>
  <c r="I76" i="9" s="1"/>
  <c r="J76" i="9" a="1"/>
  <c r="J76" i="9" s="1"/>
  <c r="K76" i="9" a="1"/>
  <c r="K76" i="9" s="1"/>
  <c r="L76" i="9" a="1"/>
  <c r="L76" i="9" s="1"/>
  <c r="M76" i="9" a="1"/>
  <c r="M76"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N114" i="9" l="1"/>
  <c r="P114" i="9" s="1"/>
  <c r="V35" i="9" a="1"/>
  <c r="V35" i="9" s="1"/>
  <c r="N115" i="9"/>
  <c r="P115" i="9" s="1"/>
  <c r="J77" i="1" a="1"/>
  <c r="J77" i="1" s="1"/>
  <c r="N112" i="9"/>
  <c r="P112" i="9" s="1"/>
  <c r="N111" i="9"/>
  <c r="P111" i="9" s="1"/>
  <c r="N113" i="9"/>
  <c r="P113" i="9" s="1"/>
  <c r="I77" i="1" a="1"/>
  <c r="I77" i="1" s="1"/>
  <c r="P35" i="7" l="1"/>
  <c r="P36" i="7"/>
  <c r="P37" i="7"/>
  <c r="P38" i="7"/>
  <c r="P39" i="7"/>
  <c r="P40" i="7"/>
  <c r="P41" i="7"/>
  <c r="P42" i="7"/>
  <c r="P43" i="7"/>
  <c r="P44" i="7"/>
  <c r="P45" i="7"/>
  <c r="P46" i="7"/>
  <c r="P47" i="7"/>
  <c r="P48" i="7"/>
  <c r="P49" i="7"/>
  <c r="P50" i="7"/>
  <c r="P51" i="7"/>
  <c r="P52" i="7"/>
  <c r="P53" i="7"/>
  <c r="P54" i="7"/>
  <c r="P55" i="7"/>
  <c r="P34" i="7"/>
  <c r="K27" i="15"/>
  <c r="K26" i="15"/>
  <c r="P56" i="7" l="1"/>
  <c r="C5" i="8" s="1"/>
  <c r="K25" i="15" l="1"/>
  <c r="K30" i="15" s="1"/>
  <c r="B49" i="9" a="1"/>
  <c r="AC36" i="9"/>
  <c r="C149" i="17"/>
  <c r="K4" i="17" s="1"/>
  <c r="E10" i="7"/>
  <c r="F11" i="15"/>
  <c r="F12" i="15"/>
  <c r="F13" i="15"/>
  <c r="H9" i="15"/>
  <c r="G10" i="15"/>
  <c r="G11" i="15"/>
  <c r="G12" i="15"/>
  <c r="G13" i="15"/>
  <c r="O76" i="9"/>
  <c r="O77" i="9"/>
  <c r="O78" i="9"/>
  <c r="C9" i="8"/>
  <c r="I36" i="12"/>
  <c r="J35" i="14"/>
  <c r="J36" i="14"/>
  <c r="D35" i="14"/>
  <c r="D36" i="14"/>
  <c r="D35" i="18"/>
  <c r="D36" i="18"/>
  <c r="D37" i="18"/>
  <c r="E35" i="18"/>
  <c r="E36" i="18"/>
  <c r="E37" i="18"/>
  <c r="J25" i="15"/>
  <c r="J27" i="15"/>
  <c r="E38" i="7"/>
  <c r="E37" i="7"/>
  <c r="G7" i="6"/>
  <c r="C39" i="12"/>
  <c r="C40" i="12"/>
  <c r="C41" i="12"/>
  <c r="C42" i="12"/>
  <c r="C38" i="12"/>
  <c r="C37" i="12"/>
  <c r="C7" i="8"/>
  <c r="R32" i="9" a="1"/>
  <c r="R32" i="9" s="1"/>
  <c r="S32" i="9" a="1"/>
  <c r="S32" i="9" s="1"/>
  <c r="T32" i="9" a="1"/>
  <c r="T32" i="9" s="1"/>
  <c r="U32" i="9" a="1"/>
  <c r="U32" i="9" s="1"/>
  <c r="R33" i="9" a="1"/>
  <c r="R33" i="9" s="1"/>
  <c r="S33" i="9" a="1"/>
  <c r="S33" i="9" s="1"/>
  <c r="T33" i="9" a="1"/>
  <c r="T33" i="9" s="1"/>
  <c r="U33" i="9" a="1"/>
  <c r="U33" i="9" s="1"/>
  <c r="R34" i="9" a="1"/>
  <c r="R34" i="9" s="1"/>
  <c r="S34" i="9" a="1"/>
  <c r="S34" i="9" s="1"/>
  <c r="T34" i="9" a="1"/>
  <c r="T34" i="9" s="1"/>
  <c r="U34" i="9" a="1"/>
  <c r="U34" i="9" s="1"/>
  <c r="R35" i="9" a="1"/>
  <c r="R35" i="9" s="1"/>
  <c r="S35" i="9" a="1"/>
  <c r="S35" i="9" s="1"/>
  <c r="T35" i="9" a="1"/>
  <c r="T35" i="9" s="1"/>
  <c r="U35" i="9" a="1"/>
  <c r="U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16" i="7"/>
  <c r="E17" i="7"/>
  <c r="E18" i="7"/>
  <c r="E19" i="7"/>
  <c r="E20" i="7"/>
  <c r="E21" i="7"/>
  <c r="E22" i="7"/>
  <c r="E23" i="7"/>
  <c r="E24" i="7"/>
  <c r="E25" i="7"/>
  <c r="E26" i="7"/>
  <c r="E27" i="7"/>
  <c r="E28" i="7"/>
  <c r="E29" i="7"/>
  <c r="E30" i="7"/>
  <c r="E31" i="7"/>
  <c r="E32" i="7"/>
  <c r="E33" i="7"/>
  <c r="E34" i="7"/>
  <c r="E35" i="7"/>
  <c r="E36" i="7"/>
  <c r="E15" i="7"/>
  <c r="E83" i="2"/>
  <c r="F83" i="2"/>
  <c r="H83" i="2" s="1"/>
  <c r="I83" i="2" s="1"/>
  <c r="D83" i="2" s="1"/>
  <c r="E84" i="2"/>
  <c r="F84" i="2"/>
  <c r="H84" i="2" s="1"/>
  <c r="I84" i="2" s="1"/>
  <c r="D84" i="2" s="1"/>
  <c r="E85" i="2"/>
  <c r="F85" i="2"/>
  <c r="H85" i="2" s="1"/>
  <c r="I85" i="2" s="1"/>
  <c r="D85" i="2" s="1"/>
  <c r="E86" i="2"/>
  <c r="F86" i="2"/>
  <c r="E87" i="2"/>
  <c r="F87" i="2"/>
  <c r="G87" i="2" s="1"/>
  <c r="H87" i="2"/>
  <c r="I87" i="2" s="1"/>
  <c r="D87" i="2" s="1"/>
  <c r="E88" i="2"/>
  <c r="F88" i="2"/>
  <c r="E89" i="2"/>
  <c r="F89" i="2"/>
  <c r="G89" i="2" s="1"/>
  <c r="E90" i="2"/>
  <c r="F90" i="2"/>
  <c r="G90" i="2" s="1"/>
  <c r="E91" i="2"/>
  <c r="F91" i="2"/>
  <c r="H91" i="2"/>
  <c r="I91" i="2" s="1"/>
  <c r="D91" i="2" s="1"/>
  <c r="E92" i="2"/>
  <c r="F92" i="2"/>
  <c r="H92" i="2" s="1"/>
  <c r="I92" i="2" s="1"/>
  <c r="D92" i="2" s="1"/>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G75" i="2" s="1"/>
  <c r="E76" i="2"/>
  <c r="F76" i="2"/>
  <c r="H76" i="2" s="1"/>
  <c r="I76" i="2" s="1"/>
  <c r="D76" i="2" s="1"/>
  <c r="E77" i="2"/>
  <c r="F77" i="2"/>
  <c r="E78" i="2"/>
  <c r="F78" i="2"/>
  <c r="G78" i="2" s="1"/>
  <c r="E79" i="2"/>
  <c r="F79" i="2"/>
  <c r="H79" i="2" s="1"/>
  <c r="I79" i="2" s="1"/>
  <c r="D79" i="2" s="1"/>
  <c r="E80" i="2"/>
  <c r="F80" i="2"/>
  <c r="H80" i="2"/>
  <c r="I80" i="2" s="1"/>
  <c r="D80" i="2" s="1"/>
  <c r="E81" i="2"/>
  <c r="F81" i="2"/>
  <c r="G81" i="2" s="1"/>
  <c r="E82" i="2"/>
  <c r="F82" i="2"/>
  <c r="Q5" i="9" a="1"/>
  <c r="A11"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s="1"/>
  <c r="I57" i="2" s="1"/>
  <c r="D57" i="2" s="1"/>
  <c r="E58" i="2"/>
  <c r="F58" i="2"/>
  <c r="G58" i="2" s="1"/>
  <c r="F27" i="2"/>
  <c r="H27" i="2" s="1"/>
  <c r="I27" i="2" s="1"/>
  <c r="D27" i="2" s="1"/>
  <c r="E27" i="2"/>
  <c r="E59" i="2"/>
  <c r="F59" i="2"/>
  <c r="H59" i="2" s="1"/>
  <c r="I59" i="2" s="1"/>
  <c r="D59" i="2" s="1"/>
  <c r="F28" i="2"/>
  <c r="H28" i="2" s="1"/>
  <c r="I28" i="2" s="1"/>
  <c r="D28" i="2" s="1"/>
  <c r="E28" i="2"/>
  <c r="E60" i="2"/>
  <c r="G60" i="2" s="1"/>
  <c r="F60" i="2"/>
  <c r="H60" i="2" s="1"/>
  <c r="I60" i="2" s="1"/>
  <c r="D60" i="2" s="1"/>
  <c r="E61" i="2"/>
  <c r="F61" i="2"/>
  <c r="E62" i="2"/>
  <c r="F62" i="2"/>
  <c r="H62" i="2" s="1"/>
  <c r="I62" i="2" s="1"/>
  <c r="D62" i="2" s="1"/>
  <c r="E63" i="2"/>
  <c r="G63" i="2" s="1"/>
  <c r="F63" i="2"/>
  <c r="H63" i="2"/>
  <c r="I63" i="2" s="1"/>
  <c r="D63" i="2" s="1"/>
  <c r="E64" i="2"/>
  <c r="F64" i="2"/>
  <c r="G64" i="2" s="1"/>
  <c r="E65" i="2"/>
  <c r="F65" i="2"/>
  <c r="E66" i="2"/>
  <c r="F66" i="2"/>
  <c r="H66" i="2" s="1"/>
  <c r="I66" i="2" s="1"/>
  <c r="D66" i="2" s="1"/>
  <c r="E67" i="2"/>
  <c r="F67" i="2"/>
  <c r="H67" i="2" s="1"/>
  <c r="I67" i="2" s="1"/>
  <c r="D67" i="2" s="1"/>
  <c r="E68" i="2"/>
  <c r="G68" i="2" s="1"/>
  <c r="F68" i="2"/>
  <c r="E69" i="2"/>
  <c r="F69" i="2"/>
  <c r="H69" i="2" s="1"/>
  <c r="I69" i="2" s="1"/>
  <c r="D69" i="2" s="1"/>
  <c r="E70" i="2"/>
  <c r="F70" i="2"/>
  <c r="H70" i="2" s="1"/>
  <c r="I70" i="2" s="1"/>
  <c r="D70" i="2" s="1"/>
  <c r="E71" i="2"/>
  <c r="F71" i="2"/>
  <c r="H71" i="2" s="1"/>
  <c r="I71" i="2" s="1"/>
  <c r="D71" i="2" s="1"/>
  <c r="E72" i="2"/>
  <c r="F72" i="2"/>
  <c r="H72" i="2" s="1"/>
  <c r="I72" i="2" s="1"/>
  <c r="D72" i="2" s="1"/>
  <c r="E73" i="2"/>
  <c r="F73" i="2"/>
  <c r="H73" i="2" s="1"/>
  <c r="I73" i="2" s="1"/>
  <c r="D73" i="2" s="1"/>
  <c r="E45" i="2"/>
  <c r="F45" i="2"/>
  <c r="E46" i="2"/>
  <c r="F46" i="2"/>
  <c r="H46" i="2" s="1"/>
  <c r="I46" i="2" s="1"/>
  <c r="D46" i="2" s="1"/>
  <c r="E47" i="2"/>
  <c r="F47" i="2"/>
  <c r="H47" i="2" s="1"/>
  <c r="I47" i="2" s="1"/>
  <c r="D47" i="2" s="1"/>
  <c r="E48" i="2"/>
  <c r="F48" i="2"/>
  <c r="F20" i="2"/>
  <c r="H20" i="2"/>
  <c r="I20" i="2" s="1"/>
  <c r="D20" i="2" s="1"/>
  <c r="E20" i="2"/>
  <c r="E49" i="2"/>
  <c r="F49" i="2"/>
  <c r="F21" i="2"/>
  <c r="H21" i="2"/>
  <c r="I21" i="2" s="1"/>
  <c r="D21" i="2" s="1"/>
  <c r="E21" i="2"/>
  <c r="G21" i="2" s="1"/>
  <c r="E50" i="2"/>
  <c r="G50" i="2" s="1"/>
  <c r="F50" i="2"/>
  <c r="H50" i="2" s="1"/>
  <c r="I50" i="2" s="1"/>
  <c r="D50" i="2" s="1"/>
  <c r="E51" i="2"/>
  <c r="F51" i="2"/>
  <c r="H51" i="2" s="1"/>
  <c r="I51" i="2" s="1"/>
  <c r="D51" i="2" s="1"/>
  <c r="E52" i="2"/>
  <c r="F52" i="2"/>
  <c r="H52" i="2" s="1"/>
  <c r="I52" i="2" s="1"/>
  <c r="D52" i="2" s="1"/>
  <c r="E53" i="2"/>
  <c r="F53" i="2"/>
  <c r="H53" i="2" s="1"/>
  <c r="I53" i="2" s="1"/>
  <c r="D53" i="2" s="1"/>
  <c r="E54" i="2"/>
  <c r="F54" i="2"/>
  <c r="H54" i="2" s="1"/>
  <c r="I54" i="2" s="1"/>
  <c r="D54" i="2" s="1"/>
  <c r="F24" i="2"/>
  <c r="H24" i="2"/>
  <c r="I24" i="2" s="1"/>
  <c r="D24" i="2" s="1"/>
  <c r="E24" i="2"/>
  <c r="E55" i="2"/>
  <c r="F55" i="2"/>
  <c r="H55" i="2" s="1"/>
  <c r="I55" i="2" s="1"/>
  <c r="D55" i="2" s="1"/>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G6" i="2" s="1"/>
  <c r="F5" i="2"/>
  <c r="H5" i="2" s="1"/>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H37" i="2" s="1"/>
  <c r="I37" i="2" s="1"/>
  <c r="D37" i="2" s="1"/>
  <c r="G37" i="2"/>
  <c r="E39" i="2"/>
  <c r="G39" i="2" s="1"/>
  <c r="F39" i="2"/>
  <c r="H39" i="2" s="1"/>
  <c r="I39" i="2" s="1"/>
  <c r="D39" i="2" s="1"/>
  <c r="E40" i="2"/>
  <c r="F40" i="2"/>
  <c r="H40" i="2" s="1"/>
  <c r="I40" i="2" s="1"/>
  <c r="D40" i="2" s="1"/>
  <c r="E41" i="2"/>
  <c r="F41" i="2"/>
  <c r="H41" i="2" s="1"/>
  <c r="I41" i="2" s="1"/>
  <c r="D41" i="2" s="1"/>
  <c r="E42" i="2"/>
  <c r="F42" i="2"/>
  <c r="G42" i="2" s="1"/>
  <c r="E43" i="2"/>
  <c r="F43" i="2"/>
  <c r="H43" i="2" s="1"/>
  <c r="I43" i="2" s="1"/>
  <c r="D43" i="2" s="1"/>
  <c r="E44" i="2"/>
  <c r="F44" i="2"/>
  <c r="G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G16" i="2" s="1"/>
  <c r="F26" i="2"/>
  <c r="H26" i="2" s="1"/>
  <c r="I26" i="2" s="1"/>
  <c r="D26" i="2" s="1"/>
  <c r="E26" i="2"/>
  <c r="F29" i="2"/>
  <c r="H29" i="2" s="1"/>
  <c r="I29" i="2" s="1"/>
  <c r="D29" i="2" s="1"/>
  <c r="E29" i="2"/>
  <c r="G29" i="2" s="1"/>
  <c r="F30" i="2"/>
  <c r="F31" i="2"/>
  <c r="H31" i="2"/>
  <c r="I31" i="2" s="1"/>
  <c r="D31" i="2" s="1"/>
  <c r="E31" i="2"/>
  <c r="F32" i="2"/>
  <c r="H32" i="2" s="1"/>
  <c r="I32" i="2" s="1"/>
  <c r="D32" i="2" s="1"/>
  <c r="F14" i="2"/>
  <c r="H14" i="2" s="1"/>
  <c r="I14" i="2" s="1"/>
  <c r="D14" i="2" s="1"/>
  <c r="E14" i="2"/>
  <c r="E30" i="2"/>
  <c r="E32" i="2"/>
  <c r="N4" i="17"/>
  <c r="F12" i="2"/>
  <c r="E12" i="2"/>
  <c r="F11" i="2"/>
  <c r="H11" i="2" s="1"/>
  <c r="I11" i="2" s="1"/>
  <c r="E11" i="2"/>
  <c r="E17" i="2"/>
  <c r="F17" i="2"/>
  <c r="H17" i="2" s="1"/>
  <c r="I17" i="2" s="1"/>
  <c r="D17" i="2" s="1"/>
  <c r="F9" i="2"/>
  <c r="H9" i="2" s="1"/>
  <c r="I9" i="2" s="1"/>
  <c r="D9" i="2" s="1"/>
  <c r="E9" i="2"/>
  <c r="E8" i="2"/>
  <c r="F8" i="2"/>
  <c r="H8" i="2" s="1"/>
  <c r="I8" i="2" s="1"/>
  <c r="D8" i="2" s="1"/>
  <c r="E10" i="2"/>
  <c r="E4" i="2"/>
  <c r="C8" i="8"/>
  <c r="F10" i="2"/>
  <c r="H10" i="2" s="1"/>
  <c r="I10" i="2" s="1"/>
  <c r="D10" i="2" s="1"/>
  <c r="F4" i="2"/>
  <c r="H4" i="2" s="1"/>
  <c r="I4" i="2" s="1"/>
  <c r="D4" i="2" s="1"/>
  <c r="N3" i="7"/>
  <c r="N5" i="7" s="1"/>
  <c r="E6" i="11"/>
  <c r="D6" i="11"/>
  <c r="F3" i="2"/>
  <c r="J15" i="14"/>
  <c r="H94" i="2"/>
  <c r="I94" i="2"/>
  <c r="D94" i="2"/>
  <c r="G91" i="2"/>
  <c r="H98" i="2"/>
  <c r="I98" i="2"/>
  <c r="D98" i="2"/>
  <c r="H93" i="2"/>
  <c r="I93" i="2"/>
  <c r="D93" i="2"/>
  <c r="H95" i="2"/>
  <c r="I95" i="2"/>
  <c r="D95" i="2"/>
  <c r="H97" i="2"/>
  <c r="I97" i="2"/>
  <c r="D97" i="2"/>
  <c r="H82" i="2"/>
  <c r="I82" i="2" s="1"/>
  <c r="D82" i="2" s="1"/>
  <c r="B2" i="2"/>
  <c r="J30" i="15"/>
  <c r="N5" i="17"/>
  <c r="H49" i="2"/>
  <c r="I49" i="2" s="1"/>
  <c r="D49" i="2" s="1"/>
  <c r="C16" i="10"/>
  <c r="G55" i="2"/>
  <c r="G49" i="2"/>
  <c r="G69" i="2"/>
  <c r="G33" i="2"/>
  <c r="G51" i="2"/>
  <c r="G57" i="2"/>
  <c r="G66" i="2"/>
  <c r="G72" i="2"/>
  <c r="G45" i="2"/>
  <c r="G38" i="2"/>
  <c r="G31" i="2"/>
  <c r="G71" i="2"/>
  <c r="H45" i="2"/>
  <c r="I45" i="2" s="1"/>
  <c r="D45" i="2" s="1"/>
  <c r="G35" i="2"/>
  <c r="H68" i="2"/>
  <c r="I68" i="2" s="1"/>
  <c r="D68" i="2" s="1"/>
  <c r="H77" i="2"/>
  <c r="I77" i="2" s="1"/>
  <c r="D77" i="2" s="1"/>
  <c r="G76" i="2"/>
  <c r="C2" i="2"/>
  <c r="F14" i="15" l="1"/>
  <c r="G28" i="2"/>
  <c r="G56" i="2"/>
  <c r="G24" i="2"/>
  <c r="H64" i="2"/>
  <c r="I64" i="2" s="1"/>
  <c r="D64" i="2" s="1"/>
  <c r="G82" i="2"/>
  <c r="G77" i="2"/>
  <c r="G53" i="2"/>
  <c r="H89" i="2"/>
  <c r="I89" i="2" s="1"/>
  <c r="D89" i="2" s="1"/>
  <c r="G30" i="2"/>
  <c r="G7" i="2"/>
  <c r="H81" i="2"/>
  <c r="I81" i="2" s="1"/>
  <c r="D81" i="2" s="1"/>
  <c r="G15" i="2"/>
  <c r="G10" i="2"/>
  <c r="H74" i="1" s="1"/>
  <c r="G20" i="2"/>
  <c r="G84" i="2"/>
  <c r="H58" i="2"/>
  <c r="I58" i="2" s="1"/>
  <c r="D58" i="2" s="1"/>
  <c r="G65" i="2"/>
  <c r="H56" i="2"/>
  <c r="I56" i="2" s="1"/>
  <c r="D56" i="2" s="1"/>
  <c r="M110" i="9"/>
  <c r="E110" i="9"/>
  <c r="T31" i="9" s="1" a="1"/>
  <c r="T31" i="9" s="1"/>
  <c r="O110" i="9"/>
  <c r="AD31" i="9" s="1"/>
  <c r="B28" i="20" s="1"/>
  <c r="F110" i="9"/>
  <c r="U31" i="9" s="1" a="1"/>
  <c r="U31" i="9" s="1"/>
  <c r="K110" i="9"/>
  <c r="L110" i="9"/>
  <c r="AA31" i="9" s="1" a="1"/>
  <c r="AA31" i="9" s="1"/>
  <c r="C110" i="9"/>
  <c r="R31" i="9" s="1" a="1"/>
  <c r="R31" i="9" s="1"/>
  <c r="D110" i="9"/>
  <c r="S31" i="9" s="1" a="1"/>
  <c r="S31" i="9" s="1"/>
  <c r="I110" i="9"/>
  <c r="X31" i="9" s="1" a="1"/>
  <c r="X31" i="9" s="1"/>
  <c r="J110" i="9"/>
  <c r="Y31" i="9" s="1" a="1"/>
  <c r="Y31" i="9" s="1"/>
  <c r="G110" i="9"/>
  <c r="V31" i="9" s="1" a="1"/>
  <c r="V31" i="9" s="1"/>
  <c r="H110" i="9"/>
  <c r="W31" i="9" s="1" a="1"/>
  <c r="W31" i="9" s="1"/>
  <c r="J51" i="9" a="1"/>
  <c r="J51" i="9" s="1"/>
  <c r="H53" i="9" a="1"/>
  <c r="H53" i="9" s="1"/>
  <c r="L54" i="9" a="1"/>
  <c r="L54" i="9" s="1"/>
  <c r="J56" i="9" a="1"/>
  <c r="J56" i="9" s="1"/>
  <c r="G58" i="9" a="1"/>
  <c r="G58" i="9" s="1"/>
  <c r="L59" i="9" a="1"/>
  <c r="L59" i="9" s="1"/>
  <c r="J61" i="9" a="1"/>
  <c r="J61" i="9" s="1"/>
  <c r="H63" i="9" a="1"/>
  <c r="H63" i="9" s="1"/>
  <c r="M64" i="9" a="1"/>
  <c r="M64" i="9" s="1"/>
  <c r="K66" i="9" a="1"/>
  <c r="K66" i="9" s="1"/>
  <c r="I68" i="9" a="1"/>
  <c r="I68" i="9" s="1"/>
  <c r="G70" i="9" a="1"/>
  <c r="G70" i="9" s="1"/>
  <c r="L71" i="9" a="1"/>
  <c r="L71" i="9" s="1"/>
  <c r="J73" i="9" a="1"/>
  <c r="J73" i="9" s="1"/>
  <c r="H75" i="9" a="1"/>
  <c r="H75" i="9" s="1"/>
  <c r="K51" i="9" a="1"/>
  <c r="K51" i="9" s="1"/>
  <c r="I53" i="9" a="1"/>
  <c r="I53" i="9" s="1"/>
  <c r="M54" i="9" a="1"/>
  <c r="M54" i="9" s="1"/>
  <c r="K56" i="9" a="1"/>
  <c r="K56" i="9" s="1"/>
  <c r="H58" i="9" a="1"/>
  <c r="H58" i="9" s="1"/>
  <c r="M59" i="9" a="1"/>
  <c r="M59" i="9" s="1"/>
  <c r="K61" i="9" a="1"/>
  <c r="K61" i="9" s="1"/>
  <c r="I63" i="9" a="1"/>
  <c r="I63" i="9" s="1"/>
  <c r="G65" i="9" a="1"/>
  <c r="G65" i="9" s="1"/>
  <c r="L66" i="9" a="1"/>
  <c r="L66" i="9" s="1"/>
  <c r="J68" i="9" a="1"/>
  <c r="J68" i="9" s="1"/>
  <c r="H70" i="9" a="1"/>
  <c r="H70" i="9" s="1"/>
  <c r="M71" i="9" a="1"/>
  <c r="M71" i="9" s="1"/>
  <c r="K73" i="9" a="1"/>
  <c r="K73" i="9" s="1"/>
  <c r="I75" i="9" a="1"/>
  <c r="I75" i="9" s="1"/>
  <c r="G50" i="9" a="1"/>
  <c r="G50" i="9" s="1"/>
  <c r="L51" i="9" a="1"/>
  <c r="L51" i="9" s="1"/>
  <c r="G55" i="9" a="1"/>
  <c r="G55" i="9" s="1"/>
  <c r="L56" i="9" a="1"/>
  <c r="L56" i="9" s="1"/>
  <c r="I58" i="9" a="1"/>
  <c r="I58" i="9" s="1"/>
  <c r="G60" i="9" a="1"/>
  <c r="G60" i="9" s="1"/>
  <c r="L61" i="9" a="1"/>
  <c r="L61" i="9" s="1"/>
  <c r="J63" i="9" a="1"/>
  <c r="J63" i="9" s="1"/>
  <c r="H65" i="9" a="1"/>
  <c r="H65" i="9" s="1"/>
  <c r="M66" i="9" a="1"/>
  <c r="M66" i="9" s="1"/>
  <c r="K68" i="9" a="1"/>
  <c r="K68" i="9" s="1"/>
  <c r="I70" i="9" a="1"/>
  <c r="I70" i="9" s="1"/>
  <c r="G72" i="9" a="1"/>
  <c r="G72" i="9" s="1"/>
  <c r="L73" i="9" a="1"/>
  <c r="L73" i="9" s="1"/>
  <c r="J75" i="9" a="1"/>
  <c r="J75" i="9" s="1"/>
  <c r="H50" i="9" a="1"/>
  <c r="H50" i="9" s="1"/>
  <c r="M51" i="9" a="1"/>
  <c r="M51" i="9" s="1"/>
  <c r="J53" i="9" a="1"/>
  <c r="J53" i="9" s="1"/>
  <c r="H55" i="9" a="1"/>
  <c r="H55" i="9" s="1"/>
  <c r="M56" i="9" a="1"/>
  <c r="M56" i="9" s="1"/>
  <c r="J58" i="9" a="1"/>
  <c r="J58" i="9" s="1"/>
  <c r="H60" i="9" a="1"/>
  <c r="H60" i="9" s="1"/>
  <c r="M61" i="9" a="1"/>
  <c r="M61" i="9" s="1"/>
  <c r="K63" i="9" a="1"/>
  <c r="K63" i="9" s="1"/>
  <c r="I65" i="9" a="1"/>
  <c r="I65" i="9" s="1"/>
  <c r="G67" i="9" a="1"/>
  <c r="G67" i="9" s="1"/>
  <c r="L68" i="9" a="1"/>
  <c r="L68" i="9" s="1"/>
  <c r="J70" i="9" a="1"/>
  <c r="J70" i="9" s="1"/>
  <c r="H72" i="9" a="1"/>
  <c r="H72" i="9" s="1"/>
  <c r="M73" i="9" a="1"/>
  <c r="M73" i="9" s="1"/>
  <c r="K75" i="9" a="1"/>
  <c r="K75" i="9" s="1"/>
  <c r="O86" i="9"/>
  <c r="AD7" i="9" s="1"/>
  <c r="B4" i="20" s="1"/>
  <c r="O98" i="9"/>
  <c r="AD19" i="9" s="1"/>
  <c r="C86" i="9"/>
  <c r="R7" i="9" s="1" a="1"/>
  <c r="R7" i="9" s="1"/>
  <c r="D87" i="9"/>
  <c r="S8" i="9" s="1" a="1"/>
  <c r="S8" i="9" s="1"/>
  <c r="E88" i="9"/>
  <c r="T9" i="9" s="1" a="1"/>
  <c r="T9" i="9" s="1"/>
  <c r="F89" i="9"/>
  <c r="U10" i="9" s="1" a="1"/>
  <c r="U10" i="9" s="1"/>
  <c r="G90" i="9"/>
  <c r="V11" i="9" s="1" a="1"/>
  <c r="V11" i="9" s="1"/>
  <c r="H91" i="9"/>
  <c r="W12" i="9" s="1" a="1"/>
  <c r="W12" i="9" s="1"/>
  <c r="I92" i="9"/>
  <c r="X13" i="9" s="1" a="1"/>
  <c r="X13" i="9" s="1"/>
  <c r="J93" i="9"/>
  <c r="Y14" i="9" s="1" a="1"/>
  <c r="Y14" i="9" s="1"/>
  <c r="K94" i="9"/>
  <c r="Z15" i="9" s="1" a="1"/>
  <c r="Z15" i="9" s="1"/>
  <c r="L95" i="9"/>
  <c r="AA16" i="9" s="1" a="1"/>
  <c r="AA16" i="9" s="1"/>
  <c r="M96" i="9"/>
  <c r="AB17" i="9" s="1" a="1"/>
  <c r="AB17" i="9" s="1"/>
  <c r="C98" i="9"/>
  <c r="R19" i="9" s="1" a="1"/>
  <c r="R19" i="9" s="1"/>
  <c r="D99" i="9"/>
  <c r="S20" i="9" s="1" a="1"/>
  <c r="S20" i="9" s="1"/>
  <c r="E100" i="9"/>
  <c r="T21" i="9" s="1" a="1"/>
  <c r="T21" i="9" s="1"/>
  <c r="F101" i="9"/>
  <c r="U22" i="9" s="1" a="1"/>
  <c r="U22" i="9" s="1"/>
  <c r="G102" i="9"/>
  <c r="V23" i="9" s="1" a="1"/>
  <c r="V23" i="9" s="1"/>
  <c r="H103" i="9"/>
  <c r="W24" i="9" s="1" a="1"/>
  <c r="W24" i="9" s="1"/>
  <c r="I104" i="9"/>
  <c r="X25" i="9" s="1" a="1"/>
  <c r="X25" i="9" s="1"/>
  <c r="J105" i="9"/>
  <c r="Y26" i="9" s="1" a="1"/>
  <c r="Y26" i="9" s="1"/>
  <c r="K106" i="9"/>
  <c r="Z27" i="9" s="1" a="1"/>
  <c r="Z27" i="9" s="1"/>
  <c r="L107" i="9"/>
  <c r="AA28" i="9" s="1" a="1"/>
  <c r="AA28" i="9" s="1"/>
  <c r="M108" i="9"/>
  <c r="AB29" i="9" s="1" a="1"/>
  <c r="AB29" i="9" s="1"/>
  <c r="O87" i="9"/>
  <c r="AD8" i="9" s="1"/>
  <c r="B5" i="20" s="1"/>
  <c r="O99" i="9"/>
  <c r="AD20" i="9" s="1"/>
  <c r="B17" i="20" s="1"/>
  <c r="C85" i="9"/>
  <c r="R6" i="9" s="1" a="1"/>
  <c r="R6" i="9" s="1"/>
  <c r="D86" i="9"/>
  <c r="S7" i="9" s="1" a="1"/>
  <c r="S7" i="9" s="1"/>
  <c r="E87" i="9"/>
  <c r="T8" i="9" s="1" a="1"/>
  <c r="T8" i="9" s="1"/>
  <c r="F88" i="9"/>
  <c r="U9" i="9" s="1" a="1"/>
  <c r="U9" i="9" s="1"/>
  <c r="G89" i="9"/>
  <c r="V10" i="9" s="1" a="1"/>
  <c r="V10" i="9" s="1"/>
  <c r="H90" i="9"/>
  <c r="W11" i="9" s="1" a="1"/>
  <c r="W11" i="9" s="1"/>
  <c r="I91" i="9"/>
  <c r="X12" i="9" s="1" a="1"/>
  <c r="X12" i="9" s="1"/>
  <c r="J92" i="9"/>
  <c r="Y13" i="9" s="1" a="1"/>
  <c r="Y13" i="9" s="1"/>
  <c r="K93" i="9"/>
  <c r="Z14" i="9" s="1" a="1"/>
  <c r="Z14" i="9" s="1"/>
  <c r="M95" i="9"/>
  <c r="AB16" i="9" s="1" a="1"/>
  <c r="AB16" i="9" s="1"/>
  <c r="C97" i="9"/>
  <c r="R18" i="9" s="1" a="1"/>
  <c r="R18" i="9" s="1"/>
  <c r="D98" i="9"/>
  <c r="S19" i="9" s="1" a="1"/>
  <c r="S19" i="9" s="1"/>
  <c r="E99" i="9"/>
  <c r="T20" i="9" s="1" a="1"/>
  <c r="T20" i="9" s="1"/>
  <c r="F100" i="9"/>
  <c r="U21" i="9" s="1" a="1"/>
  <c r="U21" i="9" s="1"/>
  <c r="G101" i="9"/>
  <c r="V22" i="9" s="1" a="1"/>
  <c r="V22" i="9" s="1"/>
  <c r="H102" i="9"/>
  <c r="W23" i="9" s="1" a="1"/>
  <c r="W23" i="9" s="1"/>
  <c r="I103" i="9"/>
  <c r="X24" i="9" s="1" a="1"/>
  <c r="X24" i="9" s="1"/>
  <c r="K105" i="9"/>
  <c r="Z26" i="9" s="1" a="1"/>
  <c r="Z26" i="9" s="1"/>
  <c r="L106" i="9"/>
  <c r="AA27" i="9" s="1" a="1"/>
  <c r="AA27" i="9" s="1"/>
  <c r="I50" i="9" a="1"/>
  <c r="I50" i="9" s="1"/>
  <c r="G52" i="9" a="1"/>
  <c r="G52" i="9" s="1"/>
  <c r="K53" i="9" a="1"/>
  <c r="K53" i="9" s="1"/>
  <c r="I55" i="9" a="1"/>
  <c r="I55" i="9" s="1"/>
  <c r="G57" i="9" a="1"/>
  <c r="G57" i="9" s="1"/>
  <c r="K58" i="9" a="1"/>
  <c r="K58" i="9" s="1"/>
  <c r="I60" i="9" a="1"/>
  <c r="I60" i="9" s="1"/>
  <c r="G62" i="9" a="1"/>
  <c r="G62" i="9" s="1"/>
  <c r="L63" i="9" a="1"/>
  <c r="L63" i="9" s="1"/>
  <c r="J65" i="9" a="1"/>
  <c r="J65" i="9" s="1"/>
  <c r="H67" i="9" a="1"/>
  <c r="H67" i="9" s="1"/>
  <c r="M68" i="9" a="1"/>
  <c r="M68" i="9" s="1"/>
  <c r="K70" i="9" a="1"/>
  <c r="K70" i="9" s="1"/>
  <c r="I72" i="9" a="1"/>
  <c r="I72" i="9" s="1"/>
  <c r="G74" i="9" a="1"/>
  <c r="G74" i="9" s="1"/>
  <c r="L75" i="9" a="1"/>
  <c r="L75" i="9" s="1"/>
  <c r="L94" i="9"/>
  <c r="AA15" i="9" s="1" a="1"/>
  <c r="AA15" i="9" s="1"/>
  <c r="J104" i="9"/>
  <c r="Y25" i="9" s="1" a="1"/>
  <c r="Y25" i="9" s="1"/>
  <c r="M107" i="9"/>
  <c r="AB28" i="9" s="1" a="1"/>
  <c r="AB28" i="9" s="1"/>
  <c r="K50" i="9" a="1"/>
  <c r="K50" i="9" s="1"/>
  <c r="I52" i="9" a="1"/>
  <c r="I52" i="9" s="1"/>
  <c r="M53" i="9" a="1"/>
  <c r="M53" i="9" s="1"/>
  <c r="K55" i="9" a="1"/>
  <c r="K55" i="9" s="1"/>
  <c r="I57" i="9" a="1"/>
  <c r="I57" i="9" s="1"/>
  <c r="M58" i="9" a="1"/>
  <c r="M58" i="9" s="1"/>
  <c r="K60" i="9" a="1"/>
  <c r="K60" i="9" s="1"/>
  <c r="I62" i="9" a="1"/>
  <c r="I62" i="9" s="1"/>
  <c r="G64" i="9" a="1"/>
  <c r="G64" i="9" s="1"/>
  <c r="L65" i="9" a="1"/>
  <c r="L65" i="9" s="1"/>
  <c r="J67" i="9" a="1"/>
  <c r="J67" i="9" s="1"/>
  <c r="Z31" i="9" a="1"/>
  <c r="Z31" i="9" s="1"/>
  <c r="M50" i="9" a="1"/>
  <c r="M50" i="9" s="1"/>
  <c r="K52" i="9" a="1"/>
  <c r="K52" i="9" s="1"/>
  <c r="H54" i="9" a="1"/>
  <c r="H54" i="9" s="1"/>
  <c r="M55" i="9" a="1"/>
  <c r="M55" i="9" s="1"/>
  <c r="J57" i="9" a="1"/>
  <c r="J57" i="9" s="1"/>
  <c r="H59" i="9" a="1"/>
  <c r="H59" i="9" s="1"/>
  <c r="M60" i="9" a="1"/>
  <c r="M60" i="9" s="1"/>
  <c r="K62" i="9" a="1"/>
  <c r="K62" i="9" s="1"/>
  <c r="I64" i="9" a="1"/>
  <c r="I64" i="9" s="1"/>
  <c r="G66" i="9" a="1"/>
  <c r="G66" i="9" s="1"/>
  <c r="L67" i="9" a="1"/>
  <c r="L67" i="9" s="1"/>
  <c r="J69" i="9" a="1"/>
  <c r="J69" i="9" s="1"/>
  <c r="H71" i="9" a="1"/>
  <c r="H71" i="9" s="1"/>
  <c r="M72" i="9" a="1"/>
  <c r="M72" i="9" s="1"/>
  <c r="K74" i="9" a="1"/>
  <c r="K74" i="9" s="1"/>
  <c r="G51" i="9" a="1"/>
  <c r="G51" i="9" s="1"/>
  <c r="L52" i="9" a="1"/>
  <c r="L52" i="9" s="1"/>
  <c r="I54" i="9" a="1"/>
  <c r="I54" i="9" s="1"/>
  <c r="G56" i="9" a="1"/>
  <c r="G56" i="9" s="1"/>
  <c r="K57" i="9" a="1"/>
  <c r="K57" i="9" s="1"/>
  <c r="I59" i="9" a="1"/>
  <c r="I59" i="9" s="1"/>
  <c r="G61" i="9" a="1"/>
  <c r="G61" i="9" s="1"/>
  <c r="L62" i="9" a="1"/>
  <c r="L62" i="9" s="1"/>
  <c r="J64" i="9" a="1"/>
  <c r="J64" i="9" s="1"/>
  <c r="H66" i="9" a="1"/>
  <c r="H66" i="9" s="1"/>
  <c r="M67" i="9" a="1"/>
  <c r="M67" i="9" s="1"/>
  <c r="K69" i="9" a="1"/>
  <c r="K69" i="9" s="1"/>
  <c r="I71" i="9" a="1"/>
  <c r="I71" i="9" s="1"/>
  <c r="G73" i="9" a="1"/>
  <c r="G73" i="9" s="1"/>
  <c r="L74" i="9" a="1"/>
  <c r="L74" i="9" s="1"/>
  <c r="I51" i="9" a="1"/>
  <c r="I51" i="9" s="1"/>
  <c r="I56" i="9" a="1"/>
  <c r="I56" i="9" s="1"/>
  <c r="I61" i="9" a="1"/>
  <c r="I61" i="9" s="1"/>
  <c r="J66" i="9" a="1"/>
  <c r="J66" i="9" s="1"/>
  <c r="G71" i="9" a="1"/>
  <c r="G71" i="9" s="1"/>
  <c r="G75" i="9" a="1"/>
  <c r="G75" i="9" s="1"/>
  <c r="O95" i="9"/>
  <c r="AD16" i="9" s="1"/>
  <c r="B13" i="20" s="1"/>
  <c r="O109" i="9"/>
  <c r="AD30" i="9" s="1"/>
  <c r="B27" i="20" s="1"/>
  <c r="F86" i="9"/>
  <c r="U7" i="9" s="1" a="1"/>
  <c r="U7" i="9" s="1"/>
  <c r="I87" i="9"/>
  <c r="X8" i="9" s="1" a="1"/>
  <c r="X8" i="9" s="1"/>
  <c r="L88" i="9"/>
  <c r="AA9" i="9" s="1" a="1"/>
  <c r="AA9" i="9" s="1"/>
  <c r="D90" i="9"/>
  <c r="S11" i="9" s="1" a="1"/>
  <c r="S11" i="9" s="1"/>
  <c r="G91" i="9"/>
  <c r="V12" i="9" s="1" a="1"/>
  <c r="V12" i="9" s="1"/>
  <c r="L92" i="9"/>
  <c r="AA13" i="9" s="1" a="1"/>
  <c r="AA13" i="9" s="1"/>
  <c r="D94" i="9"/>
  <c r="S15" i="9" s="1" a="1"/>
  <c r="S15" i="9" s="1"/>
  <c r="G95" i="9"/>
  <c r="J96" i="9"/>
  <c r="Y17" i="9" s="1" a="1"/>
  <c r="Y17" i="9" s="1"/>
  <c r="M97" i="9"/>
  <c r="AB18" i="9" s="1" a="1"/>
  <c r="AB18" i="9" s="1"/>
  <c r="G99" i="9"/>
  <c r="J100" i="9"/>
  <c r="Y21" i="9" s="1" a="1"/>
  <c r="Y21" i="9" s="1"/>
  <c r="M101" i="9"/>
  <c r="AB22" i="9" s="1" a="1"/>
  <c r="AB22" i="9" s="1"/>
  <c r="E103" i="9"/>
  <c r="T24" i="9" s="1" a="1"/>
  <c r="T24" i="9" s="1"/>
  <c r="H104" i="9"/>
  <c r="W25" i="9" s="1" a="1"/>
  <c r="W25" i="9" s="1"/>
  <c r="M105" i="9"/>
  <c r="AB26" i="9" s="1" a="1"/>
  <c r="AB26" i="9" s="1"/>
  <c r="E107" i="9"/>
  <c r="T28" i="9" s="1" a="1"/>
  <c r="T28" i="9" s="1"/>
  <c r="H108" i="9"/>
  <c r="W29" i="9" s="1" a="1"/>
  <c r="W29" i="9" s="1"/>
  <c r="J109" i="9"/>
  <c r="Y30" i="9" s="1" a="1"/>
  <c r="Y30" i="9" s="1"/>
  <c r="G63" i="9" a="1"/>
  <c r="G63" i="9" s="1"/>
  <c r="O101" i="9"/>
  <c r="AD22" i="9" s="1"/>
  <c r="B19" i="20" s="1"/>
  <c r="J86" i="9"/>
  <c r="Y7" i="9" s="1" a="1"/>
  <c r="Y7" i="9" s="1"/>
  <c r="J90" i="9"/>
  <c r="Y11" i="9" s="1" a="1"/>
  <c r="Y11" i="9" s="1"/>
  <c r="H94" i="9"/>
  <c r="W15" i="9" s="1" a="1"/>
  <c r="W15" i="9" s="1"/>
  <c r="E97" i="9"/>
  <c r="T18" i="9" s="1" a="1"/>
  <c r="T18" i="9" s="1"/>
  <c r="K99" i="9"/>
  <c r="Z20" i="9" s="1" a="1"/>
  <c r="Z20" i="9" s="1"/>
  <c r="F102" i="9"/>
  <c r="U23" i="9" s="1" a="1"/>
  <c r="U23" i="9" s="1"/>
  <c r="C105" i="9"/>
  <c r="R26" i="9" s="1" a="1"/>
  <c r="R26" i="9" s="1"/>
  <c r="I107" i="9"/>
  <c r="X28" i="9" s="1" a="1"/>
  <c r="X28" i="9" s="1"/>
  <c r="J60" i="9" a="1"/>
  <c r="J60" i="9" s="1"/>
  <c r="H52" i="9" a="1"/>
  <c r="H52" i="9" s="1"/>
  <c r="H57" i="9" a="1"/>
  <c r="H57" i="9" s="1"/>
  <c r="H62" i="9" a="1"/>
  <c r="H62" i="9" s="1"/>
  <c r="I67" i="9" a="1"/>
  <c r="I67" i="9" s="1"/>
  <c r="J71" i="9" a="1"/>
  <c r="J71" i="9" s="1"/>
  <c r="M75" i="9" a="1"/>
  <c r="M75" i="9" s="1"/>
  <c r="O96" i="9"/>
  <c r="AD17" i="9" s="1"/>
  <c r="D85" i="9"/>
  <c r="S6" i="9" s="1" a="1"/>
  <c r="S6" i="9" s="1"/>
  <c r="G86" i="9"/>
  <c r="J87" i="9"/>
  <c r="Y8" i="9" s="1" a="1"/>
  <c r="Y8" i="9" s="1"/>
  <c r="M88" i="9"/>
  <c r="AB9" i="9" s="1" a="1"/>
  <c r="AB9" i="9" s="1"/>
  <c r="E90" i="9"/>
  <c r="T11" i="9" s="1" a="1"/>
  <c r="T11" i="9" s="1"/>
  <c r="J91" i="9"/>
  <c r="Y12" i="9" s="1" a="1"/>
  <c r="Y12" i="9" s="1"/>
  <c r="M92" i="9"/>
  <c r="AB13" i="9" s="1" a="1"/>
  <c r="AB13" i="9" s="1"/>
  <c r="E94" i="9"/>
  <c r="T15" i="9" s="1" a="1"/>
  <c r="T15" i="9" s="1"/>
  <c r="H95" i="9"/>
  <c r="W16" i="9" s="1" a="1"/>
  <c r="W16" i="9" s="1"/>
  <c r="K96" i="9"/>
  <c r="Z17" i="9" s="1" a="1"/>
  <c r="Z17" i="9" s="1"/>
  <c r="E98" i="9"/>
  <c r="T19" i="9" s="1" a="1"/>
  <c r="T19" i="9" s="1"/>
  <c r="H99" i="9"/>
  <c r="W20" i="9" s="1" a="1"/>
  <c r="W20" i="9" s="1"/>
  <c r="K100" i="9"/>
  <c r="Z21" i="9" s="1" a="1"/>
  <c r="Z21" i="9" s="1"/>
  <c r="C102" i="9"/>
  <c r="R23" i="9" s="1" a="1"/>
  <c r="R23" i="9" s="1"/>
  <c r="F103" i="9"/>
  <c r="U24" i="9" s="1" a="1"/>
  <c r="U24" i="9" s="1"/>
  <c r="K104" i="9"/>
  <c r="Z25" i="9" s="1" a="1"/>
  <c r="Z25" i="9" s="1"/>
  <c r="C106" i="9"/>
  <c r="R27" i="9" s="1" a="1"/>
  <c r="R27" i="9" s="1"/>
  <c r="F107" i="9"/>
  <c r="U28" i="9" s="1" a="1"/>
  <c r="U28" i="9" s="1"/>
  <c r="I108" i="9"/>
  <c r="X29" i="9" s="1" a="1"/>
  <c r="X29" i="9" s="1"/>
  <c r="K109" i="9"/>
  <c r="Z30" i="9" s="1" a="1"/>
  <c r="Z30" i="9" s="1"/>
  <c r="K71" i="9" a="1"/>
  <c r="K71" i="9" s="1"/>
  <c r="O97" i="9"/>
  <c r="AD18" i="9" s="1"/>
  <c r="B15" i="20" s="1"/>
  <c r="H86" i="9"/>
  <c r="W7" i="9" s="1" a="1"/>
  <c r="W7" i="9" s="1"/>
  <c r="C89" i="9"/>
  <c r="R10" i="9" s="1" a="1"/>
  <c r="R10" i="9" s="1"/>
  <c r="K91" i="9"/>
  <c r="Z12" i="9" s="1" a="1"/>
  <c r="Z12" i="9" s="1"/>
  <c r="C93" i="9"/>
  <c r="R14" i="9" s="1" a="1"/>
  <c r="R14" i="9" s="1"/>
  <c r="I95" i="9"/>
  <c r="X16" i="9" s="1" a="1"/>
  <c r="X16" i="9" s="1"/>
  <c r="F98" i="9"/>
  <c r="U19" i="9" s="1" a="1"/>
  <c r="U19" i="9" s="1"/>
  <c r="L100" i="9"/>
  <c r="AA21" i="9" s="1" a="1"/>
  <c r="AA21" i="9" s="1"/>
  <c r="G103" i="9"/>
  <c r="D106" i="9"/>
  <c r="S27" i="9" s="1" a="1"/>
  <c r="S27" i="9" s="1"/>
  <c r="J108" i="9"/>
  <c r="Y29" i="9" s="1" a="1"/>
  <c r="Y29" i="9" s="1"/>
  <c r="L57" i="9" a="1"/>
  <c r="L57" i="9" s="1"/>
  <c r="J72" i="9" a="1"/>
  <c r="J72" i="9" s="1"/>
  <c r="G53" i="9" a="1"/>
  <c r="G53" i="9" s="1"/>
  <c r="K72" i="9" a="1"/>
  <c r="K72" i="9" s="1"/>
  <c r="O85" i="9"/>
  <c r="AD6" i="9" s="1"/>
  <c r="G85" i="9"/>
  <c r="V6" i="9" s="1" a="1"/>
  <c r="V6" i="9" s="1"/>
  <c r="M87" i="9"/>
  <c r="AB8" i="9" s="1" a="1"/>
  <c r="AB8" i="9" s="1"/>
  <c r="E89" i="9"/>
  <c r="T10" i="9" s="1" a="1"/>
  <c r="T10" i="9" s="1"/>
  <c r="M91" i="9"/>
  <c r="AB12" i="9" s="1" a="1"/>
  <c r="AB12" i="9" s="1"/>
  <c r="E93" i="9"/>
  <c r="T14" i="9" s="1" a="1"/>
  <c r="T14" i="9" s="1"/>
  <c r="K95" i="9"/>
  <c r="Z16" i="9" s="1" a="1"/>
  <c r="Z16" i="9" s="1"/>
  <c r="H98" i="9"/>
  <c r="W19" i="9" s="1" a="1"/>
  <c r="W19" i="9" s="1"/>
  <c r="C101" i="9"/>
  <c r="R22" i="9" s="1" a="1"/>
  <c r="R22" i="9" s="1"/>
  <c r="K103" i="9"/>
  <c r="Z24" i="9" s="1" a="1"/>
  <c r="Z24" i="9" s="1"/>
  <c r="F106" i="9"/>
  <c r="U27" i="9" s="1" a="1"/>
  <c r="U27" i="9" s="1"/>
  <c r="L108" i="9"/>
  <c r="AA29" i="9" s="1" a="1"/>
  <c r="AA29" i="9" s="1"/>
  <c r="L55" i="9" a="1"/>
  <c r="L55" i="9" s="1"/>
  <c r="O93" i="9"/>
  <c r="O107" i="9"/>
  <c r="AD28" i="9" s="1"/>
  <c r="B25" i="20" s="1"/>
  <c r="G87" i="9"/>
  <c r="V8" i="9" s="1" a="1"/>
  <c r="V8" i="9" s="1"/>
  <c r="J88" i="9"/>
  <c r="Y9" i="9" s="1" a="1"/>
  <c r="Y9" i="9" s="1"/>
  <c r="E91" i="9"/>
  <c r="T12" i="9" s="1" a="1"/>
  <c r="T12" i="9" s="1"/>
  <c r="M93" i="9"/>
  <c r="AB14" i="9" s="1" a="1"/>
  <c r="AB14" i="9" s="1"/>
  <c r="E95" i="9"/>
  <c r="T16" i="9" s="1" a="1"/>
  <c r="T16" i="9" s="1"/>
  <c r="K97" i="9"/>
  <c r="Z18" i="9" s="1" a="1"/>
  <c r="Z18" i="9" s="1"/>
  <c r="C103" i="9"/>
  <c r="R24" i="9" s="1" a="1"/>
  <c r="R24" i="9" s="1"/>
  <c r="H109" i="9"/>
  <c r="W30" i="9" s="1" a="1"/>
  <c r="W30" i="9" s="1"/>
  <c r="J52" i="9" a="1"/>
  <c r="J52" i="9" s="1"/>
  <c r="J62" i="9" a="1"/>
  <c r="J62" i="9" s="1"/>
  <c r="K67" i="9" a="1"/>
  <c r="K67" i="9" s="1"/>
  <c r="E85" i="9"/>
  <c r="T6" i="9" s="1" a="1"/>
  <c r="T6" i="9" s="1"/>
  <c r="K87" i="9"/>
  <c r="Z8" i="9" s="1" a="1"/>
  <c r="Z8" i="9" s="1"/>
  <c r="F90" i="9"/>
  <c r="U11" i="9" s="1" a="1"/>
  <c r="U11" i="9" s="1"/>
  <c r="F94" i="9"/>
  <c r="U15" i="9" s="1" a="1"/>
  <c r="U15" i="9" s="1"/>
  <c r="L96" i="9"/>
  <c r="AA17" i="9" s="1" a="1"/>
  <c r="AA17" i="9" s="1"/>
  <c r="I99" i="9"/>
  <c r="X20" i="9" s="1" a="1"/>
  <c r="X20" i="9" s="1"/>
  <c r="D102" i="9"/>
  <c r="S23" i="9" s="1" a="1"/>
  <c r="S23" i="9" s="1"/>
  <c r="L104" i="9"/>
  <c r="AA25" i="9" s="1" a="1"/>
  <c r="AA25" i="9" s="1"/>
  <c r="G107" i="9"/>
  <c r="L109" i="9"/>
  <c r="AA30" i="9" s="1" a="1"/>
  <c r="AA30" i="9" s="1"/>
  <c r="M52" i="9" a="1"/>
  <c r="M52" i="9" s="1"/>
  <c r="M62" i="9" a="1"/>
  <c r="M62" i="9" s="1"/>
  <c r="G68" i="9" a="1"/>
  <c r="G68" i="9" s="1"/>
  <c r="O100" i="9"/>
  <c r="F85" i="9"/>
  <c r="U6" i="9" s="1" a="1"/>
  <c r="U6" i="9" s="1"/>
  <c r="I86" i="9"/>
  <c r="X7" i="9" s="1" a="1"/>
  <c r="X7" i="9" s="1"/>
  <c r="L87" i="9"/>
  <c r="AA8" i="9" s="1" a="1"/>
  <c r="AA8" i="9" s="1"/>
  <c r="D89" i="9"/>
  <c r="S10" i="9" s="1" a="1"/>
  <c r="S10" i="9" s="1"/>
  <c r="I90" i="9"/>
  <c r="X11" i="9" s="1" a="1"/>
  <c r="X11" i="9" s="1"/>
  <c r="L91" i="9"/>
  <c r="AA12" i="9" s="1" a="1"/>
  <c r="AA12" i="9" s="1"/>
  <c r="D93" i="9"/>
  <c r="S14" i="9" s="1" a="1"/>
  <c r="S14" i="9" s="1"/>
  <c r="G94" i="9"/>
  <c r="V15" i="9" s="1" a="1"/>
  <c r="V15" i="9" s="1"/>
  <c r="J95" i="9"/>
  <c r="Y16" i="9" s="1" a="1"/>
  <c r="Y16" i="9" s="1"/>
  <c r="D97" i="9"/>
  <c r="S18" i="9" s="1" a="1"/>
  <c r="S18" i="9" s="1"/>
  <c r="G98" i="9"/>
  <c r="J99" i="9"/>
  <c r="Y20" i="9" s="1" a="1"/>
  <c r="Y20" i="9" s="1"/>
  <c r="M100" i="9"/>
  <c r="AB21" i="9" s="1" a="1"/>
  <c r="AB21" i="9" s="1"/>
  <c r="E102" i="9"/>
  <c r="T23" i="9" s="1" a="1"/>
  <c r="T23" i="9" s="1"/>
  <c r="J103" i="9"/>
  <c r="Y24" i="9" s="1" a="1"/>
  <c r="Y24" i="9" s="1"/>
  <c r="M104" i="9"/>
  <c r="AB25" i="9" s="1" a="1"/>
  <c r="AB25" i="9" s="1"/>
  <c r="E106" i="9"/>
  <c r="T27" i="9" s="1" a="1"/>
  <c r="T27" i="9" s="1"/>
  <c r="H107" i="9"/>
  <c r="W28" i="9" s="1" a="1"/>
  <c r="W28" i="9" s="1"/>
  <c r="K108" i="9"/>
  <c r="Z29" i="9" s="1" a="1"/>
  <c r="Z29" i="9" s="1"/>
  <c r="M109" i="9"/>
  <c r="AB30" i="9" s="1" a="1"/>
  <c r="AB30" i="9" s="1"/>
  <c r="M57" i="9" a="1"/>
  <c r="M57" i="9" s="1"/>
  <c r="H68" i="9" a="1"/>
  <c r="H68" i="9" s="1"/>
  <c r="O89" i="9"/>
  <c r="O103" i="9"/>
  <c r="AD24" i="9" s="1"/>
  <c r="B21" i="20" s="1"/>
  <c r="I85" i="9"/>
  <c r="X6" i="9" s="1" a="1"/>
  <c r="X6" i="9" s="1"/>
  <c r="L86" i="9"/>
  <c r="AA7" i="9" s="1" a="1"/>
  <c r="AA7" i="9" s="1"/>
  <c r="D88" i="9"/>
  <c r="S9" i="9" s="1" a="1"/>
  <c r="S9" i="9" s="1"/>
  <c r="I89" i="9"/>
  <c r="X10" i="9" s="1" a="1"/>
  <c r="X10" i="9" s="1"/>
  <c r="L90" i="9"/>
  <c r="AA11" i="9" s="1" a="1"/>
  <c r="AA11" i="9" s="1"/>
  <c r="D92" i="9"/>
  <c r="S13" i="9" s="1" a="1"/>
  <c r="S13" i="9" s="1"/>
  <c r="G93" i="9"/>
  <c r="V14" i="9" s="1" a="1"/>
  <c r="V14" i="9" s="1"/>
  <c r="J94" i="9"/>
  <c r="Y15" i="9" s="1" a="1"/>
  <c r="Y15" i="9" s="1"/>
  <c r="D96" i="9"/>
  <c r="S17" i="9" s="1" a="1"/>
  <c r="S17" i="9" s="1"/>
  <c r="G97" i="9"/>
  <c r="J98" i="9"/>
  <c r="Y19" i="9" s="1" a="1"/>
  <c r="Y19" i="9" s="1"/>
  <c r="M99" i="9"/>
  <c r="AB20" i="9" s="1" a="1"/>
  <c r="AB20" i="9" s="1"/>
  <c r="E101" i="9"/>
  <c r="T22" i="9" s="1" a="1"/>
  <c r="T22" i="9" s="1"/>
  <c r="J102" i="9"/>
  <c r="Y23" i="9" s="1" a="1"/>
  <c r="Y23" i="9" s="1"/>
  <c r="M103" i="9"/>
  <c r="AB24" i="9" s="1" a="1"/>
  <c r="AB24" i="9" s="1"/>
  <c r="E105" i="9"/>
  <c r="T26" i="9" s="1" a="1"/>
  <c r="T26" i="9" s="1"/>
  <c r="H106" i="9"/>
  <c r="W27" i="9" s="1" a="1"/>
  <c r="W27" i="9" s="1"/>
  <c r="K107" i="9"/>
  <c r="Z28" i="9" s="1" a="1"/>
  <c r="Z28" i="9" s="1"/>
  <c r="D109" i="9"/>
  <c r="S30" i="9" s="1" a="1"/>
  <c r="S30" i="9" s="1"/>
  <c r="H74" i="9" a="1"/>
  <c r="H74" i="9" s="1"/>
  <c r="O91" i="9"/>
  <c r="AD12" i="9" s="1"/>
  <c r="B9" i="20" s="1"/>
  <c r="K85" i="9"/>
  <c r="Z6" i="9" s="1" a="1"/>
  <c r="Z6" i="9" s="1"/>
  <c r="H88" i="9"/>
  <c r="W9" i="9" s="1" a="1"/>
  <c r="W9" i="9" s="1"/>
  <c r="K89" i="9"/>
  <c r="Z10" i="9" s="1" a="1"/>
  <c r="Z10" i="9" s="1"/>
  <c r="F92" i="9"/>
  <c r="U13" i="9" s="1" a="1"/>
  <c r="U13" i="9" s="1"/>
  <c r="I93" i="9"/>
  <c r="X14" i="9" s="1" a="1"/>
  <c r="X14" i="9" s="1"/>
  <c r="F96" i="9"/>
  <c r="U17" i="9" s="1" a="1"/>
  <c r="U17" i="9" s="1"/>
  <c r="I97" i="9"/>
  <c r="X18" i="9" s="1" a="1"/>
  <c r="X18" i="9" s="1"/>
  <c r="D100" i="9"/>
  <c r="S21" i="9" s="1" a="1"/>
  <c r="S21" i="9" s="1"/>
  <c r="I101" i="9"/>
  <c r="X22" i="9" s="1" a="1"/>
  <c r="X22" i="9" s="1"/>
  <c r="D104" i="9"/>
  <c r="S25" i="9" s="1" a="1"/>
  <c r="S25" i="9" s="1"/>
  <c r="G105" i="9"/>
  <c r="D108" i="9"/>
  <c r="S29" i="9" s="1" a="1"/>
  <c r="S29" i="9" s="1"/>
  <c r="J50" i="9" a="1"/>
  <c r="J50" i="9" s="1"/>
  <c r="K65" i="9" a="1"/>
  <c r="K65" i="9" s="1"/>
  <c r="M69" i="9" a="1"/>
  <c r="M69" i="9" s="1"/>
  <c r="O92" i="9"/>
  <c r="AD13" i="9" s="1"/>
  <c r="O106" i="9"/>
  <c r="AD27" i="9" s="1"/>
  <c r="B24" i="20" s="1"/>
  <c r="L85" i="9"/>
  <c r="AA6" i="9" s="1" a="1"/>
  <c r="AA6" i="9" s="1"/>
  <c r="F87" i="9"/>
  <c r="U8" i="9" s="1" a="1"/>
  <c r="U8" i="9" s="1"/>
  <c r="I88" i="9"/>
  <c r="X9" i="9" s="1" a="1"/>
  <c r="X9" i="9" s="1"/>
  <c r="L89" i="9"/>
  <c r="AA10" i="9" s="1" a="1"/>
  <c r="AA10" i="9" s="1"/>
  <c r="D91" i="9"/>
  <c r="S12" i="9" s="1" a="1"/>
  <c r="S12" i="9" s="1"/>
  <c r="G92" i="9"/>
  <c r="V13" i="9" s="1" a="1"/>
  <c r="V13" i="9" s="1"/>
  <c r="L93" i="9"/>
  <c r="AA14" i="9" s="1" a="1"/>
  <c r="AA14" i="9" s="1"/>
  <c r="D95" i="9"/>
  <c r="S16" i="9" s="1" a="1"/>
  <c r="S16" i="9" s="1"/>
  <c r="G96" i="9"/>
  <c r="G100" i="9"/>
  <c r="V21" i="9" s="1" a="1"/>
  <c r="V21" i="9" s="1"/>
  <c r="J101" i="9"/>
  <c r="Y22" i="9" s="1" a="1"/>
  <c r="Y22" i="9" s="1"/>
  <c r="M102" i="9"/>
  <c r="AB23" i="9" s="1" a="1"/>
  <c r="AB23" i="9" s="1"/>
  <c r="E104" i="9"/>
  <c r="T25" i="9" s="1" a="1"/>
  <c r="T25" i="9" s="1"/>
  <c r="H105" i="9"/>
  <c r="W26" i="9" s="1" a="1"/>
  <c r="W26" i="9" s="1"/>
  <c r="M106" i="9"/>
  <c r="AB27" i="9" s="1" a="1"/>
  <c r="AB27" i="9" s="1"/>
  <c r="L50" i="9" a="1"/>
  <c r="L50" i="9" s="1"/>
  <c r="L70" i="9" a="1"/>
  <c r="L70" i="9" s="1"/>
  <c r="M85" i="9"/>
  <c r="AB6" i="9" s="1" a="1"/>
  <c r="AB6" i="9" s="1"/>
  <c r="H92" i="9"/>
  <c r="W13" i="9" s="1" a="1"/>
  <c r="W13" i="9" s="1"/>
  <c r="H96" i="9"/>
  <c r="W17" i="9" s="1" a="1"/>
  <c r="W17" i="9" s="1"/>
  <c r="C99" i="9"/>
  <c r="R20" i="9" s="1" a="1"/>
  <c r="R20" i="9" s="1"/>
  <c r="K101" i="9"/>
  <c r="Z22" i="9" s="1" a="1"/>
  <c r="Z22" i="9" s="1"/>
  <c r="I105" i="9"/>
  <c r="X26" i="9" s="1" a="1"/>
  <c r="X26" i="9" s="1"/>
  <c r="F108" i="9"/>
  <c r="U29" i="9" s="1" a="1"/>
  <c r="U29" i="9" s="1"/>
  <c r="L53" i="9" a="1"/>
  <c r="L53" i="9" s="1"/>
  <c r="L58" i="9" a="1"/>
  <c r="L58" i="9" s="1"/>
  <c r="M63" i="9" a="1"/>
  <c r="M63" i="9" s="1"/>
  <c r="G69" i="9" a="1"/>
  <c r="G69" i="9" s="1"/>
  <c r="L72" i="9" a="1"/>
  <c r="L72" i="9" s="1"/>
  <c r="O88" i="9"/>
  <c r="AD9" i="9" s="1"/>
  <c r="O102" i="9"/>
  <c r="AD23" i="9" s="1"/>
  <c r="B20" i="20" s="1"/>
  <c r="H85" i="9"/>
  <c r="W6" i="9" s="1" a="1"/>
  <c r="W6" i="9" s="1"/>
  <c r="K86" i="9"/>
  <c r="Z7" i="9" s="1" a="1"/>
  <c r="Z7" i="9" s="1"/>
  <c r="C88" i="9"/>
  <c r="R9" i="9" s="1" a="1"/>
  <c r="R9" i="9" s="1"/>
  <c r="H89" i="9"/>
  <c r="W10" i="9" s="1" a="1"/>
  <c r="W10" i="9" s="1"/>
  <c r="K90" i="9"/>
  <c r="Z11" i="9" s="1" a="1"/>
  <c r="Z11" i="9" s="1"/>
  <c r="C92" i="9"/>
  <c r="R13" i="9" s="1" a="1"/>
  <c r="R13" i="9" s="1"/>
  <c r="F93" i="9"/>
  <c r="U14" i="9" s="1" a="1"/>
  <c r="U14" i="9" s="1"/>
  <c r="I94" i="9"/>
  <c r="X15" i="9" s="1" a="1"/>
  <c r="X15" i="9" s="1"/>
  <c r="C96" i="9"/>
  <c r="R17" i="9" s="1" a="1"/>
  <c r="R17" i="9" s="1"/>
  <c r="F97" i="9"/>
  <c r="U18" i="9" s="1" a="1"/>
  <c r="U18" i="9" s="1"/>
  <c r="I98" i="9"/>
  <c r="X19" i="9" s="1" a="1"/>
  <c r="X19" i="9" s="1"/>
  <c r="L99" i="9"/>
  <c r="AA20" i="9" s="1" a="1"/>
  <c r="AA20" i="9" s="1"/>
  <c r="D101" i="9"/>
  <c r="S22" i="9" s="1" a="1"/>
  <c r="S22" i="9" s="1"/>
  <c r="I102" i="9"/>
  <c r="X23" i="9" s="1" a="1"/>
  <c r="X23" i="9" s="1"/>
  <c r="L103" i="9"/>
  <c r="AA24" i="9" s="1" a="1"/>
  <c r="AA24" i="9" s="1"/>
  <c r="D105" i="9"/>
  <c r="S26" i="9" s="1" a="1"/>
  <c r="S26" i="9" s="1"/>
  <c r="G106" i="9"/>
  <c r="J107" i="9"/>
  <c r="Y28" i="9" s="1" a="1"/>
  <c r="Y28" i="9" s="1"/>
  <c r="C109" i="9"/>
  <c r="R30" i="9" s="1" a="1"/>
  <c r="R30" i="9" s="1"/>
  <c r="G54" i="9" a="1"/>
  <c r="G54" i="9" s="1"/>
  <c r="G59" i="9" a="1"/>
  <c r="G59" i="9" s="1"/>
  <c r="H64" i="9" a="1"/>
  <c r="H64" i="9" s="1"/>
  <c r="H69" i="9" a="1"/>
  <c r="H69" i="9" s="1"/>
  <c r="H73" i="9" a="1"/>
  <c r="H73" i="9" s="1"/>
  <c r="M98" i="9"/>
  <c r="AB19" i="9" s="1" a="1"/>
  <c r="AB19" i="9" s="1"/>
  <c r="G109" i="9"/>
  <c r="L60" i="9" a="1"/>
  <c r="L60" i="9" s="1"/>
  <c r="J74" i="9" a="1"/>
  <c r="J74" i="9" s="1"/>
  <c r="F104" i="9"/>
  <c r="U25" i="9" s="1" a="1"/>
  <c r="U25" i="9" s="1"/>
  <c r="J54" i="9" a="1"/>
  <c r="J54" i="9" s="1"/>
  <c r="J59" i="9" a="1"/>
  <c r="J59" i="9" s="1"/>
  <c r="K64" i="9" a="1"/>
  <c r="K64" i="9" s="1"/>
  <c r="I69" i="9" a="1"/>
  <c r="I69" i="9" s="1"/>
  <c r="I73" i="9" a="1"/>
  <c r="I73" i="9" s="1"/>
  <c r="O90" i="9"/>
  <c r="O104" i="9"/>
  <c r="AD25" i="9" s="1"/>
  <c r="B22" i="20" s="1"/>
  <c r="J85" i="9"/>
  <c r="Y6" i="9" s="1" a="1"/>
  <c r="Y6" i="9" s="1"/>
  <c r="M86" i="9"/>
  <c r="AB7" i="9" s="1" a="1"/>
  <c r="AB7" i="9" s="1"/>
  <c r="G88" i="9"/>
  <c r="V9" i="9" s="1" a="1"/>
  <c r="V9" i="9" s="1"/>
  <c r="J89" i="9"/>
  <c r="Y10" i="9" s="1" a="1"/>
  <c r="Y10" i="9" s="1"/>
  <c r="M90" i="9"/>
  <c r="AB11" i="9" s="1" a="1"/>
  <c r="AB11" i="9" s="1"/>
  <c r="E92" i="9"/>
  <c r="T13" i="9" s="1" a="1"/>
  <c r="T13" i="9" s="1"/>
  <c r="H93" i="9"/>
  <c r="W14" i="9" s="1" a="1"/>
  <c r="W14" i="9" s="1"/>
  <c r="M94" i="9"/>
  <c r="AB15" i="9" s="1" a="1"/>
  <c r="AB15" i="9" s="1"/>
  <c r="E96" i="9"/>
  <c r="T17" i="9" s="1" a="1"/>
  <c r="T17" i="9" s="1"/>
  <c r="H97" i="9"/>
  <c r="W18" i="9" s="1" a="1"/>
  <c r="W18" i="9" s="1"/>
  <c r="K98" i="9"/>
  <c r="Z19" i="9" s="1" a="1"/>
  <c r="Z19" i="9" s="1"/>
  <c r="C100" i="9"/>
  <c r="R21" i="9" s="1" a="1"/>
  <c r="R21" i="9" s="1"/>
  <c r="H101" i="9"/>
  <c r="W22" i="9" s="1" a="1"/>
  <c r="W22" i="9" s="1"/>
  <c r="K102" i="9"/>
  <c r="Z23" i="9" s="1" a="1"/>
  <c r="Z23" i="9" s="1"/>
  <c r="C104" i="9"/>
  <c r="R25" i="9" s="1" a="1"/>
  <c r="R25" i="9" s="1"/>
  <c r="F105" i="9"/>
  <c r="U26" i="9" s="1" a="1"/>
  <c r="U26" i="9" s="1"/>
  <c r="I106" i="9"/>
  <c r="X27" i="9" s="1" a="1"/>
  <c r="X27" i="9" s="1"/>
  <c r="C108" i="9"/>
  <c r="R29" i="9" s="1" a="1"/>
  <c r="R29" i="9" s="1"/>
  <c r="E109" i="9"/>
  <c r="T30" i="9" s="1" a="1"/>
  <c r="T30" i="9" s="1"/>
  <c r="K54" i="9" a="1"/>
  <c r="K54" i="9" s="1"/>
  <c r="K59" i="9" a="1"/>
  <c r="K59" i="9" s="1"/>
  <c r="L64" i="9" a="1"/>
  <c r="L64" i="9" s="1"/>
  <c r="L69" i="9" a="1"/>
  <c r="L69" i="9" s="1"/>
  <c r="O105" i="9"/>
  <c r="AD26" i="9" s="1"/>
  <c r="C87" i="9"/>
  <c r="R8" i="9" s="1" a="1"/>
  <c r="R8" i="9" s="1"/>
  <c r="C91" i="9"/>
  <c r="R12" i="9" s="1" a="1"/>
  <c r="R12" i="9" s="1"/>
  <c r="C95" i="9"/>
  <c r="R16" i="9" s="1" a="1"/>
  <c r="R16" i="9" s="1"/>
  <c r="L98" i="9"/>
  <c r="AA19" i="9" s="1" a="1"/>
  <c r="AA19" i="9" s="1"/>
  <c r="L102" i="9"/>
  <c r="AA23" i="9" s="1" a="1"/>
  <c r="AA23" i="9" s="1"/>
  <c r="J106" i="9"/>
  <c r="Y27" i="9" s="1" a="1"/>
  <c r="Y27" i="9" s="1"/>
  <c r="F109" i="9"/>
  <c r="U30" i="9" s="1" a="1"/>
  <c r="U30" i="9" s="1"/>
  <c r="J55" i="9" a="1"/>
  <c r="J55" i="9" s="1"/>
  <c r="I74" i="9" a="1"/>
  <c r="I74" i="9" s="1"/>
  <c r="J97" i="9"/>
  <c r="Y18" i="9" s="1" a="1"/>
  <c r="Y18" i="9" s="1"/>
  <c r="E108" i="9"/>
  <c r="T29" i="9" s="1" a="1"/>
  <c r="T29" i="9" s="1"/>
  <c r="M65" i="9" a="1"/>
  <c r="M65" i="9" s="1"/>
  <c r="M89" i="9"/>
  <c r="AB10" i="9" s="1" a="1"/>
  <c r="AB10" i="9" s="1"/>
  <c r="H100" i="9"/>
  <c r="W21" i="9" s="1" a="1"/>
  <c r="W21" i="9" s="1"/>
  <c r="C107" i="9"/>
  <c r="R28" i="9" s="1" a="1"/>
  <c r="R28" i="9" s="1"/>
  <c r="AB31" i="9" a="1"/>
  <c r="AB31" i="9" s="1"/>
  <c r="H51" i="9" a="1"/>
  <c r="H51" i="9" s="1"/>
  <c r="H87" i="9"/>
  <c r="W8" i="9" s="1" a="1"/>
  <c r="W8" i="9" s="1"/>
  <c r="D103" i="9"/>
  <c r="S24" i="9" s="1" a="1"/>
  <c r="S24" i="9" s="1"/>
  <c r="F91" i="9"/>
  <c r="U12" i="9" s="1" a="1"/>
  <c r="U12" i="9" s="1"/>
  <c r="D107" i="9"/>
  <c r="S28" i="9" s="1" a="1"/>
  <c r="S28" i="9" s="1"/>
  <c r="I66" i="9" a="1"/>
  <c r="I66" i="9" s="1"/>
  <c r="O94" i="9"/>
  <c r="K88" i="9"/>
  <c r="Z9" i="9" s="1" a="1"/>
  <c r="Z9" i="9" s="1"/>
  <c r="G104" i="9"/>
  <c r="V25" i="9" s="1" a="1"/>
  <c r="V25" i="9" s="1"/>
  <c r="C90" i="9"/>
  <c r="R11" i="9" s="1" a="1"/>
  <c r="R11" i="9" s="1"/>
  <c r="L105" i="9"/>
  <c r="H61" i="9" a="1"/>
  <c r="H61" i="9" s="1"/>
  <c r="C94" i="9"/>
  <c r="R15" i="9" s="1" a="1"/>
  <c r="R15" i="9" s="1"/>
  <c r="I109" i="9"/>
  <c r="X30" i="9" s="1" a="1"/>
  <c r="X30" i="9" s="1"/>
  <c r="L97" i="9"/>
  <c r="AA18" i="9" s="1" a="1"/>
  <c r="AA18" i="9" s="1"/>
  <c r="I100" i="9"/>
  <c r="X21" i="9" s="1" a="1"/>
  <c r="X21" i="9" s="1"/>
  <c r="H56" i="9" a="1"/>
  <c r="H56" i="9" s="1"/>
  <c r="K92" i="9"/>
  <c r="Z13" i="9" s="1" a="1"/>
  <c r="Z13" i="9" s="1"/>
  <c r="G108" i="9"/>
  <c r="M70" i="9" a="1"/>
  <c r="M70" i="9" s="1"/>
  <c r="F95" i="9"/>
  <c r="U16" i="9" s="1" a="1"/>
  <c r="U16" i="9" s="1"/>
  <c r="L101" i="9"/>
  <c r="AA22" i="9" s="1" a="1"/>
  <c r="AA22" i="9" s="1"/>
  <c r="M74" i="9" a="1"/>
  <c r="M74" i="9" s="1"/>
  <c r="I96" i="9"/>
  <c r="X17" i="9" s="1" a="1"/>
  <c r="X17" i="9" s="1"/>
  <c r="F99" i="9"/>
  <c r="U20" i="9" s="1" a="1"/>
  <c r="U20" i="9" s="1"/>
  <c r="O108" i="9"/>
  <c r="AD29" i="9" s="1"/>
  <c r="B26" i="20" s="1"/>
  <c r="E86" i="9"/>
  <c r="T7" i="9" s="1" a="1"/>
  <c r="T7" i="9" s="1"/>
  <c r="H13" i="15"/>
  <c r="H12" i="15"/>
  <c r="H11" i="15"/>
  <c r="C6" i="8"/>
  <c r="H10" i="15"/>
  <c r="E41" i="7"/>
  <c r="O75" i="9"/>
  <c r="A28" i="20"/>
  <c r="B14" i="9"/>
  <c r="C14" i="9" s="1"/>
  <c r="O52" i="9"/>
  <c r="O55" i="9"/>
  <c r="O54" i="9"/>
  <c r="B16" i="9"/>
  <c r="E16" i="9" s="1"/>
  <c r="O51" i="9"/>
  <c r="B17" i="9"/>
  <c r="E17" i="9" s="1"/>
  <c r="O65" i="9"/>
  <c r="O67" i="9"/>
  <c r="O50" i="9"/>
  <c r="B8" i="9"/>
  <c r="C8" i="9" s="1"/>
  <c r="B7" i="9"/>
  <c r="C7" i="9" s="1"/>
  <c r="O53" i="9"/>
  <c r="B13" i="9"/>
  <c r="C13" i="9" s="1"/>
  <c r="B4" i="9"/>
  <c r="E4" i="9" s="1"/>
  <c r="B11" i="9"/>
  <c r="E11" i="9" s="1"/>
  <c r="B18" i="9"/>
  <c r="E18" i="9" s="1"/>
  <c r="O63" i="9"/>
  <c r="O60" i="9"/>
  <c r="O58" i="9"/>
  <c r="O56" i="9"/>
  <c r="B9" i="9"/>
  <c r="C9" i="9" s="1"/>
  <c r="O57" i="9"/>
  <c r="B15" i="9"/>
  <c r="E15" i="9" s="1"/>
  <c r="O62" i="9"/>
  <c r="B5" i="9"/>
  <c r="C5" i="9" s="1"/>
  <c r="O68" i="9"/>
  <c r="O66" i="9"/>
  <c r="B12" i="9"/>
  <c r="E12" i="9" s="1"/>
  <c r="B10" i="9"/>
  <c r="E10" i="9" s="1"/>
  <c r="O61" i="9"/>
  <c r="B6" i="9"/>
  <c r="E6" i="9" s="1"/>
  <c r="O59" i="9"/>
  <c r="B3" i="9"/>
  <c r="C3" i="9" s="1"/>
  <c r="O69" i="9"/>
  <c r="O70" i="9"/>
  <c r="O72" i="9"/>
  <c r="O71" i="9"/>
  <c r="O73" i="9"/>
  <c r="G73" i="2"/>
  <c r="H30" i="2"/>
  <c r="I30" i="2" s="1"/>
  <c r="D30" i="2" s="1"/>
  <c r="G67" i="2"/>
  <c r="G40" i="2"/>
  <c r="G11" i="2"/>
  <c r="G61" i="2"/>
  <c r="H75" i="2"/>
  <c r="I75" i="2" s="1"/>
  <c r="D75" i="2" s="1"/>
  <c r="G32" i="2"/>
  <c r="G23" i="2"/>
  <c r="G86" i="2"/>
  <c r="G79" i="2"/>
  <c r="H44" i="2"/>
  <c r="I44" i="2" s="1"/>
  <c r="D44" i="2" s="1"/>
  <c r="G80" i="2"/>
  <c r="H90" i="2"/>
  <c r="I90" i="2" s="1"/>
  <c r="D90" i="2" s="1"/>
  <c r="G22" i="2"/>
  <c r="G85" i="2"/>
  <c r="G12" i="2"/>
  <c r="H75" i="1" s="1"/>
  <c r="G59" i="2"/>
  <c r="G9" i="2"/>
  <c r="H65" i="1" s="1"/>
  <c r="G74" i="2"/>
  <c r="G5" i="2"/>
  <c r="G92" i="2"/>
  <c r="G88" i="2"/>
  <c r="G83" i="2"/>
  <c r="G8" i="2"/>
  <c r="H72" i="1" s="1"/>
  <c r="G36" i="2"/>
  <c r="G47" i="2"/>
  <c r="H65" i="2"/>
  <c r="I65" i="2" s="1"/>
  <c r="D65" i="2" s="1"/>
  <c r="G26" i="2"/>
  <c r="H12" i="2"/>
  <c r="I12" i="2" s="1"/>
  <c r="D12" i="2" s="1"/>
  <c r="H88" i="2"/>
  <c r="I88" i="2" s="1"/>
  <c r="D88" i="2" s="1"/>
  <c r="G13" i="2"/>
  <c r="H76" i="1" s="1"/>
  <c r="G18" i="2"/>
  <c r="G17" i="2"/>
  <c r="G34" i="2"/>
  <c r="G48" i="2"/>
  <c r="G62" i="2"/>
  <c r="G52" i="2"/>
  <c r="G14" i="2"/>
  <c r="G19" i="2"/>
  <c r="G27" i="2"/>
  <c r="H78" i="2"/>
  <c r="I78" i="2" s="1"/>
  <c r="D78" i="2" s="1"/>
  <c r="H86" i="2"/>
  <c r="I86" i="2" s="1"/>
  <c r="D86" i="2" s="1"/>
  <c r="O74" i="9"/>
  <c r="K6" i="6"/>
  <c r="C4" i="8" s="1"/>
  <c r="H48" i="2"/>
  <c r="I48" i="2" s="1"/>
  <c r="D48" i="2" s="1"/>
  <c r="G54" i="2"/>
  <c r="H42" i="2"/>
  <c r="I42" i="2" s="1"/>
  <c r="D42" i="2" s="1"/>
  <c r="G43" i="2"/>
  <c r="G4" i="2"/>
  <c r="G41" i="2"/>
  <c r="G46" i="2"/>
  <c r="H61" i="2"/>
  <c r="I61" i="2" s="1"/>
  <c r="D61" i="2" s="1"/>
  <c r="G25" i="2"/>
  <c r="H13" i="2"/>
  <c r="I13" i="2" s="1"/>
  <c r="D13" i="2" s="1"/>
  <c r="G70" i="2"/>
  <c r="A16" i="20"/>
  <c r="A9" i="20"/>
  <c r="A24" i="20"/>
  <c r="A27" i="20"/>
  <c r="A22" i="20"/>
  <c r="A4" i="20"/>
  <c r="A19" i="20"/>
  <c r="A14" i="20"/>
  <c r="A5" i="20"/>
  <c r="A13" i="20"/>
  <c r="A17" i="20"/>
  <c r="A18" i="20"/>
  <c r="A15" i="20"/>
  <c r="A7" i="20"/>
  <c r="A12" i="20"/>
  <c r="A25" i="20"/>
  <c r="A23" i="20"/>
  <c r="A26" i="20"/>
  <c r="A3" i="20"/>
  <c r="A10" i="20"/>
  <c r="A21" i="20"/>
  <c r="A8" i="20"/>
  <c r="A20" i="20"/>
  <c r="A6" i="20"/>
  <c r="Q5" i="9"/>
  <c r="B49" i="9"/>
  <c r="N76" i="9"/>
  <c r="P76" i="9" s="1"/>
  <c r="AC33" i="9"/>
  <c r="AE33" i="9" s="1"/>
  <c r="AC35" i="9"/>
  <c r="AE35" i="9" s="1"/>
  <c r="AC34" i="9"/>
  <c r="AE34" i="9" s="1"/>
  <c r="N78" i="9"/>
  <c r="P78" i="9" s="1"/>
  <c r="AC32" i="9"/>
  <c r="AE32" i="9" s="1"/>
  <c r="N79" i="9"/>
  <c r="N77" i="9"/>
  <c r="P77" i="9" s="1"/>
  <c r="G43" i="6"/>
  <c r="C12" i="10"/>
  <c r="N6" i="17"/>
  <c r="N7" i="17" s="1"/>
  <c r="I37" i="12"/>
  <c r="D38" i="14"/>
  <c r="C10" i="8" s="1"/>
  <c r="G14" i="15"/>
  <c r="D38" i="18"/>
  <c r="C11" i="8" s="1"/>
  <c r="H43" i="6"/>
  <c r="E38" i="18"/>
  <c r="J37" i="14"/>
  <c r="C12" i="8" s="1"/>
  <c r="C43" i="12"/>
  <c r="H10" i="7"/>
  <c r="I43" i="6"/>
  <c r="D149" i="17"/>
  <c r="D2" i="2"/>
  <c r="H68" i="1" l="1"/>
  <c r="H70" i="1"/>
  <c r="H66" i="1"/>
  <c r="H71" i="1"/>
  <c r="H73" i="1"/>
  <c r="H67" i="1"/>
  <c r="H69" i="1"/>
  <c r="H64" i="1"/>
  <c r="H61" i="1"/>
  <c r="H62" i="1"/>
  <c r="H63" i="1"/>
  <c r="H60" i="1"/>
  <c r="H47" i="1"/>
  <c r="H37" i="1"/>
  <c r="H39" i="1"/>
  <c r="H46" i="1"/>
  <c r="H38" i="1"/>
  <c r="H40" i="1"/>
  <c r="H41" i="1"/>
  <c r="H43" i="1"/>
  <c r="H44" i="1"/>
  <c r="H45" i="1"/>
  <c r="H42" i="1"/>
  <c r="H13" i="1"/>
  <c r="H2" i="1"/>
  <c r="H50" i="1"/>
  <c r="H25" i="1"/>
  <c r="H33" i="1"/>
  <c r="H16" i="1"/>
  <c r="H18" i="1"/>
  <c r="H48" i="1"/>
  <c r="H21" i="1"/>
  <c r="H5" i="1"/>
  <c r="H10" i="1"/>
  <c r="H15" i="1"/>
  <c r="H20" i="1"/>
  <c r="H31" i="1"/>
  <c r="H51" i="1"/>
  <c r="H55" i="1"/>
  <c r="H29" i="1"/>
  <c r="H57" i="1"/>
  <c r="H6" i="1"/>
  <c r="H8" i="1"/>
  <c r="H27" i="1"/>
  <c r="H3" i="1"/>
  <c r="H14" i="1"/>
  <c r="H59" i="1"/>
  <c r="H52" i="1"/>
  <c r="H12" i="1"/>
  <c r="H53" i="1"/>
  <c r="H54" i="1"/>
  <c r="H9" i="1"/>
  <c r="H36" i="1"/>
  <c r="H34" i="1"/>
  <c r="H28" i="1"/>
  <c r="H11" i="1"/>
  <c r="H4" i="1"/>
  <c r="H32" i="1"/>
  <c r="H22" i="1"/>
  <c r="H7" i="1"/>
  <c r="H49" i="1"/>
  <c r="H30" i="1"/>
  <c r="H19" i="1"/>
  <c r="H56" i="1"/>
  <c r="H35" i="1"/>
  <c r="H26" i="1"/>
  <c r="H24" i="1"/>
  <c r="H17" i="1"/>
  <c r="H23" i="1"/>
  <c r="H58" i="1"/>
  <c r="N110" i="9"/>
  <c r="P110" i="9" s="1"/>
  <c r="C10" i="9"/>
  <c r="AC25" i="9"/>
  <c r="AE25" i="9" s="1"/>
  <c r="C22" i="20" s="1"/>
  <c r="H14" i="15"/>
  <c r="B23" i="20"/>
  <c r="N96" i="9"/>
  <c r="P96" i="9" s="1"/>
  <c r="AD15" i="9"/>
  <c r="AD21" i="9"/>
  <c r="B18" i="20" s="1"/>
  <c r="N108" i="9"/>
  <c r="P108" i="9" s="1"/>
  <c r="AD11" i="9"/>
  <c r="B8" i="20" s="1"/>
  <c r="N106" i="9"/>
  <c r="P106" i="9" s="1"/>
  <c r="AD10" i="9"/>
  <c r="B10" i="20"/>
  <c r="N86" i="9"/>
  <c r="P86" i="9" s="1"/>
  <c r="B14" i="20"/>
  <c r="N103" i="9"/>
  <c r="P103" i="9" s="1"/>
  <c r="AD14" i="9"/>
  <c r="N97" i="9"/>
  <c r="P97" i="9" s="1"/>
  <c r="N104" i="9"/>
  <c r="P104" i="9" s="1"/>
  <c r="N109" i="9"/>
  <c r="P109" i="9" s="1"/>
  <c r="N98" i="9"/>
  <c r="P98" i="9" s="1"/>
  <c r="N99" i="9"/>
  <c r="P99" i="9" s="1"/>
  <c r="AA26" i="9" a="1"/>
  <c r="AA26" i="9" s="1"/>
  <c r="N85" i="9"/>
  <c r="P85" i="9" s="1"/>
  <c r="V19" i="9" a="1"/>
  <c r="V19" i="9" s="1"/>
  <c r="AC19" i="9" s="1"/>
  <c r="N92" i="9"/>
  <c r="P92" i="9" s="1"/>
  <c r="N105" i="9"/>
  <c r="P105" i="9" s="1"/>
  <c r="M49" i="9" a="1"/>
  <c r="M49" i="9" s="1"/>
  <c r="O84" i="9"/>
  <c r="AD5" i="9" s="1"/>
  <c r="M84" i="9"/>
  <c r="AB5" i="9" s="1" a="1"/>
  <c r="AB5" i="9" s="1"/>
  <c r="L49" i="9" a="1"/>
  <c r="L49" i="9" s="1"/>
  <c r="J49" i="9" a="1"/>
  <c r="J49" i="9" s="1"/>
  <c r="D84" i="9"/>
  <c r="S5" i="9" s="1" a="1"/>
  <c r="S5" i="9" s="1"/>
  <c r="L84" i="9"/>
  <c r="AA5" i="9" s="1" a="1"/>
  <c r="AA5" i="9" s="1"/>
  <c r="I49" i="9" a="1"/>
  <c r="I49" i="9" s="1"/>
  <c r="C84" i="9"/>
  <c r="R5" i="9" s="1" a="1"/>
  <c r="R5" i="9" s="1"/>
  <c r="D8" i="19" s="1" a="1"/>
  <c r="D8" i="19" s="1"/>
  <c r="H49" i="9" a="1"/>
  <c r="H49" i="9" s="1"/>
  <c r="G49" i="9" a="1"/>
  <c r="G49" i="9" s="1"/>
  <c r="J84" i="9"/>
  <c r="Y5" i="9" s="1" a="1"/>
  <c r="Y5" i="9" s="1"/>
  <c r="H84" i="9"/>
  <c r="W5" i="9" s="1" a="1"/>
  <c r="W5" i="9" s="1"/>
  <c r="G84" i="9"/>
  <c r="V5" i="9" s="1" a="1"/>
  <c r="V5" i="9" s="1"/>
  <c r="K84" i="9"/>
  <c r="Z5" i="9" s="1" a="1"/>
  <c r="Z5" i="9" s="1"/>
  <c r="I84" i="9"/>
  <c r="X5" i="9" s="1" a="1"/>
  <c r="X5" i="9" s="1"/>
  <c r="F84" i="9"/>
  <c r="U5" i="9" s="1" a="1"/>
  <c r="U5" i="9" s="1"/>
  <c r="D14" i="19" s="1" a="1"/>
  <c r="D14" i="19" s="1"/>
  <c r="E84" i="9"/>
  <c r="T5" i="9" s="1" a="1"/>
  <c r="T5" i="9" s="1"/>
  <c r="D12" i="19" s="1" a="1"/>
  <c r="D12" i="19" s="1"/>
  <c r="K49" i="9" a="1"/>
  <c r="K49" i="9" s="1"/>
  <c r="N94" i="9"/>
  <c r="P94" i="9" s="1"/>
  <c r="N95" i="9"/>
  <c r="P95" i="9" s="1"/>
  <c r="N89" i="9"/>
  <c r="P89" i="9" s="1"/>
  <c r="N90" i="9"/>
  <c r="P90" i="9" s="1"/>
  <c r="V16" i="9" a="1"/>
  <c r="V16" i="9" s="1"/>
  <c r="AC16" i="9" s="1"/>
  <c r="N102" i="9"/>
  <c r="P102" i="9" s="1"/>
  <c r="N101" i="9"/>
  <c r="P101" i="9" s="1"/>
  <c r="N88" i="9"/>
  <c r="P88" i="9" s="1"/>
  <c r="N91" i="9"/>
  <c r="P91" i="9" s="1"/>
  <c r="V30" i="9" a="1"/>
  <c r="V30" i="9" s="1"/>
  <c r="AC30" i="9" s="1"/>
  <c r="V27" i="9" a="1"/>
  <c r="V27" i="9" s="1"/>
  <c r="AC27" i="9" s="1"/>
  <c r="AE27" i="9" s="1"/>
  <c r="V26" i="9" a="1"/>
  <c r="V26" i="9" s="1"/>
  <c r="N93" i="9"/>
  <c r="P93" i="9" s="1"/>
  <c r="V17" i="9" a="1"/>
  <c r="V17" i="9" s="1"/>
  <c r="AC17" i="9" s="1"/>
  <c r="V7" i="9" a="1"/>
  <c r="V7" i="9" s="1"/>
  <c r="AC7" i="9" s="1"/>
  <c r="C11" i="9"/>
  <c r="V18" i="9" a="1"/>
  <c r="V18" i="9" s="1"/>
  <c r="AC18" i="9" s="1"/>
  <c r="N107" i="9"/>
  <c r="P107" i="9" s="1"/>
  <c r="V24" i="9" a="1"/>
  <c r="V24" i="9" s="1"/>
  <c r="AC24" i="9" s="1"/>
  <c r="V20" i="9" a="1"/>
  <c r="V20" i="9" s="1"/>
  <c r="AC20" i="9" s="1"/>
  <c r="N87" i="9"/>
  <c r="P87" i="9" s="1"/>
  <c r="N100" i="9"/>
  <c r="P100" i="9" s="1"/>
  <c r="V29" i="9" a="1"/>
  <c r="V29" i="9" s="1"/>
  <c r="AC29" i="9" s="1"/>
  <c r="AE29" i="9" s="1"/>
  <c r="V28" i="9" a="1"/>
  <c r="V28" i="9" s="1"/>
  <c r="AC28" i="9" s="1"/>
  <c r="AE28" i="9" s="1"/>
  <c r="E5" i="9"/>
  <c r="C12" i="9"/>
  <c r="E14" i="9"/>
  <c r="E7" i="9" a="1"/>
  <c r="E7" i="9" s="1"/>
  <c r="C16" i="9"/>
  <c r="E8" i="9"/>
  <c r="C6" i="9"/>
  <c r="AC12" i="9"/>
  <c r="N75" i="9"/>
  <c r="P75" i="9" s="1"/>
  <c r="AC31" i="9"/>
  <c r="N53" i="9"/>
  <c r="P53" i="9" s="1"/>
  <c r="C4" i="9"/>
  <c r="C17" i="9"/>
  <c r="E13" i="9"/>
  <c r="C15" i="9"/>
  <c r="N57" i="9"/>
  <c r="P57" i="9" s="1"/>
  <c r="AC9" i="9"/>
  <c r="AC21" i="9"/>
  <c r="AC22" i="9"/>
  <c r="AE22" i="9" s="1"/>
  <c r="N52" i="9"/>
  <c r="P52" i="9" s="1"/>
  <c r="AC10" i="9"/>
  <c r="C18" i="9"/>
  <c r="E3" i="9"/>
  <c r="E9" i="9"/>
  <c r="AC8" i="9"/>
  <c r="AC14" i="9"/>
  <c r="N61" i="9"/>
  <c r="P61" i="9" s="1"/>
  <c r="AC13" i="9"/>
  <c r="N64" i="9"/>
  <c r="P64" i="9" s="1"/>
  <c r="AC15" i="9"/>
  <c r="N58" i="9"/>
  <c r="P58" i="9" s="1"/>
  <c r="N63" i="9"/>
  <c r="P63" i="9" s="1"/>
  <c r="P7" i="17"/>
  <c r="C19" i="10"/>
  <c r="C49" i="9" a="1"/>
  <c r="C49" i="9" s="1"/>
  <c r="N72" i="9"/>
  <c r="P72" i="9" s="1"/>
  <c r="E18" i="19" a="1"/>
  <c r="E18" i="19" s="1"/>
  <c r="N74" i="9"/>
  <c r="P74" i="9" s="1"/>
  <c r="O49" i="9"/>
  <c r="D49" i="9" a="1"/>
  <c r="D49" i="9" s="1"/>
  <c r="B2" i="9"/>
  <c r="E2" i="9" s="1"/>
  <c r="C14" i="19" a="1"/>
  <c r="C14" i="19" s="1"/>
  <c r="C12" i="19" a="1"/>
  <c r="C12" i="19" s="1"/>
  <c r="E49" i="9" a="1"/>
  <c r="E49" i="9" s="1"/>
  <c r="F49" i="9" a="1"/>
  <c r="F49" i="9" s="1"/>
  <c r="N68" i="9"/>
  <c r="P68" i="9" s="1"/>
  <c r="AC11" i="9"/>
  <c r="N55" i="9"/>
  <c r="P55" i="9" s="1"/>
  <c r="N62" i="9"/>
  <c r="P62" i="9" s="1"/>
  <c r="B2" i="21"/>
  <c r="A2" i="20"/>
  <c r="D10" i="19" a="1"/>
  <c r="D10" i="19" s="1"/>
  <c r="N54" i="9"/>
  <c r="P54" i="9" s="1"/>
  <c r="AC23" i="9"/>
  <c r="AE23" i="9" s="1"/>
  <c r="N71" i="9"/>
  <c r="P71" i="9" s="1"/>
  <c r="N73" i="9"/>
  <c r="P73" i="9" s="1"/>
  <c r="N51" i="9"/>
  <c r="P51" i="9" s="1"/>
  <c r="AC6" i="9"/>
  <c r="N50" i="9"/>
  <c r="P50" i="9" s="1"/>
  <c r="N60" i="9"/>
  <c r="P60" i="9" s="1"/>
  <c r="N66" i="9"/>
  <c r="P66" i="9" s="1"/>
  <c r="N59" i="9"/>
  <c r="P59" i="9" s="1"/>
  <c r="N56" i="9"/>
  <c r="P56" i="9" s="1"/>
  <c r="N67" i="9"/>
  <c r="P67" i="9" s="1"/>
  <c r="N69" i="9"/>
  <c r="P69" i="9" s="1"/>
  <c r="N65" i="9"/>
  <c r="P65" i="9" s="1"/>
  <c r="N70" i="9"/>
  <c r="P70" i="9" s="1"/>
  <c r="B6" i="20"/>
  <c r="B16" i="20"/>
  <c r="B3" i="20"/>
  <c r="F38" i="18"/>
  <c r="C14" i="8"/>
  <c r="C4" i="10" s="1"/>
  <c r="K5" i="17"/>
  <c r="K6" i="17" s="1"/>
  <c r="F149" i="17"/>
  <c r="AC26" i="9" l="1"/>
  <c r="AE26" i="9" s="1"/>
  <c r="C23" i="20" s="1"/>
  <c r="AE14" i="9"/>
  <c r="C11" i="20" s="1"/>
  <c r="AE17" i="9"/>
  <c r="C14" i="20" s="1"/>
  <c r="AE20" i="9"/>
  <c r="C17" i="20" s="1"/>
  <c r="AE16" i="9"/>
  <c r="C13" i="20" s="1"/>
  <c r="AE21" i="9"/>
  <c r="C18" i="20" s="1"/>
  <c r="AE31" i="9"/>
  <c r="C28" i="20" s="1"/>
  <c r="AE9" i="9"/>
  <c r="C6" i="20" s="1"/>
  <c r="AE24" i="9"/>
  <c r="C21" i="20" s="1"/>
  <c r="C25" i="20"/>
  <c r="AE10" i="9"/>
  <c r="C7" i="20" s="1"/>
  <c r="AE15" i="9"/>
  <c r="C12" i="20" s="1"/>
  <c r="C26" i="20"/>
  <c r="AE30" i="9"/>
  <c r="C27" i="20" s="1"/>
  <c r="AE19" i="9"/>
  <c r="C16" i="20" s="1"/>
  <c r="AE7" i="9"/>
  <c r="C4" i="20" s="1"/>
  <c r="B7" i="20"/>
  <c r="B12" i="20"/>
  <c r="AE6" i="9"/>
  <c r="C3" i="20" s="1"/>
  <c r="AE12" i="9"/>
  <c r="C9" i="20" s="1"/>
  <c r="B11" i="20"/>
  <c r="C24" i="20"/>
  <c r="C19" i="20"/>
  <c r="AE8" i="9"/>
  <c r="C5" i="20" s="1"/>
  <c r="C20" i="20"/>
  <c r="AE18" i="9"/>
  <c r="C15" i="20" s="1"/>
  <c r="AE11" i="9"/>
  <c r="C8" i="20" s="1"/>
  <c r="AE13" i="9"/>
  <c r="C10" i="20" s="1"/>
  <c r="N84" i="9"/>
  <c r="P84" i="9" s="1"/>
  <c r="B2" i="20"/>
  <c r="E14" i="19"/>
  <c r="AC5" i="9"/>
  <c r="AE5" i="9" s="1"/>
  <c r="C2" i="20" s="1"/>
  <c r="E12" i="19"/>
  <c r="E20" i="19" a="1"/>
  <c r="E20" i="19" s="1"/>
  <c r="C2" i="9"/>
  <c r="N49" i="9"/>
  <c r="P49" i="9" s="1"/>
  <c r="C15" i="10"/>
  <c r="C17" i="10" s="1"/>
  <c r="E16" i="19" l="1"/>
  <c r="C23" i="9"/>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<sst xmlns="http://schemas.openxmlformats.org/spreadsheetml/2006/main" count="1075" uniqueCount="299">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</sst>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26">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4" fontId="0" fillId="0" borderId="7" xfId="0" applyNumberFormat="1" applyFont="1" applyBorder="1"/>
  </cellXfs>
  <cellStyles count="2">
    <cellStyle name="Comma" xfId="1" builtinId="3"/>
    <cellStyle name="Normal" xfId="0" builtinId="0"/>
  </cellStyles>
  <dxfs count="133">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strike val="0"/>
        <outline val="0"/>
        <shadow val="0"/>
        <u val="none"/>
        <vertAlign val="baseline"/>
        <sz val="16"/>
        <color theme="1"/>
        <name val="Aptos Narrow"/>
        <family val="2"/>
        <scheme val="minor"/>
      </font>
      <numFmt numFmtId="164" formatCode="_-* #,##0_-;\-* #,##0_-;_-* &quot;-&quot;??_-;_-@_-"/>
    </dxf>
    <dxf>
      <numFmt numFmtId="0" formatCode="Genera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53869</xdr:rowOff>
    </xdr:from>
    <xdr:to>
      <xdr:col>11</xdr:col>
      <xdr:colOff>66829</xdr:colOff>
      <xdr:row>40</xdr:row>
      <xdr:rowOff>90443</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723910</xdr:colOff>
      <xdr:row>7</xdr:row>
      <xdr:rowOff>43181</xdr:rowOff>
    </xdr:from>
    <xdr:to>
      <xdr:col>13</xdr:col>
      <xdr:colOff>618997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422199</xdr:colOff>
      <xdr:row>12</xdr:row>
      <xdr:rowOff>138748</xdr:rowOff>
    </xdr:from>
    <xdr:to>
      <xdr:col>14</xdr:col>
      <xdr:colOff>754740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17</xdr:row>
      <xdr:rowOff>152401</xdr:rowOff>
    </xdr:from>
    <xdr:to>
      <xdr:col>11</xdr:col>
      <xdr:colOff>41514</xdr:colOff>
      <xdr:row>24</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8820832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6.028809374999" createdVersion="8" refreshedVersion="8" minRefreshableVersion="3" recordCount="145" xr:uid="{B5BDFB73-D93A-4A7A-8149-666BC190B09B}">
  <cacheSource type="worksheet">
    <worksheetSource name="Table14"/>
  </cacheSource>
  <cacheFields count="7">
    <cacheField name="Date" numFmtId="14">
      <sharedItems containsSemiMixedTypes="0" containsNonDate="0" containsDate="1" containsString="0" minDate="2025-12-17T00:00:00" maxDate="2025-12-25T00:00:00"/>
    </cacheField>
    <cacheField name="Party" numFmtId="0">
      <sharedItems containsBlank="1" count="77">
        <s v="Closing CF"/>
        <s v="omer"/>
        <s v="Dasti"/>
        <s v="Loom Ac"/>
        <s v="Salary"/>
        <s v="Malik Zaheer"/>
        <s v="Arb Dasti"/>
        <s v="Madina Dyes"/>
        <s v="hafiz qureshi"/>
        <s v="Parts"/>
        <s v="irfan Punjabi"/>
        <s v="Amjad wood"/>
        <s v="Rafaqat"/>
        <s v="Kaleem ullah"/>
        <s v="Advance salary"/>
        <s v="Misc"/>
        <s v="Transport"/>
        <s v="Azam"/>
        <s v="Electricity"/>
        <s v="Arshad"/>
        <s v="Rana babar"/>
        <s v="shahid Qasayi"/>
        <s v="Sajad khan"/>
        <s v="Badshah Fabrics"/>
        <s v="Faysal Akraam"/>
        <s v="salman Zaffar"/>
        <s v="Rashan"/>
        <m/>
        <s v="Closing October CF" u="1"/>
        <s v="Aurangzeb" u="1"/>
        <s v="BSC" u="1"/>
        <s v="Finish" u="1"/>
        <s v="ejaz sahab" u="1"/>
        <s v="Amjad Sohail" u="1"/>
        <s v="Haseeb Shamsi" u="1"/>
        <s v="Ashraf Zia" u="1"/>
        <s v="General Dyes" u="1"/>
        <s v="Faizan" u="1"/>
        <s v="abid ghafoor" u="1"/>
        <s v="Zia-ullah karachi" u="1"/>
        <s v="Ishaq" u="1"/>
        <s v="Unicolour" u="1"/>
        <s v="ibraheem behraam" u="1"/>
        <s v="Shafi Dyes" u="1"/>
        <s v="Ubaidullah" u="1"/>
        <s v="Hameed corporation" u="1"/>
        <s v="Raaz fabrics" u="1"/>
        <s v="Temp" u="1"/>
        <s v="ZA" u="1"/>
        <s v="Zia-ullah" u="1"/>
        <s v="Closing September CF" u="1"/>
        <s v="copper" u="1"/>
        <s v="sunsuper theka" u="1"/>
        <s v="Dyes" u="1"/>
        <s v="electric bill" u="1"/>
        <s v="Shafique Ansari" u="1"/>
        <s v="Chain Acc" u="1"/>
        <s v="Amjad 7up" u="1"/>
        <s v="Hazrat khan" u="1"/>
        <s v="Sufi Nawaz Sahab"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882083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6.028809722222"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108264.44769568399"/>
    </cacheField>
    <cacheField name="Rate" numFmtId="0">
      <sharedItems containsString="0" containsBlank="1" containsNumber="1" minValue="10" maxValue="12"/>
    </cacheField>
    <cacheField name="Total" numFmtId="164">
      <sharedItems containsSemiMixedTypes="0" containsString="0" containsNumber="1" minValue="0" maxValue="809363.5698610096"/>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6.028810069445" createdVersion="8" refreshedVersion="8" minRefreshableVersion="3" recordCount="8" xr:uid="{AC867DCC-CE64-4D1A-827D-F1F3EE10EE4E}">
  <cacheSource type="worksheet">
    <worksheetSource name="Table8"/>
  </cacheSource>
  <cacheFields count="9">
    <cacheField name="Date" numFmtId="0">
      <sharedItems containsNonDate="0" containsDate="1" containsString="0" containsBlank="1" minDate="2025-05-16T00:00:00" maxDate="2025-12-23T00:00:00" count="54">
        <d v="2025-12-17T00:00:00"/>
        <d v="2025-12-18T00:00:00"/>
        <d v="2025-12-22T00:00:00"/>
        <m/>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11250" maxValue="183750"/>
    </cacheField>
    <cacheField name="Party" numFmtId="0">
      <sharedItems containsBlank="1" count="7">
        <s v="Unicolour"/>
        <s v="madina dyes"/>
        <s v="General Dyes"/>
        <s v="Shafi Dyes"/>
        <m/>
        <s v="Al madina" u="1"/>
        <s v="-" u="1"/>
      </sharedItems>
    </cacheField>
    <cacheField name="Paid" numFmtId="0">
      <sharedItems containsSemiMixedTypes="0" containsString="0" containsNumber="1" containsInteger="1" minValue="0" maxValue="183750"/>
    </cacheField>
    <cacheField name="Balance" numFmtId="0">
      <sharedItems containsSemiMixedTypes="0" containsString="0" containsNumber="1" containsInteger="1" minValue="0" maxValue="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6.028810300922" createdVersion="8" refreshedVersion="8" minRefreshableVersion="3" recordCount="30" xr:uid="{3E5C2981-ACF5-44A9-8567-B1D65DB3A8D2}">
  <cacheSource type="worksheet">
    <worksheetSource name="Table3"/>
  </cacheSource>
  <cacheFields count="9">
    <cacheField name="Date" numFmtId="14">
      <sharedItems containsSemiMixedTypes="0" containsNonDate="0" containsDate="1" containsString="0" minDate="2025-05-02T00:00:00" maxDate="2025-12-24T00:00:00" count="141">
        <d v="2025-12-17T00:00:00"/>
        <d v="2025-12-18T00:00:00"/>
        <d v="2025-12-19T00:00:00"/>
        <d v="2025-12-20T00:00:00"/>
        <d v="2025-12-22T00:00:00"/>
        <d v="2025-12-21T00:00:00"/>
        <d v="2025-12-23T00:00:00"/>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2">
        <s v="Malik Zaheer"/>
        <s v="Aqib"/>
        <s v="Rafaqat"/>
        <s v="Kaleem ullah"/>
        <s v="Ishaq"/>
        <s v="Aurangzeb"/>
        <s v="Irfan Punjabi"/>
        <s v="Amjad wood"/>
        <s v="Rana Babar"/>
        <m u="1"/>
        <s v="Shamil" u="1"/>
        <s v="Aqib Freight" u="1"/>
      </sharedItems>
    </cacheField>
    <cacheField name="Vehicle Number" numFmtId="0">
      <sharedItems containsBlank="1" containsMixedTypes="1" containsNumber="1" containsInteger="1" minValue="31" maxValue="9940" count="61">
        <s v="Closing Balance CF"/>
        <s v="TKL 364"/>
        <n v="9662"/>
        <s v="LES 9718"/>
        <s v="APL"/>
        <m/>
        <n v="2223"/>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5" maxValue="250"/>
    </cacheField>
    <cacheField name="Rate" numFmtId="164">
      <sharedItems containsString="0" containsBlank="1" containsNumber="1" containsInteger="1" minValue="580" maxValue="810"/>
    </cacheField>
    <cacheField name="Rent" numFmtId="164">
      <sharedItems containsString="0" containsBlank="1" containsNumber="1" containsInteger="1" minValue="53250" maxValue="53250"/>
    </cacheField>
    <cacheField name="Total" numFmtId="164">
      <sharedItems containsSemiMixedTypes="0" containsString="0" containsNumber="1" containsInteger="1" minValue="0" maxValue="202500"/>
    </cacheField>
    <cacheField name="Paid" numFmtId="164">
      <sharedItems containsString="0" containsBlank="1" containsNumber="1" containsInteger="1" minValue="0" maxValue="200025"/>
    </cacheField>
    <cacheField name="balance" numFmtId="164">
      <sharedItems containsSemiMixedTypes="0" containsString="0" containsNumber="1" containsInteger="1" minValue="-200009" maxValue="1546255"/>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6.028810648146"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2-17T00:00:00" maxDate="2025-12-2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150000"/>
    </cacheField>
    <cacheField name="Balance" numFmtId="0">
      <sharedItems containsSemiMixedTypes="0" containsString="0" containsNumber="1" containsInteger="1" minValue="-150000" maxValue="351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6.028810995369" createdVersion="8" refreshedVersion="8" minRefreshableVersion="3" recordCount="76" xr:uid="{46CBB50D-3613-4E5B-8212-DD0313DCD05A}">
  <cacheSource type="worksheet">
    <worksheetSource name="Table1"/>
  </cacheSource>
  <cacheFields count="14">
    <cacheField name="Date" numFmtId="0">
      <sharedItems containsNonDate="0" containsDate="1" containsString="0" containsBlank="1" minDate="2025-11-18T00:00:00" maxDate="2025-12-25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s v="YING" u="1"/>
        <s v="Meow" u="1"/>
        <s v="Umer Sb" u="1"/>
        <s v="-" u="1"/>
        <s v="Sajjad" u="1"/>
        <s v="Haji Ejaz" u="1"/>
      </sharedItems>
    </cacheField>
    <cacheField name="Bill Number" numFmtId="0">
      <sharedItems containsBlank="1" containsMixedTypes="1" containsNumber="1" containsInteger="1" minValue="1256" maxValue="1272"/>
    </cacheField>
    <cacheField name="Quality" numFmtId="0">
      <sharedItems containsBlank="1"/>
    </cacheField>
    <cacheField name="Shipment Number" numFmtId="164">
      <sharedItems containsString="0" containsBlank="1" containsNumber="1" containsInteger="1" minValue="1558" maxValue="17000" count="331">
        <m/>
        <n v="1971"/>
        <n v="1951"/>
        <n v="1934"/>
        <n v="1924"/>
        <n v="1835"/>
        <n v="1628"/>
        <n v="1958"/>
        <n v="1987"/>
        <n v="1974"/>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972"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5613" maxValue="80202"/>
    </cacheField>
    <cacheField name="Tiyaar/gaz" numFmtId="164">
      <sharedItems containsString="0" containsBlank="1" containsNumber="1" containsInteger="1" minValue="1495" maxValue="49746"/>
    </cacheField>
    <cacheField name="shortage %" numFmtId="165">
      <sharedItems containsMixedTypes="1" containsNumber="1" minValue="2.6934957751331297" maxValue="80.935065070677581"/>
    </cacheField>
    <cacheField name="tiyar/meters" numFmtId="165">
      <sharedItems containsString="0" containsBlank="1" containsNumber="1" minValue="0" maxValue="2035507.4981711779"/>
    </cacheField>
    <cacheField name="billing" numFmtId="165">
      <sharedItems containsString="0" containsBlank="1"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d v="2025-12-17T00:00:00"/>
    <x v="0"/>
    <m/>
    <n v="882083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6"/>
    <m/>
    <n v="100000"/>
    <m/>
    <s v="Bank"/>
    <m/>
  </r>
  <r>
    <d v="2025-12-19T00:00:00"/>
    <x v="9"/>
    <n v="1400"/>
    <m/>
    <s v="jet gutkay"/>
    <s v="Bank"/>
    <m/>
  </r>
  <r>
    <d v="2025-12-19T00:00:00"/>
    <x v="9"/>
    <n v="8575"/>
    <m/>
    <s v="jet"/>
    <s v="Bank"/>
    <m/>
  </r>
  <r>
    <d v="2025-12-19T00:00:00"/>
    <x v="14"/>
    <n v="20000"/>
    <m/>
    <s v="Imran electric"/>
    <s v="Bank"/>
    <m/>
  </r>
  <r>
    <d v="2025-12-19T00:00:00"/>
    <x v="15"/>
    <n v="1470"/>
    <m/>
    <s v="stationary"/>
    <s v="Bank"/>
    <m/>
  </r>
  <r>
    <d v="2025-12-19T00:00:00"/>
    <x v="15"/>
    <n v="1040"/>
    <m/>
    <s v="stationary"/>
    <s v="Bank"/>
    <m/>
  </r>
  <r>
    <d v="2025-12-19T00:00:00"/>
    <x v="16"/>
    <n v="3000"/>
    <m/>
    <s v="petrol"/>
    <s v="Bank"/>
    <m/>
  </r>
  <r>
    <d v="2025-12-19T00:00:00"/>
    <x v="16"/>
    <n v="13000"/>
    <m/>
    <s v="petrol"/>
    <s v="Bank"/>
    <m/>
  </r>
  <r>
    <d v="2025-12-19T00:00:00"/>
    <x v="6"/>
    <m/>
    <n v="13000"/>
    <s v="petrol"/>
    <s v="Bank"/>
    <m/>
  </r>
  <r>
    <d v="2025-12-19T00:00:00"/>
    <x v="14"/>
    <n v="7000"/>
    <m/>
    <s v="nasir"/>
    <s v="Bank"/>
    <m/>
  </r>
  <r>
    <d v="2025-12-19T00:00:00"/>
    <x v="6"/>
    <m/>
    <n v="7000"/>
    <s v="nasir opt"/>
    <s v="Bank"/>
    <m/>
  </r>
  <r>
    <d v="2025-12-19T00:00:00"/>
    <x v="4"/>
    <m/>
    <m/>
    <s v="haseen khan"/>
    <s v="Bank"/>
    <m/>
  </r>
  <r>
    <d v="2025-12-19T00:00:00"/>
    <x v="6"/>
    <m/>
    <n v="22000"/>
    <s v="haseen khan"/>
    <s v="Bank"/>
    <m/>
  </r>
  <r>
    <d v="2025-12-20T00:00:00"/>
    <x v="14"/>
    <n v="2000"/>
    <m/>
    <s v="anayat"/>
    <s v="Bank"/>
    <m/>
  </r>
  <r>
    <d v="2025-12-20T00:00:00"/>
    <x v="17"/>
    <m/>
    <n v="48000"/>
    <s v="jazzcash"/>
    <s v="Bank"/>
    <m/>
  </r>
  <r>
    <d v="2025-12-20T00:00:00"/>
    <x v="16"/>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10"/>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6"/>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5"/>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6"/>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4"/>
    <n v="10000"/>
    <m/>
    <s v="ghulam abbas"/>
    <s v="Bank"/>
    <m/>
  </r>
  <r>
    <d v="2025-12-24T00:00:00"/>
    <x v="16"/>
    <n v="14900"/>
    <m/>
    <s v="petrol"/>
    <s v="Bank"/>
    <m/>
  </r>
  <r>
    <d v="2025-12-24T00:00:00"/>
    <x v="2"/>
    <n v="6736"/>
    <m/>
    <s v="groccery"/>
    <s v="Bank"/>
    <m/>
  </r>
  <r>
    <d v="2025-12-24T00:00:00"/>
    <x v="19"/>
    <m/>
    <n v="130000"/>
    <s v="BAHL"/>
    <s v="Bank"/>
    <m/>
  </r>
  <r>
    <d v="2025-12-24T00:00:00"/>
    <x v="2"/>
    <n v="1880"/>
    <m/>
    <s v="engine oil 2L 697"/>
    <s v="Bank"/>
    <m/>
  </r>
  <r>
    <d v="2025-12-24T00:00:00"/>
    <x v="15"/>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7"/>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92355.52304316021"/>
    <n v="10"/>
    <n v="809363.5698610096"/>
  </r>
  <r>
    <x v="1"/>
    <n v="0"/>
    <n v="10"/>
    <n v="0"/>
  </r>
  <r>
    <x v="2"/>
    <n v="53308.339429407468"/>
    <n v="10"/>
    <n v="533083.39429407474"/>
  </r>
  <r>
    <x v="3"/>
    <n v="0"/>
    <n v="10.5"/>
    <n v="0"/>
  </r>
  <r>
    <x v="4"/>
    <n v="0"/>
    <n v="10"/>
    <n v="0"/>
  </r>
  <r>
    <x v="5"/>
    <n v="0"/>
    <n v="10"/>
    <n v="0"/>
  </r>
  <r>
    <x v="6"/>
    <n v="0"/>
    <n v="10"/>
    <n v="0"/>
  </r>
  <r>
    <x v="7"/>
    <n v="46855.340160936365"/>
    <n v="10"/>
    <n v="468553.40160936362"/>
  </r>
  <r>
    <x v="8"/>
    <n v="0"/>
    <n v="10"/>
    <n v="0"/>
  </r>
  <r>
    <x v="9"/>
    <n v="0"/>
    <n v="12"/>
    <n v="0"/>
  </r>
  <r>
    <x v="10"/>
    <n v="0"/>
    <m/>
    <n v="0"/>
  </r>
  <r>
    <x v="11"/>
    <n v="108264.44769568399"/>
    <m/>
    <n v="618461.96049743972"/>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m/>
    <m/>
    <m/>
    <m/>
    <x v="4"/>
    <n v="0"/>
    <n v="0"/>
    <m/>
  </r>
  <r>
    <x v="3"/>
    <m/>
    <m/>
    <m/>
    <m/>
    <x v="4"/>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10"/>
    <n v="775"/>
    <m/>
    <n v="85250"/>
    <m/>
    <n v="85250"/>
  </r>
  <r>
    <x v="6"/>
    <x v="3"/>
    <x v="2"/>
    <n v="25"/>
    <n v="580"/>
    <m/>
    <n v="14500"/>
    <m/>
    <n v="14500"/>
  </r>
  <r>
    <x v="6"/>
    <x v="3"/>
    <x v="2"/>
    <n v="120"/>
    <n v="775"/>
    <m/>
    <n v="93000"/>
    <m/>
    <n v="93000"/>
  </r>
  <r>
    <x v="6"/>
    <x v="6"/>
    <x v="5"/>
    <m/>
    <m/>
    <m/>
    <n v="0"/>
    <n v="150000"/>
    <n v="-15000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0"/>
    <s v="Starch"/>
    <n v="45"/>
    <m/>
    <n v="351000"/>
    <n v="0"/>
    <n v="351000"/>
  </r>
  <r>
    <d v="2025-12-23T00:00:00"/>
    <x v="1"/>
    <s v="PVA"/>
    <m/>
    <m/>
    <n v="0"/>
    <n v="150000"/>
    <n v="-150000"/>
  </r>
  <r>
    <m/>
    <x v="5"/>
    <m/>
    <m/>
    <m/>
    <n v="0"/>
    <n v="0"/>
    <n v="0"/>
  </r>
  <r>
    <m/>
    <x v="5"/>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34.158755065426263"/>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10.834255831381583"/>
    <n v="15006.400877834676"/>
    <n v="150064.00877834676"/>
    <m/>
  </r>
  <r>
    <d v="2025-12-20T00:00:00"/>
    <x v="2"/>
    <n v="1261"/>
    <s v="Chamki"/>
    <x v="2"/>
    <n v="54197"/>
    <n v="10108"/>
    <n v="34.158755065426263"/>
    <n v="9242.8675932699352"/>
    <n v="92428.675932699349"/>
    <m/>
  </r>
  <r>
    <d v="2025-12-20T00:00:00"/>
    <x v="11"/>
    <n v="1262"/>
    <s v="Chamki"/>
    <x v="4"/>
    <n v="24876"/>
    <n v="7846"/>
    <n v="10.834255831381583"/>
    <n v="7174.4696415508415"/>
    <n v="71744.696415508413"/>
    <m/>
  </r>
  <r>
    <d v="2025-12-20T00:00:00"/>
    <x v="11"/>
    <n v="1263"/>
    <s v="crinkle"/>
    <x v="5"/>
    <n v="50010"/>
    <n v="25414"/>
    <n v="7.1820602960607403"/>
    <n v="23238.844184345282"/>
    <n v="232388.44184345281"/>
    <m/>
  </r>
  <r>
    <d v="2025-12-22T00:00:00"/>
    <x v="0"/>
    <n v="1264"/>
    <s v="crinkle"/>
    <x v="6"/>
    <n v="48198"/>
    <n v="10049"/>
    <n v="80.935065070677581"/>
    <n v="9188.9173372348214"/>
    <n v="91889.173372348218"/>
    <m/>
  </r>
  <r>
    <d v="2025-12-22T00:00:00"/>
    <x v="11"/>
    <n v="1265"/>
    <s v="crinkle"/>
    <x v="5"/>
    <n v="50010"/>
    <n v="25349"/>
    <n v="7.1820602960607403"/>
    <n v="23179.407461594736"/>
    <n v="231794.07461594735"/>
    <m/>
  </r>
  <r>
    <d v="2025-12-23T00:00:00"/>
    <x v="0"/>
    <n v="1266"/>
    <s v="crinkle"/>
    <x v="6"/>
    <n v="48198"/>
    <n v="2439"/>
    <n v="80.935065070677581"/>
    <m/>
    <m/>
    <m/>
  </r>
  <r>
    <d v="2025-12-23T00:00:00"/>
    <x v="0"/>
    <n v="1267"/>
    <s v="Chamki"/>
    <x v="7"/>
    <n v="80202"/>
    <n v="43569"/>
    <s v="NF"/>
    <m/>
    <m/>
    <m/>
  </r>
  <r>
    <d v="2025-12-23T00:00:00"/>
    <x v="11"/>
    <n v="1268"/>
    <s v="Chamki"/>
    <x v="4"/>
    <n v="24876"/>
    <n v="2152"/>
    <n v="10.834255831381583"/>
    <m/>
    <m/>
    <m/>
  </r>
  <r>
    <d v="2025-12-23T00:00:00"/>
    <x v="0"/>
    <n v="1269"/>
    <s v="Chamki"/>
    <x v="7"/>
    <n v="80202"/>
    <n v="43259"/>
    <s v="NF"/>
    <m/>
    <m/>
    <m/>
  </r>
  <r>
    <d v="2025-12-24T00:00:00"/>
    <x v="2"/>
    <n v="1270"/>
    <s v="Chamki"/>
    <x v="2"/>
    <n v="54197"/>
    <n v="19274"/>
    <n v="34.158755065426263"/>
    <m/>
    <m/>
    <m/>
  </r>
  <r>
    <d v="2025-12-24T00:00:00"/>
    <x v="0"/>
    <n v="1271"/>
    <s v="Chamki"/>
    <x v="8"/>
    <n v="5613"/>
    <n v="1684"/>
    <s v="NF"/>
    <m/>
    <m/>
    <m/>
  </r>
  <r>
    <d v="2025-12-24T00:00:00"/>
    <x v="7"/>
    <n v="1272"/>
    <s v="Chamki"/>
    <x v="9"/>
    <n v="50497"/>
    <n v="1495"/>
    <s v="NF"/>
    <m/>
    <m/>
    <m/>
  </r>
  <r>
    <m/>
    <x v="26"/>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2">
      <pivotArea field="0" grandRow="1" outline="0" collapsedLevelsAreSubtotals="1" axis="axisRow" fieldPosition="0">
        <references count="1">
          <reference field="4294967294" count="1" selected="0">
            <x v="1"/>
          </reference>
        </references>
      </pivotArea>
    </format>
    <format dxfId="131">
      <pivotArea field="0" grandRow="1" outline="0" collapsedLevelsAreSubtotals="1" axis="axisRow" fieldPosition="0">
        <references count="1">
          <reference field="4294967294" count="1" selected="0">
            <x v="0"/>
          </reference>
        </references>
      </pivotArea>
    </format>
    <format dxfId="130">
      <pivotArea collapsedLevelsAreSubtotals="1" fieldPosition="0">
        <references count="2">
          <reference field="4294967294" count="1" selected="0">
            <x v="1"/>
          </reference>
          <reference field="0" count="0"/>
        </references>
      </pivotArea>
    </format>
    <format dxfId="129">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30" firstHeaderRow="0" firstDataRow="1" firstDataCol="1" rowPageCount="1" colPageCount="1"/>
  <pivotFields count="9">
    <pivotField axis="axisRow" numFmtId="14" showAll="0">
      <items count="142">
        <item m="1" x="125"/>
        <item m="1" x="126"/>
        <item m="1" x="127"/>
        <item m="1" x="128"/>
        <item m="1" x="129"/>
        <item m="1" x="130"/>
        <item m="1" x="131"/>
        <item m="1" x="140"/>
        <item m="1" x="121"/>
        <item m="1" x="132"/>
        <item m="1" x="133"/>
        <item m="1" x="134"/>
        <item m="1" x="135"/>
        <item m="1" x="136"/>
        <item m="1" x="137"/>
        <item m="1" x="138"/>
        <item m="1" x="92"/>
        <item m="1" x="93"/>
        <item m="1" x="139"/>
        <item m="1" x="94"/>
        <item m="1" x="91"/>
        <item m="1" x="95"/>
        <item m="1" x="97"/>
        <item m="1" x="98"/>
        <item m="1" x="99"/>
        <item m="1" x="101"/>
        <item m="1" x="102"/>
        <item m="1" x="103"/>
        <item m="1" x="96"/>
        <item m="1" x="100"/>
        <item m="1" x="104"/>
        <item m="1" x="105"/>
        <item m="1" x="106"/>
        <item m="1" x="107"/>
        <item m="1" x="90"/>
        <item m="1" x="108"/>
        <item m="1" x="122"/>
        <item m="1" x="123"/>
        <item m="1" x="124"/>
        <item m="1" x="109"/>
        <item m="1" x="110"/>
        <item m="1" x="111"/>
        <item m="1" x="112"/>
        <item m="1" x="113"/>
        <item m="1" x="114"/>
        <item m="1" x="115"/>
        <item m="1" x="116"/>
        <item m="1" x="117"/>
        <item m="1" x="118"/>
        <item m="1" x="119"/>
        <item m="1" x="120"/>
        <item m="1" x="61"/>
        <item m="1" x="62"/>
        <item m="1" x="63"/>
        <item m="1" x="64"/>
        <item m="1" x="65"/>
        <item m="1" x="66"/>
        <item m="1" x="67"/>
        <item m="1" x="68"/>
        <item m="1" x="70"/>
        <item m="1" x="71"/>
        <item m="1" x="72"/>
        <item m="1" x="69"/>
        <item m="1" x="73"/>
        <item m="1" x="74"/>
        <item m="1" x="75"/>
        <item m="1" x="76"/>
        <item m="1" x="77"/>
        <item m="1" x="78"/>
        <item m="1" x="79"/>
        <item m="1" x="80"/>
        <item m="1" x="81"/>
        <item m="1" x="82"/>
        <item m="1" x="83"/>
        <item m="1" x="84"/>
        <item m="1" x="85"/>
        <item m="1" x="86"/>
        <item m="1" x="87"/>
        <item m="1" x="88"/>
        <item m="1" x="89"/>
        <item m="1" x="7"/>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8"/>
        <item m="1" x="11"/>
        <item m="1" x="9"/>
        <item m="1" x="10"/>
        <item m="1" x="12"/>
        <item m="1" x="13"/>
        <item m="1" x="14"/>
        <item m="1" x="15"/>
        <item m="1" x="16"/>
        <item m="1" x="17"/>
        <item m="1" x="18"/>
        <item m="1" x="19"/>
        <item m="1" x="20"/>
        <item m="1" x="21"/>
        <item m="1" x="22"/>
        <item m="1" x="23"/>
        <item m="1" x="24"/>
        <item m="1" x="25"/>
        <item m="1" x="26"/>
        <item m="1" x="27"/>
        <item m="1" x="28"/>
        <item m="1" x="29"/>
        <item m="1" x="30"/>
        <item m="1" x="31"/>
        <item m="1" x="32"/>
        <item m="1" x="33"/>
        <item m="1" x="34"/>
        <item x="0"/>
        <item x="1"/>
        <item x="2"/>
        <item x="3"/>
        <item x="4"/>
        <item x="5"/>
        <item x="6"/>
        <item t="default"/>
      </items>
    </pivotField>
    <pivotField axis="axisPage" showAll="0">
      <items count="13">
        <item x="1"/>
        <item x="0"/>
        <item m="1" x="9"/>
        <item m="1" x="11"/>
        <item x="2"/>
        <item x="3"/>
        <item x="4"/>
        <item m="1" x="10"/>
        <item x="5"/>
        <item x="6"/>
        <item x="7"/>
        <item x="8"/>
        <item t="default"/>
      </items>
    </pivotField>
    <pivotField axis="axisRow" showAll="0">
      <items count="62">
        <item m="1" x="51"/>
        <item m="1" x="35"/>
        <item m="1" x="47"/>
        <item m="1" x="17"/>
        <item m="1" x="52"/>
        <item m="1" x="53"/>
        <item m="1" x="48"/>
        <item m="1" x="49"/>
        <item m="1" x="50"/>
        <item m="1" x="28"/>
        <item m="1" x="54"/>
        <item m="1" x="55"/>
        <item m="1" x="56"/>
        <item m="1" x="57"/>
        <item m="1" x="58"/>
        <item m="1" x="59"/>
        <item m="1" x="24"/>
        <item m="1" x="25"/>
        <item m="1" x="60"/>
        <item m="1" x="26"/>
        <item x="0"/>
        <item m="1" x="27"/>
        <item m="1" x="29"/>
        <item m="1" x="30"/>
        <item m="1" x="31"/>
        <item m="1" x="32"/>
        <item m="1" x="33"/>
        <item m="1" x="34"/>
        <item m="1" x="36"/>
        <item m="1" x="37"/>
        <item m="1" x="19"/>
        <item m="1" x="38"/>
        <item m="1" x="39"/>
        <item m="1" x="40"/>
        <item m="1" x="23"/>
        <item m="1" x="41"/>
        <item m="1" x="42"/>
        <item m="1" x="21"/>
        <item m="1" x="43"/>
        <item m="1" x="44"/>
        <item m="1" x="45"/>
        <item m="1" x="46"/>
        <item m="1" x="9"/>
        <item m="1" x="10"/>
        <item m="1" x="11"/>
        <item m="1" x="12"/>
        <item m="1" x="13"/>
        <item m="1" x="14"/>
        <item m="1" x="15"/>
        <item m="1" x="16"/>
        <item m="1" x="18"/>
        <item m="1" x="20"/>
        <item m="1" x="22"/>
        <item m="1" x="8"/>
        <item x="5"/>
        <item x="1"/>
        <item x="2"/>
        <item m="1" x="7"/>
        <item x="3"/>
        <item x="4"/>
        <item x="6"/>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22">
    <i>
      <x v="134"/>
    </i>
    <i r="1">
      <x v="20"/>
    </i>
    <i r="1">
      <x v="56"/>
    </i>
    <i>
      <x v="135"/>
    </i>
    <i r="1">
      <x v="55"/>
    </i>
    <i r="1">
      <x v="56"/>
    </i>
    <i>
      <x v="136"/>
    </i>
    <i r="1">
      <x v="54"/>
    </i>
    <i r="1">
      <x v="58"/>
    </i>
    <i r="1">
      <x v="59"/>
    </i>
    <i>
      <x v="137"/>
    </i>
    <i r="1">
      <x v="56"/>
    </i>
    <i r="1">
      <x v="60"/>
    </i>
    <i>
      <x v="138"/>
    </i>
    <i r="1">
      <x v="54"/>
    </i>
    <i>
      <x v="139"/>
    </i>
    <i r="1">
      <x v="54"/>
    </i>
    <i r="1">
      <x v="56"/>
    </i>
    <i>
      <x v="140"/>
    </i>
    <i r="1">
      <x v="54"/>
    </i>
    <i r="1">
      <x v="56"/>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2" firstHeaderRow="0" firstDataRow="1" firstDataCol="1"/>
  <pivotFields count="7">
    <pivotField numFmtId="14" showAll="0"/>
    <pivotField axis="axisRow" showAll="0">
      <items count="78">
        <item x="14"/>
        <item x="19"/>
        <item m="1" x="30"/>
        <item m="1" x="63"/>
        <item m="1" x="67"/>
        <item m="1" x="31"/>
        <item x="5"/>
        <item x="15"/>
        <item x="9"/>
        <item x="26"/>
        <item x="4"/>
        <item m="1" x="75"/>
        <item m="1" x="62"/>
        <item x="16"/>
        <item x="24"/>
        <item m="1" x="73"/>
        <item x="2"/>
        <item m="1" x="47"/>
        <item x="1"/>
        <item m="1" x="32"/>
        <item x="27"/>
        <item x="22"/>
        <item m="1" x="76"/>
        <item m="1" x="59"/>
        <item x="8"/>
        <item m="1" x="74"/>
        <item m="1" x="66"/>
        <item m="1" x="41"/>
        <item m="1" x="68"/>
        <item m="1" x="69"/>
        <item m="1" x="70"/>
        <item m="1" x="71"/>
        <item m="1" x="44"/>
        <item m="1" x="72"/>
        <item m="1" x="46"/>
        <item x="12"/>
        <item m="1" x="53"/>
        <item x="17"/>
        <item m="1" x="61"/>
        <item m="1" x="56"/>
        <item x="23"/>
        <item x="13"/>
        <item m="1" x="40"/>
        <item m="1" x="64"/>
        <item x="6"/>
        <item m="1" x="65"/>
        <item m="1" x="50"/>
        <item m="1" x="37"/>
        <item x="7"/>
        <item m="1" x="51"/>
        <item m="1" x="52"/>
        <item m="1" x="54"/>
        <item m="1" x="55"/>
        <item m="1" x="57"/>
        <item m="1" x="33"/>
        <item m="1" x="34"/>
        <item m="1" x="58"/>
        <item m="1" x="60"/>
        <item m="1" x="29"/>
        <item m="1" x="36"/>
        <item m="1" x="28"/>
        <item x="18"/>
        <item m="1" x="35"/>
        <item m="1" x="38"/>
        <item m="1" x="49"/>
        <item x="3"/>
        <item m="1" x="42"/>
        <item m="1" x="43"/>
        <item x="21"/>
        <item m="1" x="39"/>
        <item x="10"/>
        <item m="1" x="45"/>
        <item x="11"/>
        <item m="1" x="48"/>
        <item x="0"/>
        <item x="20"/>
        <item x="25"/>
        <item t="default"/>
      </items>
    </pivotField>
    <pivotField dataField="1" showAll="0"/>
    <pivotField dataField="1" showAll="0"/>
    <pivotField showAll="0"/>
    <pivotField showAll="0"/>
    <pivotField showAll="0"/>
  </pivotFields>
  <rowFields count="1">
    <field x="1"/>
  </rowFields>
  <rowItems count="29">
    <i>
      <x/>
    </i>
    <i>
      <x v="1"/>
    </i>
    <i>
      <x v="6"/>
    </i>
    <i>
      <x v="7"/>
    </i>
    <i>
      <x v="8"/>
    </i>
    <i>
      <x v="9"/>
    </i>
    <i>
      <x v="10"/>
    </i>
    <i>
      <x v="13"/>
    </i>
    <i>
      <x v="14"/>
    </i>
    <i>
      <x v="16"/>
    </i>
    <i>
      <x v="18"/>
    </i>
    <i>
      <x v="20"/>
    </i>
    <i>
      <x v="21"/>
    </i>
    <i>
      <x v="24"/>
    </i>
    <i>
      <x v="35"/>
    </i>
    <i>
      <x v="37"/>
    </i>
    <i>
      <x v="40"/>
    </i>
    <i>
      <x v="41"/>
    </i>
    <i>
      <x v="44"/>
    </i>
    <i>
      <x v="48"/>
    </i>
    <i>
      <x v="61"/>
    </i>
    <i>
      <x v="65"/>
    </i>
    <i>
      <x v="68"/>
    </i>
    <i>
      <x v="70"/>
    </i>
    <i>
      <x v="72"/>
    </i>
    <i>
      <x v="74"/>
    </i>
    <i>
      <x v="75"/>
    </i>
    <i>
      <x v="76"/>
    </i>
    <i t="grand">
      <x/>
    </i>
  </rowItems>
  <colFields count="1">
    <field x="-2"/>
  </colFields>
  <colItems count="2">
    <i>
      <x/>
    </i>
    <i i="1">
      <x v="1"/>
    </i>
  </colItems>
  <dataFields count="2">
    <dataField name="Sum of Credit" fld="3" baseField="0" baseItem="0"/>
    <dataField name="Sum of Debit" fld="2" baseField="0" baseItem="0"/>
  </dataFields>
  <formats count="1">
    <format dxfId="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55">
        <item m="1" x="49"/>
        <item m="1" x="50"/>
        <item m="1" x="51"/>
        <item m="1" x="52"/>
        <item m="1" x="53"/>
        <item m="1" x="48"/>
        <item m="1" x="36"/>
        <item m="1" x="37"/>
        <item m="1" x="41"/>
        <item m="1" x="42"/>
        <item m="1" x="38"/>
        <item m="1" x="43"/>
        <item m="1" x="44"/>
        <item m="1" x="45"/>
        <item m="1" x="46"/>
        <item m="1" x="47"/>
        <item m="1" x="35"/>
        <item m="1" x="39"/>
        <item m="1" x="40"/>
        <item m="1" x="28"/>
        <item m="1" x="29"/>
        <item m="1" x="30"/>
        <item m="1" x="31"/>
        <item m="1" x="32"/>
        <item m="1" x="33"/>
        <item m="1" x="34"/>
        <item m="1" x="4"/>
        <item m="1" x="20"/>
        <item m="1" x="21"/>
        <item m="1" x="22"/>
        <item m="1" x="23"/>
        <item m="1" x="24"/>
        <item m="1" x="25"/>
        <item m="1" x="26"/>
        <item m="1" x="27"/>
        <item m="1" x="5"/>
        <item m="1" x="6"/>
        <item m="1" x="7"/>
        <item m="1" x="8"/>
        <item m="1" x="9"/>
        <item m="1" x="10"/>
        <item m="1" x="11"/>
        <item m="1" x="13"/>
        <item m="1" x="14"/>
        <item m="1" x="12"/>
        <item m="1" x="15"/>
        <item m="1" x="16"/>
        <item m="1" x="17"/>
        <item m="1" x="18"/>
        <item m="1" x="19"/>
        <item x="0"/>
        <item x="1"/>
        <item x="3"/>
        <item x="2"/>
        <item t="default"/>
      </items>
    </pivotField>
    <pivotField showAll="0"/>
    <pivotField showAll="0"/>
    <pivotField showAll="0"/>
    <pivotField dataField="1" showAll="0"/>
    <pivotField axis="axisPage" showAll="0">
      <items count="8">
        <item x="0"/>
        <item x="4"/>
        <item m="1" x="6"/>
        <item m="1" x="5"/>
        <item x="1"/>
        <item x="2"/>
        <item x="3"/>
        <item t="default"/>
      </items>
    </pivotField>
    <pivotField showAll="0"/>
    <pivotField dataField="1" showAll="0"/>
    <pivotField showAll="0"/>
  </pivotFields>
  <rowFields count="1">
    <field x="0"/>
  </rowFields>
  <rowItems count="5">
    <i>
      <x v="50"/>
    </i>
    <i>
      <x v="51"/>
    </i>
    <i>
      <x v="52"/>
    </i>
    <i>
      <x v="53"/>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4"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32">
        <item m="1" x="314"/>
        <item m="1" x="315"/>
        <item m="1" x="313"/>
        <item m="1" x="312"/>
        <item m="1" x="316"/>
        <item m="1" x="318"/>
        <item m="1" x="317"/>
        <item m="1" x="319"/>
        <item m="1" x="320"/>
        <item m="1" x="321"/>
        <item m="1" x="322"/>
        <item m="1" x="323"/>
        <item m="1" x="324"/>
        <item m="1" x="325"/>
        <item m="1" x="250"/>
        <item m="1" x="272"/>
        <item m="1" x="326"/>
        <item m="1" x="327"/>
        <item m="1" x="328"/>
        <item m="1" x="280"/>
        <item m="1" x="279"/>
        <item m="1" x="329"/>
        <item m="1" x="330"/>
        <item m="1" x="289"/>
        <item m="1" x="281"/>
        <item m="1" x="282"/>
        <item m="1" x="283"/>
        <item m="1" x="284"/>
        <item m="1" x="285"/>
        <item m="1" x="286"/>
        <item m="1" x="287"/>
        <item m="1" x="288"/>
        <item m="1" x="290"/>
        <item m="1" x="310"/>
        <item m="1" x="291"/>
        <item m="1" x="311"/>
        <item m="1" x="292"/>
        <item m="1" x="293"/>
        <item m="1" x="294"/>
        <item m="1" x="295"/>
        <item m="1" x="296"/>
        <item m="1" x="227"/>
        <item m="1" x="297"/>
        <item m="1" x="298"/>
        <item m="1" x="299"/>
        <item m="1" x="300"/>
        <item m="1" x="301"/>
        <item m="1" x="302"/>
        <item m="1" x="303"/>
        <item m="1" x="304"/>
        <item m="1" x="305"/>
        <item m="1" x="306"/>
        <item m="1" x="307"/>
        <item m="1" x="308"/>
        <item m="1" x="309"/>
        <item x="0"/>
        <item m="1" x="226"/>
        <item m="1" x="228"/>
        <item m="1" x="229"/>
        <item m="1" x="230"/>
        <item m="1" x="231"/>
        <item m="1" x="232"/>
        <item m="1" x="233"/>
        <item m="1" x="234"/>
        <item m="1" x="235"/>
        <item m="1" x="236"/>
        <item m="1" x="237"/>
        <item m="1" x="238"/>
        <item m="1" x="239"/>
        <item m="1" x="240"/>
        <item x="6"/>
        <item m="1" x="241"/>
        <item m="1" x="242"/>
        <item m="1" x="243"/>
        <item m="1" x="244"/>
        <item m="1" x="245"/>
        <item m="1" x="246"/>
        <item m="1" x="247"/>
        <item m="1" x="248"/>
        <item m="1" x="249"/>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3"/>
        <item m="1" x="274"/>
        <item m="1" x="275"/>
        <item m="1" x="276"/>
        <item m="1" x="277"/>
        <item m="1" x="278"/>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25"/>
        <item m="1" x="206"/>
        <item m="1" x="207"/>
        <item m="1" x="208"/>
        <item m="1" x="209"/>
        <item m="1" x="210"/>
        <item m="1" x="211"/>
        <item m="1" x="212"/>
        <item m="1" x="213"/>
        <item m="1" x="214"/>
        <item m="1" x="215"/>
        <item m="1" x="216"/>
        <item m="1" x="217"/>
        <item m="1" x="218"/>
        <item m="1" x="219"/>
        <item m="1" x="220"/>
        <item m="1" x="221"/>
        <item m="1" x="222"/>
        <item m="1" x="223"/>
        <item m="1" x="224"/>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9"/>
        <item m="1" x="143"/>
        <item m="1" x="10"/>
        <item m="1" x="11"/>
        <item m="1" x="12"/>
        <item m="1" x="13"/>
        <item m="1" x="14"/>
        <item m="1" x="15"/>
        <item m="1" x="16"/>
        <item m="1" x="17"/>
        <item m="1" x="18"/>
        <item m="1" x="20"/>
        <item m="1" x="21"/>
        <item m="1" x="22"/>
        <item m="1" x="23"/>
        <item m="1" x="24"/>
        <item m="1" x="25"/>
        <item m="1" x="26"/>
        <item m="1" x="27"/>
        <item m="1" x="28"/>
        <item m="1" x="29"/>
        <item m="1" x="30"/>
        <item m="1" x="31"/>
        <item m="1" x="32"/>
        <item m="1" x="33"/>
        <item x="3"/>
        <item m="1" x="34"/>
        <item m="1" x="35"/>
        <item m="1" x="36"/>
        <item m="1" x="37"/>
        <item m="1" x="38"/>
        <item m="1" x="39"/>
        <item m="1" x="40"/>
        <item m="1" x="41"/>
        <item m="1" x="42"/>
        <item m="1" x="43"/>
        <item m="1" x="44"/>
        <item m="1" x="45"/>
        <item m="1" x="46"/>
        <item m="1" x="47"/>
        <item m="1" x="48"/>
        <item m="1" x="49"/>
        <item m="1" x="50"/>
        <item m="1" x="51"/>
        <item m="1" x="52"/>
        <item m="1" x="53"/>
        <item m="1" x="54"/>
        <item m="1" x="55"/>
        <item x="7"/>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x="4"/>
        <item m="1" x="85"/>
        <item m="1" x="86"/>
        <item x="1"/>
        <item m="1" x="87"/>
        <item x="2"/>
        <item x="5"/>
        <item x="8"/>
        <item x="9"/>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1">
    <i>
      <x v="55"/>
    </i>
    <i>
      <x v="70"/>
    </i>
    <i>
      <x v="269"/>
    </i>
    <i>
      <x v="292"/>
    </i>
    <i>
      <x v="322"/>
    </i>
    <i>
      <x v="325"/>
    </i>
    <i>
      <x v="327"/>
    </i>
    <i>
      <x v="328"/>
    </i>
    <i>
      <x v="329"/>
    </i>
    <i>
      <x v="330"/>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31">
        <i x="6" s="1"/>
        <i x="5" s="1"/>
        <i x="4" s="1"/>
        <i x="3" s="1"/>
        <i x="2" s="1"/>
        <i x="7" s="1"/>
        <i x="1" s="1"/>
        <i x="9" s="1"/>
        <i x="8" s="1"/>
        <i x="285" s="1" nd="1"/>
        <i x="314" s="1" nd="1"/>
        <i x="315" s="1" nd="1"/>
        <i x="323" s="1" nd="1"/>
        <i x="313" s="1" nd="1"/>
        <i x="312" s="1" nd="1"/>
        <i x="316" s="1" nd="1"/>
        <i x="327" s="1" nd="1"/>
        <i x="319" s="1" nd="1"/>
        <i x="320" s="1" nd="1"/>
        <i x="317" s="1" nd="1"/>
        <i x="318" s="1" nd="1"/>
        <i x="328" s="1" nd="1"/>
        <i x="321" s="1" nd="1"/>
        <i x="322" s="1" nd="1"/>
        <i x="325" s="1" nd="1"/>
        <i x="326" s="1" nd="1"/>
        <i x="324" s="1" nd="1"/>
        <i x="280" s="1" nd="1"/>
        <i x="330" s="1" nd="1"/>
        <i x="279" s="1" nd="1"/>
        <i x="329" s="1" nd="1"/>
        <i x="282" s="1" nd="1"/>
        <i x="243" s="1" nd="1"/>
        <i x="281" s="1" nd="1"/>
        <i x="283" s="1" nd="1"/>
        <i x="289" s="1" nd="1"/>
        <i x="284" s="1" nd="1"/>
        <i x="286" s="1" nd="1"/>
        <i x="302" s="1" nd="1"/>
        <i x="226" s="1" nd="1"/>
        <i x="290" s="1" nd="1"/>
        <i x="231" s="1" nd="1"/>
        <i x="296" s="1" nd="1"/>
        <i x="291" s="1" nd="1"/>
        <i x="294" s="1" nd="1"/>
        <i x="299" s="1" nd="1"/>
        <i x="310" s="1" nd="1"/>
        <i x="292" s="1" nd="1"/>
        <i x="304" s="1" nd="1"/>
        <i x="307" s="1" nd="1"/>
        <i x="298" s="1" nd="1"/>
        <i x="287" s="1" nd="1"/>
        <i x="295" s="1" nd="1"/>
        <i x="288" s="1" nd="1"/>
        <i x="293" s="1" nd="1"/>
        <i x="227" s="1" nd="1"/>
        <i x="297" s="1" nd="1"/>
        <i x="303" s="1" nd="1"/>
        <i x="300" s="1" nd="1"/>
        <i x="305" s="1" nd="1"/>
        <i x="301" s="1" nd="1"/>
        <i x="267" s="1" nd="1"/>
        <i x="306" s="1" nd="1"/>
        <i x="308" s="1" nd="1"/>
        <i x="229" s="1" nd="1"/>
        <i x="236" s="1" nd="1"/>
        <i x="309" s="1" nd="1"/>
        <i x="233" s="1" nd="1"/>
        <i x="234" s="1" nd="1"/>
        <i x="228" s="1" nd="1"/>
        <i x="232" s="1" nd="1"/>
        <i x="119" s="1" nd="1"/>
        <i x="230" s="1" nd="1"/>
        <i x="239" s="1" nd="1"/>
        <i x="235" s="1" nd="1"/>
        <i x="237" s="1" nd="1"/>
        <i x="240" s="1" nd="1"/>
        <i x="247" s="1" nd="1"/>
        <i x="238" s="1" nd="1"/>
        <i x="246" s="1" nd="1"/>
        <i x="251" s="1" nd="1"/>
        <i x="245" s="1" nd="1"/>
        <i x="248" s="1" nd="1"/>
        <i x="258" s="1" nd="1"/>
        <i x="244" s="1" nd="1"/>
        <i x="241" s="1" nd="1"/>
        <i x="242" s="1" nd="1"/>
        <i x="257" s="1" nd="1"/>
        <i x="115" s="1" nd="1"/>
        <i x="250" s="1" nd="1"/>
        <i x="261" s="1" nd="1"/>
        <i x="256" s="1" nd="1"/>
        <i x="249" s="1" nd="1"/>
        <i x="273" s="1" nd="1"/>
        <i x="254" s="1" nd="1"/>
        <i x="264" s="1" nd="1"/>
        <i x="262" s="1" nd="1"/>
        <i x="252" s="1" nd="1"/>
        <i x="260" s="1" nd="1"/>
        <i x="259" s="1" nd="1"/>
        <i x="255" s="1" nd="1"/>
        <i x="265" s="1" nd="1"/>
        <i x="263" s="1" nd="1"/>
        <i x="266" s="1" nd="1"/>
        <i x="253" s="1" nd="1"/>
        <i x="195" s="1" nd="1"/>
        <i x="268" s="1" nd="1"/>
        <i x="269" s="1" nd="1"/>
        <i x="153" s="1" nd="1"/>
        <i x="155" s="1" nd="1"/>
        <i x="276" s="1" nd="1"/>
        <i x="149" s="1" nd="1"/>
        <i x="196" s="1" nd="1"/>
        <i x="270" s="1" nd="1"/>
        <i x="271" s="1" nd="1"/>
        <i x="152" s="1" nd="1"/>
        <i x="278" s="1" nd="1"/>
        <i x="151" s="1" nd="1"/>
        <i x="166" s="1" nd="1"/>
        <i x="277" s="1" nd="1"/>
        <i x="272" s="1" nd="1"/>
        <i x="170" s="1" nd="1"/>
        <i x="275" s="1" nd="1"/>
        <i x="274" s="1" nd="1"/>
        <i x="191" s="1" nd="1"/>
        <i x="144" s="1" nd="1"/>
        <i x="156" s="1" nd="1"/>
        <i x="192" s="1" nd="1"/>
        <i x="190" s="1" nd="1"/>
        <i x="148" s="1" nd="1"/>
        <i x="150" s="1" nd="1"/>
        <i x="154" s="1" nd="1"/>
        <i x="145" s="1" nd="1"/>
        <i x="180" s="1" nd="1"/>
        <i x="185" s="1" nd="1"/>
        <i x="146" s="1" nd="1"/>
        <i x="147" s="1" nd="1"/>
        <i x="157" s="1" nd="1"/>
        <i x="160" s="1" nd="1"/>
        <i x="167" s="1" nd="1"/>
        <i x="159" s="1" nd="1"/>
        <i x="162" s="1" nd="1"/>
        <i x="161" s="1" nd="1"/>
        <i x="204" s="1" nd="1"/>
        <i x="158" s="1" nd="1"/>
        <i x="183" s="1" nd="1"/>
        <i x="199" s="1" nd="1"/>
        <i x="163" s="1" nd="1"/>
        <i x="188" s="1" nd="1"/>
        <i x="201" s="1" nd="1"/>
        <i x="172" s="1" nd="1"/>
        <i x="213" s="1" nd="1"/>
        <i x="171" s="1" nd="1"/>
        <i x="168" s="1" nd="1"/>
        <i x="164" s="1" nd="1"/>
        <i x="165" s="1" nd="1"/>
        <i x="184" s="1" nd="1"/>
        <i x="173" s="1" nd="1"/>
        <i x="96" s="1" nd="1"/>
        <i x="174" s="1" nd="1"/>
        <i x="169" s="1" nd="1"/>
        <i x="176" s="1" nd="1"/>
        <i x="177" s="1" nd="1"/>
        <i x="206" s="1" nd="1"/>
        <i x="175" s="1" nd="1"/>
        <i x="193" s="1" nd="1"/>
        <i x="181" s="1" nd="1"/>
        <i x="178" s="1" nd="1"/>
        <i x="182" s="1" nd="1"/>
        <i x="179" s="1" nd="1"/>
        <i x="186" s="1" nd="1"/>
        <i x="205" s="1" nd="1"/>
        <i x="200" s="1" nd="1"/>
        <i x="219" s="1" nd="1"/>
        <i x="187" s="1" nd="1"/>
        <i x="89" s="1" nd="1"/>
        <i x="198" s="1" nd="1"/>
        <i x="189" s="1" nd="1"/>
        <i x="214" s="1" nd="1"/>
        <i x="197" s="1" nd="1"/>
        <i x="212" s="1" nd="1"/>
        <i x="97" s="1" nd="1"/>
        <i x="203" s="1" nd="1"/>
        <i x="202" s="1" nd="1"/>
        <i x="218" s="1" nd="1"/>
        <i x="215" s="1" nd="1"/>
        <i x="108" s="1" nd="1"/>
        <i x="223" s="1" nd="1"/>
        <i x="207" s="1" nd="1"/>
        <i x="216" s="1" nd="1"/>
        <i x="221" s="1" nd="1"/>
        <i x="99" s="1" nd="1"/>
        <i x="125" s="1" nd="1"/>
        <i x="225" s="1" nd="1"/>
        <i x="222" s="1" nd="1"/>
        <i x="90" s="1" nd="1"/>
        <i x="110" s="1" nd="1"/>
        <i x="217" s="1" nd="1"/>
        <i x="92" s="1" nd="1"/>
        <i x="208" s="1" nd="1"/>
        <i x="211" s="1" nd="1"/>
        <i x="107" s="1" nd="1"/>
        <i x="220" s="1" nd="1"/>
        <i x="209" s="1" nd="1"/>
        <i x="210" s="1" nd="1"/>
        <i x="94" s="1" nd="1"/>
        <i x="112" s="1" nd="1"/>
        <i x="113" s="1" nd="1"/>
        <i x="126" s="1" nd="1"/>
        <i x="224" s="1" nd="1"/>
        <i x="88" s="1" nd="1"/>
        <i x="111" s="1" nd="1"/>
        <i x="104" s="1" nd="1"/>
        <i x="91" s="1" nd="1"/>
        <i x="95" s="1" nd="1"/>
        <i x="101" s="1" nd="1"/>
        <i x="93" s="1" nd="1"/>
        <i x="117" s="1" nd="1"/>
        <i x="121" s="1" nd="1"/>
        <i x="122" s="1" nd="1"/>
        <i x="114" s="1" nd="1"/>
        <i x="98" s="1" nd="1"/>
        <i x="100" s="1" nd="1"/>
        <i x="102" s="1" nd="1"/>
        <i x="105" s="1" nd="1"/>
        <i x="118" s="1" nd="1"/>
        <i x="103" s="1" nd="1"/>
        <i x="124" s="1" nd="1"/>
        <i x="55" s="1" nd="1"/>
        <i x="34" s="1" nd="1"/>
        <i x="139" s="1" nd="1"/>
        <i x="106" s="1" nd="1"/>
        <i x="127" s="1" nd="1"/>
        <i x="123" s="1" nd="1"/>
        <i x="109" s="1" nd="1"/>
        <i x="131" s="1" nd="1"/>
        <i x="66" s="1" nd="1"/>
        <i x="29" s="1" nd="1"/>
        <i x="116" s="1" nd="1"/>
        <i x="140" s="1" nd="1"/>
        <i x="120" s="1" nd="1"/>
        <i x="143" s="1" nd="1"/>
        <i x="130" s="1" nd="1"/>
        <i x="135" s="1" nd="1"/>
        <i x="11" s="1" nd="1"/>
        <i x="132" s="1" nd="1"/>
        <i x="134" s="1" nd="1"/>
        <i x="51" s="1" nd="1"/>
        <i x="19" s="1" nd="1"/>
        <i x="129" s="1" nd="1"/>
        <i x="16" s="1" nd="1"/>
        <i x="128" s="1" nd="1"/>
        <i x="28" s="1" nd="1"/>
        <i x="12" s="1" nd="1"/>
        <i x="10" s="1" nd="1"/>
        <i x="133" s="1" nd="1"/>
        <i x="26" s="1" nd="1"/>
        <i x="20" s="1" nd="1"/>
        <i x="31" s="1" nd="1"/>
        <i x="48" s="1" nd="1"/>
        <i x="25" s="1" nd="1"/>
        <i x="36" s="1" nd="1"/>
        <i x="30" s="1" nd="1"/>
        <i x="27" s="1" nd="1"/>
        <i x="141" s="1" nd="1"/>
        <i x="84" s="1" nd="1"/>
        <i x="38" s="1" nd="1"/>
        <i x="39" s="1" nd="1"/>
        <i x="137" s="1" nd="1"/>
        <i x="136" s="1" nd="1"/>
        <i x="13" s="1" nd="1"/>
        <i x="15" s="1" nd="1"/>
        <i x="46" s="1" nd="1"/>
        <i x="22" s="1" nd="1"/>
        <i x="142" s="1" nd="1"/>
        <i x="80" s="1" nd="1"/>
        <i x="71" s="1" nd="1"/>
        <i x="59" s="1" nd="1"/>
        <i x="33" s="1" nd="1"/>
        <i x="18" s="1" nd="1"/>
        <i x="49" s="1" nd="1"/>
        <i x="68" s="1" nd="1"/>
        <i x="60" s="1" nd="1"/>
        <i x="56" s="1" nd="1"/>
        <i x="24" s="1" nd="1"/>
        <i x="44" s="1" nd="1"/>
        <i x="43" s="1" nd="1"/>
        <i x="58" s="1" nd="1"/>
        <i x="45" s="1" nd="1"/>
        <i x="138" s="1" nd="1"/>
        <i x="21" s="1" nd="1"/>
        <i x="17" s="1" nd="1"/>
        <i x="47" s="1" nd="1"/>
        <i x="14" s="1" nd="1"/>
        <i x="52" s="1" nd="1"/>
        <i x="53" s="1" nd="1"/>
        <i x="57" s="1" nd="1"/>
        <i x="37" s="1" nd="1"/>
        <i x="32" s="1" nd="1"/>
        <i x="65" s="1" nd="1"/>
        <i x="64" s="1" nd="1"/>
        <i x="69" s="1" nd="1"/>
        <i x="23" s="1" nd="1"/>
        <i x="67" s="1" nd="1"/>
        <i x="54" s="1" nd="1"/>
        <i x="35" s="1" nd="1"/>
        <i x="40" s="1" nd="1"/>
        <i x="41" s="1" nd="1"/>
        <i x="50" s="1" nd="1"/>
        <i x="42" s="1" nd="1"/>
        <i x="61" s="1" nd="1"/>
        <i x="72" s="1" nd="1"/>
        <i x="62" s="1" nd="1"/>
        <i x="78" s="1" nd="1"/>
        <i x="75" s="1" nd="1"/>
        <i x="73" s="1" nd="1"/>
        <i x="85" s="1" nd="1"/>
        <i x="79" s="1" nd="1"/>
        <i x="86" s="1" nd="1"/>
        <i x="81" s="1" nd="1"/>
        <i x="82" s="1" nd="1"/>
        <i x="63" s="1" nd="1"/>
        <i x="76" s="1" nd="1"/>
        <i x="83" s="1" nd="1"/>
        <i x="74" s="1" nd="1"/>
        <i x="77" s="1" nd="1"/>
        <i x="87" s="1" nd="1"/>
        <i x="70" s="1" nd="1"/>
        <i x="194" s="1" nd="1"/>
        <i x="311"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8">
      <calculatedColumnFormula>B49</calculatedColumnFormula>
    </tableColumn>
    <tableColumn id="2" xr3:uid="{7EDCC2ED-0339-42B3-9633-FFEA7A3DD9F3}" name="Tiyaar" dataDxfId="127">
      <calculatedColumnFormula>SUMIFS(ledger!G:G, ledger!B:B, B2, ledger!E:E, "&lt;&gt;*RD*") / 1.0936</calculatedColumnFormula>
    </tableColumn>
    <tableColumn id="3" xr3:uid="{CC1535DD-3FE7-4F55-8040-E7643388A78E}" name="Rate"/>
    <tableColumn id="4" xr3:uid="{059CB70B-ADAD-4985-84AA-0D530BAC5567}" name="Total" dataDxfId="126">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5" dataDxfId="124">
  <autoFilter ref="B7:E20" xr:uid="{449E5D32-DF9C-4018-96AB-CA98E118D910}"/>
  <tableColumns count="4">
    <tableColumn id="1" xr3:uid="{F663704C-91DD-4BB9-B7EB-EEB0C5EDED6C}" name="Description" dataDxfId="123"/>
    <tableColumn id="2" xr3:uid="{6D94D495-CD0B-4FD3-9771-81D731982A97}" name="Rate" dataDxfId="122" dataCellStyle="Comma"/>
    <tableColumn id="3" xr3:uid="{2D14CEAD-3602-40E7-A488-3584EBC9141E}" name="gazana" dataDxfId="121" dataCellStyle="Comma"/>
    <tableColumn id="4" xr3:uid="{06FEE63C-6480-4079-8426-51BC26B38B34}" name="sum" dataDxfId="120"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9" totalsRowDxfId="118"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1" totalsRowDxfId="11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77" totalsRowCount="1" headerRowDxfId="108" dataDxfId="107" headerRowCellStyle="Comma" dataCellStyle="Comma">
  <autoFilter ref="A1:K76" xr:uid="{11DACEC6-751B-4B1D-817F-5C5BCD38EF6D}"/>
  <tableColumns count="11">
    <tableColumn id="1" xr3:uid="{2FCE3FA8-A48C-4685-8919-AE44C6C71FD9}" name="Date" dataDxfId="106" dataCellStyle="Comma"/>
    <tableColumn id="2" xr3:uid="{5780FD5F-0890-44E6-B59C-8E37A559FE36}" name="Party Name" dataDxfId="105" dataCellStyle="Comma"/>
    <tableColumn id="3" xr3:uid="{5B3ECD85-9174-40AC-BFBD-49CAC97A83D3}" name="Bill Number" dataDxfId="104" dataCellStyle="Comma"/>
    <tableColumn id="4" xr3:uid="{11B50761-04B6-4262-AD4D-7182450037D1}" name="Quality" dataDxfId="103" dataCellStyle="Comma"/>
    <tableColumn id="5" xr3:uid="{2C556969-B713-4967-BD24-466AACCBE5F5}" name="Shipment Number" dataDxfId="102" totalsRowDxfId="101" dataCellStyle="Comma"/>
    <tableColumn id="6" xr3:uid="{F4E1FD2B-9017-4DEB-B772-BF447ECE56F7}" name="Kora/metre" dataDxfId="100" totalsRowDxfId="99" dataCellStyle="Comma"/>
    <tableColumn id="7" xr3:uid="{52ACC1DA-7A76-4A90-B809-3A1AE728E7EA}" name="Tiyaar/gaz" dataDxfId="98" totalsRowDxfId="97" dataCellStyle="Comma"/>
    <tableColumn id="8" xr3:uid="{31A0FF5E-56F0-44D1-9865-73256B964660}" name="shortage %" dataDxfId="96" totalsRowDxfId="95" dataCellStyle="Comma">
      <calculatedColumnFormula>_xlfn.XLOOKUP(Table1[[#This Row],[Shipment Number]], 'pivot '!A:A,'pivot '!G:G, "NF")</calculatedColumnFormula>
    </tableColumn>
    <tableColumn id="9" xr3:uid="{F99075E0-AC8E-094D-BB85-272AD2C6C568}" name="tiyar/meters" totalsRowFunction="custom" dataDxfId="94" totalsRowDxfId="93"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92" totalsRowDxfId="91"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90" totalsRowDxfId="89"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43" totalsRowCount="1" headerRowDxfId="86" headerRowBorderDxfId="85" tableBorderDxfId="84">
  <autoFilter ref="A1:I42" xr:uid="{F8E8C957-ABE7-4E4F-8D4E-7D44E26B334F}"/>
  <tableColumns count="9">
    <tableColumn id="1" xr3:uid="{C2E817D6-AB98-4DDD-8890-736B27F261CD}" name="Date" dataDxfId="83" totalsRowDxfId="82"/>
    <tableColumn id="2" xr3:uid="{CFB51890-CCDC-463C-81C9-3F8BD7469CB9}" name="Party Name"/>
    <tableColumn id="3" xr3:uid="{A113D971-1C9D-4733-99C4-BD0CC4333209}" name="Vehicle Number"/>
    <tableColumn id="4" xr3:uid="{49780304-3DD1-4AE9-98EE-2BC7EB8F3B57}" name="Weight" dataDxfId="81" totalsRowDxfId="80" dataCellStyle="Comma"/>
    <tableColumn id="5" xr3:uid="{FCAF1BC6-1D8C-42AD-8BBC-F924BF2DC7FE}" name="Rate" dataDxfId="79" totalsRowDxfId="78" dataCellStyle="Comma"/>
    <tableColumn id="6" xr3:uid="{8C70A624-4134-410C-9C45-9FDEB51D51BF}" name="Rent" dataDxfId="77" totalsRowDxfId="76" dataCellStyle="Comma"/>
    <tableColumn id="7" xr3:uid="{EBCE10AE-9634-4982-9C95-37ABC8A7078C}" name="Total" totalsRowFunction="sum" dataDxfId="75" totalsRowDxfId="74" dataCellStyle="Comma">
      <calculatedColumnFormula>D2*E2</calculatedColumnFormula>
    </tableColumn>
    <tableColumn id="9" xr3:uid="{D4788559-C94A-44D9-B9AE-E72B214355AC}" name="Paid" totalsRowFunction="sum" dataDxfId="73" totalsRowDxfId="72" dataCellStyle="Comma"/>
    <tableColumn id="8" xr3:uid="{E26F5BF0-1875-4FC6-994D-49F202ED562B}" name="balance" totalsRowFunction="sum" dataDxfId="71" totalsRowDxfId="7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49" totalsRowCount="1">
  <autoFilter ref="A1:G148" xr:uid="{CB032221-B416-47A8-9A76-693DE76CFD04}"/>
  <tableColumns count="7">
    <tableColumn id="1" xr3:uid="{554B1EED-65B6-4E9A-B646-82727FAC40DE}" name="Date" dataDxfId="68" totalsRowDxfId="3"/>
    <tableColumn id="2" xr3:uid="{32259059-42CF-4947-83DE-115AA430BE2B}" name="Party"/>
    <tableColumn id="3" xr3:uid="{A1320223-D55D-483C-91C3-AB19B95CC9D8}" name="Debit" totalsRowFunction="sum" dataDxfId="67" totalsRowDxfId="2" dataCellStyle="Comma"/>
    <tableColumn id="4" xr3:uid="{E9745767-9FF0-4B1C-9052-FF335D1D7588}" name="Credit" totalsRowFunction="sum" dataDxfId="66" totalsRowDxfId="1" dataCellStyle="Comma"/>
    <tableColumn id="5" xr3:uid="{5C88A48E-2467-4E6D-B626-2442B7FD0BE4}" name="Description"/>
    <tableColumn id="6" xr3:uid="{63CA4666-144E-4BE6-8B7C-7CB992BD3041}" name="Mode" totalsRowFunction="custom" dataDxfId="65"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4" tableBorderDxfId="63" totalsRowBorderDxfId="62">
  <autoFilter ref="J3:K6" xr:uid="{DCE01694-23ED-48BF-8B92-4186B9ED10A8}"/>
  <tableColumns count="2">
    <tableColumn id="1" xr3:uid="{C8484DAF-2989-4C2F-9AEC-A6917E1C57F6}" name="Type" dataDxfId="61"/>
    <tableColumn id="2" xr3:uid="{B07B7A2A-4D4E-4654-BED6-FE2F0A7BEC34}" name="Amount" dataDxfId="60"/>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9" headerRowBorderDxfId="58" tableBorderDxfId="57" totalsRowBorderDxfId="56">
  <autoFilter ref="M3:O6" xr:uid="{D166BDD1-ACD7-45D7-8AE9-7350373F8CEB}"/>
  <tableColumns count="3">
    <tableColumn id="1" xr3:uid="{64F0205E-DEA7-4571-BA86-E4374A5FEE28}" name="Type" totalsRowLabel="Total" dataDxfId="55" totalsRowDxfId="54"/>
    <tableColumn id="2" xr3:uid="{15FA05F9-789C-4459-9BE0-5C1EC84D3365}" name="amount" totalsRowFunction="custom" dataDxfId="53" totalsRowDxfId="52">
      <totalsRowFormula>SUM(N5:N6)</totalsRowFormula>
    </tableColumn>
    <tableColumn id="3" xr3:uid="{3681D409-90C6-44D0-BDE2-4B5943A516F0}" name="Actual" totalsRowFunction="custom" totalsRowDxfId="51">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0" totalsRowDxfId="49"/>
    <tableColumn id="2" xr3:uid="{5B9D0FEE-4304-4C5C-A05C-5B27CF7841D3}" name="Type"/>
    <tableColumn id="3" xr3:uid="{6A91CA0D-C802-4C6F-9F39-CA53687E8EDE}" name="Description"/>
    <tableColumn id="4" xr3:uid="{A251D40C-AB87-4BB4-85F8-444B20E32FDF}" name="Total" totalsRowFunction="custom" dataDxfId="48" totalsRowDxfId="47"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0" totalsRowCount="1" headerRowDxfId="46" headerRowBorderDxfId="45">
  <autoFilter ref="A1:I9"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4"/>
    <tableColumn id="4" xr3:uid="{1889A312-9B41-4EC4-BD8F-05252F27084A}" name="Price" totalsRowFunction="sum"/>
    <tableColumn id="6" xr3:uid="{8B974B20-F003-4E67-8660-024FA4F324A9}" name="Party"/>
    <tableColumn id="7" xr3:uid="{0A5A5C21-FD61-47DA-9F54-66A6479FA557}" name="Paid" dataDxfId="43">
      <calculatedColumnFormula>SUMIFS(Table14[Debit], Table14[Date], Table8[[#This Row],[Date]], Table14[Party], Table8[[#This Row],[Party]])</calculatedColumnFormula>
    </tableColumn>
    <tableColumn id="8" xr3:uid="{8DCB3B43-2161-4081-82EC-CDB0F4DE4E6F}" name="Balance" totalsRowFunction="sum" dataDxfId="4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4:E41" totalsRowCount="1">
  <autoFilter ref="A14:E40"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41" headerRowBorderDxfId="40">
  <autoFilter ref="A4:H13" xr:uid="{A4C80688-A8BA-4BA7-90B4-791CD99446B4}">
    <filterColumn colId="1">
      <filters>
        <filter val="Faysal Akraam"/>
      </filters>
    </filterColumn>
  </autoFilter>
  <sortState xmlns:xlrd2="http://schemas.microsoft.com/office/spreadsheetml/2017/richdata2" ref="A5:H6">
    <sortCondition ref="A4:A6"/>
  </sortState>
  <tableColumns count="8">
    <tableColumn id="1" xr3:uid="{4A818912-918E-4111-ACFC-BC93FEF7C1AD}" name="Date" dataDxfId="39" totalsRowDxfId="38"/>
    <tableColumn id="8" xr3:uid="{477ACFD5-62AF-4F69-974B-E9B974C11D7D}" name="Party Name" dataDxfId="3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6">
      <calculatedColumnFormula>Table2[[#This Row],[Quantity]]*200*Table2[[#This Row],[Boxes]]</calculatedColumnFormula>
    </tableColumn>
    <tableColumn id="6" xr3:uid="{30432929-CBD4-4BA8-B63F-CD0F6CF6405F}" name="Paid" totalsRowFunction="sum" dataDxfId="35">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4">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3" totalsRowDxfId="32"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1" totalsRowDxfId="30"/>
    <tableColumn id="2" xr3:uid="{053BFC14-4828-417C-9F9F-95B6E232A945}" name="Amount" totalsRowFunction="custom" dataDxfId="29" totalsRowDxfId="2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7" totalsRowDxfId="2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0">
      <calculatedColumnFormula>Billing!Q5</calculatedColumnFormula>
    </tableColumn>
    <tableColumn id="2" xr3:uid="{7093A59E-B58F-487D-888A-9AA8156B5F9A}" name="Amount Paid" dataDxfId="9">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12"/>
    <tableColumn id="2" xr3:uid="{F72CFEEB-BA11-4A49-BD19-88592EB6A27C}" name="Credit" dataDxfId="11"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O46" zoomScale="109" zoomScaleNormal="80" workbookViewId="0">
      <selection activeCell="P49" sqref="P4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92355.52304316021</v>
      </c>
      <c r="D2">
        <v>10</v>
      </c>
      <c r="E2" s="14">
        <f>(SUMIFS(ledger!G:G, ledger!B:B, B2, ledger!E:E, "&lt;&gt;*RD*",ledger!D:D, "Silky") / 1.0936)*12 + (SUMIFS(ledger!G:G, ledger!B:B, B2, ledger!E:E, "&lt;&gt;*RD*",ledger!D:D, "Chamki") / 1.0936)*10</f>
        <v>809363.5698610096</v>
      </c>
      <c r="I2" t="s">
        <v>21</v>
      </c>
      <c r="Q2" t="s">
        <v>1</v>
      </c>
    </row>
    <row r="3" spans="2:33" x14ac:dyDescent="0.3">
      <c r="B3" t="str">
        <f t="shared" si="0"/>
        <v>Ejaz Sahab</v>
      </c>
      <c r="C3" s="18">
        <f>SUMIFS(ledger!G:G, ledger!B:B, B3, ledger!E:E, "&lt;&gt;*RD*") / 1.0936</f>
        <v>0</v>
      </c>
      <c r="D3">
        <v>10</v>
      </c>
      <c r="E3" s="14">
        <f>(SUMIFS(ledger!G:G, ledger!B:B, B3, ledger!E:E, "&lt;&gt;*RD*",ledger!D:D, "Silky") / 1.0936)*12 + (SUMIFS(ledger!G:G, ledger!B:B, B3, ledger!E:E, "&lt;&gt;*RD*",ledger!D:D, "Chamki") / 1.0936)*10</f>
        <v>0</v>
      </c>
      <c r="I3" t="s">
        <v>22</v>
      </c>
    </row>
    <row r="4" spans="2:33" x14ac:dyDescent="0.3">
      <c r="B4" t="str">
        <f t="shared" si="0"/>
        <v>Arshad</v>
      </c>
      <c r="C4" s="18">
        <f>SUMIFS(ledger!G:G, ledger!B:B, B4, ledger!E:E, "&lt;&gt;*RD*") / 1.0936</f>
        <v>53308.339429407468</v>
      </c>
      <c r="D4">
        <v>10</v>
      </c>
      <c r="E4" s="14">
        <f>(SUMIFS(ledger!G:G, ledger!B:B, B4, ledger!E:E, "&lt;&gt;*RD*",ledger!D:D, "Silky") / 1.0936)*12 + (SUMIFS(ledger!G:G, ledger!B:B, B4, ledger!E:E, "&lt;&gt;*RD*",ledger!D:D, "Chamki") / 1.0936)*10</f>
        <v>533083.39429407474</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0">_xlfn.UNIQUE(Table1[Party Name])</f>
        <v>BSC</v>
      </c>
      <c r="R5" s="22" cm="1">
        <f t="array" ref="R5">_xlfn.BYROW(B49,_xlfn.LAMBDA(_xlpm.party,SUMIFS(ledger!G:G,ledger!B:B,_xlpm.party,ledger!E:E,"&lt;&gt;*RD*")))+_xlfn.IFNA(C84,0)</f>
        <v>2635939</v>
      </c>
      <c r="S5" s="22" cm="1">
        <f t="array" ref="S5">_xlfn.BYROW(B49, _xlfn.LAMBDA(_xlpm.party, SUMIFS(ledger!G:G, ledger!B:B, _xlpm.party, ledger!E:E, "&lt;&gt;*RD*") / 1.0936 ))+_xlfn.IFNA(D84,0)</f>
        <v>2410331.9312362843</v>
      </c>
      <c r="T5" s="22" cm="1">
        <f t="array" ref="T5">(_xlfn.BYROW(B49,_xlfn.LAMBDA(_xlpm.party,SUMIFS(ledger!G:G,ledger!B:B,_xlpm.party,ledger!E:E,"&lt;&gt;*RD*",ledger!D:D,"Chamki")+SUMIFS(ledger!G:G, ledger!B:B, _xlpm.party, ledger!E:E, "&lt;&gt;*RD*", ledger!D:D, "Crinkle")))/1.0936)+_xlfn.IFNA(E84,0)</f>
        <v>2127863.021214338</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(SUMIFS(ledger!J:J,ledger!B:B,_xlpm.party,ledger!E:E,"&lt;&gt;*RD*",ledger!D:D,"Chamki",ledger!C:C,"&lt;&gt;November Closing CF")+
SUMIFS(ledger!J:J,ledger!B:B,_xlpm.party,ledger!E:E,"&lt;&gt;*RD*",ledger!D:D,"Crinkle",ledger!C:C,"&lt;&gt;November Closing CF")
)+_xlfn.IFNA(G84,0))))</f>
        <v>21278630.212143384</v>
      </c>
      <c r="W5" s="70" cm="1">
        <f t="array" ref="W5">_xlfn.BYROW(B49, _xlfn.LAMBDA(_xlpm.party,
   SUMIFS(ledger!J:J, ledger!B:B, _xlpm.party, ledger!E:E, "&lt;&gt;*RD*", ledger!D:D, "Silky", ledger!C:C, "&lt;&gt;November Closing CF")
)) + _xlfn.IFNA(H84, 0)</f>
        <v>3583739.941477689</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24862370.153621074</v>
      </c>
      <c r="AD5" s="22">
        <f>(SUMIF(Table14[Party],Q5,Table14[Credit]))+_xlfn.IFNA(O84,0)</f>
        <v>19750734</v>
      </c>
      <c r="AE5" s="33">
        <f>AC5-AD5</f>
        <v>5111636.1536210738</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393394</v>
      </c>
      <c r="S6" s="22" cm="1">
        <f t="array" ref="S6">_xlfn.BYROW(B50, _xlfn.LAMBDA(_xlpm.party, SUMIFS(ledger!G:G, ledger!B:B, _xlpm.party, ledger!E:E, "&lt;&gt;*RD*") / 1.0936 ))+_xlfn.IFNA(D85,0)</f>
        <v>359723.84784198983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211578.27359180688</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2691373.4455010975</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4172829.1880029263</v>
      </c>
      <c r="AD6" s="22">
        <f>(SUMIF(Table14[Party],Q6,Table14[Credit]))+_xlfn.IFNA(O85,0)</f>
        <v>3963904</v>
      </c>
      <c r="AE6" s="33">
        <f t="shared" ref="AE6:AE31" si="2">AC6-AD6</f>
        <v>208925.1880029263</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715446</v>
      </c>
      <c r="S7" s="22" cm="1">
        <f t="array" ref="S7">_xlfn.BYROW(B51, _xlfn.LAMBDA(_xlpm.party, SUMIFS(ledger!G:G, ledger!B:B, _xlpm.party, ledger!E:E, "&lt;&gt;*RD*") / 1.0936 ))+_xlfn.IFNA(D86,0)</f>
        <v>654211.77761521586</v>
      </c>
      <c r="T7" s="22" cm="1">
        <f t="array" ref="T7">(_xlfn.BYROW(B51,_xlfn.LAMBDA(_xlpm.party,SUMIFS(ledger!G:G,ledger!B:B,_xlpm.party,ledger!E:E,"&lt;&gt;*RD*",ledger!D:D,"Chamki")+SUMIFS(ledger!G:G, ledger!B:B, _xlpm.party, ledger!E:E, "&lt;&gt;*RD*", ledger!D:D, "Crinkle")))/1.0936)+_xlfn.IFNA(E86,0)</f>
        <v>576099.12216532556</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(SUMIFS(ledger!J:J,ledger!B:B,_xlpm.party,ledger!E:E,"&lt;&gt;*RD*",ledger!D:D,"Chamki",ledger!C:C,"&lt;&gt;November Closing CF")+
SUMIFS(ledger!J:J,ledger!B:B,_xlpm.party,ledger!E:E,"&lt;&gt;*RD*",ledger!D:D,"Crinkle",ledger!C:C,"&lt;&gt;November Closing CF")
)+_xlfn.IFNA(G86,0))))</f>
        <v>5760991.2216532556</v>
      </c>
      <c r="W7" s="70" cm="1">
        <f t="array" ref="W7">_xlfn.BYROW(B51, _xlfn.LAMBDA(_xlpm.party,
   SUMIFS(ledger!J:J, ledger!B:B, _xlpm.party, ledger!E:E, "&lt;&gt;*RD*", ledger!D:D, "Silky", ledger!C:C, "&lt;&gt;November Closing CF")
)) + _xlfn.IFNA(H86, 0)</f>
        <v>1000670.2633504025</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6761661.4850036576</v>
      </c>
      <c r="AD7" s="22">
        <f>(SUMIF(Table14[Party],Q7,Table14[Credit]))+_xlfn.IFNA(O86,0)</f>
        <v>6352935</v>
      </c>
      <c r="AE7" s="33">
        <f t="shared" si="2"/>
        <v>408726.48500365764</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1269270.3440380397</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1269270.3440380397</v>
      </c>
      <c r="AD8" s="22">
        <f>(SUMIF(Table14[Party],Q8,Table14[Credit]))+_xlfn.IFNA(O87,0)</f>
        <v>1268740</v>
      </c>
      <c r="AE8" s="33">
        <f t="shared" si="2"/>
        <v>530.34403803967871</v>
      </c>
      <c r="AF8" s="21">
        <v>10.5</v>
      </c>
      <c r="AG8" s="21">
        <v>13</v>
      </c>
    </row>
    <row r="9" spans="2:33" x14ac:dyDescent="0.3">
      <c r="B9" t="str">
        <f t="shared" si="0"/>
        <v>Azam</v>
      </c>
      <c r="C9" s="18">
        <f>SUMIFS(ledger!G:G, ledger!B:B, B9, ledger!E:E, "&lt;&gt;*RD*") / 1.0936</f>
        <v>46855.340160936365</v>
      </c>
      <c r="D9">
        <v>10</v>
      </c>
      <c r="E9" s="14">
        <f>(SUMIFS(ledger!G:G, ledger!B:B, B9, ledger!E:E, "&lt;&gt;*RD*",ledger!D:D, "Silky") / 1.0936)*12 + (SUMIFS(ledger!G:G, ledger!B:B, B9, ledger!E:E, "&lt;&gt;*RD*",ledger!D:D, "Chamki") / 1.0936)*10</f>
        <v>468553.40160936362</v>
      </c>
      <c r="I9" t="s">
        <v>152</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0</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11238804.472567666</v>
      </c>
      <c r="AD9" s="22">
        <f>(SUMIF(Table14[Party],Q9,Table14[Credit]))+_xlfn.IFNA(O88,0)</f>
        <v>10629100</v>
      </c>
      <c r="AE9" s="33">
        <f t="shared" si="2"/>
        <v>609704.47256766632</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1393873.4455010975</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1393873.4455010975</v>
      </c>
      <c r="AD11" s="22">
        <f>(SUMIF(Table14[Party],Q11,Table14[Credit]))+_xlfn.IFNA(O90,0)</f>
        <v>1100000</v>
      </c>
      <c r="AE11" s="33">
        <f t="shared" si="2"/>
        <v>293873.44550109748</v>
      </c>
      <c r="AF11" s="21">
        <v>10</v>
      </c>
      <c r="AG11" s="21">
        <v>13</v>
      </c>
    </row>
    <row r="12" spans="2:33" x14ac:dyDescent="0.3">
      <c r="B12" t="str">
        <f t="shared" si="0"/>
        <v>Hafiz Qureshi</v>
      </c>
      <c r="C12" s="18">
        <f>SUMIFS(ledger!G:G, ledger!B:B, B12, ledger!E:E, "&lt;&gt;*RD*") / 1.0936</f>
        <v>0</v>
      </c>
      <c r="E12" s="14">
        <f>(SUMIFS(ledger!G:G, ledger!B:B, B12, ledger!E:E, "&lt;&gt;*RD*",ledger!D:D, "Silky") / 1.0936)*12 + (SUMIFS(ledger!G:G, ledger!B:B, B12, ledger!E:E, "&lt;&gt;*RD*",ledger!D:D, "Chamki") / 1.0936)*10</f>
        <v>0</v>
      </c>
      <c r="I12" t="s">
        <v>27</v>
      </c>
      <c r="O12" s="28"/>
      <c r="P12" s="28"/>
      <c r="Q12" s="24" t="str">
        <v>Azam</v>
      </c>
      <c r="R12" s="22" cm="1">
        <f t="array" ref="R12">_xlfn.BYROW(B56,_xlfn.LAMBDA(_xlpm.party,SUMIFS(ledger!G:G,ledger!B:B,_xlpm.party,ledger!E:E,"&lt;&gt;*RD*")))+_xlfn.IFNA(C91,0)</f>
        <v>412848</v>
      </c>
      <c r="S12" s="22" cm="1">
        <f t="array" ref="S12">_xlfn.BYROW(B56, _xlfn.LAMBDA(_xlpm.party, SUMIFS(ledger!G:G, ledger!B:B, _xlpm.party, ledger!E:E, "&lt;&gt;*RD*") / 1.0936 ))+_xlfn.IFNA(D91,0)</f>
        <v>377512.80175566941</v>
      </c>
      <c r="T12" s="22" cm="1">
        <f t="array" ref="T12">(_xlfn.BYROW(B56,_xlfn.LAMBDA(_xlpm.party,SUMIFS(ledger!G:G,ledger!B:B,_xlpm.party,ledger!E:E,"&lt;&gt;*RD*",ledger!D:D,"Chamki")+SUMIFS(ledger!G:G, ledger!B:B, _xlpm.party, ledger!E:E, "&lt;&gt;*RD*", ledger!D:D, "Crinkle")))/1.0936)+_xlfn.IFNA(E91,0)</f>
        <v>352324.4330651061</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3523244.3306510611</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3850693.1236283835</v>
      </c>
      <c r="AD12" s="22">
        <f>(SUMIF(Table14[Party],Q12,Table14[Credit]))+_xlfn.IFNA(O91,0)</f>
        <v>3930620</v>
      </c>
      <c r="AE12" s="33">
        <f t="shared" si="2"/>
        <v>-79926.876371616498</v>
      </c>
      <c r="AF12" s="21">
        <v>10</v>
      </c>
      <c r="AG12" s="21">
        <v>13</v>
      </c>
    </row>
    <row r="13" spans="2:33" x14ac:dyDescent="0.3">
      <c r="B13" t="str">
        <f t="shared" si="0"/>
        <v>Badshah Fabrics</v>
      </c>
      <c r="C13" s="18">
        <f>SUMIFS(ledger!G:G, ledger!B:B, B13, ledger!E:E, "&lt;&gt;*RD*") / 1.0936</f>
        <v>108264.44769568399</v>
      </c>
      <c r="E13" s="14">
        <f>(SUMIFS(ledger!G:G, ledger!B:B, B13, ledger!E:E, "&lt;&gt;*RD*",ledger!D:D, "Silky") / 1.0936)*12 + (SUMIFS(ledger!G:G, ledger!B:B, B13, ledger!E:E, "&lt;&gt;*RD*",ledger!D:D, "Chamki") / 1.0936)*10</f>
        <v>618461.96049743972</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202815</v>
      </c>
      <c r="S15" s="22" cm="1">
        <f t="array" ref="S15">_xlfn.BYROW(B59, _xlfn.LAMBDA(_xlpm.party, SUMIFS(ledger!G:G, ledger!B:B, _xlpm.party, ledger!E:E, "&lt;&gt;*RD*") / 1.0936 ))+_xlfn.IFNA(D94,0)</f>
        <v>185456.29114850037</v>
      </c>
      <c r="T15" s="22" cm="1">
        <f t="array" ref="T15">(_xlfn.BYROW(B59,_xlfn.LAMBDA(_xlpm.party,SUMIFS(ledger!G:G,ledger!B:B,_xlpm.party,ledger!E:E,"&lt;&gt;*RD*",ledger!D:D,"Chamki")+SUMIFS(ledger!G:G, ledger!B:B, _xlpm.party, ledger!E:E, "&lt;&gt;*RD*", ledger!D:D, "Crinkle")))/1.0936)+_xlfn.IFNA(E94,0)</f>
        <v>185456.29114850037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1854562.9114850038</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1854562.9114850038</v>
      </c>
      <c r="AD15" s="22">
        <f>(SUMIF(Table14[Party],Q15,Table14[Credit]))+_xlfn.IFNA(O94,0)</f>
        <v>1842480</v>
      </c>
      <c r="AE15" s="33">
        <f t="shared" si="2"/>
        <v>12082.911485003773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635806</v>
      </c>
      <c r="S16" s="22" cm="1">
        <f t="array" ref="S16">_xlfn.BYROW(B60, _xlfn.LAMBDA(_xlpm.party, SUMIFS(ledger!G:G, ledger!B:B, _xlpm.party, ledger!E:E, "&lt;&gt;*RD*") / 1.0936 ))+_xlfn.IFNA(D95,0)</f>
        <v>581388.07607900514</v>
      </c>
      <c r="T16" s="22" cm="1">
        <f t="array" ref="T16">(_xlfn.BYROW(B60,_xlfn.LAMBDA(_xlpm.party,SUMIFS(ledger!G:G,ledger!B:B,_xlpm.party,ledger!E:E,"&lt;&gt;*RD*",ledger!D:D,"Chamki")+SUMIFS(ledger!G:G, ledger!B:B, _xlpm.party, ledger!E:E, "&lt;&gt;*RD*", ledger!D:D, "Crinkle")))/1.0936)+_xlfn.IFNA(E95,0)</f>
        <v>464174.28675932705</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(SUMIFS(ledger!J:J,ledger!B:B,_xlpm.party,ledger!E:E,"&lt;&gt;*RD*",ledger!D:D,"Chamki",ledger!C:C,"&lt;&gt;November Closing CF")+
SUMIFS(ledger!J:J,ledger!B:B,_xlpm.party,ledger!E:E,"&lt;&gt;*RD*",ledger!D:D,"Crinkle",ledger!C:C,"&lt;&gt;November Closing CF")
)+_xlfn.IFNA(G95,0))))</f>
        <v>4641742.8675932707</v>
      </c>
      <c r="W16" s="70" cm="1">
        <f t="array" ref="W16">_xlfn.BYROW(B60, _xlfn.LAMBDA(_xlpm.party,
   SUMIFS(ledger!J:J, ledger!B:B, _xlpm.party, ledger!E:E, "&lt;&gt;*RD*", ledger!D:D, "Silky", ledger!C:C, "&lt;&gt;November Closing CF")
)) + _xlfn.IFNA(H95, 0)</f>
        <v>1460624.5427944404</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6102367.4103877116</v>
      </c>
      <c r="AD16" s="22">
        <f>(SUMIF(Table14[Party],Q16,Table14[Credit]))+_xlfn.IFNA(O95,0)</f>
        <v>5615761</v>
      </c>
      <c r="AE16" s="33">
        <f t="shared" si="2"/>
        <v>486606.4103877116</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3007836.5032918802</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3007836.5032918802</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2300000</v>
      </c>
      <c r="AE23" s="33">
        <f t="shared" si="2"/>
        <v>409309.61960497499</v>
      </c>
      <c r="AF23" s="21">
        <v>10</v>
      </c>
      <c r="AG23" s="21">
        <v>13</v>
      </c>
    </row>
    <row r="24" spans="2:33" x14ac:dyDescent="0.3">
      <c r="I24" t="s">
        <v>195</v>
      </c>
      <c r="Q24" t="str">
        <v>Salman Zaffar</v>
      </c>
      <c r="R24" s="22" cm="1">
        <f t="array" ref="R24">_xlfn.BYROW(B68,_xlfn.LAMBDA(_xlpm.party,SUMIFS(ledger!G:G,ledger!B:B,_xlpm.party,ledger!E:E,"&lt;&gt;*RD*")))+_xlfn.IFNA(C103,0)</f>
        <v>64780</v>
      </c>
      <c r="S24" s="22" cm="1">
        <f t="array" ref="S24">_xlfn.BYROW(B68, _xlfn.LAMBDA(_xlpm.party, SUMIFS(ledger!G:G, ledger!B:B, _xlpm.party, ledger!E:E, "&lt;&gt;*RD*") / 1.0936 ))+_xlfn.IFNA(D103,0)</f>
        <v>59235.552304316028</v>
      </c>
      <c r="T24" s="22" cm="1">
        <f t="array" ref="T24">(_xlfn.BYROW(B68,_xlfn.LAMBDA(_xlpm.party,SUMIFS(ledger!G:G,ledger!B:B,_xlpm.party,ledger!E:E,"&lt;&gt;*RD*",ledger!D:D,"Chamki")+SUMIFS(ledger!G:G, ledger!B:B, _xlpm.party, ledger!E:E, "&lt;&gt;*RD*", ledger!D:D, "Crinkle")))/1.0936)+_xlfn.IFNA(E103,0)</f>
        <v>14355.340160936359</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143553.40160936359</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713525.05486466724</v>
      </c>
      <c r="AD24" s="22">
        <f>(SUMIF(Table14[Party],Q24,Table14[Credit]))+_xlfn.IFNA(O103,0)</f>
        <v>713525</v>
      </c>
      <c r="AE24" s="33">
        <f t="shared" si="2"/>
        <v>5.486466723959893E-2</v>
      </c>
      <c r="AF24" s="21">
        <v>10</v>
      </c>
      <c r="AG24" s="21">
        <v>13</v>
      </c>
    </row>
    <row r="25" spans="2:33" x14ac:dyDescent="0.3">
      <c r="I25" t="s">
        <v>201</v>
      </c>
      <c r="Q25" t="str">
        <v>Shahid Qasayi</v>
      </c>
      <c r="R25" s="22" cm="1">
        <f t="array" ref="R25">_xlfn.BYROW(B69,_xlfn.LAMBDA(_xlpm.party,SUMIFS(ledger!G:G,ledger!B:B,_xlpm.party,ledger!E:E,"&lt;&gt;*RD*")))+_xlfn.IFNA(C104,0)</f>
        <v>176129</v>
      </c>
      <c r="S25" s="22" cm="1">
        <f t="array" ref="S25">_xlfn.BYROW(B69, _xlfn.LAMBDA(_xlpm.party, SUMIFS(ledger!G:G, ledger!B:B, _xlpm.party, ledger!E:E, "&lt;&gt;*RD*") / 1.0936 ))+_xlfn.IFNA(D104,0)</f>
        <v>161054.31602048283</v>
      </c>
      <c r="T25" s="22" cm="1">
        <f t="array" ref="T25">(_xlfn.BYROW(B69,_xlfn.LAMBDA(_xlpm.party,SUMIFS(ledger!G:G,ledger!B:B,_xlpm.party,ledger!E:E,"&lt;&gt;*RD*",ledger!D:D,"Chamki")+SUMIFS(ledger!G:G, ledger!B:B, _xlpm.party, ledger!E:E, "&lt;&gt;*RD*", ledger!D:D, "Crinkle")))/1.0936)+_xlfn.IFNA(E104,0)</f>
        <v>113495.7937088515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1134957.9370885149</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0</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1658101.6825164594</v>
      </c>
      <c r="AD25" s="22">
        <f>(SUMIF(Table14[Party],Q25,Table14[Credit]))+_xlfn.IFNA(O104,0)</f>
        <v>1658095</v>
      </c>
      <c r="AE25" s="33">
        <f t="shared" si="2"/>
        <v>6.6825164593756199</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4557</v>
      </c>
      <c r="S30" s="22" cm="1">
        <f t="array" ref="S30">_xlfn.BYROW(B74, _xlfn.LAMBDA(_xlpm.party, SUMIFS(ledger!G:G, ledger!B:B, _xlpm.party, ledger!E:E, "&lt;&gt;*RD*") / 1.0936 ))+_xlfn.IFNA(D109,0)</f>
        <v>4166.9714703730797</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54170.629114850039</v>
      </c>
      <c r="AC30" s="39">
        <f t="shared" si="1"/>
        <v>54170.629114850039</v>
      </c>
      <c r="AD30" s="22">
        <f>(SUMIF(Table14[Party],Q30,Table14[Credit]))+_xlfn.IFNA(O109,0)</f>
        <v>0</v>
      </c>
      <c r="AE30" s="33">
        <f t="shared" si="2"/>
        <v>54170.629114850039</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101000</v>
      </c>
      <c r="D49" s="22" cm="1">
        <f t="array" ref="D49:D74">_xlfn.BYROW(_xlfn.ANCHORARRAY(B49), _xlfn.LAMBDA(_xlpm.party, SUMIFS(ledger!G:G, ledger!B:B, _xlpm.party, ledger!E:E, "&lt;&gt;*RD*") / 1.0936 ))</f>
        <v>92355.52304316021</v>
      </c>
      <c r="E49" s="63" cm="1">
        <f t="array" ref="E49:E74">(_xlfn.BYROW(_xlfn.ANCHORARRAY(B49),_xlfn.LAMBDA(_xlpm.party,SUMIFS(ledger!G:G,ledger!B:B,_xlpm.party,ledger!E:E,"&lt;&gt;*RD*",ledger!D:D,"Chamki")+SUMIFS(ledger!G:G, ledger!B:B, _xlpm.party, ledger!E:E, "&lt;&gt;*RD*", ledger!D:D, "Crinkle")))/1.0936)</f>
        <v>92355.52304316021</v>
      </c>
      <c r="F49" s="63" cm="1">
        <f t="array" ref="F49:F74">(_xlfn.BYROW(_xlfn.ANCHORARRAY(B49),_xlfn.LAMBDA(_xlpm.party,SUMIFS(ledger!G:G,ledger!B:B,_xlpm.party,ledger!E:E,"&lt;&gt;*RD*",ledger!D:D,"Silky")))/1.0936)</f>
        <v>0</v>
      </c>
      <c r="G49" s="22" cm="1">
        <f t="array" ref="G49">(_xlfn.BYROW(B49,_xlfn.LAMBDA(_xlpm.party,
(SUMIFS(ledger!J:J,ledger!B:B,_xlpm.party,ledger!E:E,"&lt;&gt;*RD*",ledger!D:D,"Chamki",ledger!C:C,"&lt;&gt;November Closing CF")+
SUMIFS(ledger!J:J,ledger!B:B,_xlpm.party,ledger!E:E,"&lt;&gt;*RD*",ledger!D:D,"Crinkle",ledger!C:C,"&lt;&gt;November Closing CF")
))))</f>
        <v>923555.2304316021</v>
      </c>
      <c r="H49" s="22" cm="1">
        <f t="array" ref="H49">_xlfn.BYROW(B49, _xlfn.LAMBDA(_xlpm.party,
   SUMIFS(ledger!J:J, ledger!B:B, _xlpm.party, ledger!E:E, "&lt;&gt;*RD*", ledger!D:D, "Silky", ledger!C:C, "&lt;&gt;November Closing CF")
))</f>
        <v>0</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923555.2304316021</v>
      </c>
      <c r="O49" s="22">
        <f>(SUMIF(Table14[Party],B49,Table14[Credit]))</f>
        <v>0</v>
      </c>
      <c r="P49" s="37">
        <f>N49-O49</f>
        <v>923555.2304316021</v>
      </c>
      <c r="Q49" s="21">
        <v>10</v>
      </c>
      <c r="R49" s="21">
        <v>12</v>
      </c>
    </row>
    <row r="50" spans="1:23" x14ac:dyDescent="0.3">
      <c r="B50" s="24" t="str">
        <v>Ejaz Sahab</v>
      </c>
      <c r="C50" s="22">
        <v>0</v>
      </c>
      <c r="D50" s="22">
        <v>0</v>
      </c>
      <c r="E50" s="63">
        <v>0</v>
      </c>
      <c r="F50" s="63">
        <v>0</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0</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0</v>
      </c>
      <c r="O50" s="22">
        <f>(SUMIF(Table14[Party],B50,Table14[Credit]))</f>
        <v>0</v>
      </c>
      <c r="P50" s="37">
        <f>N50-O50</f>
        <v>0</v>
      </c>
      <c r="Q50" s="21">
        <v>10</v>
      </c>
      <c r="R50" s="21">
        <v>12</v>
      </c>
    </row>
    <row r="51" spans="1:23" x14ac:dyDescent="0.3">
      <c r="B51" s="24" t="str">
        <v>Arshad</v>
      </c>
      <c r="C51" s="22">
        <v>58298</v>
      </c>
      <c r="D51" s="22">
        <v>53308.339429407468</v>
      </c>
      <c r="E51" s="63">
        <v>53308.339429407468</v>
      </c>
      <c r="F51" s="63">
        <v>0</v>
      </c>
      <c r="G51" s="22" cm="1">
        <f t="array" ref="G51">(_xlfn.BYROW(B51,_xlfn.LAMBDA(_xlpm.party,
(SUMIFS(ledger!J:J,ledger!B:B,_xlpm.party,ledger!E:E,"&lt;&gt;*RD*",ledger!D:D,"Chamki",ledger!C:C,"&lt;&gt;November Closing CF")+
SUMIFS(ledger!J:J,ledger!B:B,_xlpm.party,ledger!E:E,"&lt;&gt;*RD*",ledger!D:D,"Crinkle",ledger!C:C,"&lt;&gt;November Closing CF")
))))</f>
        <v>533083.39429407462</v>
      </c>
      <c r="H51" s="22" cm="1">
        <f t="array" ref="H51">_xlfn.BYROW(B51, _xlfn.LAMBDA(_xlpm.party,
   SUMIFS(ledger!J:J, ledger!B:B, _xlpm.party, ledger!E:E, "&lt;&gt;*RD*", ledger!D:D, "Silky", ledger!C:C, "&lt;&gt;November Closing CF")
))</f>
        <v>0</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533083.39429407462</v>
      </c>
      <c r="O51" s="22">
        <f>(SUMIF(Table14[Party],B51,Table14[Credit]))</f>
        <v>350000</v>
      </c>
      <c r="P51" s="37">
        <f>N51-O51</f>
        <v>183083.39429407462</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(SUMIFS(ledger!J:J,ledger!B:B,_xlpm.party,ledger!E:E,"&lt;&gt;*RD*",ledger!D:D,"Chamki",ledger!C:C,"&lt;&gt;November Closing CF")+
SUMIFS(ledger!J:J,ledger!B:B,_xlpm.party,ledger!E:E,"&lt;&gt;*RD*",ledger!D:D,"Crinkle",ledger!C:C,"&lt;&gt;November Closing CF")
))))</f>
        <v>0</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0</v>
      </c>
      <c r="O52" s="22">
        <f>(SUMIF(Table14[Party],B52,Table14[Credit]))</f>
        <v>0</v>
      </c>
      <c r="P52" s="37">
        <f t="shared" ref="P52:P55" si="5">N52-O52</f>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0</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0</v>
      </c>
      <c r="O53" s="22">
        <f>(SUMIF(Table14[Party],B53,Table14[Credit]))</f>
        <v>0</v>
      </c>
      <c r="P53" s="37">
        <f t="shared" si="5"/>
        <v>0</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(SUMIFS(ledger!J:J,ledger!B:B,_xlpm.party,ledger!E:E,"&lt;&gt;*RD*",ledger!D:D,"Chamki",ledger!C:C,"&lt;&gt;November Closing CF")+
SUMIFS(ledger!J:J,ledger!B:B,_xlpm.party,ledger!E:E,"&lt;&gt;*RD*",ledger!D:D,"Crinkle",ledger!C:C,"&lt;&gt;November Closing CF")
))))</f>
        <v>0</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0</v>
      </c>
      <c r="O55" s="22">
        <f>(SUMIF(Table14[Party],B55,Table14[Credit]))</f>
        <v>0</v>
      </c>
      <c r="P55" s="37">
        <f t="shared" si="5"/>
        <v>0</v>
      </c>
      <c r="Q55" s="21">
        <v>10</v>
      </c>
      <c r="R55" s="21">
        <v>12</v>
      </c>
    </row>
    <row r="56" spans="1:23" x14ac:dyDescent="0.3">
      <c r="B56" s="24" t="str">
        <v>Azam</v>
      </c>
      <c r="C56" s="22">
        <v>51241</v>
      </c>
      <c r="D56" s="22">
        <v>46855.340160936365</v>
      </c>
      <c r="E56" s="63">
        <v>46855.340160936365</v>
      </c>
      <c r="F56" s="63">
        <v>0</v>
      </c>
      <c r="G56" s="22" cm="1">
        <f t="array" ref="G56">(_xlfn.BYROW(B56,_xlfn.LAMBDA(_xlpm.party,
(SUMIFS(ledger!J:J,ledger!B:B,_xlpm.party,ledger!E:E,"&lt;&gt;*RD*",ledger!D:D,"Chamki",ledger!C:C,"&lt;&gt;November Closing CF")+
SUMIFS(ledger!J:J,ledger!B:B,_xlpm.party,ledger!E:E,"&lt;&gt;*RD*",ledger!D:D,"Crinkle",ledger!C:C,"&lt;&gt;November Closing CF")
))))</f>
        <v>468553.40160936367</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468553.40160936367</v>
      </c>
      <c r="O56" s="22">
        <f>(SUMIF(Table14[Party],B56,Table14[Credit]))</f>
        <v>608000</v>
      </c>
      <c r="P56" s="37">
        <f t="shared" ref="P56:P78" si="6">N56-O56</f>
        <v>-139446.59839063633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92355.52304316021</v>
      </c>
      <c r="W58" s="18">
        <v>809363.5698610096</v>
      </c>
    </row>
    <row r="59" spans="1:23" x14ac:dyDescent="0.3">
      <c r="B59" s="24" t="str">
        <v>Hafiz Qureshi</v>
      </c>
      <c r="C59" s="22">
        <v>0</v>
      </c>
      <c r="D59" s="22">
        <v>0</v>
      </c>
      <c r="E59" s="63">
        <v>0</v>
      </c>
      <c r="F59" s="63">
        <v>0</v>
      </c>
      <c r="G59" s="22" cm="1">
        <f t="array" ref="G59">(_xlfn.BYROW(B59,_xlfn.LAMBDA(_xlpm.party,
(SUMIFS(ledger!J:J,ledger!B:B,_xlpm.party,ledger!E:E,"&lt;&gt;*RD*",ledger!D:D,"Chamki",ledger!C:C,"&lt;&gt;November Closing CF")+
SUMIFS(ledger!J:J,ledger!B:B,_xlpm.party,ledger!E:E,"&lt;&gt;*RD*",ledger!D:D,"Crinkle",ledger!C:C,"&lt;&gt;November Closing CF")
))))</f>
        <v>0</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0</v>
      </c>
      <c r="O59" s="22">
        <f>SUMIF(Table14[Party], B59, Table14[Credit])</f>
        <v>36500</v>
      </c>
      <c r="P59" s="37">
        <f t="shared" si="6"/>
        <v>-36500</v>
      </c>
      <c r="Q59" s="21">
        <v>10</v>
      </c>
      <c r="R59" s="21">
        <v>12</v>
      </c>
      <c r="U59" s="4" t="s">
        <v>22</v>
      </c>
      <c r="V59" s="5">
        <v>0</v>
      </c>
      <c r="W59" s="18">
        <v>0</v>
      </c>
    </row>
    <row r="60" spans="1:23" x14ac:dyDescent="0.3">
      <c r="B60" s="24" t="str">
        <v>Badshah Fabrics</v>
      </c>
      <c r="C60" s="22">
        <v>118398</v>
      </c>
      <c r="D60" s="22">
        <v>108264.44769568399</v>
      </c>
      <c r="E60" s="63">
        <v>108264.44769568399</v>
      </c>
      <c r="F60" s="63">
        <v>0</v>
      </c>
      <c r="G60" s="22" cm="1">
        <f t="array" ref="G60">(_xlfn.BYROW(B60,_xlfn.LAMBDA(_xlpm.party,
(SUMIFS(ledger!J:J,ledger!B:B,_xlpm.party,ledger!E:E,"&lt;&gt;*RD*",ledger!D:D,"Chamki",ledger!C:C,"&lt;&gt;November Closing CF")+
SUMIFS(ledger!J:J,ledger!B:B,_xlpm.party,ledger!E:E,"&lt;&gt;*RD*",ledger!D:D,"Crinkle",ledger!C:C,"&lt;&gt;November Closing CF")
))))</f>
        <v>1082644.4769568399</v>
      </c>
      <c r="H60" s="22" cm="1">
        <f t="array" ref="H60">_xlfn.BYROW(B60, _xlfn.LAMBDA(_xlpm.party,
   SUMIFS(ledger!J:J, ledger!B:B, _xlpm.party, ledger!E:E, "&lt;&gt;*RD*", ledger!D:D, "Silky", ledger!C:C, "&lt;&gt;November Closing CF")
))</f>
        <v>0</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1082644.4769568399</v>
      </c>
      <c r="O60" s="22">
        <f>SUMIF(Table14[Party], B60, Table14[Credit])</f>
        <v>690000</v>
      </c>
      <c r="P60" s="37">
        <f t="shared" si="6"/>
        <v>392644.47695683991</v>
      </c>
      <c r="Q60" s="21">
        <v>10</v>
      </c>
      <c r="R60" s="21">
        <v>12</v>
      </c>
      <c r="U60" s="4" t="s">
        <v>9</v>
      </c>
      <c r="V60" s="5">
        <v>53308.339429407468</v>
      </c>
      <c r="W60" s="18">
        <v>533083.39429407474</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0</v>
      </c>
      <c r="W64" s="18">
        <v>0</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46855.340160936365</v>
      </c>
      <c r="W65" s="18">
        <v>468553.40160936362</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0</v>
      </c>
      <c r="P67" s="37">
        <f t="shared" si="6"/>
        <v>0</v>
      </c>
      <c r="Q67" s="21">
        <v>10</v>
      </c>
      <c r="R67" s="21">
        <v>12</v>
      </c>
      <c r="U67" s="4" t="s">
        <v>148</v>
      </c>
      <c r="V67" s="5">
        <v>0</v>
      </c>
      <c r="W67" s="18">
        <v>0</v>
      </c>
    </row>
    <row r="68" spans="2:23" x14ac:dyDescent="0.3">
      <c r="B68" s="81" t="str">
        <v>Salman Zaffar</v>
      </c>
      <c r="C68" s="22">
        <v>0</v>
      </c>
      <c r="D68" s="22">
        <v>0</v>
      </c>
      <c r="E68" s="63">
        <v>0</v>
      </c>
      <c r="F68" s="63">
        <v>0</v>
      </c>
      <c r="G68" s="22" cm="1">
        <f t="array" ref="G68">(_xlfn.BYROW(B68,_xlfn.LAMBDA(_xlpm.party,
(SUMIFS(ledger!J:J,ledger!B:B,_xlpm.party,ledger!E:E,"&lt;&gt;*RD*",ledger!D:D,"Chamki",ledger!C:C,"&lt;&gt;November Closing CF")+
SUMIFS(ledger!J:J,ledger!B:B,_xlpm.party,ledger!E:E,"&lt;&gt;*RD*",ledger!D:D,"Crinkle",ledger!C:C,"&lt;&gt;November Closing CF")
))))</f>
        <v>0</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0</v>
      </c>
      <c r="O68" s="22">
        <f>SUMIF(Table14[Party], B68, Table14[Credit])</f>
        <v>713525</v>
      </c>
      <c r="P68" s="37">
        <f t="shared" si="6"/>
        <v>-713525</v>
      </c>
      <c r="Q68" s="21">
        <v>10</v>
      </c>
      <c r="R68" s="21">
        <v>12</v>
      </c>
      <c r="U68" s="4" t="s">
        <v>27</v>
      </c>
      <c r="V68" s="5">
        <v>0</v>
      </c>
      <c r="W68" s="18">
        <v>0</v>
      </c>
    </row>
    <row r="69" spans="2:23" x14ac:dyDescent="0.3">
      <c r="B69" s="81" t="str">
        <v>Shahid Qasayi</v>
      </c>
      <c r="C69" s="22">
        <v>0</v>
      </c>
      <c r="D69" s="22">
        <v>0</v>
      </c>
      <c r="E69" s="63">
        <v>0</v>
      </c>
      <c r="F69" s="21">
        <v>0</v>
      </c>
      <c r="G69" s="22" cm="1">
        <f t="array" ref="G69">(_xlfn.BYROW(B69,_xlfn.LAMBDA(_xlpm.party,
(SUMIFS(ledger!J:J,ledger!B:B,_xlpm.party,ledger!E:E,"&lt;&gt;*RD*",ledger!D:D,"Chamki",ledger!C:C,"&lt;&gt;November Closing CF")+
SUMIFS(ledger!J:J,ledger!B:B,_xlpm.party,ledger!E:E,"&lt;&gt;*RD*",ledger!D:D,"Crinkle",ledger!C:C,"&lt;&gt;November Closing CF")
))))</f>
        <v>0</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0</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0</v>
      </c>
      <c r="O69" s="22">
        <f>SUMIF(Table14[Party], B69, Table14[Credit])</f>
        <v>189770</v>
      </c>
      <c r="P69" s="37">
        <f t="shared" si="6"/>
        <v>-189770</v>
      </c>
      <c r="Q69" s="21">
        <v>10</v>
      </c>
      <c r="R69" s="21">
        <v>12</v>
      </c>
      <c r="U69" s="4" t="s">
        <v>166</v>
      </c>
      <c r="V69" s="5">
        <v>108264.44769568399</v>
      </c>
      <c r="W69" s="18">
        <v>618461.96049743972</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0</v>
      </c>
      <c r="D74">
        <v>0</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0</v>
      </c>
      <c r="N74" s="39">
        <f t="shared" si="4"/>
        <v>0</v>
      </c>
      <c r="O74" s="22">
        <f>SUMIF(Table14[Party], B74, Table14[Credit])</f>
        <v>0</v>
      </c>
      <c r="P74" s="37">
        <f t="shared" si="6"/>
        <v>0</v>
      </c>
      <c r="U74" s="4" t="s">
        <v>175</v>
      </c>
      <c r="V74" s="5">
        <v>0</v>
      </c>
      <c r="W74" s="18">
        <v>0</v>
      </c>
    </row>
    <row r="75" spans="2:23" x14ac:dyDescent="0.3">
      <c r="B75" s="81"/>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SUMIF(Table14[Party], B75, Table14[Credit])</f>
        <v>0</v>
      </c>
      <c r="P75" s="37">
        <f t="shared" si="6"/>
        <v>0</v>
      </c>
      <c r="U75" s="4" t="s">
        <v>28</v>
      </c>
      <c r="V75" s="14">
        <v>300783.65032918804</v>
      </c>
      <c r="W75" s="14">
        <v>2429462.3262618878</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09">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ref="N110:N115" si="9">G110+H110+I110+J110+K110+L110+M110</f>
        <v>0</v>
      </c>
      <c r="O110" s="22">
        <f>_xlfn.XLOOKUP($B75,[1]Billing!$Q$5:$Q$40,[1]Billing!$AD$5:$AD$40)</f>
        <v>0</v>
      </c>
      <c r="P110" s="37">
        <f t="shared" ref="P110:P115" si="10">N110-O110</f>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E12" sqref="E1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199</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176129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161054.31602048283</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113495.7937088515</v>
      </c>
      <c r="E12" s="92">
        <f ca="1">Table21[[#This Row],[gazana]]*Table21[[#This Row],[Rate]]</f>
        <v>1134957.9370885151</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1134957.9370885151</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1658095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6.6825164593756199</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6" sqref="C6"/>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Wood!K6+((363*810)+(830*233)+(146*580))</f>
        <v>2061195</v>
      </c>
      <c r="D4" t="s">
        <v>190</v>
      </c>
    </row>
    <row r="5" spans="1:4" x14ac:dyDescent="0.3">
      <c r="B5" t="s">
        <v>48</v>
      </c>
      <c r="C5" s="11">
        <f>SUM(Table8[Price])+Dyes!P56</f>
        <v>539910</v>
      </c>
    </row>
    <row r="6" spans="1:4" x14ac:dyDescent="0.3">
      <c r="B6" t="s">
        <v>49</v>
      </c>
      <c r="C6" s="11">
        <f>SUM(Table2[Price])+Finish!K30</f>
        <v>457600</v>
      </c>
      <c r="D6" t="s">
        <v>189</v>
      </c>
    </row>
    <row r="7" spans="1:4" x14ac:dyDescent="0.3">
      <c r="B7" t="s">
        <v>50</v>
      </c>
      <c r="C7" s="11">
        <f>SUMIFS(Table14[Debit], Table14[Party],Table12[[#This Row],[Type]])</f>
        <v>4735</v>
      </c>
    </row>
    <row r="8" spans="1:4" x14ac:dyDescent="0.3">
      <c r="B8" t="s">
        <v>51</v>
      </c>
      <c r="C8" s="11">
        <f>Electricity!E3</f>
        <v>0</v>
      </c>
    </row>
    <row r="9" spans="1:4" x14ac:dyDescent="0.3">
      <c r="B9" t="s">
        <v>52</v>
      </c>
      <c r="C9" s="11">
        <f>SUMIFS(Table14[Debit], Table14[Party],Table12[[#This Row],[Type]])+SUMIFS(Table14[Debit], Table14[Party],"Advance Salary")</f>
        <v>39000</v>
      </c>
    </row>
    <row r="10" spans="1:4" x14ac:dyDescent="0.3">
      <c r="B10" t="s">
        <v>53</v>
      </c>
      <c r="C10" s="11">
        <f>Table5[[#Totals],[Amount]]</f>
        <v>16865</v>
      </c>
    </row>
    <row r="11" spans="1:4" x14ac:dyDescent="0.3">
      <c r="B11" t="s">
        <v>54</v>
      </c>
      <c r="C11" s="11">
        <f>Table13[[#Totals],[Debit]]</f>
        <v>48042</v>
      </c>
    </row>
    <row r="12" spans="1:4" x14ac:dyDescent="0.3">
      <c r="B12" t="s">
        <v>55</v>
      </c>
      <c r="C12" s="11">
        <f>Table15[[#Totals],[Amount]]</f>
        <v>20575</v>
      </c>
    </row>
    <row r="13" spans="1:4" x14ac:dyDescent="0.3">
      <c r="C13" s="11"/>
    </row>
    <row r="14" spans="1:4" x14ac:dyDescent="0.3">
      <c r="C14" s="14">
        <f>SUM(Table12[Amount])</f>
        <v>3187922</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3007836.5032918802</v>
      </c>
    </row>
    <row r="4" spans="1:3" x14ac:dyDescent="0.3">
      <c r="B4" s="11" t="s">
        <v>44</v>
      </c>
      <c r="C4" s="11">
        <f>Table12[[#Totals],[Amount]]</f>
        <v>3187922</v>
      </c>
    </row>
    <row r="5" spans="1:3" x14ac:dyDescent="0.3">
      <c r="A5" s="6"/>
      <c r="B5" s="15" t="s">
        <v>68</v>
      </c>
      <c r="C5" s="15">
        <f>C3-C4</f>
        <v>-180085.49670811975</v>
      </c>
    </row>
    <row r="10" spans="1:3" ht="15" thickBot="1" x14ac:dyDescent="0.35">
      <c r="B10" t="s">
        <v>66</v>
      </c>
      <c r="C10" s="14" t="s">
        <v>67</v>
      </c>
    </row>
    <row r="11" spans="1:3" x14ac:dyDescent="0.3">
      <c r="B11" s="56" t="s">
        <v>0</v>
      </c>
      <c r="C11" s="57">
        <f>C3</f>
        <v>3007836.5032918802</v>
      </c>
    </row>
    <row r="12" spans="1:3" x14ac:dyDescent="0.3">
      <c r="B12" s="58" t="s">
        <v>69</v>
      </c>
      <c r="C12" s="59">
        <f>SUM(Table14[Credit])</f>
        <v>15351083</v>
      </c>
    </row>
    <row r="13" spans="1:3" ht="15" thickBot="1" x14ac:dyDescent="0.35">
      <c r="B13" s="74" t="s">
        <v>93</v>
      </c>
      <c r="C13" s="73">
        <f>(C11-C12)</f>
        <v>-12343246.496708119</v>
      </c>
    </row>
    <row r="14" spans="1:3" ht="15" thickBot="1" x14ac:dyDescent="0.35">
      <c r="B14" s="58"/>
      <c r="C14" s="59"/>
    </row>
    <row r="15" spans="1:3" x14ac:dyDescent="0.3">
      <c r="B15" s="56" t="s">
        <v>44</v>
      </c>
      <c r="C15" s="57">
        <f>C4</f>
        <v>3187922</v>
      </c>
    </row>
    <row r="16" spans="1:3" x14ac:dyDescent="0.3">
      <c r="B16" s="58" t="s">
        <v>70</v>
      </c>
      <c r="C16" s="59">
        <f>SUM(Table14[Debit])</f>
        <v>15266244</v>
      </c>
    </row>
    <row r="17" spans="2:6" ht="15" thickBot="1" x14ac:dyDescent="0.35">
      <c r="B17" s="74" t="s">
        <v>71</v>
      </c>
      <c r="C17" s="73">
        <f>C15-C16</f>
        <v>-12078322</v>
      </c>
    </row>
    <row r="18" spans="2:6" ht="15" thickBot="1" x14ac:dyDescent="0.35">
      <c r="B18" s="58"/>
      <c r="C18" s="59"/>
    </row>
    <row r="19" spans="2:6" ht="15" thickBot="1" x14ac:dyDescent="0.35">
      <c r="B19" s="75" t="s">
        <v>72</v>
      </c>
      <c r="C19" s="76">
        <f>Table18[[#Totals],[amount]]</f>
        <v>84839</v>
      </c>
    </row>
    <row r="20" spans="2:6" ht="15" thickBot="1" x14ac:dyDescent="0.35">
      <c r="B20" s="71"/>
      <c r="C20" s="72"/>
    </row>
    <row r="21" spans="2:6" ht="15" thickBot="1" x14ac:dyDescent="0.35">
      <c r="B21" s="60" t="s">
        <v>73</v>
      </c>
      <c r="C21" s="61">
        <f>(C13-C17)+C19</f>
        <v>-180085.49670811929</v>
      </c>
      <c r="E21" s="79" t="s">
        <v>74</v>
      </c>
      <c r="F21" s="80">
        <f>C5*0.05</f>
        <v>-9004.2748354059877</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B3" sqref="B3:B3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0</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0</v>
      </c>
      <c r="E15">
        <f>SUMIFS(Table14[Credit], Table14[Date], Table13[[#This Row],[Date]], Table14[Party], "Transport")</f>
        <v>0</v>
      </c>
    </row>
    <row r="16" spans="2:6" x14ac:dyDescent="0.3">
      <c r="B16" s="1">
        <v>46019</v>
      </c>
      <c r="D16">
        <f>SUMIFS(Table14[Debit], Table14[Date], Table13[[#This Row],[Date]], Table14[Party], "Transport")</f>
        <v>0</v>
      </c>
      <c r="E16">
        <f>SUMIFS(Table14[Credit], Table14[Date], Table13[[#This Row],[Date]], Table14[Party], "Transport")</f>
        <v>0</v>
      </c>
    </row>
    <row r="17" spans="2:5" x14ac:dyDescent="0.3">
      <c r="B17" s="1">
        <v>46020</v>
      </c>
      <c r="D17">
        <f>SUMIFS(Table14[Debit], Table14[Date], Table13[[#This Row],[Date]], Table14[Party], "Transport")</f>
        <v>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0</v>
      </c>
      <c r="E21">
        <f>SUMIFS(Table14[Credit], Table14[Date], Table13[[#This Row],[Date]], Table14[Party], "Transport")</f>
        <v>0</v>
      </c>
    </row>
    <row r="22" spans="2:5" x14ac:dyDescent="0.3">
      <c r="B22" s="1">
        <v>46025</v>
      </c>
      <c r="D22">
        <f>SUMIFS(Table14[Debit], Table14[Date], Table13[[#This Row],[Date]], Table14[Party], "Transport")</f>
        <v>0</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0</v>
      </c>
      <c r="E24">
        <f>SUMIFS(Table14[Credit], Table14[Date], Table13[[#This Row],[Date]], Table14[Party], "Transport")</f>
        <v>0</v>
      </c>
    </row>
    <row r="25" spans="2:5" x14ac:dyDescent="0.3">
      <c r="B25" s="1">
        <v>46028</v>
      </c>
      <c r="D25">
        <f>SUMIFS(Table14[Debit], Table14[Date], Table13[[#This Row],[Date]], Table14[Party], "Transport")</f>
        <v>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0</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0</v>
      </c>
      <c r="E32">
        <f>SUMIFS(Table14[Credit], Table14[Date], Table13[[#This Row],[Date]], Table14[Party], "Transport")</f>
        <v>0</v>
      </c>
    </row>
    <row r="33" spans="2:6" x14ac:dyDescent="0.3">
      <c r="B33" s="1">
        <v>46036</v>
      </c>
      <c r="D33">
        <f>SUMIFS(Table14[Debit], Table14[Date], Table13[[#This Row],[Date]], Table14[Party], "Transport")</f>
        <v>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48042</v>
      </c>
      <c r="E38">
        <f>SUBTOTAL(109,Table13[Credit])</f>
        <v>0</v>
      </c>
      <c r="F38">
        <f>Table13[[#Totals],[Debit]]-Table13[[#Totals],[Credit]]</f>
        <v>48042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56" zoomScale="91" zoomScaleNormal="82" workbookViewId="0">
      <selection activeCell="M72" sqref="M72"/>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232388.44184345281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76.307801035189726</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231794.07461594735</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76.307801035189726</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72.566037327653135</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97.292820121467372</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c r="B77"/>
      <c r="C77"/>
      <c r="D77"/>
      <c r="E77" s="14"/>
      <c r="F77" s="14"/>
      <c r="G77" s="14"/>
      <c r="H77" s="43"/>
      <c r="I77" s="94" cm="1">
        <f t="array" aca="1" ref="I77" ca="1">SUMPRODUCT( SUBTOTAL(109, OFFSET(Table1[tiyar/meters], ROW(Table1[tiyar/meters])-MIN(ROW(Table1[tiyar/meters])), 0, 1)), --(Table1[Bill Number]&lt;&gt;"November Closing CF") )</f>
        <v>300783.65032918804</v>
      </c>
      <c r="J77" s="43" cm="1">
        <f t="array" aca="1" ref="J77" ca="1">SUMPRODUCT( SUBTOTAL(109, OFFSET(Table1[billing], ROW(Table1[billing])-MIN(ROW(Table1[billing])), 0, 1)), --(Table1[Bill Number]&lt;&gt;"November Closing CF") )</f>
        <v>3007836.5032918802</v>
      </c>
      <c r="K77" s="14">
        <f>SUMIFS(Table1[billing], Table1[Bill Number], "&lt;&gt;November Closing CF")</f>
        <v>3007836.5032918802</v>
      </c>
    </row>
    <row r="96" spans="15:17" x14ac:dyDescent="0.3">
      <c r="O96"/>
      <c r="P96"/>
      <c r="Q96"/>
    </row>
    <row r="97" spans="12:18" x14ac:dyDescent="0.3">
      <c r="O97"/>
      <c r="P97"/>
      <c r="Q97"/>
    </row>
    <row r="98" spans="12:18" x14ac:dyDescent="0.3">
      <c r="L98"/>
      <c r="M98"/>
      <c r="O98"/>
      <c r="P98"/>
      <c r="Q98"/>
    </row>
    <row r="99" spans="12:18" x14ac:dyDescent="0.3">
      <c r="M99"/>
      <c r="P99"/>
      <c r="Q99"/>
      <c r="R99"/>
    </row>
    <row r="100" spans="12:18" x14ac:dyDescent="0.3">
      <c r="M100"/>
      <c r="P100"/>
      <c r="Q100"/>
      <c r="R100"/>
    </row>
    <row r="101" spans="12:18" x14ac:dyDescent="0.3">
      <c r="M101"/>
      <c r="P101"/>
      <c r="Q101"/>
      <c r="R101"/>
    </row>
    <row r="102" spans="12:18" x14ac:dyDescent="0.3">
      <c r="M102"/>
      <c r="P102"/>
      <c r="Q102"/>
      <c r="R102"/>
    </row>
    <row r="103" spans="12:18" x14ac:dyDescent="0.3">
      <c r="M103"/>
      <c r="P103"/>
      <c r="Q103"/>
      <c r="R103"/>
    </row>
    <row r="104" spans="12:18" x14ac:dyDescent="0.3">
      <c r="M104"/>
      <c r="P104"/>
      <c r="Q104"/>
      <c r="R104"/>
    </row>
    <row r="105" spans="12:18" x14ac:dyDescent="0.3">
      <c r="M105"/>
      <c r="P105"/>
      <c r="Q105"/>
      <c r="R105"/>
    </row>
    <row r="106" spans="12:18" x14ac:dyDescent="0.3">
      <c r="P106"/>
      <c r="Q106"/>
      <c r="R106"/>
    </row>
    <row r="107" spans="12:18" x14ac:dyDescent="0.3">
      <c r="L107"/>
      <c r="P107"/>
      <c r="Q107"/>
      <c r="R107"/>
    </row>
    <row r="108" spans="12:18" x14ac:dyDescent="0.3">
      <c r="L108"/>
      <c r="P108"/>
      <c r="Q108"/>
      <c r="R108"/>
    </row>
    <row r="109" spans="12:18" x14ac:dyDescent="0.3">
      <c r="L109"/>
      <c r="O109"/>
      <c r="P109"/>
      <c r="Q109"/>
    </row>
    <row r="110" spans="12:18" x14ac:dyDescent="0.3">
      <c r="L110"/>
      <c r="O110"/>
      <c r="P110"/>
      <c r="Q110"/>
    </row>
    <row r="111" spans="12:18" x14ac:dyDescent="0.3">
      <c r="L111"/>
      <c r="O111"/>
      <c r="P111"/>
      <c r="Q111"/>
    </row>
    <row r="112" spans="12:18" x14ac:dyDescent="0.3">
      <c r="L112"/>
      <c r="O112"/>
      <c r="P112"/>
      <c r="Q112"/>
    </row>
    <row r="113" spans="15:17" x14ac:dyDescent="0.3">
      <c r="O113"/>
      <c r="P113"/>
      <c r="Q113"/>
    </row>
    <row r="114" spans="15:17" x14ac:dyDescent="0.3">
      <c r="O114"/>
      <c r="P114"/>
      <c r="Q114"/>
    </row>
    <row r="115" spans="15:17" x14ac:dyDescent="0.3">
      <c r="O115"/>
      <c r="P115"/>
      <c r="Q115"/>
    </row>
    <row r="116" spans="15:17" x14ac:dyDescent="0.3">
      <c r="O116"/>
      <c r="P116"/>
      <c r="Q116"/>
    </row>
    <row r="117" spans="15:17" x14ac:dyDescent="0.3">
      <c r="O117"/>
      <c r="P117"/>
      <c r="Q117"/>
    </row>
    <row r="118" spans="15:17" x14ac:dyDescent="0.3">
      <c r="O118"/>
      <c r="P118"/>
      <c r="Q118"/>
    </row>
    <row r="119" spans="15:17" x14ac:dyDescent="0.3">
      <c r="O119"/>
      <c r="P119"/>
      <c r="Q119"/>
    </row>
    <row r="120" spans="15:17" x14ac:dyDescent="0.3">
      <c r="P120"/>
      <c r="Q120"/>
    </row>
    <row r="121" spans="15:17" x14ac:dyDescent="0.3">
      <c r="P121"/>
      <c r="Q121"/>
    </row>
    <row r="122" spans="15:17" x14ac:dyDescent="0.3">
      <c r="P122"/>
      <c r="Q122"/>
    </row>
    <row r="123" spans="15:17" x14ac:dyDescent="0.3">
      <c r="P123"/>
      <c r="Q123"/>
    </row>
    <row r="124" spans="15:17" x14ac:dyDescent="0.3">
      <c r="P124"/>
      <c r="Q124"/>
    </row>
    <row r="125" spans="15:17" x14ac:dyDescent="0.3">
      <c r="P125"/>
      <c r="Q125"/>
    </row>
    <row r="126" spans="15:17" x14ac:dyDescent="0.3">
      <c r="P126"/>
      <c r="Q126"/>
    </row>
    <row r="127" spans="15:17" x14ac:dyDescent="0.3">
      <c r="P127"/>
      <c r="Q127"/>
    </row>
    <row r="128" spans="15: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76">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43"/>
  <sheetViews>
    <sheetView topLeftCell="A27" zoomScale="145" zoomScaleNormal="90" workbookViewId="0">
      <selection activeCell="D30" sqref="D30"/>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x14ac:dyDescent="0.3">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1489095</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255</v>
      </c>
      <c r="N27" s="14">
        <v>192750</v>
      </c>
      <c r="O27" s="14">
        <v>150000</v>
      </c>
      <c r="P27" s="14">
        <v>42750</v>
      </c>
    </row>
    <row r="28" spans="1:16" x14ac:dyDescent="0.3">
      <c r="A28" s="1">
        <v>46014</v>
      </c>
      <c r="B28" t="s">
        <v>169</v>
      </c>
      <c r="C28">
        <v>9662</v>
      </c>
      <c r="D28" s="11">
        <v>110</v>
      </c>
      <c r="E28" s="11">
        <v>775</v>
      </c>
      <c r="F28" s="11"/>
      <c r="G28" s="11">
        <f t="shared" ref="G28:G30" si="4">D28*E28</f>
        <v>85250</v>
      </c>
      <c r="H28" s="11"/>
      <c r="I28" s="11">
        <f>(D28*E28)-Table3[[#This Row],[Paid]]</f>
        <v>85250</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255</v>
      </c>
      <c r="N29" s="14">
        <v>192750</v>
      </c>
      <c r="O29" s="14"/>
      <c r="P29" s="14">
        <v>192750</v>
      </c>
    </row>
    <row r="30" spans="1:16" x14ac:dyDescent="0.3">
      <c r="A30" s="1">
        <v>46014</v>
      </c>
      <c r="B30" t="s">
        <v>169</v>
      </c>
      <c r="C30">
        <v>9662</v>
      </c>
      <c r="D30" s="11">
        <v>120</v>
      </c>
      <c r="E30" s="11">
        <v>775</v>
      </c>
      <c r="F30" s="11"/>
      <c r="G30" s="11">
        <f t="shared" si="4"/>
        <v>93000</v>
      </c>
      <c r="H30" s="11"/>
      <c r="I30" s="11">
        <f>(D30*E30)-Table3[[#This Row],[Paid]]</f>
        <v>93000</v>
      </c>
      <c r="L30" s="26" t="s">
        <v>28</v>
      </c>
      <c r="M30" s="14">
        <v>1515</v>
      </c>
      <c r="N30" s="14">
        <v>1135250</v>
      </c>
      <c r="O30" s="14">
        <v>968784</v>
      </c>
      <c r="P30" s="14">
        <v>3487894</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row>
    <row r="32" spans="1:16" x14ac:dyDescent="0.3">
      <c r="A32" s="1">
        <v>46015</v>
      </c>
      <c r="B32" t="s">
        <v>200</v>
      </c>
      <c r="C32" t="s">
        <v>297</v>
      </c>
      <c r="D32" s="11">
        <v>212</v>
      </c>
      <c r="E32" s="11">
        <v>810</v>
      </c>
      <c r="F32" s="11"/>
      <c r="G32" s="11">
        <f t="shared" ref="G32:G42" si="5">D32*E32</f>
        <v>171720</v>
      </c>
      <c r="H32" s="11">
        <f>SUMIFS(Table14[Debit], Table14[Date], Table3[[#This Row],[Date]], Table14[Party], Table3[[#This Row],[Party Name]])</f>
        <v>146000</v>
      </c>
      <c r="I32" s="11">
        <f>(D32*E32)-Table3[[#This Row],[Paid]]</f>
        <v>25720</v>
      </c>
    </row>
    <row r="33" spans="1:9" x14ac:dyDescent="0.3">
      <c r="A33" s="1">
        <v>46015</v>
      </c>
      <c r="B33" t="s">
        <v>169</v>
      </c>
      <c r="C33">
        <v>9662</v>
      </c>
      <c r="D33" s="11">
        <v>120</v>
      </c>
      <c r="E33" s="11">
        <v>775</v>
      </c>
      <c r="F33" s="11"/>
      <c r="G33" s="11">
        <f t="shared" si="5"/>
        <v>93000</v>
      </c>
      <c r="H33" s="11">
        <f>SUMIFS(Table14[Debit], Table14[Date], Table3[[#This Row],[Date]], Table14[Party], Table3[[#This Row],[Party Name]])</f>
        <v>150000</v>
      </c>
      <c r="I33" s="11">
        <f>(D33*E33)-Table3[[#This Row],[Paid]]</f>
        <v>-57000</v>
      </c>
    </row>
    <row r="34" spans="1:9" x14ac:dyDescent="0.3">
      <c r="A34" s="1">
        <v>46015</v>
      </c>
      <c r="B34" t="s">
        <v>169</v>
      </c>
      <c r="C34">
        <v>9662</v>
      </c>
      <c r="D34" s="11">
        <v>115</v>
      </c>
      <c r="E34" s="11">
        <v>775</v>
      </c>
      <c r="F34" s="11"/>
      <c r="G34" s="11">
        <f t="shared" si="5"/>
        <v>89125</v>
      </c>
      <c r="H34" s="11"/>
      <c r="I34" s="11">
        <f>(D34*E34)-Table3[[#This Row],[Paid]]</f>
        <v>89125</v>
      </c>
    </row>
    <row r="35" spans="1:9" x14ac:dyDescent="0.3">
      <c r="A35" s="1"/>
      <c r="D35" s="11"/>
      <c r="E35" s="11"/>
      <c r="F35" s="11"/>
      <c r="G35" s="11">
        <f t="shared" si="5"/>
        <v>0</v>
      </c>
      <c r="H35" s="11"/>
      <c r="I35" s="11">
        <f>(D35*E35)-Table3[[#This Row],[Paid]]</f>
        <v>0</v>
      </c>
    </row>
    <row r="36" spans="1:9" x14ac:dyDescent="0.3">
      <c r="A36" s="1"/>
      <c r="D36" s="11"/>
      <c r="E36" s="11"/>
      <c r="F36" s="11"/>
      <c r="G36" s="11">
        <f t="shared" si="5"/>
        <v>0</v>
      </c>
      <c r="H36" s="11"/>
      <c r="I36" s="11">
        <f>(D36*E36)-Table3[[#This Row],[Paid]]</f>
        <v>0</v>
      </c>
    </row>
    <row r="37" spans="1:9" x14ac:dyDescent="0.3">
      <c r="A37" s="1"/>
      <c r="D37" s="11"/>
      <c r="E37" s="11"/>
      <c r="F37" s="11"/>
      <c r="G37" s="11">
        <f t="shared" si="5"/>
        <v>0</v>
      </c>
      <c r="H37" s="11"/>
      <c r="I37" s="11">
        <f>(D37*E37)-Table3[[#This Row],[Paid]]</f>
        <v>0</v>
      </c>
    </row>
    <row r="38" spans="1:9" x14ac:dyDescent="0.3">
      <c r="A38" s="1"/>
      <c r="D38" s="11"/>
      <c r="E38" s="11"/>
      <c r="F38" s="11"/>
      <c r="G38" s="11">
        <f t="shared" si="5"/>
        <v>0</v>
      </c>
      <c r="H38" s="11"/>
      <c r="I38" s="11">
        <f>(D38*E38)-Table3[[#This Row],[Paid]]</f>
        <v>0</v>
      </c>
    </row>
    <row r="39" spans="1:9" x14ac:dyDescent="0.3">
      <c r="A39" s="1"/>
      <c r="D39" s="11"/>
      <c r="E39" s="11"/>
      <c r="F39" s="11"/>
      <c r="G39" s="11">
        <f t="shared" si="5"/>
        <v>0</v>
      </c>
      <c r="H39" s="11"/>
      <c r="I39" s="11">
        <f>(D39*E39)-Table3[[#This Row],[Paid]]</f>
        <v>0</v>
      </c>
    </row>
    <row r="40" spans="1:9" x14ac:dyDescent="0.3">
      <c r="A40" s="1"/>
      <c r="D40" s="11"/>
      <c r="E40" s="11"/>
      <c r="F40" s="11"/>
      <c r="G40" s="11">
        <f t="shared" si="5"/>
        <v>0</v>
      </c>
      <c r="H40" s="11"/>
      <c r="I40" s="11">
        <f>(D40*E40)-Table3[[#This Row],[Paid]]</f>
        <v>0</v>
      </c>
    </row>
    <row r="41" spans="1:9" x14ac:dyDescent="0.3">
      <c r="A41" s="1"/>
      <c r="D41" s="11"/>
      <c r="E41" s="11"/>
      <c r="F41" s="11"/>
      <c r="G41" s="11">
        <f t="shared" si="5"/>
        <v>0</v>
      </c>
      <c r="H41" s="11"/>
      <c r="I41" s="11">
        <f>(D41*E41)-Table3[[#This Row],[Paid]]</f>
        <v>0</v>
      </c>
    </row>
    <row r="42" spans="1:9" x14ac:dyDescent="0.3">
      <c r="A42" s="1"/>
      <c r="D42" s="11"/>
      <c r="E42" s="11"/>
      <c r="F42" s="11"/>
      <c r="G42" s="11">
        <f t="shared" si="5"/>
        <v>0</v>
      </c>
      <c r="H42" s="11"/>
      <c r="I42" s="11">
        <f>(D42*E42)-Table3[[#This Row],[Paid]]</f>
        <v>0</v>
      </c>
    </row>
    <row r="43" spans="1:9" x14ac:dyDescent="0.3">
      <c r="A43" s="1"/>
      <c r="D43" s="14"/>
      <c r="E43" s="14"/>
      <c r="F43" s="14"/>
      <c r="G43" s="14">
        <f>SUBTOTAL(109,Table3[Total])</f>
        <v>1489095</v>
      </c>
      <c r="H43" s="14">
        <f>SUBTOTAL(109,Table3[Paid])</f>
        <v>1264784</v>
      </c>
      <c r="I43" s="14">
        <f>SUBTOTAL(109,Table3[balance])</f>
        <v>3545739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tabSelected="1" topLeftCell="A18" zoomScale="160" workbookViewId="0">
      <selection activeCell="G30" sqref="G30"/>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10" width="14.4414062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8820832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15266244</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15351083</v>
      </c>
      <c r="M5" s="45" t="s">
        <v>108</v>
      </c>
      <c r="N5" s="46">
        <f>(SUMIFS(Table14[Credit],Table14[Mode],"Bank")-SUMIFS(Table14[Debit],Table14[Mode],"Bank")-SUMIFS(Table14[Withdrawal],Table14[Mode],"Transfer"))</f>
        <v>695755</v>
      </c>
      <c r="O5">
        <v>360000</v>
      </c>
    </row>
    <row r="6" spans="1:16" x14ac:dyDescent="0.3">
      <c r="A6" s="38">
        <v>46009</v>
      </c>
      <c r="B6" t="s">
        <v>177</v>
      </c>
      <c r="C6" s="96">
        <v>3600</v>
      </c>
      <c r="D6" s="96"/>
      <c r="E6" t="s">
        <v>218</v>
      </c>
      <c r="F6" s="111" t="s">
        <v>108</v>
      </c>
      <c r="J6" s="52" t="s">
        <v>43</v>
      </c>
      <c r="K6" s="53">
        <f>(K5-K4)</f>
        <v>84839</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84839</v>
      </c>
      <c r="O7" s="90">
        <f>SUM(O5,O6)</f>
        <v>410000</v>
      </c>
      <c r="P7" s="14">
        <f>Table18[[#Totals],[amount]]-Table18[[#Totals],[Actual]]</f>
        <v>-325161</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25">
        <v>46010</v>
      </c>
      <c r="B29" t="s">
        <v>152</v>
      </c>
      <c r="C29" s="96"/>
      <c r="D29" s="96">
        <v>440000</v>
      </c>
      <c r="E29" t="s">
        <v>69</v>
      </c>
      <c r="F29" s="111" t="s">
        <v>108</v>
      </c>
    </row>
    <row r="30" spans="1:6" x14ac:dyDescent="0.3">
      <c r="A30" s="125">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229</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C116" s="11"/>
      <c r="D116" s="11"/>
      <c r="F116" s="111"/>
    </row>
    <row r="117" spans="1:6" x14ac:dyDescent="0.3">
      <c r="A117" s="38">
        <v>46015</v>
      </c>
      <c r="C117" s="11"/>
      <c r="D117" s="11"/>
      <c r="F117" s="111"/>
    </row>
    <row r="118" spans="1:6" x14ac:dyDescent="0.3">
      <c r="A118" s="38">
        <v>46015</v>
      </c>
      <c r="C118" s="11"/>
      <c r="D118" s="11"/>
      <c r="F118" s="111"/>
    </row>
    <row r="119" spans="1:6" x14ac:dyDescent="0.3">
      <c r="A119" s="38">
        <v>46015</v>
      </c>
      <c r="C119" s="11"/>
      <c r="D119" s="11"/>
      <c r="F119" s="111"/>
    </row>
    <row r="120" spans="1:6" x14ac:dyDescent="0.3">
      <c r="A120" s="38">
        <v>46015</v>
      </c>
      <c r="C120" s="11"/>
      <c r="D120" s="11"/>
      <c r="F120" s="111"/>
    </row>
    <row r="121" spans="1:6" x14ac:dyDescent="0.3">
      <c r="A121" s="38">
        <v>46015</v>
      </c>
      <c r="C121" s="11"/>
      <c r="D121" s="11"/>
      <c r="F121" s="111"/>
    </row>
    <row r="122" spans="1:6" x14ac:dyDescent="0.3">
      <c r="A122" s="38">
        <v>46015</v>
      </c>
      <c r="C122" s="11"/>
      <c r="D122" s="11"/>
      <c r="F122" s="111"/>
    </row>
    <row r="123" spans="1:6" x14ac:dyDescent="0.3">
      <c r="A123" s="38">
        <v>46015</v>
      </c>
      <c r="C123" s="11"/>
      <c r="D123" s="11"/>
      <c r="F123" s="111"/>
    </row>
    <row r="124" spans="1:6" x14ac:dyDescent="0.3">
      <c r="A124" s="38">
        <v>46015</v>
      </c>
      <c r="C124" s="11"/>
      <c r="D124" s="11"/>
      <c r="F124" s="111"/>
    </row>
    <row r="125" spans="1:6" x14ac:dyDescent="0.3">
      <c r="A125" s="38">
        <v>46015</v>
      </c>
      <c r="C125" s="11"/>
      <c r="D125" s="11"/>
      <c r="F125" s="111"/>
    </row>
    <row r="126" spans="1:6" x14ac:dyDescent="0.3">
      <c r="A126" s="38">
        <v>46015</v>
      </c>
      <c r="C126" s="11"/>
      <c r="D126" s="11"/>
      <c r="F126" s="111"/>
    </row>
    <row r="127" spans="1:6" x14ac:dyDescent="0.3">
      <c r="A127" s="38">
        <v>46015</v>
      </c>
      <c r="C127" s="11"/>
      <c r="D127" s="11"/>
      <c r="F127" s="111"/>
    </row>
    <row r="128" spans="1:6" x14ac:dyDescent="0.3">
      <c r="A128" s="38">
        <v>46015</v>
      </c>
      <c r="C128" s="11"/>
      <c r="D128" s="11"/>
      <c r="F128" s="111"/>
    </row>
    <row r="129" spans="1:6" x14ac:dyDescent="0.3">
      <c r="A129" s="38">
        <v>46015</v>
      </c>
      <c r="C129" s="11"/>
      <c r="D129" s="11"/>
      <c r="F129" s="111"/>
    </row>
    <row r="130" spans="1:6" x14ac:dyDescent="0.3">
      <c r="A130" s="38">
        <v>46015</v>
      </c>
      <c r="C130" s="11"/>
      <c r="D130" s="11"/>
      <c r="F130" s="111"/>
    </row>
    <row r="131" spans="1:6" x14ac:dyDescent="0.3">
      <c r="A131" s="38">
        <v>46015</v>
      </c>
      <c r="C131" s="11"/>
      <c r="D131" s="11"/>
      <c r="F131" s="111"/>
    </row>
    <row r="132" spans="1:6" x14ac:dyDescent="0.3">
      <c r="A132" s="38">
        <v>46015</v>
      </c>
      <c r="C132" s="11"/>
      <c r="D132" s="11"/>
      <c r="F132" s="111"/>
    </row>
    <row r="133" spans="1:6" x14ac:dyDescent="0.3">
      <c r="A133" s="38">
        <v>46015</v>
      </c>
      <c r="C133" s="11"/>
      <c r="D133" s="11"/>
      <c r="F133" s="111"/>
    </row>
    <row r="134" spans="1:6" x14ac:dyDescent="0.3">
      <c r="A134" s="38">
        <v>46015</v>
      </c>
      <c r="C134" s="11"/>
      <c r="D134" s="11"/>
      <c r="F134" s="111"/>
    </row>
    <row r="135" spans="1:6" x14ac:dyDescent="0.3">
      <c r="A135" s="38">
        <v>46015</v>
      </c>
      <c r="C135" s="11"/>
      <c r="D135" s="11"/>
      <c r="F135" s="111"/>
    </row>
    <row r="136" spans="1:6" x14ac:dyDescent="0.3">
      <c r="A136" s="38">
        <v>46015</v>
      </c>
      <c r="C136" s="11"/>
      <c r="D136" s="11"/>
      <c r="F136" s="111"/>
    </row>
    <row r="137" spans="1:6" x14ac:dyDescent="0.3">
      <c r="A137" s="38">
        <v>46015</v>
      </c>
      <c r="C137" s="11"/>
      <c r="D137" s="11"/>
      <c r="F137" s="111"/>
    </row>
    <row r="138" spans="1:6" x14ac:dyDescent="0.3">
      <c r="A138" s="38">
        <v>46015</v>
      </c>
      <c r="C138" s="11"/>
      <c r="D138" s="11"/>
      <c r="F138" s="111"/>
    </row>
    <row r="139" spans="1:6" x14ac:dyDescent="0.3">
      <c r="A139" s="38">
        <v>46015</v>
      </c>
      <c r="C139" s="11"/>
      <c r="D139" s="11"/>
      <c r="F139" s="111"/>
    </row>
    <row r="140" spans="1:6" x14ac:dyDescent="0.3">
      <c r="A140" s="38">
        <v>46015</v>
      </c>
      <c r="C140" s="11"/>
      <c r="D140" s="11"/>
      <c r="F140" s="111"/>
    </row>
    <row r="141" spans="1:6" x14ac:dyDescent="0.3">
      <c r="A141" s="38">
        <v>46015</v>
      </c>
      <c r="C141" s="11"/>
      <c r="D141" s="11"/>
      <c r="F141" s="111"/>
    </row>
    <row r="142" spans="1:6" x14ac:dyDescent="0.3">
      <c r="A142" s="38">
        <v>46015</v>
      </c>
      <c r="C142" s="11"/>
      <c r="D142" s="11"/>
      <c r="F142" s="111"/>
    </row>
    <row r="143" spans="1:6" x14ac:dyDescent="0.3">
      <c r="A143" s="38">
        <v>46015</v>
      </c>
      <c r="C143" s="11"/>
      <c r="D143" s="11"/>
      <c r="F143" s="111"/>
    </row>
    <row r="144" spans="1:6" x14ac:dyDescent="0.3">
      <c r="A144" s="38">
        <v>46015</v>
      </c>
      <c r="C144" s="11"/>
      <c r="D144" s="11"/>
      <c r="F144" s="111"/>
    </row>
    <row r="145" spans="1:6" x14ac:dyDescent="0.3">
      <c r="A145" s="38">
        <v>46015</v>
      </c>
      <c r="C145" s="11"/>
      <c r="D145" s="11"/>
      <c r="F145" s="111"/>
    </row>
    <row r="146" spans="1:6" x14ac:dyDescent="0.3">
      <c r="A146" s="38">
        <v>46015</v>
      </c>
      <c r="C146" s="11"/>
      <c r="D146" s="11"/>
      <c r="F146" s="111"/>
    </row>
    <row r="147" spans="1:6" x14ac:dyDescent="0.3">
      <c r="A147" s="38">
        <v>46015</v>
      </c>
      <c r="C147" s="11"/>
      <c r="D147" s="11"/>
      <c r="F147" s="111"/>
    </row>
    <row r="148" spans="1:6" x14ac:dyDescent="0.3">
      <c r="A148" s="38">
        <v>46015</v>
      </c>
      <c r="C148" s="11"/>
      <c r="D148" s="11"/>
      <c r="F148" s="111"/>
    </row>
    <row r="149" spans="1:6" x14ac:dyDescent="0.3">
      <c r="A149" s="38"/>
      <c r="C149" s="14">
        <f>SUBTOTAL(109,Table14[Debit])</f>
        <v>15266244</v>
      </c>
      <c r="D149" s="14">
        <f>SUBTOTAL(109,Table14[Credit])</f>
        <v>15351083</v>
      </c>
      <c r="F149" s="54">
        <f>(Table14[[#Totals],[Credit]]-Table14[[#Totals],[Debit]])</f>
        <v>84839</v>
      </c>
    </row>
    <row r="163" spans="10:12" x14ac:dyDescent="0.3">
      <c r="J163" s="3" t="s">
        <v>6</v>
      </c>
      <c r="K163" t="s">
        <v>118</v>
      </c>
      <c r="L163" t="s">
        <v>119</v>
      </c>
    </row>
    <row r="164" spans="10:12" x14ac:dyDescent="0.3">
      <c r="J164" s="4" t="s">
        <v>233</v>
      </c>
      <c r="K164" s="14"/>
      <c r="L164" s="14">
        <v>39000</v>
      </c>
    </row>
    <row r="165" spans="10:12" x14ac:dyDescent="0.3">
      <c r="J165" s="4" t="s">
        <v>9</v>
      </c>
      <c r="K165" s="14">
        <v>350000</v>
      </c>
      <c r="L165" s="14"/>
    </row>
    <row r="166" spans="10:12" x14ac:dyDescent="0.3">
      <c r="J166" s="4" t="s">
        <v>94</v>
      </c>
      <c r="K166" s="14"/>
      <c r="L166" s="14">
        <v>253259</v>
      </c>
    </row>
    <row r="167" spans="10:12" x14ac:dyDescent="0.3">
      <c r="J167" s="4" t="s">
        <v>50</v>
      </c>
      <c r="K167" s="14"/>
      <c r="L167" s="14">
        <v>4735</v>
      </c>
    </row>
    <row r="168" spans="10:12" x14ac:dyDescent="0.3">
      <c r="J168" s="4" t="s">
        <v>55</v>
      </c>
      <c r="K168" s="14"/>
      <c r="L168" s="14">
        <v>20575</v>
      </c>
    </row>
    <row r="169" spans="10:12" x14ac:dyDescent="0.3">
      <c r="J169" s="4" t="s">
        <v>113</v>
      </c>
      <c r="K169" s="14"/>
      <c r="L169" s="14">
        <v>16865</v>
      </c>
    </row>
    <row r="170" spans="10:12" x14ac:dyDescent="0.3">
      <c r="J170" s="4" t="s">
        <v>52</v>
      </c>
      <c r="K170" s="14"/>
      <c r="L170" s="14"/>
    </row>
    <row r="171" spans="10:12" x14ac:dyDescent="0.3">
      <c r="J171" s="4" t="s">
        <v>54</v>
      </c>
      <c r="K171" s="14"/>
      <c r="L171" s="14">
        <v>48042</v>
      </c>
    </row>
    <row r="172" spans="10:12" x14ac:dyDescent="0.3">
      <c r="J172" s="4" t="s">
        <v>116</v>
      </c>
      <c r="K172" s="14"/>
      <c r="L172" s="14">
        <v>150000</v>
      </c>
    </row>
    <row r="173" spans="10:12" x14ac:dyDescent="0.3">
      <c r="J173" s="4" t="s">
        <v>177</v>
      </c>
      <c r="K173" s="14"/>
      <c r="L173" s="14">
        <v>665740</v>
      </c>
    </row>
    <row r="174" spans="10:12" x14ac:dyDescent="0.3">
      <c r="J174" s="4" t="s">
        <v>222</v>
      </c>
      <c r="K174" s="14">
        <v>323372</v>
      </c>
      <c r="L174" s="14">
        <v>9590</v>
      </c>
    </row>
    <row r="175" spans="10:12" x14ac:dyDescent="0.3">
      <c r="J175" s="4" t="s">
        <v>103</v>
      </c>
      <c r="K175" s="14"/>
      <c r="L175" s="14"/>
    </row>
    <row r="176" spans="10:12" x14ac:dyDescent="0.3">
      <c r="J176" s="4" t="s">
        <v>277</v>
      </c>
      <c r="K176" s="14">
        <v>600000</v>
      </c>
      <c r="L176" s="14"/>
    </row>
    <row r="177" spans="10:12" x14ac:dyDescent="0.3">
      <c r="J177" s="4" t="s">
        <v>224</v>
      </c>
      <c r="K177" s="14">
        <v>36500</v>
      </c>
      <c r="L177" s="14"/>
    </row>
    <row r="178" spans="10:12" x14ac:dyDescent="0.3">
      <c r="J178" s="4" t="s">
        <v>149</v>
      </c>
      <c r="K178" s="14"/>
      <c r="L178" s="14">
        <v>50000</v>
      </c>
    </row>
    <row r="179" spans="10:12" x14ac:dyDescent="0.3">
      <c r="J179" s="4" t="s">
        <v>152</v>
      </c>
      <c r="K179" s="14">
        <v>168000</v>
      </c>
      <c r="L179" s="14"/>
    </row>
    <row r="180" spans="10:12" x14ac:dyDescent="0.3">
      <c r="J180" s="4" t="s">
        <v>166</v>
      </c>
      <c r="K180" s="14">
        <v>690000</v>
      </c>
      <c r="L180" s="14"/>
    </row>
    <row r="181" spans="10:12" x14ac:dyDescent="0.3">
      <c r="J181" s="4" t="s">
        <v>169</v>
      </c>
      <c r="K181" s="14"/>
      <c r="L181" s="14">
        <v>365500</v>
      </c>
    </row>
    <row r="182" spans="10:12" x14ac:dyDescent="0.3">
      <c r="J182" s="4" t="s">
        <v>192</v>
      </c>
      <c r="K182" s="14">
        <v>3580000</v>
      </c>
      <c r="L182" s="14">
        <v>10259048</v>
      </c>
    </row>
    <row r="183" spans="10:12" x14ac:dyDescent="0.3">
      <c r="J183" s="4" t="s">
        <v>198</v>
      </c>
      <c r="K183" s="14"/>
      <c r="L183" s="14">
        <v>295000</v>
      </c>
    </row>
    <row r="184" spans="10:12" x14ac:dyDescent="0.3">
      <c r="J184" s="4" t="s">
        <v>51</v>
      </c>
      <c r="K184" s="14"/>
      <c r="L184" s="14">
        <v>2047865</v>
      </c>
    </row>
    <row r="185" spans="10:12" x14ac:dyDescent="0.3">
      <c r="J185" s="4" t="s">
        <v>219</v>
      </c>
      <c r="K185" s="14"/>
      <c r="L185" s="14">
        <v>5000</v>
      </c>
    </row>
    <row r="186" spans="10:12" x14ac:dyDescent="0.3">
      <c r="J186" s="4" t="s">
        <v>199</v>
      </c>
      <c r="K186" s="14">
        <v>189770</v>
      </c>
      <c r="L186" s="14"/>
    </row>
    <row r="187" spans="10:12" x14ac:dyDescent="0.3">
      <c r="J187" s="4" t="s">
        <v>229</v>
      </c>
      <c r="K187" s="14">
        <v>50000</v>
      </c>
      <c r="L187" s="14">
        <v>546025</v>
      </c>
    </row>
    <row r="188" spans="10:12" x14ac:dyDescent="0.3">
      <c r="J188" s="4" t="s">
        <v>202</v>
      </c>
      <c r="K188" s="14"/>
      <c r="L188" s="14">
        <v>40000</v>
      </c>
    </row>
    <row r="189" spans="10:12" x14ac:dyDescent="0.3">
      <c r="J189" s="4" t="s">
        <v>216</v>
      </c>
      <c r="K189" s="14">
        <v>8209916</v>
      </c>
      <c r="L189" s="14"/>
    </row>
    <row r="190" spans="10:12" x14ac:dyDescent="0.3">
      <c r="J190" s="4" t="s">
        <v>256</v>
      </c>
      <c r="K190" s="14"/>
      <c r="L190" s="14">
        <v>10000</v>
      </c>
    </row>
    <row r="191" spans="10:12" x14ac:dyDescent="0.3">
      <c r="J191" s="4" t="s">
        <v>286</v>
      </c>
      <c r="K191" s="14">
        <v>713525</v>
      </c>
      <c r="L191" s="14"/>
    </row>
    <row r="192" spans="10:12" x14ac:dyDescent="0.3">
      <c r="J192" s="4" t="s">
        <v>28</v>
      </c>
      <c r="K192" s="14">
        <v>14911083</v>
      </c>
      <c r="L192" s="14">
        <v>14826244</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A8" sqref="A8"/>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G8">
        <f>SUMIFS(Table14[Debit], Table14[Date], Table8[[#This Row],[Date]], Table14[Party], Table8[[#This Row],[Party]])</f>
        <v>0</v>
      </c>
      <c r="H8">
        <f>Table8[[#This Row],[Price]]-Table8[[#This Row],[Paid]]</f>
        <v>0</v>
      </c>
    </row>
    <row r="9" spans="1:14" x14ac:dyDescent="0.3">
      <c r="G9">
        <f>SUMIFS(Table14[Debit], Table14[Date], Table8[[#This Row],[Date]], Table14[Party], Table8[[#This Row],[Party]])</f>
        <v>0</v>
      </c>
      <c r="H9">
        <f>Table8[[#This Row],[Price]]-Table8[[#This Row],[Paid]]</f>
        <v>0</v>
      </c>
      <c r="K9" s="3" t="s">
        <v>6</v>
      </c>
      <c r="L9" t="s">
        <v>127</v>
      </c>
      <c r="M9" t="s">
        <v>128</v>
      </c>
    </row>
    <row r="10" spans="1:14" x14ac:dyDescent="0.3">
      <c r="E10">
        <f>SUBTOTAL(109,Table8[Price])</f>
        <v>295000</v>
      </c>
      <c r="H10">
        <f>SUBTOTAL(109,Table8[Balance])</f>
        <v>0</v>
      </c>
      <c r="K10" s="26">
        <v>46008</v>
      </c>
      <c r="M10">
        <v>0</v>
      </c>
    </row>
    <row r="11" spans="1:14" x14ac:dyDescent="0.3">
      <c r="K11" s="26">
        <v>46009</v>
      </c>
      <c r="L11">
        <v>183750</v>
      </c>
      <c r="M11">
        <v>0</v>
      </c>
    </row>
    <row r="12" spans="1:14" x14ac:dyDescent="0.3">
      <c r="K12" s="4" t="s">
        <v>103</v>
      </c>
      <c r="M12">
        <v>0</v>
      </c>
    </row>
    <row r="13" spans="1:14" x14ac:dyDescent="0.3">
      <c r="K13" s="26">
        <v>46013</v>
      </c>
      <c r="L13">
        <v>111250</v>
      </c>
      <c r="M13">
        <v>0</v>
      </c>
    </row>
    <row r="14" spans="1:14" x14ac:dyDescent="0.3">
      <c r="A14" t="s">
        <v>57</v>
      </c>
      <c r="B14" t="s">
        <v>156</v>
      </c>
      <c r="C14" t="s">
        <v>157</v>
      </c>
      <c r="D14" t="s">
        <v>4</v>
      </c>
      <c r="E14" t="s">
        <v>158</v>
      </c>
      <c r="K14" s="4" t="s">
        <v>28</v>
      </c>
      <c r="L14">
        <v>295000</v>
      </c>
      <c r="M14">
        <v>0</v>
      </c>
    </row>
    <row r="15" spans="1:14" x14ac:dyDescent="0.3">
      <c r="A15" t="s">
        <v>131</v>
      </c>
      <c r="B15">
        <v>1</v>
      </c>
      <c r="C15">
        <v>25</v>
      </c>
      <c r="D15">
        <v>1400</v>
      </c>
      <c r="E15">
        <f>Table2325[[#This Row],[boxes]]*Table2325[[#This Row],[kgs]]*Table2325[[#This Row],[Rate]]</f>
        <v>35000</v>
      </c>
    </row>
    <row r="16" spans="1:14" x14ac:dyDescent="0.3">
      <c r="A16" t="s">
        <v>129</v>
      </c>
      <c r="B16">
        <v>1</v>
      </c>
      <c r="C16">
        <v>3</v>
      </c>
      <c r="D16">
        <v>1340</v>
      </c>
      <c r="E16">
        <f>Table2325[[#This Row],[boxes]]*Table2325[[#This Row],[kgs]]*Table2325[[#This Row],[Rate]]</f>
        <v>4020</v>
      </c>
    </row>
    <row r="17" spans="1:12" x14ac:dyDescent="0.3">
      <c r="A17" t="s">
        <v>147</v>
      </c>
      <c r="B17">
        <v>1</v>
      </c>
      <c r="D17">
        <v>1120</v>
      </c>
      <c r="E17">
        <f>Table2325[[#This Row],[boxes]]*Table2325[[#This Row],[kgs]]*Table2325[[#This Row],[Rate]]</f>
        <v>0</v>
      </c>
    </row>
    <row r="18" spans="1:12" x14ac:dyDescent="0.3">
      <c r="A18" t="s">
        <v>126</v>
      </c>
      <c r="B18">
        <v>1</v>
      </c>
      <c r="C18">
        <v>25</v>
      </c>
      <c r="D18">
        <v>1120</v>
      </c>
      <c r="E18">
        <f>Table2325[[#This Row],[boxes]]*Table2325[[#This Row],[kgs]]*Table2325[[#This Row],[Rate]]</f>
        <v>28000</v>
      </c>
    </row>
    <row r="19" spans="1:12" x14ac:dyDescent="0.3">
      <c r="A19" t="s">
        <v>125</v>
      </c>
      <c r="B19">
        <v>1</v>
      </c>
      <c r="C19">
        <v>25</v>
      </c>
      <c r="D19">
        <v>1120</v>
      </c>
      <c r="E19">
        <f>Table2325[[#This Row],[boxes]]*Table2325[[#This Row],[kgs]]*Table2325[[#This Row],[Rate]]</f>
        <v>28000</v>
      </c>
    </row>
    <row r="20" spans="1:12" x14ac:dyDescent="0.3">
      <c r="A20" t="s">
        <v>146</v>
      </c>
      <c r="B20">
        <v>1</v>
      </c>
      <c r="D20">
        <v>1300</v>
      </c>
      <c r="E20">
        <f>Table2325[[#This Row],[boxes]]*Table2325[[#This Row],[kgs]]*Table2325[[#This Row],[Rate]]</f>
        <v>0</v>
      </c>
    </row>
    <row r="21" spans="1:12" x14ac:dyDescent="0.3">
      <c r="A21" t="s">
        <v>132</v>
      </c>
      <c r="B21">
        <v>1</v>
      </c>
      <c r="C21">
        <v>25</v>
      </c>
      <c r="D21">
        <v>1450</v>
      </c>
      <c r="E21">
        <f>Table2325[[#This Row],[boxes]]*Table2325[[#This Row],[kgs]]*Table2325[[#This Row],[Rate]]</f>
        <v>36250</v>
      </c>
    </row>
    <row r="22" spans="1:12" x14ac:dyDescent="0.3">
      <c r="A22" t="s">
        <v>159</v>
      </c>
      <c r="B22">
        <v>1</v>
      </c>
      <c r="C22">
        <v>25</v>
      </c>
      <c r="D22">
        <v>940</v>
      </c>
      <c r="E22">
        <f>Table2325[[#This Row],[boxes]]*Table2325[[#This Row],[kgs]]*Table2325[[#This Row],[Rate]]</f>
        <v>23500</v>
      </c>
    </row>
    <row r="23" spans="1:12" x14ac:dyDescent="0.3">
      <c r="A23" t="s">
        <v>125</v>
      </c>
      <c r="D23">
        <v>1130</v>
      </c>
      <c r="E23">
        <f>Table2325[[#This Row],[boxes]]*Table2325[[#This Row],[kgs]]*Table2325[[#This Row],[Rate]]</f>
        <v>0</v>
      </c>
    </row>
    <row r="24" spans="1:12" x14ac:dyDescent="0.3">
      <c r="A24" t="s">
        <v>146</v>
      </c>
      <c r="B24">
        <v>1</v>
      </c>
      <c r="C24">
        <v>12</v>
      </c>
      <c r="D24">
        <v>1300</v>
      </c>
      <c r="E24">
        <f>Table2325[[#This Row],[boxes]]*Table2325[[#This Row],[kgs]]*Table2325[[#This Row],[Rate]]</f>
        <v>15600</v>
      </c>
    </row>
    <row r="25" spans="1:12" x14ac:dyDescent="0.3">
      <c r="A25" t="s">
        <v>133</v>
      </c>
      <c r="B25">
        <v>1</v>
      </c>
      <c r="C25">
        <v>8</v>
      </c>
      <c r="D25">
        <v>1650</v>
      </c>
      <c r="E25">
        <f>Table2325[[#This Row],[boxes]]*Table2325[[#This Row],[kgs]]*Table2325[[#This Row],[Rate]]</f>
        <v>13200</v>
      </c>
    </row>
    <row r="26" spans="1:12" x14ac:dyDescent="0.3">
      <c r="A26" t="s">
        <v>129</v>
      </c>
      <c r="D26">
        <v>1340</v>
      </c>
      <c r="E26">
        <f>Table2325[[#This Row],[boxes]]*Table2325[[#This Row],[kgs]]*Table2325[[#This Row],[Rate]]</f>
        <v>0</v>
      </c>
    </row>
    <row r="27" spans="1:12" x14ac:dyDescent="0.3">
      <c r="A27" t="s">
        <v>132</v>
      </c>
      <c r="B27">
        <v>1</v>
      </c>
      <c r="C27">
        <v>12</v>
      </c>
      <c r="D27">
        <v>1450</v>
      </c>
      <c r="E27">
        <f>Table2325[[#This Row],[boxes]]*Table2325[[#This Row],[kgs]]*Table2325[[#This Row],[Rate]]</f>
        <v>17400</v>
      </c>
    </row>
    <row r="28" spans="1:12" x14ac:dyDescent="0.3">
      <c r="A28" t="s">
        <v>131</v>
      </c>
      <c r="B28">
        <v>1</v>
      </c>
      <c r="C28">
        <v>4</v>
      </c>
      <c r="D28">
        <v>1400</v>
      </c>
      <c r="E28">
        <f>Table2325[[#This Row],[boxes]]*Table2325[[#This Row],[kgs]]*Table2325[[#This Row],[Rate]]</f>
        <v>5600</v>
      </c>
    </row>
    <row r="29" spans="1:12" x14ac:dyDescent="0.3">
      <c r="A29" t="s">
        <v>160</v>
      </c>
      <c r="D29">
        <v>1000</v>
      </c>
      <c r="E29">
        <f>Table2325[[#This Row],[boxes]]*Table2325[[#This Row],[kgs]]*Table2325[[#This Row],[Rate]]</f>
        <v>0</v>
      </c>
    </row>
    <row r="30" spans="1:12" x14ac:dyDescent="0.3">
      <c r="A30" t="s">
        <v>130</v>
      </c>
      <c r="B30">
        <v>1</v>
      </c>
      <c r="C30">
        <v>12</v>
      </c>
      <c r="D30">
        <v>1650</v>
      </c>
      <c r="E30">
        <f>Table2325[[#This Row],[boxes]]*Table2325[[#This Row],[kgs]]*Table2325[[#This Row],[Rate]]</f>
        <v>19800</v>
      </c>
    </row>
    <row r="31" spans="1:12" x14ac:dyDescent="0.3">
      <c r="A31" t="s">
        <v>114</v>
      </c>
      <c r="D31">
        <v>1130</v>
      </c>
      <c r="E31">
        <f>Table2325[[#This Row],[boxes]]*Table2325[[#This Row],[kgs]]*Table2325[[#This Row],[Rate]]</f>
        <v>0</v>
      </c>
    </row>
    <row r="32" spans="1:12" x14ac:dyDescent="0.3">
      <c r="A32" t="s">
        <v>153</v>
      </c>
      <c r="B32">
        <v>1</v>
      </c>
      <c r="C32">
        <v>5</v>
      </c>
      <c r="D32">
        <v>3100</v>
      </c>
      <c r="E32">
        <f>Table2325[[#This Row],[boxes]]*Table2325[[#This Row],[kgs]]*Table2325[[#This Row],[Rate]]</f>
        <v>15500</v>
      </c>
      <c r="L32" t="s">
        <v>163</v>
      </c>
    </row>
    <row r="33" spans="1:16" x14ac:dyDescent="0.3">
      <c r="A33" t="s">
        <v>126</v>
      </c>
      <c r="B33">
        <v>1</v>
      </c>
      <c r="C33">
        <v>8</v>
      </c>
      <c r="D33">
        <v>1140</v>
      </c>
      <c r="E33">
        <f>Table2325[[#This Row],[boxes]]*Table2325[[#This Row],[kgs]]*Table2325[[#This Row],[Rate]]</f>
        <v>9120</v>
      </c>
      <c r="L33" t="s">
        <v>57</v>
      </c>
      <c r="M33" t="s">
        <v>156</v>
      </c>
      <c r="N33" t="s">
        <v>157</v>
      </c>
      <c r="O33" t="s">
        <v>4</v>
      </c>
      <c r="P33" t="s">
        <v>158</v>
      </c>
    </row>
    <row r="34" spans="1:16" x14ac:dyDescent="0.3">
      <c r="A34" t="s">
        <v>147</v>
      </c>
      <c r="B34">
        <v>1</v>
      </c>
      <c r="C34">
        <v>6</v>
      </c>
      <c r="D34">
        <v>1140</v>
      </c>
      <c r="E34">
        <f>Table2325[[#This Row],[boxes]]*Table2325[[#This Row],[kgs]]*Table2325[[#This Row],[Rate]]</f>
        <v>6840</v>
      </c>
      <c r="L34" t="s">
        <v>131</v>
      </c>
      <c r="M34">
        <v>1</v>
      </c>
      <c r="N34">
        <v>5</v>
      </c>
      <c r="O34">
        <v>1400</v>
      </c>
      <c r="P34">
        <f>Table23[[#This Row],[boxes]]*Table23[[#This Row],[kgs]]*Table23[[#This Row],[Rate]]</f>
        <v>7000</v>
      </c>
    </row>
    <row r="35" spans="1:16" x14ac:dyDescent="0.3">
      <c r="A35" t="s">
        <v>161</v>
      </c>
      <c r="D35">
        <v>1000</v>
      </c>
      <c r="E35">
        <f>Table2325[[#This Row],[boxes]]*Table2325[[#This Row],[kgs]]*Table2325[[#This Row],[Rate]]</f>
        <v>0</v>
      </c>
      <c r="L35" t="s">
        <v>129</v>
      </c>
      <c r="M35">
        <v>1</v>
      </c>
      <c r="N35">
        <v>30</v>
      </c>
      <c r="O35">
        <v>1340</v>
      </c>
      <c r="P35">
        <f>Table23[[#This Row],[boxes]]*Table23[[#This Row],[kgs]]*Table23[[#This Row],[Rate]]</f>
        <v>40200</v>
      </c>
    </row>
    <row r="36" spans="1:16" x14ac:dyDescent="0.3">
      <c r="A36" t="s">
        <v>162</v>
      </c>
      <c r="B36">
        <v>1</v>
      </c>
      <c r="C36">
        <v>10</v>
      </c>
      <c r="D36">
        <v>1600</v>
      </c>
      <c r="E36">
        <f>Table2325[[#This Row],[boxes]]*Table2325[[#This Row],[kgs]]*Table2325[[#This Row],[Rate]]</f>
        <v>16000</v>
      </c>
      <c r="L36" t="s">
        <v>147</v>
      </c>
      <c r="M36">
        <v>1</v>
      </c>
      <c r="O36">
        <v>1140</v>
      </c>
      <c r="P36">
        <f>Table23[[#This Row],[boxes]]*Table23[[#This Row],[kgs]]*Table23[[#This Row],[Rate]]</f>
        <v>0</v>
      </c>
    </row>
    <row r="37" spans="1:16" x14ac:dyDescent="0.3">
      <c r="A37" t="s">
        <v>114</v>
      </c>
      <c r="B37">
        <v>1</v>
      </c>
      <c r="C37">
        <v>3</v>
      </c>
      <c r="D37">
        <v>1120</v>
      </c>
      <c r="E37">
        <f>Table2325[[#This Row],[boxes]]*Table2325[[#This Row],[kgs]]*Table2325[[#This Row],[Rate]]</f>
        <v>3360</v>
      </c>
      <c r="L37" t="s">
        <v>126</v>
      </c>
      <c r="M37">
        <v>1</v>
      </c>
      <c r="N37">
        <v>28</v>
      </c>
      <c r="O37">
        <v>1140</v>
      </c>
      <c r="P37">
        <f>Table23[[#This Row],[boxes]]*Table23[[#This Row],[kgs]]*Table23[[#This Row],[Rate]]</f>
        <v>31920</v>
      </c>
    </row>
    <row r="38" spans="1:16" x14ac:dyDescent="0.3">
      <c r="A38" t="s">
        <v>188</v>
      </c>
      <c r="B38">
        <v>1</v>
      </c>
      <c r="C38">
        <v>4</v>
      </c>
      <c r="D38">
        <v>920</v>
      </c>
      <c r="E38">
        <f>Table2325[[#This Row],[boxes]]*Table2325[[#This Row],[kgs]]*Table2325[[#This Row],[Rate]]</f>
        <v>3680</v>
      </c>
      <c r="L38" t="s">
        <v>125</v>
      </c>
      <c r="M38">
        <v>1</v>
      </c>
      <c r="N38">
        <v>8</v>
      </c>
      <c r="O38">
        <v>1130</v>
      </c>
      <c r="P38">
        <f>Table23[[#This Row],[boxes]]*Table23[[#This Row],[kgs]]*Table23[[#This Row],[Rate]]</f>
        <v>9040</v>
      </c>
    </row>
    <row r="39" spans="1:16" x14ac:dyDescent="0.3">
      <c r="L39" t="s">
        <v>146</v>
      </c>
      <c r="M39">
        <v>1</v>
      </c>
      <c r="O39">
        <v>1300</v>
      </c>
      <c r="P39">
        <f>Table23[[#This Row],[boxes]]*Table23[[#This Row],[kgs]]*Table23[[#This Row],[Rate]]</f>
        <v>0</v>
      </c>
    </row>
    <row r="40" spans="1:16" x14ac:dyDescent="0.3">
      <c r="L40" t="s">
        <v>132</v>
      </c>
      <c r="M40">
        <v>1</v>
      </c>
      <c r="N40">
        <v>30</v>
      </c>
      <c r="O40">
        <v>1450</v>
      </c>
      <c r="P40">
        <f>Table23[[#This Row],[boxes]]*Table23[[#This Row],[kgs]]*Table23[[#This Row],[Rate]]</f>
        <v>43500</v>
      </c>
    </row>
    <row r="41" spans="1:16" x14ac:dyDescent="0.3">
      <c r="E41">
        <f>SUM(Table2325[total])</f>
        <v>280870</v>
      </c>
      <c r="L41" t="s">
        <v>159</v>
      </c>
      <c r="M41">
        <v>1</v>
      </c>
      <c r="N41">
        <v>40</v>
      </c>
      <c r="O41">
        <v>910</v>
      </c>
      <c r="P41">
        <f>Table23[[#This Row],[boxes]]*Table23[[#This Row],[kgs]]*Table23[[#This Row],[Rate]]</f>
        <v>36400</v>
      </c>
    </row>
    <row r="42" spans="1:16" x14ac:dyDescent="0.3">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11" sqref="D1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hidden="1" x14ac:dyDescent="0.3">
      <c r="A5" s="85">
        <v>46008</v>
      </c>
      <c r="B5" s="85" t="s">
        <v>117</v>
      </c>
      <c r="C5" s="82" t="s">
        <v>216</v>
      </c>
      <c r="D5" s="82"/>
      <c r="E5" s="82"/>
      <c r="F5" s="82">
        <f>Table2[[#This Row],[Quantity]]*200*Table2[[#This Row],[Boxes]]</f>
        <v>0</v>
      </c>
      <c r="G5" s="82">
        <f>SUMIFS(Table14[Debit], Table14[Date], Table2[[#This Row],[Date]], Table14[Party], Table2[[#This Row],[Party Name]],Table14[Description],Table2[[#This Row],[Item]])</f>
        <v>0</v>
      </c>
      <c r="H5" s="82">
        <v>0</v>
      </c>
      <c r="J5" s="4" t="s">
        <v>103</v>
      </c>
      <c r="K5">
        <v>0</v>
      </c>
      <c r="L5">
        <v>0</v>
      </c>
      <c r="M5">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Name]],Table14[Description],Table2[[#This Row],[Item]])</f>
        <v>0</v>
      </c>
      <c r="H6" s="82">
        <v>268000</v>
      </c>
      <c r="J6" s="4" t="s">
        <v>116</v>
      </c>
      <c r="K6">
        <v>0</v>
      </c>
      <c r="L6">
        <v>150000</v>
      </c>
      <c r="M6">
        <v>118000</v>
      </c>
    </row>
    <row r="7" spans="1:13" hidden="1" x14ac:dyDescent="0.3">
      <c r="A7" s="85">
        <v>46008</v>
      </c>
      <c r="B7" s="85" t="s">
        <v>165</v>
      </c>
      <c r="C7" s="82" t="s">
        <v>216</v>
      </c>
      <c r="F7" s="82">
        <f>Table2[[#This Row],[Quantity]]*200*Table2[[#This Row],[Boxes]]</f>
        <v>0</v>
      </c>
      <c r="G7" s="82">
        <f>SUMIFS(Table14[Debit], Table14[Date], Table2[[#This Row],[Date]], Table14[Party], Table2[[#This Row],[Party Name]],Table14[Description],Table2[[#This Row],[Item]])</f>
        <v>0</v>
      </c>
      <c r="H7" s="81">
        <v>0</v>
      </c>
      <c r="J7" s="4" t="s">
        <v>117</v>
      </c>
      <c r="K7">
        <v>351000</v>
      </c>
      <c r="L7">
        <v>0</v>
      </c>
      <c r="M7">
        <v>351000</v>
      </c>
    </row>
    <row r="8" spans="1:13" hidden="1" x14ac:dyDescent="0.3">
      <c r="A8" s="85">
        <v>46008</v>
      </c>
      <c r="B8" s="95" t="s">
        <v>194</v>
      </c>
      <c r="C8" s="82" t="s">
        <v>216</v>
      </c>
      <c r="F8" s="82">
        <f>Table2[[#This Row],[Quantity]]*200*Table2[[#This Row],[Boxes]]</f>
        <v>0</v>
      </c>
      <c r="G8" s="82">
        <f>SUMIFS(Table14[Debit], Table14[Date], Table2[[#This Row],[Date]], Table14[Party], Table2[[#This Row],[Party Name]],Table14[Description],Table2[[#This Row],[Item]])</f>
        <v>0</v>
      </c>
      <c r="H8" s="81">
        <v>0</v>
      </c>
      <c r="J8" s="4" t="s">
        <v>165</v>
      </c>
      <c r="K8">
        <v>0</v>
      </c>
      <c r="L8">
        <v>0</v>
      </c>
      <c r="M8">
        <v>0</v>
      </c>
    </row>
    <row r="9" spans="1:13" hidden="1" x14ac:dyDescent="0.3">
      <c r="A9" s="117">
        <v>46008</v>
      </c>
      <c r="B9" s="117" t="s">
        <v>198</v>
      </c>
      <c r="C9" s="88" t="s">
        <v>216</v>
      </c>
      <c r="F9" s="82">
        <f>Table2[[#This Row],[Quantity]]*200*Table2[[#This Row],[Boxes]]</f>
        <v>0</v>
      </c>
      <c r="G9" s="82">
        <f>SUMIFS(Table14[Debit], Table14[Date], Table2[[#This Row],[Date]], Table14[Party], Table2[[#This Row],[Party Name]],Table14[Description],Table2[[#This Row],[Item]])</f>
        <v>0</v>
      </c>
      <c r="H9" s="81">
        <f>Table2[[#This Row],[Price]]-Table2[[#This Row],[Paid]]</f>
        <v>0</v>
      </c>
      <c r="J9" s="4" t="s">
        <v>194</v>
      </c>
      <c r="K9">
        <v>0</v>
      </c>
      <c r="L9">
        <v>0</v>
      </c>
      <c r="M9">
        <v>0</v>
      </c>
    </row>
    <row r="10" spans="1:13" hidden="1" x14ac:dyDescent="0.3">
      <c r="A10" s="1">
        <v>46011</v>
      </c>
      <c r="B10" s="1" t="s">
        <v>117</v>
      </c>
      <c r="C10" t="s">
        <v>61</v>
      </c>
      <c r="D10">
        <v>45</v>
      </c>
      <c r="F10">
        <v>351000</v>
      </c>
      <c r="G10">
        <f>SUMIFS(Table14[Debit], Table14[Date], Table2[[#This Row],[Date]], Table14[Party], Table2[[#This Row],[Party Name]],Table14[Description],Table2[[#This Row],[Item]])</f>
        <v>0</v>
      </c>
      <c r="H10">
        <f>Table2[[#This Row],[Price]]-Table2[[#This Row],[Paid]]</f>
        <v>351000</v>
      </c>
      <c r="J10" s="4" t="s">
        <v>198</v>
      </c>
      <c r="K10">
        <v>0</v>
      </c>
      <c r="L10">
        <v>0</v>
      </c>
      <c r="M10">
        <v>0</v>
      </c>
    </row>
    <row r="11" spans="1:13" x14ac:dyDescent="0.3">
      <c r="A11" s="1">
        <v>46014</v>
      </c>
      <c r="B11" s="1" t="s">
        <v>116</v>
      </c>
      <c r="C11" t="s">
        <v>282</v>
      </c>
      <c r="F11">
        <f>Table2[[#This Row],[Quantity]]*200*Table2[[#This Row],[Boxes]]</f>
        <v>0</v>
      </c>
      <c r="G11">
        <f>SUMIFS(Table14[Debit], Table14[Date], Table2[[#This Row],[Date]], Table14[Party], Table2[[#This Row],[Party Name]],Table14[Description],Table2[[#This Row],[Item]])</f>
        <v>150000</v>
      </c>
      <c r="H11">
        <f>Table2[[#This Row],[Price]]-Table2[[#This Row],[Paid]]</f>
        <v>-150000</v>
      </c>
      <c r="J11" s="4" t="s">
        <v>28</v>
      </c>
      <c r="K11">
        <v>351000</v>
      </c>
      <c r="L11">
        <v>150000</v>
      </c>
      <c r="M11">
        <v>469000</v>
      </c>
    </row>
    <row r="12" spans="1:13" hidden="1"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hidden="1"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0</v>
      </c>
      <c r="G14">
        <f>SUBTOTAL(109,Table2[Paid])</f>
        <v>150000</v>
      </c>
      <c r="H14">
        <f>SUBTOTAL(109,Table2[Balance])</f>
        <v>118000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403031</v>
      </c>
      <c r="C2" s="32">
        <f>GETPIVOTDATA("Sum of Tiyaar/gaz",$A$3)</f>
        <v>328937</v>
      </c>
      <c r="D2" s="31">
        <f>((B2*48)+((C2/1.0936)*10))/C2</f>
        <v>67.95624847095911</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12488</v>
      </c>
      <c r="D5" s="28">
        <f t="shared" ref="D5:D38" si="1">I5</f>
        <v>194.40227903351959</v>
      </c>
      <c r="E5" s="11">
        <f t="shared" ref="E5:E38" si="2">B5 * 1.0936</f>
        <v>52709.332799999996</v>
      </c>
      <c r="F5" s="11">
        <f t="shared" si="0"/>
        <v>12488</v>
      </c>
      <c r="G5" s="78">
        <f>100- (F5/E5 *100)</f>
        <v>76.307801035189726</v>
      </c>
      <c r="H5" s="28">
        <f t="shared" ref="H5:H38" si="3">F5/1.0936</f>
        <v>11419.166057059254</v>
      </c>
      <c r="I5" s="28">
        <f>((B5*48)+(H5*10))/C5</f>
        <v>194.40227903351959</v>
      </c>
      <c r="J5" s="28"/>
      <c r="K5" s="28"/>
      <c r="L5" s="28"/>
    </row>
    <row r="6" spans="1:12" x14ac:dyDescent="0.3">
      <c r="A6" s="16">
        <v>1934</v>
      </c>
      <c r="B6" s="14">
        <v>38741</v>
      </c>
      <c r="C6" s="14">
        <v>41226</v>
      </c>
      <c r="D6" s="28">
        <f t="shared" si="1"/>
        <v>54.250791442719567</v>
      </c>
      <c r="E6" s="11">
        <f t="shared" si="2"/>
        <v>42367.157599999999</v>
      </c>
      <c r="F6" s="11">
        <f t="shared" si="0"/>
        <v>41226</v>
      </c>
      <c r="G6" s="78">
        <f t="shared" ref="G6:G18" si="4">100- (F6/E6 *100)</f>
        <v>2.6934957751331297</v>
      </c>
      <c r="H6" s="28">
        <f t="shared" si="3"/>
        <v>37697.512801755671</v>
      </c>
      <c r="I6" s="28">
        <f>((B6*48)+(H6*10))/C6</f>
        <v>54.250791442719567</v>
      </c>
      <c r="J6" s="28"/>
      <c r="K6" s="28"/>
      <c r="L6" s="28"/>
    </row>
    <row r="7" spans="1:12" x14ac:dyDescent="0.3">
      <c r="A7" s="16">
        <v>1958</v>
      </c>
      <c r="B7" s="14">
        <v>80202</v>
      </c>
      <c r="C7" s="14">
        <v>86828</v>
      </c>
      <c r="D7" s="28">
        <f t="shared" si="1"/>
        <v>53.481145328845784</v>
      </c>
      <c r="E7" s="11">
        <f t="shared" si="2"/>
        <v>87708.907199999987</v>
      </c>
      <c r="F7" s="11">
        <f t="shared" si="0"/>
        <v>86828</v>
      </c>
      <c r="G7" s="78">
        <f t="shared" si="4"/>
        <v>1.0043531815888258</v>
      </c>
      <c r="H7" s="28">
        <f t="shared" si="3"/>
        <v>79396.488661302123</v>
      </c>
      <c r="I7" s="28">
        <f>((B7*48)+(H7*10))/C7</f>
        <v>53.481145328845784</v>
      </c>
      <c r="J7" s="28"/>
      <c r="K7" s="28"/>
      <c r="L7" s="28"/>
    </row>
    <row r="8" spans="1:12" x14ac:dyDescent="0.3">
      <c r="A8" s="16">
        <v>1924</v>
      </c>
      <c r="B8" s="14">
        <v>24876</v>
      </c>
      <c r="C8" s="14">
        <v>26409</v>
      </c>
      <c r="D8" s="28">
        <f t="shared" si="1"/>
        <v>54.357788347907267</v>
      </c>
      <c r="E8" s="11">
        <f t="shared" si="2"/>
        <v>27204.393599999999</v>
      </c>
      <c r="F8" s="11">
        <f t="shared" si="0"/>
        <v>26409</v>
      </c>
      <c r="G8" s="78">
        <f t="shared" si="4"/>
        <v>2.9237689017997326</v>
      </c>
      <c r="H8" s="28">
        <f t="shared" si="3"/>
        <v>24148.683247988298</v>
      </c>
      <c r="I8" s="28">
        <f t="shared" ref="I8:I38" si="5">((B8*48)+(H8*10))/C8</f>
        <v>54.357788347907267</v>
      </c>
      <c r="J8" s="28"/>
      <c r="K8" s="28"/>
      <c r="L8" s="28"/>
    </row>
    <row r="9" spans="1:12" x14ac:dyDescent="0.3">
      <c r="A9" s="16">
        <v>1971</v>
      </c>
      <c r="B9" s="14">
        <v>50697</v>
      </c>
      <c r="C9" s="14">
        <v>49746</v>
      </c>
      <c r="D9" s="28">
        <f t="shared" si="1"/>
        <v>58.061732709700024</v>
      </c>
      <c r="E9" s="11">
        <f t="shared" si="2"/>
        <v>55442.239199999996</v>
      </c>
      <c r="F9" s="11">
        <f t="shared" si="0"/>
        <v>49746</v>
      </c>
      <c r="G9" s="78">
        <f t="shared" si="4"/>
        <v>10.274186761201378</v>
      </c>
      <c r="H9" s="28">
        <f t="shared" si="3"/>
        <v>45488.295537673745</v>
      </c>
      <c r="I9" s="28">
        <f t="shared" si="5"/>
        <v>58.061732709700024</v>
      </c>
      <c r="J9" s="28"/>
      <c r="K9" s="28"/>
      <c r="L9" s="28"/>
    </row>
    <row r="10" spans="1:12" x14ac:dyDescent="0.3">
      <c r="A10" s="16">
        <v>1951</v>
      </c>
      <c r="B10" s="14">
        <v>54197</v>
      </c>
      <c r="C10" s="14">
        <v>58298</v>
      </c>
      <c r="D10" s="28">
        <f t="shared" si="1"/>
        <v>53.767528805346231</v>
      </c>
      <c r="E10" s="11">
        <f t="shared" si="2"/>
        <v>59269.839199999995</v>
      </c>
      <c r="F10" s="11">
        <f t="shared" si="0"/>
        <v>58298</v>
      </c>
      <c r="G10" s="78">
        <f t="shared" si="4"/>
        <v>1.6396859062171956</v>
      </c>
      <c r="H10" s="28">
        <f t="shared" si="3"/>
        <v>53308.339429407468</v>
      </c>
      <c r="I10" s="28">
        <f t="shared" si="5"/>
        <v>53.767528805346231</v>
      </c>
      <c r="J10" s="28"/>
      <c r="K10" s="28"/>
      <c r="L10" s="28"/>
    </row>
    <row r="11" spans="1:12" x14ac:dyDescent="0.3">
      <c r="A11" s="16">
        <v>1835</v>
      </c>
      <c r="B11" s="14">
        <v>50010</v>
      </c>
      <c r="C11" s="14">
        <v>50763</v>
      </c>
      <c r="D11" s="28"/>
      <c r="E11" s="11">
        <f t="shared" si="2"/>
        <v>54690.935999999994</v>
      </c>
      <c r="F11" s="11">
        <f t="shared" si="0"/>
        <v>50763</v>
      </c>
      <c r="G11" s="78">
        <f t="shared" si="4"/>
        <v>7.1820602960607403</v>
      </c>
      <c r="H11" s="28">
        <f t="shared" si="3"/>
        <v>46418.251645940021</v>
      </c>
      <c r="I11" s="28">
        <f t="shared" si="5"/>
        <v>56.432096536047915</v>
      </c>
      <c r="J11" s="28"/>
      <c r="K11" s="28"/>
      <c r="L11" s="28"/>
    </row>
    <row r="12" spans="1:12" x14ac:dyDescent="0.3">
      <c r="A12" s="16">
        <v>1987</v>
      </c>
      <c r="B12" s="14">
        <v>5613</v>
      </c>
      <c r="C12" s="14">
        <v>1684</v>
      </c>
      <c r="D12" s="28">
        <f t="shared" si="1"/>
        <v>169.13461000474365</v>
      </c>
      <c r="E12" s="11">
        <f t="shared" si="2"/>
        <v>6138.3767999999991</v>
      </c>
      <c r="F12" s="11">
        <f t="shared" si="0"/>
        <v>1684</v>
      </c>
      <c r="G12" s="78">
        <f t="shared" si="4"/>
        <v>72.566037327653135</v>
      </c>
      <c r="H12" s="28">
        <f t="shared" si="3"/>
        <v>1539.8683247988297</v>
      </c>
      <c r="I12" s="28">
        <f t="shared" si="5"/>
        <v>169.13461000474365</v>
      </c>
    </row>
    <row r="13" spans="1:12" x14ac:dyDescent="0.3">
      <c r="A13" s="16">
        <v>1974</v>
      </c>
      <c r="B13" s="14">
        <v>50497</v>
      </c>
      <c r="C13" s="14">
        <v>1495</v>
      </c>
      <c r="D13" s="28">
        <f t="shared" si="1"/>
        <v>1630.4524723964055</v>
      </c>
      <c r="E13" s="11">
        <f t="shared" si="2"/>
        <v>55223.519199999995</v>
      </c>
      <c r="F13" s="11">
        <f t="shared" si="0"/>
        <v>1495</v>
      </c>
      <c r="G13" s="78">
        <f t="shared" si="4"/>
        <v>97.292820121467372</v>
      </c>
      <c r="H13" s="28">
        <f t="shared" si="3"/>
        <v>1367.0446232626191</v>
      </c>
      <c r="I13" s="28">
        <f t="shared" si="5"/>
        <v>1630.4524723964055</v>
      </c>
    </row>
    <row r="14" spans="1:12" x14ac:dyDescent="0.3">
      <c r="A14" s="16" t="s">
        <v>28</v>
      </c>
      <c r="B14" s="30">
        <v>80202</v>
      </c>
      <c r="C14" s="30">
        <v>328937</v>
      </c>
      <c r="D14" s="28">
        <f t="shared" si="1"/>
        <v>20.847555924970074</v>
      </c>
      <c r="E14" s="11">
        <f t="shared" si="2"/>
        <v>87708.907199999987</v>
      </c>
      <c r="F14" s="11">
        <f t="shared" si="0"/>
        <v>328937</v>
      </c>
      <c r="G14" s="78">
        <f t="shared" si="4"/>
        <v>-275.03260558238952</v>
      </c>
      <c r="H14" s="28">
        <f t="shared" si="3"/>
        <v>300783.65032918804</v>
      </c>
      <c r="I14" s="28">
        <f t="shared" si="5"/>
        <v>20.847555924970074</v>
      </c>
    </row>
    <row r="15" spans="1:12" x14ac:dyDescent="0.3">
      <c r="D15" s="28" t="e">
        <f t="shared" si="1"/>
        <v>#DIV/0!</v>
      </c>
      <c r="E15" s="11">
        <f>B15 * 1.0936</f>
        <v>0</v>
      </c>
      <c r="F15" s="11">
        <f t="shared" si="0"/>
        <v>0</v>
      </c>
      <c r="G15" s="78" t="e">
        <f t="shared" si="4"/>
        <v>#DIV/0!</v>
      </c>
      <c r="H15" s="28">
        <f t="shared" si="3"/>
        <v>0</v>
      </c>
      <c r="I15" s="28" t="e">
        <f>((B15*48)+(H15*10))/C15</f>
        <v>#DIV/0!</v>
      </c>
    </row>
    <row r="16" spans="1:12" x14ac:dyDescent="0.3">
      <c r="D16" s="28" t="e">
        <f t="shared" si="1"/>
        <v>#DIV/0!</v>
      </c>
      <c r="E16" s="11">
        <f t="shared" si="2"/>
        <v>0</v>
      </c>
      <c r="F16" s="11">
        <f t="shared" si="0"/>
        <v>0</v>
      </c>
      <c r="G16" s="78" t="e">
        <f t="shared" si="4"/>
        <v>#DIV/0!</v>
      </c>
      <c r="H16" s="28">
        <f t="shared" si="3"/>
        <v>0</v>
      </c>
      <c r="I16" s="28" t="e">
        <f>((B16*48)+(H16*10))/C16</f>
        <v>#DIV/0!</v>
      </c>
    </row>
    <row r="17" spans="4:9" x14ac:dyDescent="0.3">
      <c r="D17" s="28" t="e">
        <f t="shared" si="1"/>
        <v>#DIV/0!</v>
      </c>
      <c r="E17" s="11">
        <f t="shared" si="2"/>
        <v>0</v>
      </c>
      <c r="F17" s="11">
        <f t="shared" si="0"/>
        <v>0</v>
      </c>
      <c r="G17" s="78" t="e">
        <f t="shared" si="4"/>
        <v>#DIV/0!</v>
      </c>
      <c r="H17" s="28">
        <f t="shared" si="3"/>
        <v>0</v>
      </c>
      <c r="I17" s="28" t="e">
        <f>((B17*48)+(H17*10))/C17</f>
        <v>#DIV/0!</v>
      </c>
    </row>
    <row r="18" spans="4:9" x14ac:dyDescent="0.3">
      <c r="D18" s="28" t="e">
        <f t="shared" si="1"/>
        <v>#DIV/0!</v>
      </c>
      <c r="E18" s="11">
        <f t="shared" si="2"/>
        <v>0</v>
      </c>
      <c r="F18" s="11">
        <f t="shared" si="0"/>
        <v>0</v>
      </c>
      <c r="G18" s="78" t="e">
        <f t="shared" si="4"/>
        <v>#DIV/0!</v>
      </c>
      <c r="H18" s="28">
        <f t="shared" si="3"/>
        <v>0</v>
      </c>
      <c r="I18" s="28" t="e">
        <f>((B18*48)+(H18*10))/C18</f>
        <v>#DIV/0!</v>
      </c>
    </row>
    <row r="19" spans="4:9" x14ac:dyDescent="0.3">
      <c r="D19" s="28" t="e">
        <f t="shared" si="1"/>
        <v>#DIV/0!</v>
      </c>
      <c r="E19" s="11">
        <f t="shared" si="2"/>
        <v>0</v>
      </c>
      <c r="F19" s="11">
        <f t="shared" si="0"/>
        <v>0</v>
      </c>
      <c r="G19" s="78" t="e">
        <f t="shared" ref="G19:G38" si="6">100- (F19/E19 *100)</f>
        <v>#DIV/0!</v>
      </c>
      <c r="H19" s="28">
        <f t="shared" si="3"/>
        <v>0</v>
      </c>
      <c r="I19" s="28" t="e">
        <f t="shared" si="5"/>
        <v>#DIV/0!</v>
      </c>
    </row>
    <row r="20" spans="4:9" x14ac:dyDescent="0.3">
      <c r="D20" s="28" t="e">
        <f t="shared" si="1"/>
        <v>#DIV/0!</v>
      </c>
      <c r="E20" s="11">
        <f>B20 * 1.0936</f>
        <v>0</v>
      </c>
      <c r="F20" s="11">
        <f t="shared" si="0"/>
        <v>0</v>
      </c>
      <c r="G20" s="78" t="e">
        <f t="shared" si="6"/>
        <v>#DIV/0!</v>
      </c>
      <c r="H20" s="28">
        <f t="shared" si="3"/>
        <v>0</v>
      </c>
      <c r="I20" s="28" t="e">
        <f t="shared" si="5"/>
        <v>#DIV/0!</v>
      </c>
    </row>
    <row r="21" spans="4:9" x14ac:dyDescent="0.3">
      <c r="D21" s="28" t="e">
        <f t="shared" si="1"/>
        <v>#DIV/0!</v>
      </c>
      <c r="E21" s="11">
        <f t="shared" si="2"/>
        <v>0</v>
      </c>
      <c r="F21" s="11">
        <f t="shared" si="0"/>
        <v>0</v>
      </c>
      <c r="G21" s="78" t="e">
        <f t="shared" si="6"/>
        <v>#DIV/0!</v>
      </c>
      <c r="H21" s="28">
        <f t="shared" si="3"/>
        <v>0</v>
      </c>
      <c r="I21" s="28" t="e">
        <f t="shared" si="5"/>
        <v>#DIV/0!</v>
      </c>
    </row>
    <row r="22" spans="4:9" x14ac:dyDescent="0.3">
      <c r="D22" s="28" t="e">
        <f t="shared" si="1"/>
        <v>#DIV/0!</v>
      </c>
      <c r="E22" s="11">
        <f t="shared" si="2"/>
        <v>0</v>
      </c>
      <c r="F22" s="11">
        <f t="shared" si="0"/>
        <v>0</v>
      </c>
      <c r="G22" s="78" t="e">
        <f t="shared" si="6"/>
        <v>#DIV/0!</v>
      </c>
      <c r="H22" s="28">
        <f t="shared" si="3"/>
        <v>0</v>
      </c>
      <c r="I22" s="28" t="e">
        <f t="shared" si="5"/>
        <v>#DIV/0!</v>
      </c>
    </row>
    <row r="23" spans="4:9" x14ac:dyDescent="0.3">
      <c r="D23" s="28" t="e">
        <f t="shared" si="1"/>
        <v>#DIV/0!</v>
      </c>
      <c r="E23" s="11">
        <f t="shared" si="2"/>
        <v>0</v>
      </c>
      <c r="F23" s="11">
        <f t="shared" si="0"/>
        <v>0</v>
      </c>
      <c r="G23" s="78" t="e">
        <f t="shared" si="6"/>
        <v>#DIV/0!</v>
      </c>
      <c r="H23" s="28">
        <f t="shared" si="3"/>
        <v>0</v>
      </c>
      <c r="I23" s="28" t="e">
        <f t="shared" si="5"/>
        <v>#DIV/0!</v>
      </c>
    </row>
    <row r="24" spans="4:9" x14ac:dyDescent="0.3">
      <c r="D24" s="28" t="e">
        <f t="shared" si="1"/>
        <v>#DIV/0!</v>
      </c>
      <c r="E24" s="11">
        <f t="shared" si="2"/>
        <v>0</v>
      </c>
      <c r="F24" s="11">
        <f t="shared" si="0"/>
        <v>0</v>
      </c>
      <c r="G24" s="78" t="e">
        <f t="shared" si="6"/>
        <v>#DIV/0!</v>
      </c>
      <c r="H24" s="28">
        <f t="shared" si="3"/>
        <v>0</v>
      </c>
      <c r="I24" s="28" t="e">
        <f t="shared" si="5"/>
        <v>#DIV/0!</v>
      </c>
    </row>
    <row r="25" spans="4:9" x14ac:dyDescent="0.3">
      <c r="D25" s="28" t="e">
        <f t="shared" si="1"/>
        <v>#DIV/0!</v>
      </c>
      <c r="E25" s="11">
        <f t="shared" si="2"/>
        <v>0</v>
      </c>
      <c r="F25" s="11">
        <f t="shared" si="0"/>
        <v>0</v>
      </c>
      <c r="G25" s="78" t="e">
        <f t="shared" si="6"/>
        <v>#DIV/0!</v>
      </c>
      <c r="H25" s="28">
        <f t="shared" si="3"/>
        <v>0</v>
      </c>
      <c r="I25" s="28" t="e">
        <f t="shared" si="5"/>
        <v>#DIV/0!</v>
      </c>
    </row>
    <row r="26" spans="4:9" x14ac:dyDescent="0.3">
      <c r="D26" s="28" t="e">
        <f t="shared" si="1"/>
        <v>#DIV/0!</v>
      </c>
      <c r="E26" s="11">
        <f t="shared" si="2"/>
        <v>0</v>
      </c>
      <c r="F26" s="11">
        <f t="shared" si="0"/>
        <v>0</v>
      </c>
      <c r="G26" s="78" t="e">
        <f t="shared" si="6"/>
        <v>#DIV/0!</v>
      </c>
      <c r="H26" s="28">
        <f t="shared" si="3"/>
        <v>0</v>
      </c>
      <c r="I26" s="28" t="e">
        <f t="shared" si="5"/>
        <v>#DIV/0!</v>
      </c>
    </row>
    <row r="27" spans="4:9" x14ac:dyDescent="0.3">
      <c r="D27" s="28" t="e">
        <f t="shared" si="1"/>
        <v>#DIV/0!</v>
      </c>
      <c r="E27" s="11">
        <f t="shared" si="2"/>
        <v>0</v>
      </c>
      <c r="F27" s="11">
        <f t="shared" si="0"/>
        <v>0</v>
      </c>
      <c r="G27" s="78" t="e">
        <f t="shared" si="6"/>
        <v>#DIV/0!</v>
      </c>
      <c r="H27" s="28">
        <f t="shared" si="3"/>
        <v>0</v>
      </c>
      <c r="I27" s="28" t="e">
        <f t="shared" si="5"/>
        <v>#DIV/0!</v>
      </c>
    </row>
    <row r="28" spans="4:9" x14ac:dyDescent="0.3">
      <c r="D28" s="28" t="e">
        <f t="shared" si="1"/>
        <v>#DIV/0!</v>
      </c>
      <c r="E28" s="11">
        <f t="shared" si="2"/>
        <v>0</v>
      </c>
      <c r="F28" s="11">
        <f t="shared" si="0"/>
        <v>0</v>
      </c>
      <c r="G28" s="78" t="e">
        <f t="shared" si="6"/>
        <v>#DIV/0!</v>
      </c>
      <c r="H28" s="28">
        <f t="shared" si="3"/>
        <v>0</v>
      </c>
      <c r="I28" s="28" t="e">
        <f t="shared" si="5"/>
        <v>#DIV/0!</v>
      </c>
    </row>
    <row r="29" spans="4:9" x14ac:dyDescent="0.3">
      <c r="D29" s="28" t="e">
        <f t="shared" si="1"/>
        <v>#DIV/0!</v>
      </c>
      <c r="E29" s="11">
        <f t="shared" si="2"/>
        <v>0</v>
      </c>
      <c r="F29" s="11">
        <f t="shared" si="0"/>
        <v>0</v>
      </c>
      <c r="G29" s="78" t="e">
        <f t="shared" si="6"/>
        <v>#DIV/0!</v>
      </c>
      <c r="H29" s="28">
        <f t="shared" si="3"/>
        <v>0</v>
      </c>
      <c r="I29" s="28" t="e">
        <f t="shared" si="5"/>
        <v>#DIV/0!</v>
      </c>
    </row>
    <row r="30" spans="4:9" x14ac:dyDescent="0.3">
      <c r="D30" s="28" t="e">
        <f t="shared" si="1"/>
        <v>#DIV/0!</v>
      </c>
      <c r="E30" s="11">
        <f t="shared" si="2"/>
        <v>0</v>
      </c>
      <c r="F30" s="11">
        <f t="shared" si="0"/>
        <v>0</v>
      </c>
      <c r="G30" s="78" t="e">
        <f t="shared" si="6"/>
        <v>#DIV/0!</v>
      </c>
      <c r="H30" s="28">
        <f t="shared" si="3"/>
        <v>0</v>
      </c>
      <c r="I30" s="28" t="e">
        <f t="shared" si="5"/>
        <v>#DIV/0!</v>
      </c>
    </row>
    <row r="31" spans="4:9" x14ac:dyDescent="0.3">
      <c r="D31" s="28" t="e">
        <f t="shared" si="1"/>
        <v>#DIV/0!</v>
      </c>
      <c r="E31" s="11">
        <f t="shared" si="2"/>
        <v>0</v>
      </c>
      <c r="F31" s="11">
        <f t="shared" si="0"/>
        <v>0</v>
      </c>
      <c r="G31" s="78" t="e">
        <f t="shared" si="6"/>
        <v>#DIV/0!</v>
      </c>
      <c r="H31" s="28">
        <f t="shared" si="3"/>
        <v>0</v>
      </c>
      <c r="I31" s="28" t="e">
        <f t="shared" si="5"/>
        <v>#DIV/0!</v>
      </c>
    </row>
    <row r="32" spans="4:9" x14ac:dyDescent="0.3">
      <c r="D32" s="28" t="e">
        <f t="shared" si="1"/>
        <v>#DIV/0!</v>
      </c>
      <c r="E32" s="11">
        <f t="shared" si="2"/>
        <v>0</v>
      </c>
      <c r="F32" s="11">
        <f t="shared" si="0"/>
        <v>0</v>
      </c>
      <c r="G32" s="78" t="e">
        <f t="shared" si="6"/>
        <v>#DIV/0!</v>
      </c>
      <c r="H32" s="28">
        <f t="shared" si="3"/>
        <v>0</v>
      </c>
      <c r="I32" s="28" t="e">
        <f t="shared" si="5"/>
        <v>#DIV/0!</v>
      </c>
    </row>
    <row r="33" spans="4:9" x14ac:dyDescent="0.3">
      <c r="D33" s="28" t="e">
        <f t="shared" ref="D33:D37" si="7">I33</f>
        <v>#DIV/0!</v>
      </c>
      <c r="E33" s="11">
        <f t="shared" ref="E33:E37" si="8">B33 * 1.0936</f>
        <v>0</v>
      </c>
      <c r="F33" s="11">
        <f t="shared" ref="F33:F37" si="9">C33</f>
        <v>0</v>
      </c>
      <c r="G33" s="78" t="e">
        <f t="shared" ref="G33:G37" si="10">100- (F33/E33 *100)</f>
        <v>#DIV/0!</v>
      </c>
      <c r="H33" s="28">
        <f t="shared" ref="H33:H37" si="11">F33/1.0936</f>
        <v>0</v>
      </c>
      <c r="I33" s="28" t="e">
        <f t="shared" ref="I33:I37" si="12">((B33*48)+(H33*10))/C33</f>
        <v>#DIV/0!</v>
      </c>
    </row>
    <row r="34" spans="4:9" x14ac:dyDescent="0.3">
      <c r="D34" s="28" t="e">
        <f t="shared" si="7"/>
        <v>#DIV/0!</v>
      </c>
      <c r="E34" s="11">
        <f t="shared" si="8"/>
        <v>0</v>
      </c>
      <c r="F34" s="11">
        <f t="shared" si="9"/>
        <v>0</v>
      </c>
      <c r="G34" s="78" t="e">
        <f t="shared" si="10"/>
        <v>#DIV/0!</v>
      </c>
      <c r="H34" s="28">
        <f t="shared" si="11"/>
        <v>0</v>
      </c>
      <c r="I34" s="28" t="e">
        <f t="shared" si="12"/>
        <v>#DIV/0!</v>
      </c>
    </row>
    <row r="35" spans="4:9" x14ac:dyDescent="0.3">
      <c r="D35" s="28" t="e">
        <f t="shared" si="7"/>
        <v>#DIV/0!</v>
      </c>
      <c r="E35" s="11">
        <f t="shared" si="8"/>
        <v>0</v>
      </c>
      <c r="F35" s="11">
        <f t="shared" si="9"/>
        <v>0</v>
      </c>
      <c r="G35" s="78" t="e">
        <f t="shared" si="10"/>
        <v>#DIV/0!</v>
      </c>
      <c r="H35" s="28">
        <f t="shared" si="11"/>
        <v>0</v>
      </c>
      <c r="I35" s="28" t="e">
        <f t="shared" si="12"/>
        <v>#DIV/0!</v>
      </c>
    </row>
    <row r="36" spans="4:9" x14ac:dyDescent="0.3">
      <c r="D36" s="28" t="e">
        <f t="shared" si="7"/>
        <v>#DIV/0!</v>
      </c>
      <c r="E36" s="11">
        <f t="shared" si="8"/>
        <v>0</v>
      </c>
      <c r="F36" s="11">
        <f t="shared" si="9"/>
        <v>0</v>
      </c>
      <c r="G36" s="78" t="e">
        <f t="shared" si="10"/>
        <v>#DIV/0!</v>
      </c>
      <c r="H36" s="28">
        <f t="shared" si="11"/>
        <v>0</v>
      </c>
      <c r="I36" s="28" t="e">
        <f t="shared" si="12"/>
        <v>#DIV/0!</v>
      </c>
    </row>
    <row r="37" spans="4:9" x14ac:dyDescent="0.3">
      <c r="D37" s="28" t="e">
        <f t="shared" si="7"/>
        <v>#DIV/0!</v>
      </c>
      <c r="E37" s="11">
        <f t="shared" si="8"/>
        <v>0</v>
      </c>
      <c r="F37" s="11">
        <f t="shared" si="9"/>
        <v>0</v>
      </c>
      <c r="G37" s="78" t="e">
        <f t="shared" si="10"/>
        <v>#DIV/0!</v>
      </c>
      <c r="H37" s="28">
        <f t="shared" si="11"/>
        <v>0</v>
      </c>
      <c r="I37" s="28" t="e">
        <f t="shared" si="12"/>
        <v>#DIV/0!</v>
      </c>
    </row>
    <row r="38" spans="4:9" x14ac:dyDescent="0.3">
      <c r="D38" s="28" t="e">
        <f t="shared" si="1"/>
        <v>#DIV/0!</v>
      </c>
      <c r="E38" s="11">
        <f t="shared" si="2"/>
        <v>0</v>
      </c>
      <c r="F38" s="11">
        <f t="shared" si="0"/>
        <v>0</v>
      </c>
      <c r="G38" s="78" t="e">
        <f t="shared" si="6"/>
        <v>#DIV/0!</v>
      </c>
      <c r="H38" s="28">
        <f t="shared" si="3"/>
        <v>0</v>
      </c>
      <c r="I38" s="28" t="e">
        <f t="shared" si="5"/>
        <v>#DIV/0!</v>
      </c>
    </row>
    <row r="39" spans="4: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4:9" x14ac:dyDescent="0.3">
      <c r="D40" s="28" t="e">
        <f t="shared" si="13"/>
        <v>#DIV/0!</v>
      </c>
      <c r="E40" s="11">
        <f t="shared" si="14"/>
        <v>0</v>
      </c>
      <c r="F40" s="11">
        <f t="shared" si="15"/>
        <v>0</v>
      </c>
      <c r="G40" s="78" t="e">
        <f t="shared" si="16"/>
        <v>#DIV/0!</v>
      </c>
      <c r="H40" s="28">
        <f t="shared" si="17"/>
        <v>0</v>
      </c>
      <c r="I40" s="28" t="e">
        <f t="shared" si="18"/>
        <v>#DIV/0!</v>
      </c>
    </row>
    <row r="41" spans="4:9" x14ac:dyDescent="0.3">
      <c r="D41" s="28" t="e">
        <f t="shared" si="13"/>
        <v>#DIV/0!</v>
      </c>
      <c r="E41" s="11">
        <f t="shared" si="14"/>
        <v>0</v>
      </c>
      <c r="F41" s="11">
        <f t="shared" si="15"/>
        <v>0</v>
      </c>
      <c r="G41" s="78" t="e">
        <f t="shared" si="16"/>
        <v>#DIV/0!</v>
      </c>
      <c r="H41" s="28">
        <f t="shared" si="17"/>
        <v>0</v>
      </c>
      <c r="I41" s="28" t="e">
        <f t="shared" si="18"/>
        <v>#DIV/0!</v>
      </c>
    </row>
    <row r="42" spans="4:9" x14ac:dyDescent="0.3">
      <c r="D42" s="28" t="e">
        <f t="shared" si="13"/>
        <v>#DIV/0!</v>
      </c>
      <c r="E42" s="11">
        <f t="shared" si="14"/>
        <v>0</v>
      </c>
      <c r="F42" s="11">
        <f t="shared" si="15"/>
        <v>0</v>
      </c>
      <c r="G42" s="78" t="e">
        <f t="shared" si="16"/>
        <v>#DIV/0!</v>
      </c>
      <c r="H42" s="28">
        <f t="shared" si="17"/>
        <v>0</v>
      </c>
      <c r="I42" s="28" t="e">
        <f t="shared" si="18"/>
        <v>#DIV/0!</v>
      </c>
    </row>
    <row r="43" spans="4:9" x14ac:dyDescent="0.3">
      <c r="D43" s="28" t="e">
        <f t="shared" si="13"/>
        <v>#DIV/0!</v>
      </c>
      <c r="E43" s="11">
        <f t="shared" si="14"/>
        <v>0</v>
      </c>
      <c r="F43" s="11">
        <f t="shared" si="15"/>
        <v>0</v>
      </c>
      <c r="G43" s="78" t="e">
        <f t="shared" si="16"/>
        <v>#DIV/0!</v>
      </c>
      <c r="H43" s="28">
        <f t="shared" si="17"/>
        <v>0</v>
      </c>
      <c r="I43" s="28" t="e">
        <f t="shared" si="18"/>
        <v>#DIV/0!</v>
      </c>
    </row>
    <row r="44" spans="4:9" x14ac:dyDescent="0.3">
      <c r="D44" s="28" t="e">
        <f t="shared" si="13"/>
        <v>#DIV/0!</v>
      </c>
      <c r="E44" s="11">
        <f t="shared" si="14"/>
        <v>0</v>
      </c>
      <c r="F44" s="11">
        <f t="shared" si="15"/>
        <v>0</v>
      </c>
      <c r="G44" s="78" t="e">
        <f t="shared" si="16"/>
        <v>#DIV/0!</v>
      </c>
      <c r="H44" s="28">
        <f t="shared" si="17"/>
        <v>0</v>
      </c>
      <c r="I44" s="28" t="e">
        <f t="shared" si="18"/>
        <v>#DIV/0!</v>
      </c>
    </row>
    <row r="45" spans="4: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4:9" x14ac:dyDescent="0.3">
      <c r="D46" s="28" t="e">
        <f t="shared" si="19"/>
        <v>#DIV/0!</v>
      </c>
      <c r="E46" s="11">
        <f t="shared" si="20"/>
        <v>0</v>
      </c>
      <c r="F46" s="11">
        <f t="shared" si="21"/>
        <v>0</v>
      </c>
      <c r="G46" s="78" t="e">
        <f t="shared" si="22"/>
        <v>#DIV/0!</v>
      </c>
      <c r="H46" s="28">
        <f t="shared" si="23"/>
        <v>0</v>
      </c>
      <c r="I46" s="28" t="e">
        <f t="shared" si="24"/>
        <v>#DIV/0!</v>
      </c>
    </row>
    <row r="47" spans="4:9" x14ac:dyDescent="0.3">
      <c r="D47" s="28" t="e">
        <f t="shared" si="19"/>
        <v>#DIV/0!</v>
      </c>
      <c r="E47" s="11">
        <f t="shared" si="20"/>
        <v>0</v>
      </c>
      <c r="F47" s="11">
        <f t="shared" si="21"/>
        <v>0</v>
      </c>
      <c r="G47" s="78" t="e">
        <f t="shared" si="22"/>
        <v>#DIV/0!</v>
      </c>
      <c r="H47" s="28">
        <f t="shared" si="23"/>
        <v>0</v>
      </c>
      <c r="I47" s="28" t="e">
        <f t="shared" si="24"/>
        <v>#DIV/0!</v>
      </c>
    </row>
    <row r="48" spans="4: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20575</v>
      </c>
    </row>
    <row r="38" spans="2:10" x14ac:dyDescent="0.3">
      <c r="B38" s="1"/>
      <c r="D38">
        <f>SUM(Table5[Amount])</f>
        <v>16865</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J25" sqref="J25"/>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5111636.1536210738</v>
      </c>
    </row>
    <row r="3" spans="1:3" ht="21" x14ac:dyDescent="0.4">
      <c r="A3" s="102" t="str">
        <f>Billing!Q6</f>
        <v>Ejaz Sahab</v>
      </c>
      <c r="B3" s="105">
        <f>Billing!AD6</f>
        <v>3963904</v>
      </c>
      <c r="C3" s="103">
        <f>Billing!AE6</f>
        <v>208925.1880029263</v>
      </c>
    </row>
    <row r="4" spans="1:3" ht="21" x14ac:dyDescent="0.4">
      <c r="A4" s="102" t="str">
        <f>Billing!Q7</f>
        <v>Arshad</v>
      </c>
      <c r="B4" s="105">
        <f>Billing!AD7</f>
        <v>6352935</v>
      </c>
      <c r="C4" s="104">
        <f>Billing!AE7</f>
        <v>408726.48500365764</v>
      </c>
    </row>
    <row r="5" spans="1:3" ht="21" x14ac:dyDescent="0.4">
      <c r="A5" s="102" t="str">
        <f>Billing!Q8</f>
        <v>Shehzad Kamoki</v>
      </c>
      <c r="B5" s="105">
        <f>Billing!AD8</f>
        <v>1268740</v>
      </c>
      <c r="C5" s="104">
        <f>Billing!AE8</f>
        <v>530.34403803967871</v>
      </c>
    </row>
    <row r="6" spans="1:3" ht="21" x14ac:dyDescent="0.4">
      <c r="A6" s="102" t="str">
        <f>Billing!Q9</f>
        <v>Sufi Nawaz Sahab</v>
      </c>
      <c r="B6" s="105">
        <f>Billing!AD9</f>
        <v>10629100</v>
      </c>
      <c r="C6" s="103">
        <f>Billing!AE9</f>
        <v>609704.47256766632</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1100000</v>
      </c>
      <c r="C8" s="104">
        <f>Billing!AE11</f>
        <v>293873.44550109748</v>
      </c>
    </row>
    <row r="9" spans="1:3" ht="21" x14ac:dyDescent="0.4">
      <c r="A9" s="102" t="str">
        <f>Billing!Q12</f>
        <v>Azam</v>
      </c>
      <c r="B9" s="105">
        <f>Billing!AD12</f>
        <v>3930620</v>
      </c>
      <c r="C9" s="103">
        <f>Billing!AE12</f>
        <v>-79926.876371616498</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1842480</v>
      </c>
      <c r="C12" s="103">
        <f>Billing!AE15</f>
        <v>12082.911485003773</v>
      </c>
    </row>
    <row r="13" spans="1:3" ht="21" x14ac:dyDescent="0.4">
      <c r="A13" s="102" t="str">
        <f>Billing!Q16</f>
        <v>Badshah Fabrics</v>
      </c>
      <c r="B13" s="105">
        <f>Billing!AD16</f>
        <v>5615761</v>
      </c>
      <c r="C13" s="103">
        <f>Billing!AE16</f>
        <v>486606.4103877116</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2300000</v>
      </c>
      <c r="C20" s="103">
        <f>Billing!AE23</f>
        <v>409309.61960497499</v>
      </c>
    </row>
    <row r="21" spans="1:3" ht="21" x14ac:dyDescent="0.4">
      <c r="A21" s="102" t="str">
        <f>Billing!Q24</f>
        <v>Salman Zaffar</v>
      </c>
      <c r="B21" s="105">
        <f>Billing!AD24</f>
        <v>713525</v>
      </c>
      <c r="C21" s="103">
        <f>Billing!AE24</f>
        <v>5.486466723959893E-2</v>
      </c>
    </row>
    <row r="22" spans="1:3" ht="21" x14ac:dyDescent="0.4">
      <c r="A22" s="102" t="str">
        <f>Billing!Q25</f>
        <v>Shahid Qasayi</v>
      </c>
      <c r="B22" s="105">
        <f>Billing!AD25</f>
        <v>1658095</v>
      </c>
      <c r="C22" s="103">
        <f>Billing!AE25</f>
        <v>6.6825164593756199</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54170.629114850039</v>
      </c>
    </row>
    <row r="28" spans="1:3" ht="21" x14ac:dyDescent="0.4">
      <c r="A28" s="102">
        <f>Billing!Q31</f>
        <v>0</v>
      </c>
      <c r="B28" s="105">
        <f>Billing!AD31</f>
        <v>0</v>
      </c>
      <c r="C28" s="103">
        <f>Billing!AE31</f>
        <v>0</v>
      </c>
    </row>
  </sheetData>
  <conditionalFormatting sqref="C2:C28">
    <cfRule type="cellIs" dxfId="5" priority="1" operator="lessThan">
      <formula>10</formula>
    </cfRule>
  </conditionalFormatting>
  <conditionalFormatting sqref="C2:C29">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1" zoomScale="146" workbookViewId="0">
      <selection activeCell="C22" sqref="C22"/>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2025-12-24T20:08:36Z</dcterms:modified>
  <cp:category/>
  <cp:contentStatus/>
</cp:coreProperties>
</file>